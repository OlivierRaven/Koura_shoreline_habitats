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or81_students_waikato_ac_nz/Documents/Documents/PhD/Data/3. Natural habitat monitoring/Data_raw/"/>
    </mc:Choice>
  </mc:AlternateContent>
  <xr:revisionPtr revIDLastSave="14" documentId="8_{CF1E0EBB-8958-4E15-8AC3-40D8E461BA15}" xr6:coauthVersionLast="47" xr6:coauthVersionMax="47" xr10:uidLastSave="{757D9CEC-7651-413A-9E0E-2DE916311F2B}"/>
  <bookViews>
    <workbookView xWindow="57480" yWindow="-120" windowWidth="25440" windowHeight="15270" xr2:uid="{DCE36AD3-B751-40A7-A58C-3E409E2B8D1C}"/>
  </bookViews>
  <sheets>
    <sheet name="INFO" sheetId="18" r:id="rId1"/>
    <sheet name="Site_info" sheetId="11" r:id="rId2"/>
    <sheet name="Monitoring_data" sheetId="12" r:id="rId3"/>
    <sheet name="Fish_data" sheetId="13" r:id="rId4"/>
    <sheet name="Rock_sizes_Periphyton_biomass" sheetId="15" r:id="rId5"/>
    <sheet name="Macroinvertebrates" sheetId="16" r:id="rId6"/>
    <sheet name="Sediment_D50" sheetId="17" r:id="rId7"/>
    <sheet name="Planning_fieldwork" sheetId="8" r:id="rId8"/>
    <sheet name="Site_selection" sheetId="9" r:id="rId9"/>
    <sheet name="Test_HM" sheetId="3" r:id="rId10"/>
    <sheet name="Test_Catch" sheetId="4" r:id="rId11"/>
    <sheet name="Test_Habitat_Monitoring" sheetId="5" r:id="rId12"/>
  </sheets>
  <definedNames>
    <definedName name="_xlnm._FilterDatabase" localSheetId="3" hidden="1">Fish_data!$A$1:$T$1144</definedName>
    <definedName name="_xlnm._FilterDatabase" localSheetId="2" hidden="1">Monitoring_data!$A$1:$F$1940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58" i="13" l="1"/>
  <c r="M1053" i="13"/>
  <c r="M1059" i="13"/>
  <c r="M1052" i="13"/>
  <c r="M1033" i="13"/>
  <c r="M1025" i="13"/>
  <c r="E550" i="12"/>
  <c r="E404" i="12"/>
  <c r="E358" i="12"/>
  <c r="E326" i="12"/>
  <c r="E294" i="12"/>
  <c r="E262" i="12"/>
  <c r="E230" i="12"/>
  <c r="E198" i="12"/>
  <c r="E166" i="12"/>
  <c r="E134" i="12"/>
  <c r="E102" i="12"/>
  <c r="E70" i="12"/>
  <c r="E38" i="12"/>
  <c r="E6" i="12"/>
  <c r="E518" i="12"/>
  <c r="E486" i="12"/>
  <c r="E454" i="12"/>
  <c r="E422" i="12"/>
  <c r="E390" i="12"/>
  <c r="E582" i="12"/>
  <c r="E614" i="12"/>
  <c r="E649" i="12"/>
  <c r="E681" i="12"/>
  <c r="E713" i="12"/>
  <c r="E745" i="12"/>
  <c r="M1021" i="13"/>
  <c r="M1020" i="13"/>
  <c r="M1018" i="13"/>
  <c r="M955" i="13"/>
  <c r="M953" i="13"/>
  <c r="M948" i="13"/>
  <c r="M943" i="13"/>
  <c r="M926" i="13"/>
  <c r="M905" i="13"/>
  <c r="M850" i="13"/>
  <c r="M849" i="13"/>
  <c r="M848" i="13"/>
  <c r="M845" i="13"/>
  <c r="M844" i="13"/>
  <c r="M843" i="13"/>
  <c r="F840" i="13"/>
  <c r="G840" i="13"/>
  <c r="H840" i="13"/>
  <c r="I840" i="13"/>
  <c r="J840" i="13"/>
  <c r="M839" i="13"/>
  <c r="M794" i="13"/>
  <c r="F8" i="13"/>
  <c r="G8" i="13"/>
  <c r="H8" i="13"/>
  <c r="I8" i="13"/>
  <c r="J8" i="13"/>
  <c r="F9" i="13"/>
  <c r="G9" i="13"/>
  <c r="H9" i="13"/>
  <c r="I9" i="13"/>
  <c r="J9" i="13"/>
  <c r="F10" i="13"/>
  <c r="G10" i="13"/>
  <c r="H10" i="13"/>
  <c r="I10" i="13"/>
  <c r="J10" i="13"/>
  <c r="F11" i="13"/>
  <c r="G11" i="13"/>
  <c r="H11" i="13"/>
  <c r="I11" i="13"/>
  <c r="J11" i="13"/>
  <c r="F12" i="13"/>
  <c r="G12" i="13"/>
  <c r="H12" i="13"/>
  <c r="I12" i="13"/>
  <c r="J12" i="13"/>
  <c r="F13" i="13"/>
  <c r="G13" i="13"/>
  <c r="H13" i="13"/>
  <c r="I13" i="13"/>
  <c r="J13" i="13"/>
  <c r="F14" i="13"/>
  <c r="G14" i="13"/>
  <c r="H14" i="13"/>
  <c r="I14" i="13"/>
  <c r="J14" i="13"/>
  <c r="F15" i="13"/>
  <c r="G15" i="13"/>
  <c r="H15" i="13"/>
  <c r="I15" i="13"/>
  <c r="J15" i="13"/>
  <c r="F16" i="13"/>
  <c r="G16" i="13"/>
  <c r="H16" i="13"/>
  <c r="I16" i="13"/>
  <c r="J16" i="13"/>
  <c r="F17" i="13"/>
  <c r="G17" i="13"/>
  <c r="H17" i="13"/>
  <c r="I17" i="13"/>
  <c r="J17" i="13"/>
  <c r="F18" i="13"/>
  <c r="G18" i="13"/>
  <c r="H18" i="13"/>
  <c r="I18" i="13"/>
  <c r="J18" i="13"/>
  <c r="F19" i="13"/>
  <c r="G19" i="13"/>
  <c r="H19" i="13"/>
  <c r="I19" i="13"/>
  <c r="J19" i="13"/>
  <c r="F20" i="13"/>
  <c r="G20" i="13"/>
  <c r="H20" i="13"/>
  <c r="I20" i="13"/>
  <c r="J20" i="13"/>
  <c r="F21" i="13"/>
  <c r="G21" i="13"/>
  <c r="H21" i="13"/>
  <c r="I21" i="13"/>
  <c r="J21" i="13"/>
  <c r="F22" i="13"/>
  <c r="G22" i="13"/>
  <c r="H22" i="13"/>
  <c r="I22" i="13"/>
  <c r="J22" i="13"/>
  <c r="F23" i="13"/>
  <c r="G23" i="13"/>
  <c r="H23" i="13"/>
  <c r="I23" i="13"/>
  <c r="J23" i="13"/>
  <c r="F24" i="13"/>
  <c r="G24" i="13"/>
  <c r="H24" i="13"/>
  <c r="I24" i="13"/>
  <c r="J24" i="13"/>
  <c r="F25" i="13"/>
  <c r="G25" i="13"/>
  <c r="H25" i="13"/>
  <c r="I25" i="13"/>
  <c r="J25" i="13"/>
  <c r="F26" i="13"/>
  <c r="G26" i="13"/>
  <c r="H26" i="13"/>
  <c r="I26" i="13"/>
  <c r="J26" i="13"/>
  <c r="F27" i="13"/>
  <c r="G27" i="13"/>
  <c r="H27" i="13"/>
  <c r="I27" i="13"/>
  <c r="J27" i="13"/>
  <c r="F28" i="13"/>
  <c r="G28" i="13"/>
  <c r="H28" i="13"/>
  <c r="I28" i="13"/>
  <c r="J28" i="13"/>
  <c r="F29" i="13"/>
  <c r="G29" i="13"/>
  <c r="H29" i="13"/>
  <c r="I29" i="13"/>
  <c r="J29" i="13"/>
  <c r="F30" i="13"/>
  <c r="G30" i="13"/>
  <c r="H30" i="13"/>
  <c r="I30" i="13"/>
  <c r="J30" i="13"/>
  <c r="F31" i="13"/>
  <c r="G31" i="13"/>
  <c r="H31" i="13"/>
  <c r="I31" i="13"/>
  <c r="J31" i="13"/>
  <c r="F32" i="13"/>
  <c r="G32" i="13"/>
  <c r="H32" i="13"/>
  <c r="I32" i="13"/>
  <c r="J32" i="13"/>
  <c r="F33" i="13"/>
  <c r="G33" i="13"/>
  <c r="H33" i="13"/>
  <c r="I33" i="13"/>
  <c r="J33" i="13"/>
  <c r="F34" i="13"/>
  <c r="G34" i="13"/>
  <c r="H34" i="13"/>
  <c r="I34" i="13"/>
  <c r="J34" i="13"/>
  <c r="F35" i="13"/>
  <c r="G35" i="13"/>
  <c r="H35" i="13"/>
  <c r="I35" i="13"/>
  <c r="J35" i="13"/>
  <c r="F36" i="13"/>
  <c r="G36" i="13"/>
  <c r="H36" i="13"/>
  <c r="I36" i="13"/>
  <c r="J36" i="13"/>
  <c r="F37" i="13"/>
  <c r="G37" i="13"/>
  <c r="H37" i="13"/>
  <c r="I37" i="13"/>
  <c r="J37" i="13"/>
  <c r="F38" i="13"/>
  <c r="G38" i="13"/>
  <c r="H38" i="13"/>
  <c r="I38" i="13"/>
  <c r="J38" i="13"/>
  <c r="F39" i="13"/>
  <c r="G39" i="13"/>
  <c r="H39" i="13"/>
  <c r="I39" i="13"/>
  <c r="J39" i="13"/>
  <c r="F40" i="13"/>
  <c r="G40" i="13"/>
  <c r="H40" i="13"/>
  <c r="I40" i="13"/>
  <c r="J40" i="13"/>
  <c r="F41" i="13"/>
  <c r="G41" i="13"/>
  <c r="H41" i="13"/>
  <c r="I41" i="13"/>
  <c r="J41" i="13"/>
  <c r="F42" i="13"/>
  <c r="G42" i="13"/>
  <c r="H42" i="13"/>
  <c r="I42" i="13"/>
  <c r="J42" i="13"/>
  <c r="F43" i="13"/>
  <c r="G43" i="13"/>
  <c r="H43" i="13"/>
  <c r="I43" i="13"/>
  <c r="J43" i="13"/>
  <c r="F44" i="13"/>
  <c r="G44" i="13"/>
  <c r="H44" i="13"/>
  <c r="I44" i="13"/>
  <c r="J44" i="13"/>
  <c r="F45" i="13"/>
  <c r="G45" i="13"/>
  <c r="H45" i="13"/>
  <c r="I45" i="13"/>
  <c r="J45" i="13"/>
  <c r="F46" i="13"/>
  <c r="G46" i="13"/>
  <c r="H46" i="13"/>
  <c r="I46" i="13"/>
  <c r="J46" i="13"/>
  <c r="F47" i="13"/>
  <c r="G47" i="13"/>
  <c r="H47" i="13"/>
  <c r="I47" i="13"/>
  <c r="J47" i="13"/>
  <c r="F48" i="13"/>
  <c r="G48" i="13"/>
  <c r="H48" i="13"/>
  <c r="I48" i="13"/>
  <c r="J48" i="13"/>
  <c r="F49" i="13"/>
  <c r="G49" i="13"/>
  <c r="H49" i="13"/>
  <c r="I49" i="13"/>
  <c r="J49" i="13"/>
  <c r="F50" i="13"/>
  <c r="G50" i="13"/>
  <c r="H50" i="13"/>
  <c r="I50" i="13"/>
  <c r="J50" i="13"/>
  <c r="F51" i="13"/>
  <c r="G51" i="13"/>
  <c r="H51" i="13"/>
  <c r="I51" i="13"/>
  <c r="J51" i="13"/>
  <c r="F52" i="13"/>
  <c r="G52" i="13"/>
  <c r="H52" i="13"/>
  <c r="I52" i="13"/>
  <c r="J52" i="13"/>
  <c r="F53" i="13"/>
  <c r="G53" i="13"/>
  <c r="H53" i="13"/>
  <c r="I53" i="13"/>
  <c r="J53" i="13"/>
  <c r="F54" i="13"/>
  <c r="G54" i="13"/>
  <c r="H54" i="13"/>
  <c r="I54" i="13"/>
  <c r="J54" i="13"/>
  <c r="F55" i="13"/>
  <c r="G55" i="13"/>
  <c r="H55" i="13"/>
  <c r="I55" i="13"/>
  <c r="J55" i="13"/>
  <c r="F56" i="13"/>
  <c r="G56" i="13"/>
  <c r="H56" i="13"/>
  <c r="I56" i="13"/>
  <c r="J56" i="13"/>
  <c r="F57" i="13"/>
  <c r="G57" i="13"/>
  <c r="H57" i="13"/>
  <c r="I57" i="13"/>
  <c r="J57" i="13"/>
  <c r="F58" i="13"/>
  <c r="G58" i="13"/>
  <c r="H58" i="13"/>
  <c r="I58" i="13"/>
  <c r="J58" i="13"/>
  <c r="F59" i="13"/>
  <c r="G59" i="13"/>
  <c r="H59" i="13"/>
  <c r="I59" i="13"/>
  <c r="J59" i="13"/>
  <c r="F60" i="13"/>
  <c r="G60" i="13"/>
  <c r="H60" i="13"/>
  <c r="I60" i="13"/>
  <c r="J60" i="13"/>
  <c r="F61" i="13"/>
  <c r="G61" i="13"/>
  <c r="H61" i="13"/>
  <c r="I61" i="13"/>
  <c r="J61" i="13"/>
  <c r="F62" i="13"/>
  <c r="G62" i="13"/>
  <c r="H62" i="13"/>
  <c r="I62" i="13"/>
  <c r="J62" i="13"/>
  <c r="F63" i="13"/>
  <c r="G63" i="13"/>
  <c r="H63" i="13"/>
  <c r="I63" i="13"/>
  <c r="J63" i="13"/>
  <c r="F64" i="13"/>
  <c r="G64" i="13"/>
  <c r="H64" i="13"/>
  <c r="I64" i="13"/>
  <c r="J64" i="13"/>
  <c r="F65" i="13"/>
  <c r="G65" i="13"/>
  <c r="H65" i="13"/>
  <c r="I65" i="13"/>
  <c r="J65" i="13"/>
  <c r="F66" i="13"/>
  <c r="G66" i="13"/>
  <c r="H66" i="13"/>
  <c r="I66" i="13"/>
  <c r="J66" i="13"/>
  <c r="F67" i="13"/>
  <c r="G67" i="13"/>
  <c r="H67" i="13"/>
  <c r="I67" i="13"/>
  <c r="J67" i="13"/>
  <c r="F68" i="13"/>
  <c r="G68" i="13"/>
  <c r="H68" i="13"/>
  <c r="I68" i="13"/>
  <c r="J68" i="13"/>
  <c r="F69" i="13"/>
  <c r="G69" i="13"/>
  <c r="H69" i="13"/>
  <c r="I69" i="13"/>
  <c r="J69" i="13"/>
  <c r="F70" i="13"/>
  <c r="G70" i="13"/>
  <c r="H70" i="13"/>
  <c r="I70" i="13"/>
  <c r="J70" i="13"/>
  <c r="F71" i="13"/>
  <c r="G71" i="13"/>
  <c r="H71" i="13"/>
  <c r="I71" i="13"/>
  <c r="J71" i="13"/>
  <c r="F72" i="13"/>
  <c r="G72" i="13"/>
  <c r="H72" i="13"/>
  <c r="I72" i="13"/>
  <c r="J72" i="13"/>
  <c r="F73" i="13"/>
  <c r="G73" i="13"/>
  <c r="H73" i="13"/>
  <c r="I73" i="13"/>
  <c r="J73" i="13"/>
  <c r="F74" i="13"/>
  <c r="G74" i="13"/>
  <c r="H74" i="13"/>
  <c r="I74" i="13"/>
  <c r="J74" i="13"/>
  <c r="F75" i="13"/>
  <c r="G75" i="13"/>
  <c r="H75" i="13"/>
  <c r="I75" i="13"/>
  <c r="J75" i="13"/>
  <c r="F76" i="13"/>
  <c r="G76" i="13"/>
  <c r="H76" i="13"/>
  <c r="I76" i="13"/>
  <c r="J76" i="13"/>
  <c r="F77" i="13"/>
  <c r="G77" i="13"/>
  <c r="H77" i="13"/>
  <c r="I77" i="13"/>
  <c r="J77" i="13"/>
  <c r="F78" i="13"/>
  <c r="G78" i="13"/>
  <c r="H78" i="13"/>
  <c r="I78" i="13"/>
  <c r="J78" i="13"/>
  <c r="F79" i="13"/>
  <c r="G79" i="13"/>
  <c r="H79" i="13"/>
  <c r="I79" i="13"/>
  <c r="J79" i="13"/>
  <c r="F80" i="13"/>
  <c r="G80" i="13"/>
  <c r="H80" i="13"/>
  <c r="I80" i="13"/>
  <c r="J80" i="13"/>
  <c r="F81" i="13"/>
  <c r="G81" i="13"/>
  <c r="H81" i="13"/>
  <c r="I81" i="13"/>
  <c r="J81" i="13"/>
  <c r="F82" i="13"/>
  <c r="G82" i="13"/>
  <c r="H82" i="13"/>
  <c r="I82" i="13"/>
  <c r="J82" i="13"/>
  <c r="F83" i="13"/>
  <c r="G83" i="13"/>
  <c r="H83" i="13"/>
  <c r="I83" i="13"/>
  <c r="J83" i="13"/>
  <c r="F84" i="13"/>
  <c r="G84" i="13"/>
  <c r="H84" i="13"/>
  <c r="I84" i="13"/>
  <c r="J84" i="13"/>
  <c r="F85" i="13"/>
  <c r="G85" i="13"/>
  <c r="H85" i="13"/>
  <c r="I85" i="13"/>
  <c r="J85" i="13"/>
  <c r="F86" i="13"/>
  <c r="G86" i="13"/>
  <c r="H86" i="13"/>
  <c r="I86" i="13"/>
  <c r="J86" i="13"/>
  <c r="F87" i="13"/>
  <c r="G87" i="13"/>
  <c r="H87" i="13"/>
  <c r="I87" i="13"/>
  <c r="J87" i="13"/>
  <c r="F88" i="13"/>
  <c r="G88" i="13"/>
  <c r="H88" i="13"/>
  <c r="I88" i="13"/>
  <c r="J88" i="13"/>
  <c r="F89" i="13"/>
  <c r="G89" i="13"/>
  <c r="H89" i="13"/>
  <c r="I89" i="13"/>
  <c r="J89" i="13"/>
  <c r="F90" i="13"/>
  <c r="G90" i="13"/>
  <c r="H90" i="13"/>
  <c r="I90" i="13"/>
  <c r="J90" i="13"/>
  <c r="F91" i="13"/>
  <c r="G91" i="13"/>
  <c r="H91" i="13"/>
  <c r="I91" i="13"/>
  <c r="J91" i="13"/>
  <c r="F92" i="13"/>
  <c r="G92" i="13"/>
  <c r="H92" i="13"/>
  <c r="I92" i="13"/>
  <c r="J92" i="13"/>
  <c r="F93" i="13"/>
  <c r="G93" i="13"/>
  <c r="H93" i="13"/>
  <c r="I93" i="13"/>
  <c r="J93" i="13"/>
  <c r="F94" i="13"/>
  <c r="G94" i="13"/>
  <c r="H94" i="13"/>
  <c r="I94" i="13"/>
  <c r="J94" i="13"/>
  <c r="F95" i="13"/>
  <c r="G95" i="13"/>
  <c r="H95" i="13"/>
  <c r="I95" i="13"/>
  <c r="J95" i="13"/>
  <c r="F96" i="13"/>
  <c r="G96" i="13"/>
  <c r="H96" i="13"/>
  <c r="I96" i="13"/>
  <c r="J96" i="13"/>
  <c r="F97" i="13"/>
  <c r="G97" i="13"/>
  <c r="H97" i="13"/>
  <c r="I97" i="13"/>
  <c r="J97" i="13"/>
  <c r="F98" i="13"/>
  <c r="G98" i="13"/>
  <c r="H98" i="13"/>
  <c r="I98" i="13"/>
  <c r="J98" i="13"/>
  <c r="F99" i="13"/>
  <c r="G99" i="13"/>
  <c r="H99" i="13"/>
  <c r="I99" i="13"/>
  <c r="J99" i="13"/>
  <c r="F100" i="13"/>
  <c r="G100" i="13"/>
  <c r="H100" i="13"/>
  <c r="I100" i="13"/>
  <c r="J100" i="13"/>
  <c r="F101" i="13"/>
  <c r="G101" i="13"/>
  <c r="H101" i="13"/>
  <c r="I101" i="13"/>
  <c r="J101" i="13"/>
  <c r="F102" i="13"/>
  <c r="G102" i="13"/>
  <c r="H102" i="13"/>
  <c r="I102" i="13"/>
  <c r="J102" i="13"/>
  <c r="F103" i="13"/>
  <c r="G103" i="13"/>
  <c r="H103" i="13"/>
  <c r="I103" i="13"/>
  <c r="J103" i="13"/>
  <c r="F104" i="13"/>
  <c r="G104" i="13"/>
  <c r="H104" i="13"/>
  <c r="I104" i="13"/>
  <c r="J104" i="13"/>
  <c r="F105" i="13"/>
  <c r="G105" i="13"/>
  <c r="H105" i="13"/>
  <c r="I105" i="13"/>
  <c r="J105" i="13"/>
  <c r="F106" i="13"/>
  <c r="G106" i="13"/>
  <c r="H106" i="13"/>
  <c r="I106" i="13"/>
  <c r="J106" i="13"/>
  <c r="F107" i="13"/>
  <c r="G107" i="13"/>
  <c r="H107" i="13"/>
  <c r="I107" i="13"/>
  <c r="J107" i="13"/>
  <c r="F108" i="13"/>
  <c r="G108" i="13"/>
  <c r="H108" i="13"/>
  <c r="I108" i="13"/>
  <c r="J108" i="13"/>
  <c r="F109" i="13"/>
  <c r="G109" i="13"/>
  <c r="H109" i="13"/>
  <c r="I109" i="13"/>
  <c r="J109" i="13"/>
  <c r="F110" i="13"/>
  <c r="G110" i="13"/>
  <c r="H110" i="13"/>
  <c r="I110" i="13"/>
  <c r="J110" i="13"/>
  <c r="F111" i="13"/>
  <c r="G111" i="13"/>
  <c r="H111" i="13"/>
  <c r="I111" i="13"/>
  <c r="J111" i="13"/>
  <c r="F112" i="13"/>
  <c r="G112" i="13"/>
  <c r="H112" i="13"/>
  <c r="I112" i="13"/>
  <c r="J112" i="13"/>
  <c r="F113" i="13"/>
  <c r="G113" i="13"/>
  <c r="H113" i="13"/>
  <c r="I113" i="13"/>
  <c r="J113" i="13"/>
  <c r="F114" i="13"/>
  <c r="G114" i="13"/>
  <c r="H114" i="13"/>
  <c r="I114" i="13"/>
  <c r="J114" i="13"/>
  <c r="F115" i="13"/>
  <c r="G115" i="13"/>
  <c r="H115" i="13"/>
  <c r="I115" i="13"/>
  <c r="J115" i="13"/>
  <c r="F116" i="13"/>
  <c r="G116" i="13"/>
  <c r="H116" i="13"/>
  <c r="I116" i="13"/>
  <c r="J116" i="13"/>
  <c r="F117" i="13"/>
  <c r="G117" i="13"/>
  <c r="H117" i="13"/>
  <c r="I117" i="13"/>
  <c r="J117" i="13"/>
  <c r="F118" i="13"/>
  <c r="G118" i="13"/>
  <c r="H118" i="13"/>
  <c r="I118" i="13"/>
  <c r="J118" i="13"/>
  <c r="F119" i="13"/>
  <c r="G119" i="13"/>
  <c r="H119" i="13"/>
  <c r="I119" i="13"/>
  <c r="J119" i="13"/>
  <c r="F120" i="13"/>
  <c r="G120" i="13"/>
  <c r="H120" i="13"/>
  <c r="I120" i="13"/>
  <c r="J120" i="13"/>
  <c r="F121" i="13"/>
  <c r="G121" i="13"/>
  <c r="H121" i="13"/>
  <c r="I121" i="13"/>
  <c r="J121" i="13"/>
  <c r="F122" i="13"/>
  <c r="G122" i="13"/>
  <c r="H122" i="13"/>
  <c r="I122" i="13"/>
  <c r="J122" i="13"/>
  <c r="F123" i="13"/>
  <c r="G123" i="13"/>
  <c r="H123" i="13"/>
  <c r="I123" i="13"/>
  <c r="J123" i="13"/>
  <c r="F124" i="13"/>
  <c r="G124" i="13"/>
  <c r="H124" i="13"/>
  <c r="I124" i="13"/>
  <c r="J124" i="13"/>
  <c r="F125" i="13"/>
  <c r="G125" i="13"/>
  <c r="H125" i="13"/>
  <c r="I125" i="13"/>
  <c r="J125" i="13"/>
  <c r="F126" i="13"/>
  <c r="G126" i="13"/>
  <c r="H126" i="13"/>
  <c r="I126" i="13"/>
  <c r="J126" i="13"/>
  <c r="F127" i="13"/>
  <c r="G127" i="13"/>
  <c r="H127" i="13"/>
  <c r="I127" i="13"/>
  <c r="J127" i="13"/>
  <c r="F128" i="13"/>
  <c r="G128" i="13"/>
  <c r="H128" i="13"/>
  <c r="I128" i="13"/>
  <c r="J128" i="13"/>
  <c r="F129" i="13"/>
  <c r="G129" i="13"/>
  <c r="H129" i="13"/>
  <c r="I129" i="13"/>
  <c r="J129" i="13"/>
  <c r="F130" i="13"/>
  <c r="G130" i="13"/>
  <c r="H130" i="13"/>
  <c r="I130" i="13"/>
  <c r="J130" i="13"/>
  <c r="F131" i="13"/>
  <c r="G131" i="13"/>
  <c r="H131" i="13"/>
  <c r="I131" i="13"/>
  <c r="J131" i="13"/>
  <c r="F132" i="13"/>
  <c r="G132" i="13"/>
  <c r="H132" i="13"/>
  <c r="I132" i="13"/>
  <c r="J132" i="13"/>
  <c r="F133" i="13"/>
  <c r="G133" i="13"/>
  <c r="H133" i="13"/>
  <c r="I133" i="13"/>
  <c r="J133" i="13"/>
  <c r="F134" i="13"/>
  <c r="G134" i="13"/>
  <c r="H134" i="13"/>
  <c r="I134" i="13"/>
  <c r="J134" i="13"/>
  <c r="F135" i="13"/>
  <c r="G135" i="13"/>
  <c r="H135" i="13"/>
  <c r="I135" i="13"/>
  <c r="J135" i="13"/>
  <c r="F136" i="13"/>
  <c r="G136" i="13"/>
  <c r="H136" i="13"/>
  <c r="I136" i="13"/>
  <c r="J136" i="13"/>
  <c r="F137" i="13"/>
  <c r="G137" i="13"/>
  <c r="H137" i="13"/>
  <c r="I137" i="13"/>
  <c r="J137" i="13"/>
  <c r="F138" i="13"/>
  <c r="G138" i="13"/>
  <c r="H138" i="13"/>
  <c r="I138" i="13"/>
  <c r="J138" i="13"/>
  <c r="F139" i="13"/>
  <c r="G139" i="13"/>
  <c r="H139" i="13"/>
  <c r="I139" i="13"/>
  <c r="J139" i="13"/>
  <c r="F140" i="13"/>
  <c r="G140" i="13"/>
  <c r="H140" i="13"/>
  <c r="I140" i="13"/>
  <c r="J140" i="13"/>
  <c r="F141" i="13"/>
  <c r="G141" i="13"/>
  <c r="H141" i="13"/>
  <c r="I141" i="13"/>
  <c r="J141" i="13"/>
  <c r="F142" i="13"/>
  <c r="G142" i="13"/>
  <c r="H142" i="13"/>
  <c r="I142" i="13"/>
  <c r="J142" i="13"/>
  <c r="F143" i="13"/>
  <c r="G143" i="13"/>
  <c r="H143" i="13"/>
  <c r="I143" i="13"/>
  <c r="J143" i="13"/>
  <c r="F144" i="13"/>
  <c r="G144" i="13"/>
  <c r="H144" i="13"/>
  <c r="I144" i="13"/>
  <c r="J144" i="13"/>
  <c r="F145" i="13"/>
  <c r="G145" i="13"/>
  <c r="H145" i="13"/>
  <c r="I145" i="13"/>
  <c r="J145" i="13"/>
  <c r="F146" i="13"/>
  <c r="G146" i="13"/>
  <c r="H146" i="13"/>
  <c r="I146" i="13"/>
  <c r="J146" i="13"/>
  <c r="F147" i="13"/>
  <c r="G147" i="13"/>
  <c r="H147" i="13"/>
  <c r="I147" i="13"/>
  <c r="J147" i="13"/>
  <c r="F148" i="13"/>
  <c r="G148" i="13"/>
  <c r="H148" i="13"/>
  <c r="I148" i="13"/>
  <c r="J148" i="13"/>
  <c r="F149" i="13"/>
  <c r="G149" i="13"/>
  <c r="H149" i="13"/>
  <c r="I149" i="13"/>
  <c r="J149" i="13"/>
  <c r="F150" i="13"/>
  <c r="G150" i="13"/>
  <c r="H150" i="13"/>
  <c r="I150" i="13"/>
  <c r="J150" i="13"/>
  <c r="F151" i="13"/>
  <c r="G151" i="13"/>
  <c r="H151" i="13"/>
  <c r="I151" i="13"/>
  <c r="J151" i="13"/>
  <c r="F152" i="13"/>
  <c r="G152" i="13"/>
  <c r="H152" i="13"/>
  <c r="I152" i="13"/>
  <c r="J152" i="13"/>
  <c r="F153" i="13"/>
  <c r="G153" i="13"/>
  <c r="H153" i="13"/>
  <c r="I153" i="13"/>
  <c r="J153" i="13"/>
  <c r="F154" i="13"/>
  <c r="G154" i="13"/>
  <c r="H154" i="13"/>
  <c r="I154" i="13"/>
  <c r="J154" i="13"/>
  <c r="F155" i="13"/>
  <c r="G155" i="13"/>
  <c r="H155" i="13"/>
  <c r="I155" i="13"/>
  <c r="J155" i="13"/>
  <c r="F156" i="13"/>
  <c r="G156" i="13"/>
  <c r="H156" i="13"/>
  <c r="I156" i="13"/>
  <c r="J156" i="13"/>
  <c r="F157" i="13"/>
  <c r="G157" i="13"/>
  <c r="H157" i="13"/>
  <c r="I157" i="13"/>
  <c r="J157" i="13"/>
  <c r="F158" i="13"/>
  <c r="G158" i="13"/>
  <c r="H158" i="13"/>
  <c r="I158" i="13"/>
  <c r="J158" i="13"/>
  <c r="F159" i="13"/>
  <c r="G159" i="13"/>
  <c r="H159" i="13"/>
  <c r="I159" i="13"/>
  <c r="J159" i="13"/>
  <c r="F160" i="13"/>
  <c r="G160" i="13"/>
  <c r="H160" i="13"/>
  <c r="I160" i="13"/>
  <c r="J160" i="13"/>
  <c r="F161" i="13"/>
  <c r="G161" i="13"/>
  <c r="H161" i="13"/>
  <c r="I161" i="13"/>
  <c r="J161" i="13"/>
  <c r="F162" i="13"/>
  <c r="G162" i="13"/>
  <c r="H162" i="13"/>
  <c r="I162" i="13"/>
  <c r="J162" i="13"/>
  <c r="F163" i="13"/>
  <c r="G163" i="13"/>
  <c r="H163" i="13"/>
  <c r="I163" i="13"/>
  <c r="J163" i="13"/>
  <c r="F164" i="13"/>
  <c r="G164" i="13"/>
  <c r="H164" i="13"/>
  <c r="I164" i="13"/>
  <c r="J164" i="13"/>
  <c r="F165" i="13"/>
  <c r="G165" i="13"/>
  <c r="H165" i="13"/>
  <c r="I165" i="13"/>
  <c r="J165" i="13"/>
  <c r="F166" i="13"/>
  <c r="G166" i="13"/>
  <c r="H166" i="13"/>
  <c r="I166" i="13"/>
  <c r="J166" i="13"/>
  <c r="F167" i="13"/>
  <c r="G167" i="13"/>
  <c r="H167" i="13"/>
  <c r="I167" i="13"/>
  <c r="J167" i="13"/>
  <c r="F168" i="13"/>
  <c r="G168" i="13"/>
  <c r="H168" i="13"/>
  <c r="I168" i="13"/>
  <c r="J168" i="13"/>
  <c r="F169" i="13"/>
  <c r="G169" i="13"/>
  <c r="H169" i="13"/>
  <c r="I169" i="13"/>
  <c r="J169" i="13"/>
  <c r="F170" i="13"/>
  <c r="G170" i="13"/>
  <c r="H170" i="13"/>
  <c r="I170" i="13"/>
  <c r="J170" i="13"/>
  <c r="F171" i="13"/>
  <c r="G171" i="13"/>
  <c r="H171" i="13"/>
  <c r="I171" i="13"/>
  <c r="J171" i="13"/>
  <c r="F172" i="13"/>
  <c r="G172" i="13"/>
  <c r="H172" i="13"/>
  <c r="I172" i="13"/>
  <c r="J172" i="13"/>
  <c r="F173" i="13"/>
  <c r="G173" i="13"/>
  <c r="H173" i="13"/>
  <c r="I173" i="13"/>
  <c r="J173" i="13"/>
  <c r="F174" i="13"/>
  <c r="G174" i="13"/>
  <c r="H174" i="13"/>
  <c r="I174" i="13"/>
  <c r="J174" i="13"/>
  <c r="F175" i="13"/>
  <c r="G175" i="13"/>
  <c r="H175" i="13"/>
  <c r="I175" i="13"/>
  <c r="J175" i="13"/>
  <c r="F176" i="13"/>
  <c r="G176" i="13"/>
  <c r="H176" i="13"/>
  <c r="I176" i="13"/>
  <c r="J176" i="13"/>
  <c r="F177" i="13"/>
  <c r="G177" i="13"/>
  <c r="H177" i="13"/>
  <c r="I177" i="13"/>
  <c r="J177" i="13"/>
  <c r="F178" i="13"/>
  <c r="G178" i="13"/>
  <c r="H178" i="13"/>
  <c r="I178" i="13"/>
  <c r="J178" i="13"/>
  <c r="F179" i="13"/>
  <c r="G179" i="13"/>
  <c r="H179" i="13"/>
  <c r="I179" i="13"/>
  <c r="J179" i="13"/>
  <c r="F180" i="13"/>
  <c r="G180" i="13"/>
  <c r="H180" i="13"/>
  <c r="I180" i="13"/>
  <c r="J180" i="13"/>
  <c r="F181" i="13"/>
  <c r="G181" i="13"/>
  <c r="H181" i="13"/>
  <c r="I181" i="13"/>
  <c r="J181" i="13"/>
  <c r="F182" i="13"/>
  <c r="G182" i="13"/>
  <c r="H182" i="13"/>
  <c r="I182" i="13"/>
  <c r="J182" i="13"/>
  <c r="F183" i="13"/>
  <c r="G183" i="13"/>
  <c r="H183" i="13"/>
  <c r="I183" i="13"/>
  <c r="J183" i="13"/>
  <c r="F184" i="13"/>
  <c r="G184" i="13"/>
  <c r="H184" i="13"/>
  <c r="I184" i="13"/>
  <c r="J184" i="13"/>
  <c r="F185" i="13"/>
  <c r="G185" i="13"/>
  <c r="H185" i="13"/>
  <c r="I185" i="13"/>
  <c r="J185" i="13"/>
  <c r="F186" i="13"/>
  <c r="G186" i="13"/>
  <c r="H186" i="13"/>
  <c r="I186" i="13"/>
  <c r="J186" i="13"/>
  <c r="F187" i="13"/>
  <c r="G187" i="13"/>
  <c r="H187" i="13"/>
  <c r="I187" i="13"/>
  <c r="J187" i="13"/>
  <c r="F188" i="13"/>
  <c r="G188" i="13"/>
  <c r="H188" i="13"/>
  <c r="I188" i="13"/>
  <c r="J188" i="13"/>
  <c r="F189" i="13"/>
  <c r="G189" i="13"/>
  <c r="H189" i="13"/>
  <c r="I189" i="13"/>
  <c r="J189" i="13"/>
  <c r="F190" i="13"/>
  <c r="G190" i="13"/>
  <c r="H190" i="13"/>
  <c r="I190" i="13"/>
  <c r="J190" i="13"/>
  <c r="F191" i="13"/>
  <c r="G191" i="13"/>
  <c r="H191" i="13"/>
  <c r="I191" i="13"/>
  <c r="J191" i="13"/>
  <c r="F192" i="13"/>
  <c r="G192" i="13"/>
  <c r="H192" i="13"/>
  <c r="I192" i="13"/>
  <c r="J192" i="13"/>
  <c r="F193" i="13"/>
  <c r="G193" i="13"/>
  <c r="H193" i="13"/>
  <c r="I193" i="13"/>
  <c r="J193" i="13"/>
  <c r="F194" i="13"/>
  <c r="G194" i="13"/>
  <c r="H194" i="13"/>
  <c r="I194" i="13"/>
  <c r="J194" i="13"/>
  <c r="F195" i="13"/>
  <c r="G195" i="13"/>
  <c r="H195" i="13"/>
  <c r="I195" i="13"/>
  <c r="J195" i="13"/>
  <c r="F196" i="13"/>
  <c r="G196" i="13"/>
  <c r="H196" i="13"/>
  <c r="I196" i="13"/>
  <c r="J196" i="13"/>
  <c r="F197" i="13"/>
  <c r="G197" i="13"/>
  <c r="H197" i="13"/>
  <c r="I197" i="13"/>
  <c r="J197" i="13"/>
  <c r="F198" i="13"/>
  <c r="G198" i="13"/>
  <c r="H198" i="13"/>
  <c r="I198" i="13"/>
  <c r="J198" i="13"/>
  <c r="F199" i="13"/>
  <c r="G199" i="13"/>
  <c r="H199" i="13"/>
  <c r="I199" i="13"/>
  <c r="J199" i="13"/>
  <c r="F200" i="13"/>
  <c r="G200" i="13"/>
  <c r="H200" i="13"/>
  <c r="I200" i="13"/>
  <c r="J200" i="13"/>
  <c r="F201" i="13"/>
  <c r="G201" i="13"/>
  <c r="H201" i="13"/>
  <c r="I201" i="13"/>
  <c r="J201" i="13"/>
  <c r="F202" i="13"/>
  <c r="G202" i="13"/>
  <c r="H202" i="13"/>
  <c r="I202" i="13"/>
  <c r="J202" i="13"/>
  <c r="F203" i="13"/>
  <c r="G203" i="13"/>
  <c r="H203" i="13"/>
  <c r="I203" i="13"/>
  <c r="J203" i="13"/>
  <c r="F204" i="13"/>
  <c r="G204" i="13"/>
  <c r="H204" i="13"/>
  <c r="I204" i="13"/>
  <c r="J204" i="13"/>
  <c r="F205" i="13"/>
  <c r="G205" i="13"/>
  <c r="H205" i="13"/>
  <c r="I205" i="13"/>
  <c r="J205" i="13"/>
  <c r="F206" i="13"/>
  <c r="G206" i="13"/>
  <c r="H206" i="13"/>
  <c r="I206" i="13"/>
  <c r="J206" i="13"/>
  <c r="F207" i="13"/>
  <c r="G207" i="13"/>
  <c r="H207" i="13"/>
  <c r="I207" i="13"/>
  <c r="J207" i="13"/>
  <c r="F208" i="13"/>
  <c r="G208" i="13"/>
  <c r="H208" i="13"/>
  <c r="I208" i="13"/>
  <c r="J208" i="13"/>
  <c r="F209" i="13"/>
  <c r="G209" i="13"/>
  <c r="H209" i="13"/>
  <c r="I209" i="13"/>
  <c r="J209" i="13"/>
  <c r="F210" i="13"/>
  <c r="G210" i="13"/>
  <c r="H210" i="13"/>
  <c r="I210" i="13"/>
  <c r="J210" i="13"/>
  <c r="F211" i="13"/>
  <c r="G211" i="13"/>
  <c r="H211" i="13"/>
  <c r="I211" i="13"/>
  <c r="J211" i="13"/>
  <c r="F212" i="13"/>
  <c r="G212" i="13"/>
  <c r="H212" i="13"/>
  <c r="I212" i="13"/>
  <c r="J212" i="13"/>
  <c r="F213" i="13"/>
  <c r="G213" i="13"/>
  <c r="H213" i="13"/>
  <c r="I213" i="13"/>
  <c r="J213" i="13"/>
  <c r="F214" i="13"/>
  <c r="G214" i="13"/>
  <c r="H214" i="13"/>
  <c r="I214" i="13"/>
  <c r="J214" i="13"/>
  <c r="F215" i="13"/>
  <c r="G215" i="13"/>
  <c r="H215" i="13"/>
  <c r="I215" i="13"/>
  <c r="J215" i="13"/>
  <c r="F216" i="13"/>
  <c r="G216" i="13"/>
  <c r="H216" i="13"/>
  <c r="I216" i="13"/>
  <c r="J216" i="13"/>
  <c r="F217" i="13"/>
  <c r="G217" i="13"/>
  <c r="H217" i="13"/>
  <c r="I217" i="13"/>
  <c r="J217" i="13"/>
  <c r="F218" i="13"/>
  <c r="G218" i="13"/>
  <c r="H218" i="13"/>
  <c r="I218" i="13"/>
  <c r="J218" i="13"/>
  <c r="F219" i="13"/>
  <c r="G219" i="13"/>
  <c r="H219" i="13"/>
  <c r="I219" i="13"/>
  <c r="J219" i="13"/>
  <c r="F220" i="13"/>
  <c r="G220" i="13"/>
  <c r="H220" i="13"/>
  <c r="I220" i="13"/>
  <c r="J220" i="13"/>
  <c r="F221" i="13"/>
  <c r="G221" i="13"/>
  <c r="H221" i="13"/>
  <c r="I221" i="13"/>
  <c r="J221" i="13"/>
  <c r="F222" i="13"/>
  <c r="G222" i="13"/>
  <c r="H222" i="13"/>
  <c r="I222" i="13"/>
  <c r="J222" i="13"/>
  <c r="F223" i="13"/>
  <c r="G223" i="13"/>
  <c r="H223" i="13"/>
  <c r="I223" i="13"/>
  <c r="J223" i="13"/>
  <c r="F224" i="13"/>
  <c r="G224" i="13"/>
  <c r="H224" i="13"/>
  <c r="I224" i="13"/>
  <c r="J224" i="13"/>
  <c r="F225" i="13"/>
  <c r="G225" i="13"/>
  <c r="H225" i="13"/>
  <c r="I225" i="13"/>
  <c r="J225" i="13"/>
  <c r="F226" i="13"/>
  <c r="G226" i="13"/>
  <c r="H226" i="13"/>
  <c r="I226" i="13"/>
  <c r="J226" i="13"/>
  <c r="F227" i="13"/>
  <c r="G227" i="13"/>
  <c r="H227" i="13"/>
  <c r="I227" i="13"/>
  <c r="J227" i="13"/>
  <c r="F228" i="13"/>
  <c r="G228" i="13"/>
  <c r="H228" i="13"/>
  <c r="I228" i="13"/>
  <c r="J228" i="13"/>
  <c r="F229" i="13"/>
  <c r="G229" i="13"/>
  <c r="H229" i="13"/>
  <c r="I229" i="13"/>
  <c r="J229" i="13"/>
  <c r="F230" i="13"/>
  <c r="G230" i="13"/>
  <c r="H230" i="13"/>
  <c r="I230" i="13"/>
  <c r="J230" i="13"/>
  <c r="F231" i="13"/>
  <c r="G231" i="13"/>
  <c r="H231" i="13"/>
  <c r="I231" i="13"/>
  <c r="J231" i="13"/>
  <c r="F232" i="13"/>
  <c r="G232" i="13"/>
  <c r="H232" i="13"/>
  <c r="I232" i="13"/>
  <c r="J232" i="13"/>
  <c r="F233" i="13"/>
  <c r="G233" i="13"/>
  <c r="H233" i="13"/>
  <c r="I233" i="13"/>
  <c r="J233" i="13"/>
  <c r="F234" i="13"/>
  <c r="G234" i="13"/>
  <c r="H234" i="13"/>
  <c r="I234" i="13"/>
  <c r="J234" i="13"/>
  <c r="F235" i="13"/>
  <c r="G235" i="13"/>
  <c r="H235" i="13"/>
  <c r="I235" i="13"/>
  <c r="J235" i="13"/>
  <c r="F236" i="13"/>
  <c r="G236" i="13"/>
  <c r="H236" i="13"/>
  <c r="I236" i="13"/>
  <c r="J236" i="13"/>
  <c r="F237" i="13"/>
  <c r="G237" i="13"/>
  <c r="H237" i="13"/>
  <c r="I237" i="13"/>
  <c r="J237" i="13"/>
  <c r="F238" i="13"/>
  <c r="G238" i="13"/>
  <c r="H238" i="13"/>
  <c r="I238" i="13"/>
  <c r="J238" i="13"/>
  <c r="F239" i="13"/>
  <c r="G239" i="13"/>
  <c r="H239" i="13"/>
  <c r="I239" i="13"/>
  <c r="J239" i="13"/>
  <c r="F240" i="13"/>
  <c r="G240" i="13"/>
  <c r="H240" i="13"/>
  <c r="I240" i="13"/>
  <c r="J240" i="13"/>
  <c r="F241" i="13"/>
  <c r="G241" i="13"/>
  <c r="H241" i="13"/>
  <c r="I241" i="13"/>
  <c r="J241" i="13"/>
  <c r="F242" i="13"/>
  <c r="G242" i="13"/>
  <c r="H242" i="13"/>
  <c r="I242" i="13"/>
  <c r="J242" i="13"/>
  <c r="F243" i="13"/>
  <c r="G243" i="13"/>
  <c r="H243" i="13"/>
  <c r="I243" i="13"/>
  <c r="J243" i="13"/>
  <c r="F244" i="13"/>
  <c r="G244" i="13"/>
  <c r="H244" i="13"/>
  <c r="I244" i="13"/>
  <c r="J244" i="13"/>
  <c r="F245" i="13"/>
  <c r="G245" i="13"/>
  <c r="H245" i="13"/>
  <c r="I245" i="13"/>
  <c r="J245" i="13"/>
  <c r="F246" i="13"/>
  <c r="G246" i="13"/>
  <c r="H246" i="13"/>
  <c r="I246" i="13"/>
  <c r="J246" i="13"/>
  <c r="F247" i="13"/>
  <c r="G247" i="13"/>
  <c r="H247" i="13"/>
  <c r="I247" i="13"/>
  <c r="J247" i="13"/>
  <c r="F248" i="13"/>
  <c r="G248" i="13"/>
  <c r="H248" i="13"/>
  <c r="I248" i="13"/>
  <c r="J248" i="13"/>
  <c r="F249" i="13"/>
  <c r="G249" i="13"/>
  <c r="H249" i="13"/>
  <c r="I249" i="13"/>
  <c r="J249" i="13"/>
  <c r="F250" i="13"/>
  <c r="G250" i="13"/>
  <c r="H250" i="13"/>
  <c r="I250" i="13"/>
  <c r="J250" i="13"/>
  <c r="F251" i="13"/>
  <c r="G251" i="13"/>
  <c r="H251" i="13"/>
  <c r="I251" i="13"/>
  <c r="J251" i="13"/>
  <c r="F252" i="13"/>
  <c r="G252" i="13"/>
  <c r="H252" i="13"/>
  <c r="I252" i="13"/>
  <c r="J252" i="13"/>
  <c r="F253" i="13"/>
  <c r="G253" i="13"/>
  <c r="H253" i="13"/>
  <c r="I253" i="13"/>
  <c r="J253" i="13"/>
  <c r="F254" i="13"/>
  <c r="G254" i="13"/>
  <c r="H254" i="13"/>
  <c r="I254" i="13"/>
  <c r="J254" i="13"/>
  <c r="F255" i="13"/>
  <c r="G255" i="13"/>
  <c r="H255" i="13"/>
  <c r="I255" i="13"/>
  <c r="J255" i="13"/>
  <c r="F256" i="13"/>
  <c r="G256" i="13"/>
  <c r="H256" i="13"/>
  <c r="I256" i="13"/>
  <c r="J256" i="13"/>
  <c r="F257" i="13"/>
  <c r="G257" i="13"/>
  <c r="H257" i="13"/>
  <c r="I257" i="13"/>
  <c r="J257" i="13"/>
  <c r="F258" i="13"/>
  <c r="G258" i="13"/>
  <c r="H258" i="13"/>
  <c r="I258" i="13"/>
  <c r="J258" i="13"/>
  <c r="F259" i="13"/>
  <c r="G259" i="13"/>
  <c r="H259" i="13"/>
  <c r="I259" i="13"/>
  <c r="J259" i="13"/>
  <c r="F260" i="13"/>
  <c r="G260" i="13"/>
  <c r="H260" i="13"/>
  <c r="I260" i="13"/>
  <c r="J260" i="13"/>
  <c r="F261" i="13"/>
  <c r="G261" i="13"/>
  <c r="H261" i="13"/>
  <c r="I261" i="13"/>
  <c r="J261" i="13"/>
  <c r="F262" i="13"/>
  <c r="G262" i="13"/>
  <c r="H262" i="13"/>
  <c r="I262" i="13"/>
  <c r="J262" i="13"/>
  <c r="F263" i="13"/>
  <c r="G263" i="13"/>
  <c r="H263" i="13"/>
  <c r="I263" i="13"/>
  <c r="J263" i="13"/>
  <c r="F264" i="13"/>
  <c r="G264" i="13"/>
  <c r="H264" i="13"/>
  <c r="I264" i="13"/>
  <c r="J264" i="13"/>
  <c r="F265" i="13"/>
  <c r="G265" i="13"/>
  <c r="H265" i="13"/>
  <c r="I265" i="13"/>
  <c r="J265" i="13"/>
  <c r="F266" i="13"/>
  <c r="G266" i="13"/>
  <c r="H266" i="13"/>
  <c r="I266" i="13"/>
  <c r="J266" i="13"/>
  <c r="F267" i="13"/>
  <c r="G267" i="13"/>
  <c r="H267" i="13"/>
  <c r="I267" i="13"/>
  <c r="J267" i="13"/>
  <c r="F268" i="13"/>
  <c r="G268" i="13"/>
  <c r="H268" i="13"/>
  <c r="I268" i="13"/>
  <c r="J268" i="13"/>
  <c r="F269" i="13"/>
  <c r="G269" i="13"/>
  <c r="H269" i="13"/>
  <c r="I269" i="13"/>
  <c r="J269" i="13"/>
  <c r="F270" i="13"/>
  <c r="G270" i="13"/>
  <c r="H270" i="13"/>
  <c r="I270" i="13"/>
  <c r="J270" i="13"/>
  <c r="F271" i="13"/>
  <c r="G271" i="13"/>
  <c r="H271" i="13"/>
  <c r="I271" i="13"/>
  <c r="J271" i="13"/>
  <c r="F272" i="13"/>
  <c r="G272" i="13"/>
  <c r="H272" i="13"/>
  <c r="I272" i="13"/>
  <c r="J272" i="13"/>
  <c r="F273" i="13"/>
  <c r="G273" i="13"/>
  <c r="H273" i="13"/>
  <c r="I273" i="13"/>
  <c r="J273" i="13"/>
  <c r="F274" i="13"/>
  <c r="G274" i="13"/>
  <c r="H274" i="13"/>
  <c r="I274" i="13"/>
  <c r="J274" i="13"/>
  <c r="F275" i="13"/>
  <c r="G275" i="13"/>
  <c r="H275" i="13"/>
  <c r="I275" i="13"/>
  <c r="J275" i="13"/>
  <c r="F276" i="13"/>
  <c r="G276" i="13"/>
  <c r="H276" i="13"/>
  <c r="I276" i="13"/>
  <c r="J276" i="13"/>
  <c r="F277" i="13"/>
  <c r="G277" i="13"/>
  <c r="H277" i="13"/>
  <c r="I277" i="13"/>
  <c r="J277" i="13"/>
  <c r="F278" i="13"/>
  <c r="G278" i="13"/>
  <c r="H278" i="13"/>
  <c r="I278" i="13"/>
  <c r="J278" i="13"/>
  <c r="F279" i="13"/>
  <c r="G279" i="13"/>
  <c r="H279" i="13"/>
  <c r="I279" i="13"/>
  <c r="J279" i="13"/>
  <c r="F280" i="13"/>
  <c r="G280" i="13"/>
  <c r="H280" i="13"/>
  <c r="I280" i="13"/>
  <c r="J280" i="13"/>
  <c r="F281" i="13"/>
  <c r="G281" i="13"/>
  <c r="H281" i="13"/>
  <c r="I281" i="13"/>
  <c r="J281" i="13"/>
  <c r="F282" i="13"/>
  <c r="G282" i="13"/>
  <c r="H282" i="13"/>
  <c r="I282" i="13"/>
  <c r="J282" i="13"/>
  <c r="F283" i="13"/>
  <c r="G283" i="13"/>
  <c r="H283" i="13"/>
  <c r="I283" i="13"/>
  <c r="J283" i="13"/>
  <c r="F284" i="13"/>
  <c r="G284" i="13"/>
  <c r="H284" i="13"/>
  <c r="I284" i="13"/>
  <c r="J284" i="13"/>
  <c r="F285" i="13"/>
  <c r="G285" i="13"/>
  <c r="H285" i="13"/>
  <c r="I285" i="13"/>
  <c r="J285" i="13"/>
  <c r="F286" i="13"/>
  <c r="G286" i="13"/>
  <c r="H286" i="13"/>
  <c r="I286" i="13"/>
  <c r="J286" i="13"/>
  <c r="F287" i="13"/>
  <c r="G287" i="13"/>
  <c r="H287" i="13"/>
  <c r="I287" i="13"/>
  <c r="J287" i="13"/>
  <c r="F288" i="13"/>
  <c r="G288" i="13"/>
  <c r="H288" i="13"/>
  <c r="I288" i="13"/>
  <c r="J288" i="13"/>
  <c r="F289" i="13"/>
  <c r="G289" i="13"/>
  <c r="H289" i="13"/>
  <c r="I289" i="13"/>
  <c r="J289" i="13"/>
  <c r="F290" i="13"/>
  <c r="G290" i="13"/>
  <c r="H290" i="13"/>
  <c r="I290" i="13"/>
  <c r="J290" i="13"/>
  <c r="F291" i="13"/>
  <c r="G291" i="13"/>
  <c r="H291" i="13"/>
  <c r="I291" i="13"/>
  <c r="J291" i="13"/>
  <c r="F292" i="13"/>
  <c r="G292" i="13"/>
  <c r="H292" i="13"/>
  <c r="I292" i="13"/>
  <c r="J292" i="13"/>
  <c r="F293" i="13"/>
  <c r="G293" i="13"/>
  <c r="H293" i="13"/>
  <c r="I293" i="13"/>
  <c r="J293" i="13"/>
  <c r="F294" i="13"/>
  <c r="G294" i="13"/>
  <c r="H294" i="13"/>
  <c r="I294" i="13"/>
  <c r="J294" i="13"/>
  <c r="F295" i="13"/>
  <c r="G295" i="13"/>
  <c r="H295" i="13"/>
  <c r="I295" i="13"/>
  <c r="J295" i="13"/>
  <c r="F296" i="13"/>
  <c r="G296" i="13"/>
  <c r="H296" i="13"/>
  <c r="I296" i="13"/>
  <c r="J296" i="13"/>
  <c r="F297" i="13"/>
  <c r="G297" i="13"/>
  <c r="H297" i="13"/>
  <c r="I297" i="13"/>
  <c r="J297" i="13"/>
  <c r="F298" i="13"/>
  <c r="G298" i="13"/>
  <c r="H298" i="13"/>
  <c r="I298" i="13"/>
  <c r="J298" i="13"/>
  <c r="F299" i="13"/>
  <c r="G299" i="13"/>
  <c r="H299" i="13"/>
  <c r="I299" i="13"/>
  <c r="J299" i="13"/>
  <c r="F300" i="13"/>
  <c r="G300" i="13"/>
  <c r="H300" i="13"/>
  <c r="I300" i="13"/>
  <c r="J300" i="13"/>
  <c r="F301" i="13"/>
  <c r="G301" i="13"/>
  <c r="H301" i="13"/>
  <c r="I301" i="13"/>
  <c r="J301" i="13"/>
  <c r="F302" i="13"/>
  <c r="G302" i="13"/>
  <c r="H302" i="13"/>
  <c r="I302" i="13"/>
  <c r="J302" i="13"/>
  <c r="F303" i="13"/>
  <c r="G303" i="13"/>
  <c r="H303" i="13"/>
  <c r="I303" i="13"/>
  <c r="J303" i="13"/>
  <c r="F304" i="13"/>
  <c r="G304" i="13"/>
  <c r="H304" i="13"/>
  <c r="I304" i="13"/>
  <c r="J304" i="13"/>
  <c r="F305" i="13"/>
  <c r="G305" i="13"/>
  <c r="H305" i="13"/>
  <c r="I305" i="13"/>
  <c r="J305" i="13"/>
  <c r="F306" i="13"/>
  <c r="G306" i="13"/>
  <c r="H306" i="13"/>
  <c r="I306" i="13"/>
  <c r="J306" i="13"/>
  <c r="F307" i="13"/>
  <c r="G307" i="13"/>
  <c r="H307" i="13"/>
  <c r="I307" i="13"/>
  <c r="J307" i="13"/>
  <c r="F308" i="13"/>
  <c r="G308" i="13"/>
  <c r="H308" i="13"/>
  <c r="I308" i="13"/>
  <c r="J308" i="13"/>
  <c r="F309" i="13"/>
  <c r="G309" i="13"/>
  <c r="H309" i="13"/>
  <c r="I309" i="13"/>
  <c r="J309" i="13"/>
  <c r="F310" i="13"/>
  <c r="G310" i="13"/>
  <c r="H310" i="13"/>
  <c r="I310" i="13"/>
  <c r="J310" i="13"/>
  <c r="F311" i="13"/>
  <c r="G311" i="13"/>
  <c r="H311" i="13"/>
  <c r="I311" i="13"/>
  <c r="J311" i="13"/>
  <c r="F312" i="13"/>
  <c r="G312" i="13"/>
  <c r="H312" i="13"/>
  <c r="I312" i="13"/>
  <c r="J312" i="13"/>
  <c r="F313" i="13"/>
  <c r="G313" i="13"/>
  <c r="H313" i="13"/>
  <c r="I313" i="13"/>
  <c r="J313" i="13"/>
  <c r="F314" i="13"/>
  <c r="G314" i="13"/>
  <c r="H314" i="13"/>
  <c r="I314" i="13"/>
  <c r="J314" i="13"/>
  <c r="F315" i="13"/>
  <c r="G315" i="13"/>
  <c r="H315" i="13"/>
  <c r="I315" i="13"/>
  <c r="J315" i="13"/>
  <c r="F316" i="13"/>
  <c r="G316" i="13"/>
  <c r="H316" i="13"/>
  <c r="I316" i="13"/>
  <c r="J316" i="13"/>
  <c r="F317" i="13"/>
  <c r="G317" i="13"/>
  <c r="H317" i="13"/>
  <c r="I317" i="13"/>
  <c r="J317" i="13"/>
  <c r="F318" i="13"/>
  <c r="G318" i="13"/>
  <c r="H318" i="13"/>
  <c r="I318" i="13"/>
  <c r="J318" i="13"/>
  <c r="F319" i="13"/>
  <c r="G319" i="13"/>
  <c r="H319" i="13"/>
  <c r="I319" i="13"/>
  <c r="J319" i="13"/>
  <c r="F320" i="13"/>
  <c r="G320" i="13"/>
  <c r="H320" i="13"/>
  <c r="I320" i="13"/>
  <c r="J320" i="13"/>
  <c r="F321" i="13"/>
  <c r="G321" i="13"/>
  <c r="H321" i="13"/>
  <c r="I321" i="13"/>
  <c r="J321" i="13"/>
  <c r="F322" i="13"/>
  <c r="G322" i="13"/>
  <c r="H322" i="13"/>
  <c r="I322" i="13"/>
  <c r="J322" i="13"/>
  <c r="F323" i="13"/>
  <c r="G323" i="13"/>
  <c r="H323" i="13"/>
  <c r="I323" i="13"/>
  <c r="J323" i="13"/>
  <c r="F324" i="13"/>
  <c r="G324" i="13"/>
  <c r="H324" i="13"/>
  <c r="I324" i="13"/>
  <c r="J324" i="13"/>
  <c r="F325" i="13"/>
  <c r="G325" i="13"/>
  <c r="H325" i="13"/>
  <c r="I325" i="13"/>
  <c r="J325" i="13"/>
  <c r="F326" i="13"/>
  <c r="G326" i="13"/>
  <c r="H326" i="13"/>
  <c r="I326" i="13"/>
  <c r="J326" i="13"/>
  <c r="F327" i="13"/>
  <c r="G327" i="13"/>
  <c r="H327" i="13"/>
  <c r="I327" i="13"/>
  <c r="J327" i="13"/>
  <c r="F328" i="13"/>
  <c r="G328" i="13"/>
  <c r="H328" i="13"/>
  <c r="I328" i="13"/>
  <c r="J328" i="13"/>
  <c r="F329" i="13"/>
  <c r="G329" i="13"/>
  <c r="H329" i="13"/>
  <c r="I329" i="13"/>
  <c r="J329" i="13"/>
  <c r="F330" i="13"/>
  <c r="G330" i="13"/>
  <c r="H330" i="13"/>
  <c r="I330" i="13"/>
  <c r="J330" i="13"/>
  <c r="F331" i="13"/>
  <c r="G331" i="13"/>
  <c r="H331" i="13"/>
  <c r="I331" i="13"/>
  <c r="J331" i="13"/>
  <c r="F332" i="13"/>
  <c r="G332" i="13"/>
  <c r="H332" i="13"/>
  <c r="I332" i="13"/>
  <c r="J332" i="13"/>
  <c r="F333" i="13"/>
  <c r="G333" i="13"/>
  <c r="H333" i="13"/>
  <c r="I333" i="13"/>
  <c r="J333" i="13"/>
  <c r="F334" i="13"/>
  <c r="G334" i="13"/>
  <c r="H334" i="13"/>
  <c r="I334" i="13"/>
  <c r="J334" i="13"/>
  <c r="F335" i="13"/>
  <c r="G335" i="13"/>
  <c r="H335" i="13"/>
  <c r="I335" i="13"/>
  <c r="J335" i="13"/>
  <c r="F336" i="13"/>
  <c r="G336" i="13"/>
  <c r="H336" i="13"/>
  <c r="I336" i="13"/>
  <c r="J336" i="13"/>
  <c r="F337" i="13"/>
  <c r="G337" i="13"/>
  <c r="H337" i="13"/>
  <c r="I337" i="13"/>
  <c r="J337" i="13"/>
  <c r="F338" i="13"/>
  <c r="G338" i="13"/>
  <c r="H338" i="13"/>
  <c r="I338" i="13"/>
  <c r="J338" i="13"/>
  <c r="F339" i="13"/>
  <c r="G339" i="13"/>
  <c r="H339" i="13"/>
  <c r="I339" i="13"/>
  <c r="J339" i="13"/>
  <c r="F340" i="13"/>
  <c r="G340" i="13"/>
  <c r="H340" i="13"/>
  <c r="I340" i="13"/>
  <c r="J340" i="13"/>
  <c r="F341" i="13"/>
  <c r="G341" i="13"/>
  <c r="H341" i="13"/>
  <c r="I341" i="13"/>
  <c r="J341" i="13"/>
  <c r="F342" i="13"/>
  <c r="G342" i="13"/>
  <c r="H342" i="13"/>
  <c r="I342" i="13"/>
  <c r="J342" i="13"/>
  <c r="F343" i="13"/>
  <c r="G343" i="13"/>
  <c r="H343" i="13"/>
  <c r="I343" i="13"/>
  <c r="J343" i="13"/>
  <c r="F344" i="13"/>
  <c r="G344" i="13"/>
  <c r="H344" i="13"/>
  <c r="I344" i="13"/>
  <c r="J344" i="13"/>
  <c r="F345" i="13"/>
  <c r="G345" i="13"/>
  <c r="H345" i="13"/>
  <c r="I345" i="13"/>
  <c r="J345" i="13"/>
  <c r="F346" i="13"/>
  <c r="G346" i="13"/>
  <c r="H346" i="13"/>
  <c r="I346" i="13"/>
  <c r="J346" i="13"/>
  <c r="F347" i="13"/>
  <c r="G347" i="13"/>
  <c r="H347" i="13"/>
  <c r="I347" i="13"/>
  <c r="J347" i="13"/>
  <c r="F348" i="13"/>
  <c r="G348" i="13"/>
  <c r="H348" i="13"/>
  <c r="I348" i="13"/>
  <c r="J348" i="13"/>
  <c r="F349" i="13"/>
  <c r="G349" i="13"/>
  <c r="H349" i="13"/>
  <c r="I349" i="13"/>
  <c r="J349" i="13"/>
  <c r="F350" i="13"/>
  <c r="G350" i="13"/>
  <c r="H350" i="13"/>
  <c r="I350" i="13"/>
  <c r="J350" i="13"/>
  <c r="F351" i="13"/>
  <c r="G351" i="13"/>
  <c r="H351" i="13"/>
  <c r="I351" i="13"/>
  <c r="J351" i="13"/>
  <c r="F352" i="13"/>
  <c r="G352" i="13"/>
  <c r="H352" i="13"/>
  <c r="I352" i="13"/>
  <c r="J352" i="13"/>
  <c r="F353" i="13"/>
  <c r="G353" i="13"/>
  <c r="H353" i="13"/>
  <c r="I353" i="13"/>
  <c r="J353" i="13"/>
  <c r="F354" i="13"/>
  <c r="G354" i="13"/>
  <c r="H354" i="13"/>
  <c r="I354" i="13"/>
  <c r="J354" i="13"/>
  <c r="F355" i="13"/>
  <c r="G355" i="13"/>
  <c r="H355" i="13"/>
  <c r="I355" i="13"/>
  <c r="J355" i="13"/>
  <c r="F356" i="13"/>
  <c r="G356" i="13"/>
  <c r="H356" i="13"/>
  <c r="I356" i="13"/>
  <c r="J356" i="13"/>
  <c r="F357" i="13"/>
  <c r="G357" i="13"/>
  <c r="H357" i="13"/>
  <c r="I357" i="13"/>
  <c r="J357" i="13"/>
  <c r="F358" i="13"/>
  <c r="G358" i="13"/>
  <c r="H358" i="13"/>
  <c r="I358" i="13"/>
  <c r="J358" i="13"/>
  <c r="F359" i="13"/>
  <c r="G359" i="13"/>
  <c r="H359" i="13"/>
  <c r="I359" i="13"/>
  <c r="J359" i="13"/>
  <c r="F360" i="13"/>
  <c r="G360" i="13"/>
  <c r="H360" i="13"/>
  <c r="I360" i="13"/>
  <c r="J360" i="13"/>
  <c r="F361" i="13"/>
  <c r="G361" i="13"/>
  <c r="H361" i="13"/>
  <c r="I361" i="13"/>
  <c r="J361" i="13"/>
  <c r="F362" i="13"/>
  <c r="G362" i="13"/>
  <c r="H362" i="13"/>
  <c r="I362" i="13"/>
  <c r="J362" i="13"/>
  <c r="F363" i="13"/>
  <c r="G363" i="13"/>
  <c r="H363" i="13"/>
  <c r="I363" i="13"/>
  <c r="J363" i="13"/>
  <c r="F364" i="13"/>
  <c r="G364" i="13"/>
  <c r="H364" i="13"/>
  <c r="I364" i="13"/>
  <c r="J364" i="13"/>
  <c r="F365" i="13"/>
  <c r="G365" i="13"/>
  <c r="H365" i="13"/>
  <c r="I365" i="13"/>
  <c r="J365" i="13"/>
  <c r="F366" i="13"/>
  <c r="G366" i="13"/>
  <c r="H366" i="13"/>
  <c r="I366" i="13"/>
  <c r="J366" i="13"/>
  <c r="F367" i="13"/>
  <c r="G367" i="13"/>
  <c r="H367" i="13"/>
  <c r="I367" i="13"/>
  <c r="J367" i="13"/>
  <c r="F368" i="13"/>
  <c r="G368" i="13"/>
  <c r="H368" i="13"/>
  <c r="I368" i="13"/>
  <c r="J368" i="13"/>
  <c r="F369" i="13"/>
  <c r="G369" i="13"/>
  <c r="H369" i="13"/>
  <c r="I369" i="13"/>
  <c r="J369" i="13"/>
  <c r="F370" i="13"/>
  <c r="G370" i="13"/>
  <c r="H370" i="13"/>
  <c r="I370" i="13"/>
  <c r="J370" i="13"/>
  <c r="F371" i="13"/>
  <c r="G371" i="13"/>
  <c r="H371" i="13"/>
  <c r="I371" i="13"/>
  <c r="J371" i="13"/>
  <c r="F372" i="13"/>
  <c r="G372" i="13"/>
  <c r="H372" i="13"/>
  <c r="I372" i="13"/>
  <c r="J372" i="13"/>
  <c r="F373" i="13"/>
  <c r="G373" i="13"/>
  <c r="H373" i="13"/>
  <c r="I373" i="13"/>
  <c r="J373" i="13"/>
  <c r="F374" i="13"/>
  <c r="G374" i="13"/>
  <c r="H374" i="13"/>
  <c r="I374" i="13"/>
  <c r="J374" i="13"/>
  <c r="F375" i="13"/>
  <c r="G375" i="13"/>
  <c r="H375" i="13"/>
  <c r="I375" i="13"/>
  <c r="J375" i="13"/>
  <c r="F376" i="13"/>
  <c r="G376" i="13"/>
  <c r="H376" i="13"/>
  <c r="I376" i="13"/>
  <c r="J376" i="13"/>
  <c r="F377" i="13"/>
  <c r="G377" i="13"/>
  <c r="H377" i="13"/>
  <c r="I377" i="13"/>
  <c r="J377" i="13"/>
  <c r="F378" i="13"/>
  <c r="G378" i="13"/>
  <c r="H378" i="13"/>
  <c r="I378" i="13"/>
  <c r="J378" i="13"/>
  <c r="F379" i="13"/>
  <c r="G379" i="13"/>
  <c r="H379" i="13"/>
  <c r="I379" i="13"/>
  <c r="J379" i="13"/>
  <c r="F380" i="13"/>
  <c r="G380" i="13"/>
  <c r="H380" i="13"/>
  <c r="I380" i="13"/>
  <c r="J380" i="13"/>
  <c r="F381" i="13"/>
  <c r="G381" i="13"/>
  <c r="H381" i="13"/>
  <c r="I381" i="13"/>
  <c r="J381" i="13"/>
  <c r="F382" i="13"/>
  <c r="G382" i="13"/>
  <c r="H382" i="13"/>
  <c r="I382" i="13"/>
  <c r="J382" i="13"/>
  <c r="F383" i="13"/>
  <c r="G383" i="13"/>
  <c r="H383" i="13"/>
  <c r="I383" i="13"/>
  <c r="J383" i="13"/>
  <c r="F384" i="13"/>
  <c r="G384" i="13"/>
  <c r="H384" i="13"/>
  <c r="I384" i="13"/>
  <c r="J384" i="13"/>
  <c r="F385" i="13"/>
  <c r="G385" i="13"/>
  <c r="H385" i="13"/>
  <c r="I385" i="13"/>
  <c r="J385" i="13"/>
  <c r="F386" i="13"/>
  <c r="G386" i="13"/>
  <c r="H386" i="13"/>
  <c r="I386" i="13"/>
  <c r="J386" i="13"/>
  <c r="F387" i="13"/>
  <c r="G387" i="13"/>
  <c r="H387" i="13"/>
  <c r="I387" i="13"/>
  <c r="J387" i="13"/>
  <c r="F388" i="13"/>
  <c r="G388" i="13"/>
  <c r="H388" i="13"/>
  <c r="I388" i="13"/>
  <c r="J388" i="13"/>
  <c r="F389" i="13"/>
  <c r="G389" i="13"/>
  <c r="H389" i="13"/>
  <c r="I389" i="13"/>
  <c r="J389" i="13"/>
  <c r="F390" i="13"/>
  <c r="G390" i="13"/>
  <c r="H390" i="13"/>
  <c r="I390" i="13"/>
  <c r="J390" i="13"/>
  <c r="F391" i="13"/>
  <c r="G391" i="13"/>
  <c r="H391" i="13"/>
  <c r="I391" i="13"/>
  <c r="J391" i="13"/>
  <c r="F392" i="13"/>
  <c r="G392" i="13"/>
  <c r="H392" i="13"/>
  <c r="I392" i="13"/>
  <c r="J392" i="13"/>
  <c r="F393" i="13"/>
  <c r="G393" i="13"/>
  <c r="H393" i="13"/>
  <c r="I393" i="13"/>
  <c r="J393" i="13"/>
  <c r="F394" i="13"/>
  <c r="G394" i="13"/>
  <c r="H394" i="13"/>
  <c r="I394" i="13"/>
  <c r="J394" i="13"/>
  <c r="F395" i="13"/>
  <c r="G395" i="13"/>
  <c r="H395" i="13"/>
  <c r="I395" i="13"/>
  <c r="J395" i="13"/>
  <c r="F396" i="13"/>
  <c r="G396" i="13"/>
  <c r="H396" i="13"/>
  <c r="I396" i="13"/>
  <c r="J396" i="13"/>
  <c r="F397" i="13"/>
  <c r="G397" i="13"/>
  <c r="H397" i="13"/>
  <c r="I397" i="13"/>
  <c r="J397" i="13"/>
  <c r="F398" i="13"/>
  <c r="G398" i="13"/>
  <c r="H398" i="13"/>
  <c r="I398" i="13"/>
  <c r="J398" i="13"/>
  <c r="F399" i="13"/>
  <c r="G399" i="13"/>
  <c r="H399" i="13"/>
  <c r="I399" i="13"/>
  <c r="J399" i="13"/>
  <c r="F400" i="13"/>
  <c r="G400" i="13"/>
  <c r="H400" i="13"/>
  <c r="I400" i="13"/>
  <c r="J400" i="13"/>
  <c r="F401" i="13"/>
  <c r="G401" i="13"/>
  <c r="H401" i="13"/>
  <c r="I401" i="13"/>
  <c r="J401" i="13"/>
  <c r="F402" i="13"/>
  <c r="G402" i="13"/>
  <c r="H402" i="13"/>
  <c r="I402" i="13"/>
  <c r="J402" i="13"/>
  <c r="F403" i="13"/>
  <c r="G403" i="13"/>
  <c r="H403" i="13"/>
  <c r="I403" i="13"/>
  <c r="J403" i="13"/>
  <c r="F404" i="13"/>
  <c r="G404" i="13"/>
  <c r="H404" i="13"/>
  <c r="I404" i="13"/>
  <c r="J404" i="13"/>
  <c r="F405" i="13"/>
  <c r="G405" i="13"/>
  <c r="H405" i="13"/>
  <c r="I405" i="13"/>
  <c r="J405" i="13"/>
  <c r="F406" i="13"/>
  <c r="G406" i="13"/>
  <c r="H406" i="13"/>
  <c r="I406" i="13"/>
  <c r="J406" i="13"/>
  <c r="F407" i="13"/>
  <c r="G407" i="13"/>
  <c r="H407" i="13"/>
  <c r="I407" i="13"/>
  <c r="J407" i="13"/>
  <c r="F408" i="13"/>
  <c r="G408" i="13"/>
  <c r="H408" i="13"/>
  <c r="I408" i="13"/>
  <c r="J408" i="13"/>
  <c r="F409" i="13"/>
  <c r="G409" i="13"/>
  <c r="H409" i="13"/>
  <c r="I409" i="13"/>
  <c r="J409" i="13"/>
  <c r="F410" i="13"/>
  <c r="G410" i="13"/>
  <c r="H410" i="13"/>
  <c r="I410" i="13"/>
  <c r="J410" i="13"/>
  <c r="F411" i="13"/>
  <c r="G411" i="13"/>
  <c r="H411" i="13"/>
  <c r="I411" i="13"/>
  <c r="J411" i="13"/>
  <c r="F412" i="13"/>
  <c r="G412" i="13"/>
  <c r="H412" i="13"/>
  <c r="I412" i="13"/>
  <c r="J412" i="13"/>
  <c r="F413" i="13"/>
  <c r="G413" i="13"/>
  <c r="H413" i="13"/>
  <c r="I413" i="13"/>
  <c r="J413" i="13"/>
  <c r="F414" i="13"/>
  <c r="G414" i="13"/>
  <c r="H414" i="13"/>
  <c r="I414" i="13"/>
  <c r="J414" i="13"/>
  <c r="F415" i="13"/>
  <c r="G415" i="13"/>
  <c r="H415" i="13"/>
  <c r="I415" i="13"/>
  <c r="J415" i="13"/>
  <c r="F416" i="13"/>
  <c r="G416" i="13"/>
  <c r="H416" i="13"/>
  <c r="I416" i="13"/>
  <c r="J416" i="13"/>
  <c r="F417" i="13"/>
  <c r="G417" i="13"/>
  <c r="H417" i="13"/>
  <c r="I417" i="13"/>
  <c r="J417" i="13"/>
  <c r="F418" i="13"/>
  <c r="G418" i="13"/>
  <c r="H418" i="13"/>
  <c r="I418" i="13"/>
  <c r="J418" i="13"/>
  <c r="F419" i="13"/>
  <c r="G419" i="13"/>
  <c r="H419" i="13"/>
  <c r="I419" i="13"/>
  <c r="J419" i="13"/>
  <c r="F420" i="13"/>
  <c r="G420" i="13"/>
  <c r="H420" i="13"/>
  <c r="I420" i="13"/>
  <c r="J420" i="13"/>
  <c r="F421" i="13"/>
  <c r="G421" i="13"/>
  <c r="H421" i="13"/>
  <c r="I421" i="13"/>
  <c r="J421" i="13"/>
  <c r="F422" i="13"/>
  <c r="G422" i="13"/>
  <c r="H422" i="13"/>
  <c r="I422" i="13"/>
  <c r="J422" i="13"/>
  <c r="F423" i="13"/>
  <c r="G423" i="13"/>
  <c r="H423" i="13"/>
  <c r="I423" i="13"/>
  <c r="J423" i="13"/>
  <c r="F424" i="13"/>
  <c r="G424" i="13"/>
  <c r="H424" i="13"/>
  <c r="I424" i="13"/>
  <c r="J424" i="13"/>
  <c r="F425" i="13"/>
  <c r="G425" i="13"/>
  <c r="H425" i="13"/>
  <c r="I425" i="13"/>
  <c r="J425" i="13"/>
  <c r="F426" i="13"/>
  <c r="G426" i="13"/>
  <c r="H426" i="13"/>
  <c r="I426" i="13"/>
  <c r="J426" i="13"/>
  <c r="F427" i="13"/>
  <c r="G427" i="13"/>
  <c r="H427" i="13"/>
  <c r="I427" i="13"/>
  <c r="J427" i="13"/>
  <c r="F428" i="13"/>
  <c r="G428" i="13"/>
  <c r="H428" i="13"/>
  <c r="I428" i="13"/>
  <c r="J428" i="13"/>
  <c r="F429" i="13"/>
  <c r="G429" i="13"/>
  <c r="H429" i="13"/>
  <c r="I429" i="13"/>
  <c r="J429" i="13"/>
  <c r="F430" i="13"/>
  <c r="G430" i="13"/>
  <c r="H430" i="13"/>
  <c r="I430" i="13"/>
  <c r="J430" i="13"/>
  <c r="F431" i="13"/>
  <c r="G431" i="13"/>
  <c r="H431" i="13"/>
  <c r="I431" i="13"/>
  <c r="J431" i="13"/>
  <c r="F432" i="13"/>
  <c r="G432" i="13"/>
  <c r="H432" i="13"/>
  <c r="I432" i="13"/>
  <c r="J432" i="13"/>
  <c r="F433" i="13"/>
  <c r="G433" i="13"/>
  <c r="H433" i="13"/>
  <c r="I433" i="13"/>
  <c r="J433" i="13"/>
  <c r="F434" i="13"/>
  <c r="G434" i="13"/>
  <c r="H434" i="13"/>
  <c r="I434" i="13"/>
  <c r="J434" i="13"/>
  <c r="F435" i="13"/>
  <c r="G435" i="13"/>
  <c r="H435" i="13"/>
  <c r="I435" i="13"/>
  <c r="J435" i="13"/>
  <c r="F436" i="13"/>
  <c r="G436" i="13"/>
  <c r="H436" i="13"/>
  <c r="I436" i="13"/>
  <c r="J436" i="13"/>
  <c r="F437" i="13"/>
  <c r="G437" i="13"/>
  <c r="H437" i="13"/>
  <c r="I437" i="13"/>
  <c r="J437" i="13"/>
  <c r="F438" i="13"/>
  <c r="G438" i="13"/>
  <c r="H438" i="13"/>
  <c r="I438" i="13"/>
  <c r="J438" i="13"/>
  <c r="F439" i="13"/>
  <c r="G439" i="13"/>
  <c r="H439" i="13"/>
  <c r="I439" i="13"/>
  <c r="J439" i="13"/>
  <c r="F440" i="13"/>
  <c r="G440" i="13"/>
  <c r="H440" i="13"/>
  <c r="I440" i="13"/>
  <c r="J440" i="13"/>
  <c r="F441" i="13"/>
  <c r="G441" i="13"/>
  <c r="H441" i="13"/>
  <c r="I441" i="13"/>
  <c r="J441" i="13"/>
  <c r="F442" i="13"/>
  <c r="G442" i="13"/>
  <c r="H442" i="13"/>
  <c r="I442" i="13"/>
  <c r="J442" i="13"/>
  <c r="F443" i="13"/>
  <c r="G443" i="13"/>
  <c r="H443" i="13"/>
  <c r="I443" i="13"/>
  <c r="J443" i="13"/>
  <c r="F444" i="13"/>
  <c r="G444" i="13"/>
  <c r="H444" i="13"/>
  <c r="I444" i="13"/>
  <c r="J444" i="13"/>
  <c r="F445" i="13"/>
  <c r="G445" i="13"/>
  <c r="H445" i="13"/>
  <c r="I445" i="13"/>
  <c r="J445" i="13"/>
  <c r="F446" i="13"/>
  <c r="G446" i="13"/>
  <c r="H446" i="13"/>
  <c r="I446" i="13"/>
  <c r="J446" i="13"/>
  <c r="F447" i="13"/>
  <c r="G447" i="13"/>
  <c r="H447" i="13"/>
  <c r="I447" i="13"/>
  <c r="J447" i="13"/>
  <c r="F448" i="13"/>
  <c r="G448" i="13"/>
  <c r="H448" i="13"/>
  <c r="I448" i="13"/>
  <c r="J448" i="13"/>
  <c r="F449" i="13"/>
  <c r="G449" i="13"/>
  <c r="H449" i="13"/>
  <c r="I449" i="13"/>
  <c r="J449" i="13"/>
  <c r="F450" i="13"/>
  <c r="G450" i="13"/>
  <c r="H450" i="13"/>
  <c r="I450" i="13"/>
  <c r="J450" i="13"/>
  <c r="F451" i="13"/>
  <c r="G451" i="13"/>
  <c r="H451" i="13"/>
  <c r="I451" i="13"/>
  <c r="J451" i="13"/>
  <c r="F452" i="13"/>
  <c r="G452" i="13"/>
  <c r="H452" i="13"/>
  <c r="I452" i="13"/>
  <c r="J452" i="13"/>
  <c r="F453" i="13"/>
  <c r="G453" i="13"/>
  <c r="H453" i="13"/>
  <c r="I453" i="13"/>
  <c r="J453" i="13"/>
  <c r="F454" i="13"/>
  <c r="G454" i="13"/>
  <c r="H454" i="13"/>
  <c r="I454" i="13"/>
  <c r="J454" i="13"/>
  <c r="F455" i="13"/>
  <c r="G455" i="13"/>
  <c r="H455" i="13"/>
  <c r="I455" i="13"/>
  <c r="J455" i="13"/>
  <c r="F456" i="13"/>
  <c r="G456" i="13"/>
  <c r="H456" i="13"/>
  <c r="I456" i="13"/>
  <c r="J456" i="13"/>
  <c r="F457" i="13"/>
  <c r="G457" i="13"/>
  <c r="H457" i="13"/>
  <c r="I457" i="13"/>
  <c r="J457" i="13"/>
  <c r="F458" i="13"/>
  <c r="G458" i="13"/>
  <c r="H458" i="13"/>
  <c r="I458" i="13"/>
  <c r="J458" i="13"/>
  <c r="F459" i="13"/>
  <c r="G459" i="13"/>
  <c r="H459" i="13"/>
  <c r="I459" i="13"/>
  <c r="J459" i="13"/>
  <c r="F460" i="13"/>
  <c r="G460" i="13"/>
  <c r="H460" i="13"/>
  <c r="I460" i="13"/>
  <c r="J460" i="13"/>
  <c r="F461" i="13"/>
  <c r="G461" i="13"/>
  <c r="H461" i="13"/>
  <c r="I461" i="13"/>
  <c r="J461" i="13"/>
  <c r="F462" i="13"/>
  <c r="G462" i="13"/>
  <c r="H462" i="13"/>
  <c r="I462" i="13"/>
  <c r="J462" i="13"/>
  <c r="F463" i="13"/>
  <c r="G463" i="13"/>
  <c r="H463" i="13"/>
  <c r="I463" i="13"/>
  <c r="J463" i="13"/>
  <c r="F464" i="13"/>
  <c r="G464" i="13"/>
  <c r="H464" i="13"/>
  <c r="I464" i="13"/>
  <c r="J464" i="13"/>
  <c r="F465" i="13"/>
  <c r="G465" i="13"/>
  <c r="H465" i="13"/>
  <c r="I465" i="13"/>
  <c r="J465" i="13"/>
  <c r="F466" i="13"/>
  <c r="G466" i="13"/>
  <c r="H466" i="13"/>
  <c r="I466" i="13"/>
  <c r="J466" i="13"/>
  <c r="F467" i="13"/>
  <c r="G467" i="13"/>
  <c r="H467" i="13"/>
  <c r="I467" i="13"/>
  <c r="J467" i="13"/>
  <c r="F468" i="13"/>
  <c r="G468" i="13"/>
  <c r="H468" i="13"/>
  <c r="I468" i="13"/>
  <c r="J468" i="13"/>
  <c r="F469" i="13"/>
  <c r="G469" i="13"/>
  <c r="H469" i="13"/>
  <c r="I469" i="13"/>
  <c r="J469" i="13"/>
  <c r="F470" i="13"/>
  <c r="G470" i="13"/>
  <c r="H470" i="13"/>
  <c r="I470" i="13"/>
  <c r="J470" i="13"/>
  <c r="F471" i="13"/>
  <c r="G471" i="13"/>
  <c r="H471" i="13"/>
  <c r="I471" i="13"/>
  <c r="J471" i="13"/>
  <c r="F472" i="13"/>
  <c r="G472" i="13"/>
  <c r="H472" i="13"/>
  <c r="I472" i="13"/>
  <c r="J472" i="13"/>
  <c r="F473" i="13"/>
  <c r="G473" i="13"/>
  <c r="H473" i="13"/>
  <c r="I473" i="13"/>
  <c r="J473" i="13"/>
  <c r="F474" i="13"/>
  <c r="G474" i="13"/>
  <c r="H474" i="13"/>
  <c r="I474" i="13"/>
  <c r="J474" i="13"/>
  <c r="F475" i="13"/>
  <c r="G475" i="13"/>
  <c r="H475" i="13"/>
  <c r="I475" i="13"/>
  <c r="J475" i="13"/>
  <c r="F476" i="13"/>
  <c r="G476" i="13"/>
  <c r="H476" i="13"/>
  <c r="I476" i="13"/>
  <c r="J476" i="13"/>
  <c r="F477" i="13"/>
  <c r="G477" i="13"/>
  <c r="H477" i="13"/>
  <c r="I477" i="13"/>
  <c r="J477" i="13"/>
  <c r="F478" i="13"/>
  <c r="G478" i="13"/>
  <c r="H478" i="13"/>
  <c r="I478" i="13"/>
  <c r="J478" i="13"/>
  <c r="F479" i="13"/>
  <c r="G479" i="13"/>
  <c r="H479" i="13"/>
  <c r="I479" i="13"/>
  <c r="J479" i="13"/>
  <c r="F480" i="13"/>
  <c r="G480" i="13"/>
  <c r="H480" i="13"/>
  <c r="I480" i="13"/>
  <c r="J480" i="13"/>
  <c r="F481" i="13"/>
  <c r="G481" i="13"/>
  <c r="H481" i="13"/>
  <c r="I481" i="13"/>
  <c r="J481" i="13"/>
  <c r="F482" i="13"/>
  <c r="G482" i="13"/>
  <c r="H482" i="13"/>
  <c r="I482" i="13"/>
  <c r="J482" i="13"/>
  <c r="F483" i="13"/>
  <c r="G483" i="13"/>
  <c r="H483" i="13"/>
  <c r="I483" i="13"/>
  <c r="J483" i="13"/>
  <c r="F484" i="13"/>
  <c r="G484" i="13"/>
  <c r="H484" i="13"/>
  <c r="I484" i="13"/>
  <c r="J484" i="13"/>
  <c r="F485" i="13"/>
  <c r="G485" i="13"/>
  <c r="H485" i="13"/>
  <c r="I485" i="13"/>
  <c r="J485" i="13"/>
  <c r="F486" i="13"/>
  <c r="G486" i="13"/>
  <c r="H486" i="13"/>
  <c r="I486" i="13"/>
  <c r="J486" i="13"/>
  <c r="F487" i="13"/>
  <c r="G487" i="13"/>
  <c r="H487" i="13"/>
  <c r="I487" i="13"/>
  <c r="J487" i="13"/>
  <c r="F488" i="13"/>
  <c r="G488" i="13"/>
  <c r="H488" i="13"/>
  <c r="I488" i="13"/>
  <c r="J488" i="13"/>
  <c r="F489" i="13"/>
  <c r="G489" i="13"/>
  <c r="H489" i="13"/>
  <c r="I489" i="13"/>
  <c r="J489" i="13"/>
  <c r="F490" i="13"/>
  <c r="G490" i="13"/>
  <c r="H490" i="13"/>
  <c r="I490" i="13"/>
  <c r="J490" i="13"/>
  <c r="F491" i="13"/>
  <c r="G491" i="13"/>
  <c r="H491" i="13"/>
  <c r="I491" i="13"/>
  <c r="J491" i="13"/>
  <c r="F492" i="13"/>
  <c r="G492" i="13"/>
  <c r="H492" i="13"/>
  <c r="I492" i="13"/>
  <c r="J492" i="13"/>
  <c r="F493" i="13"/>
  <c r="G493" i="13"/>
  <c r="H493" i="13"/>
  <c r="I493" i="13"/>
  <c r="J493" i="13"/>
  <c r="F494" i="13"/>
  <c r="G494" i="13"/>
  <c r="H494" i="13"/>
  <c r="I494" i="13"/>
  <c r="J494" i="13"/>
  <c r="F495" i="13"/>
  <c r="G495" i="13"/>
  <c r="H495" i="13"/>
  <c r="I495" i="13"/>
  <c r="J495" i="13"/>
  <c r="F496" i="13"/>
  <c r="G496" i="13"/>
  <c r="H496" i="13"/>
  <c r="I496" i="13"/>
  <c r="J496" i="13"/>
  <c r="F497" i="13"/>
  <c r="G497" i="13"/>
  <c r="H497" i="13"/>
  <c r="I497" i="13"/>
  <c r="J497" i="13"/>
  <c r="F498" i="13"/>
  <c r="G498" i="13"/>
  <c r="H498" i="13"/>
  <c r="I498" i="13"/>
  <c r="J498" i="13"/>
  <c r="F499" i="13"/>
  <c r="G499" i="13"/>
  <c r="H499" i="13"/>
  <c r="I499" i="13"/>
  <c r="J499" i="13"/>
  <c r="F500" i="13"/>
  <c r="G500" i="13"/>
  <c r="H500" i="13"/>
  <c r="I500" i="13"/>
  <c r="J500" i="13"/>
  <c r="F501" i="13"/>
  <c r="G501" i="13"/>
  <c r="H501" i="13"/>
  <c r="I501" i="13"/>
  <c r="J501" i="13"/>
  <c r="F502" i="13"/>
  <c r="G502" i="13"/>
  <c r="H502" i="13"/>
  <c r="I502" i="13"/>
  <c r="J502" i="13"/>
  <c r="F503" i="13"/>
  <c r="G503" i="13"/>
  <c r="H503" i="13"/>
  <c r="I503" i="13"/>
  <c r="J503" i="13"/>
  <c r="F504" i="13"/>
  <c r="G504" i="13"/>
  <c r="H504" i="13"/>
  <c r="I504" i="13"/>
  <c r="J504" i="13"/>
  <c r="F505" i="13"/>
  <c r="G505" i="13"/>
  <c r="H505" i="13"/>
  <c r="I505" i="13"/>
  <c r="J505" i="13"/>
  <c r="F506" i="13"/>
  <c r="G506" i="13"/>
  <c r="H506" i="13"/>
  <c r="I506" i="13"/>
  <c r="J506" i="13"/>
  <c r="F507" i="13"/>
  <c r="G507" i="13"/>
  <c r="H507" i="13"/>
  <c r="I507" i="13"/>
  <c r="J507" i="13"/>
  <c r="F508" i="13"/>
  <c r="G508" i="13"/>
  <c r="H508" i="13"/>
  <c r="I508" i="13"/>
  <c r="J508" i="13"/>
  <c r="F509" i="13"/>
  <c r="G509" i="13"/>
  <c r="H509" i="13"/>
  <c r="I509" i="13"/>
  <c r="J509" i="13"/>
  <c r="F510" i="13"/>
  <c r="G510" i="13"/>
  <c r="H510" i="13"/>
  <c r="I510" i="13"/>
  <c r="J510" i="13"/>
  <c r="F511" i="13"/>
  <c r="G511" i="13"/>
  <c r="H511" i="13"/>
  <c r="I511" i="13"/>
  <c r="J511" i="13"/>
  <c r="F512" i="13"/>
  <c r="G512" i="13"/>
  <c r="H512" i="13"/>
  <c r="I512" i="13"/>
  <c r="J512" i="13"/>
  <c r="F513" i="13"/>
  <c r="G513" i="13"/>
  <c r="H513" i="13"/>
  <c r="I513" i="13"/>
  <c r="J513" i="13"/>
  <c r="F514" i="13"/>
  <c r="G514" i="13"/>
  <c r="H514" i="13"/>
  <c r="I514" i="13"/>
  <c r="J514" i="13"/>
  <c r="F515" i="13"/>
  <c r="G515" i="13"/>
  <c r="H515" i="13"/>
  <c r="I515" i="13"/>
  <c r="J515" i="13"/>
  <c r="F516" i="13"/>
  <c r="G516" i="13"/>
  <c r="H516" i="13"/>
  <c r="I516" i="13"/>
  <c r="J516" i="13"/>
  <c r="F517" i="13"/>
  <c r="G517" i="13"/>
  <c r="H517" i="13"/>
  <c r="I517" i="13"/>
  <c r="J517" i="13"/>
  <c r="F518" i="13"/>
  <c r="G518" i="13"/>
  <c r="H518" i="13"/>
  <c r="I518" i="13"/>
  <c r="J518" i="13"/>
  <c r="F519" i="13"/>
  <c r="G519" i="13"/>
  <c r="H519" i="13"/>
  <c r="I519" i="13"/>
  <c r="J519" i="13"/>
  <c r="F520" i="13"/>
  <c r="G520" i="13"/>
  <c r="H520" i="13"/>
  <c r="I520" i="13"/>
  <c r="J520" i="13"/>
  <c r="F521" i="13"/>
  <c r="G521" i="13"/>
  <c r="H521" i="13"/>
  <c r="I521" i="13"/>
  <c r="J521" i="13"/>
  <c r="F522" i="13"/>
  <c r="G522" i="13"/>
  <c r="H522" i="13"/>
  <c r="I522" i="13"/>
  <c r="J522" i="13"/>
  <c r="F523" i="13"/>
  <c r="G523" i="13"/>
  <c r="H523" i="13"/>
  <c r="I523" i="13"/>
  <c r="J523" i="13"/>
  <c r="F524" i="13"/>
  <c r="G524" i="13"/>
  <c r="H524" i="13"/>
  <c r="I524" i="13"/>
  <c r="J524" i="13"/>
  <c r="F525" i="13"/>
  <c r="G525" i="13"/>
  <c r="H525" i="13"/>
  <c r="I525" i="13"/>
  <c r="J525" i="13"/>
  <c r="F526" i="13"/>
  <c r="G526" i="13"/>
  <c r="H526" i="13"/>
  <c r="I526" i="13"/>
  <c r="J526" i="13"/>
  <c r="F527" i="13"/>
  <c r="G527" i="13"/>
  <c r="H527" i="13"/>
  <c r="I527" i="13"/>
  <c r="J527" i="13"/>
  <c r="F528" i="13"/>
  <c r="G528" i="13"/>
  <c r="H528" i="13"/>
  <c r="I528" i="13"/>
  <c r="J528" i="13"/>
  <c r="F529" i="13"/>
  <c r="G529" i="13"/>
  <c r="H529" i="13"/>
  <c r="I529" i="13"/>
  <c r="J529" i="13"/>
  <c r="F530" i="13"/>
  <c r="G530" i="13"/>
  <c r="H530" i="13"/>
  <c r="I530" i="13"/>
  <c r="J530" i="13"/>
  <c r="F531" i="13"/>
  <c r="G531" i="13"/>
  <c r="H531" i="13"/>
  <c r="I531" i="13"/>
  <c r="J531" i="13"/>
  <c r="F532" i="13"/>
  <c r="G532" i="13"/>
  <c r="H532" i="13"/>
  <c r="I532" i="13"/>
  <c r="J532" i="13"/>
  <c r="F533" i="13"/>
  <c r="G533" i="13"/>
  <c r="H533" i="13"/>
  <c r="I533" i="13"/>
  <c r="J533" i="13"/>
  <c r="F534" i="13"/>
  <c r="G534" i="13"/>
  <c r="H534" i="13"/>
  <c r="I534" i="13"/>
  <c r="J534" i="13"/>
  <c r="F535" i="13"/>
  <c r="G535" i="13"/>
  <c r="H535" i="13"/>
  <c r="I535" i="13"/>
  <c r="J535" i="13"/>
  <c r="F536" i="13"/>
  <c r="G536" i="13"/>
  <c r="H536" i="13"/>
  <c r="I536" i="13"/>
  <c r="J536" i="13"/>
  <c r="F537" i="13"/>
  <c r="G537" i="13"/>
  <c r="H537" i="13"/>
  <c r="I537" i="13"/>
  <c r="J537" i="13"/>
  <c r="F538" i="13"/>
  <c r="G538" i="13"/>
  <c r="H538" i="13"/>
  <c r="I538" i="13"/>
  <c r="J538" i="13"/>
  <c r="F539" i="13"/>
  <c r="G539" i="13"/>
  <c r="H539" i="13"/>
  <c r="I539" i="13"/>
  <c r="J539" i="13"/>
  <c r="F540" i="13"/>
  <c r="G540" i="13"/>
  <c r="H540" i="13"/>
  <c r="I540" i="13"/>
  <c r="J540" i="13"/>
  <c r="F541" i="13"/>
  <c r="G541" i="13"/>
  <c r="H541" i="13"/>
  <c r="I541" i="13"/>
  <c r="J541" i="13"/>
  <c r="F542" i="13"/>
  <c r="G542" i="13"/>
  <c r="H542" i="13"/>
  <c r="I542" i="13"/>
  <c r="J542" i="13"/>
  <c r="F543" i="13"/>
  <c r="G543" i="13"/>
  <c r="H543" i="13"/>
  <c r="I543" i="13"/>
  <c r="J543" i="13"/>
  <c r="F544" i="13"/>
  <c r="G544" i="13"/>
  <c r="H544" i="13"/>
  <c r="I544" i="13"/>
  <c r="J544" i="13"/>
  <c r="F545" i="13"/>
  <c r="G545" i="13"/>
  <c r="H545" i="13"/>
  <c r="I545" i="13"/>
  <c r="J545" i="13"/>
  <c r="F546" i="13"/>
  <c r="G546" i="13"/>
  <c r="H546" i="13"/>
  <c r="I546" i="13"/>
  <c r="J546" i="13"/>
  <c r="F547" i="13"/>
  <c r="G547" i="13"/>
  <c r="H547" i="13"/>
  <c r="I547" i="13"/>
  <c r="J547" i="13"/>
  <c r="F548" i="13"/>
  <c r="G548" i="13"/>
  <c r="H548" i="13"/>
  <c r="I548" i="13"/>
  <c r="J548" i="13"/>
  <c r="F549" i="13"/>
  <c r="G549" i="13"/>
  <c r="H549" i="13"/>
  <c r="I549" i="13"/>
  <c r="J549" i="13"/>
  <c r="F550" i="13"/>
  <c r="G550" i="13"/>
  <c r="H550" i="13"/>
  <c r="I550" i="13"/>
  <c r="J550" i="13"/>
  <c r="F551" i="13"/>
  <c r="G551" i="13"/>
  <c r="H551" i="13"/>
  <c r="I551" i="13"/>
  <c r="J551" i="13"/>
  <c r="F552" i="13"/>
  <c r="G552" i="13"/>
  <c r="H552" i="13"/>
  <c r="I552" i="13"/>
  <c r="J552" i="13"/>
  <c r="F553" i="13"/>
  <c r="G553" i="13"/>
  <c r="H553" i="13"/>
  <c r="I553" i="13"/>
  <c r="J553" i="13"/>
  <c r="F554" i="13"/>
  <c r="G554" i="13"/>
  <c r="H554" i="13"/>
  <c r="I554" i="13"/>
  <c r="J554" i="13"/>
  <c r="F555" i="13"/>
  <c r="G555" i="13"/>
  <c r="H555" i="13"/>
  <c r="I555" i="13"/>
  <c r="J555" i="13"/>
  <c r="F556" i="13"/>
  <c r="G556" i="13"/>
  <c r="H556" i="13"/>
  <c r="I556" i="13"/>
  <c r="J556" i="13"/>
  <c r="F557" i="13"/>
  <c r="G557" i="13"/>
  <c r="H557" i="13"/>
  <c r="I557" i="13"/>
  <c r="J557" i="13"/>
  <c r="F558" i="13"/>
  <c r="G558" i="13"/>
  <c r="H558" i="13"/>
  <c r="I558" i="13"/>
  <c r="J558" i="13"/>
  <c r="F559" i="13"/>
  <c r="G559" i="13"/>
  <c r="H559" i="13"/>
  <c r="I559" i="13"/>
  <c r="J559" i="13"/>
  <c r="F560" i="13"/>
  <c r="G560" i="13"/>
  <c r="H560" i="13"/>
  <c r="I560" i="13"/>
  <c r="J560" i="13"/>
  <c r="F561" i="13"/>
  <c r="G561" i="13"/>
  <c r="H561" i="13"/>
  <c r="I561" i="13"/>
  <c r="J561" i="13"/>
  <c r="F562" i="13"/>
  <c r="G562" i="13"/>
  <c r="H562" i="13"/>
  <c r="I562" i="13"/>
  <c r="J562" i="13"/>
  <c r="F563" i="13"/>
  <c r="G563" i="13"/>
  <c r="H563" i="13"/>
  <c r="I563" i="13"/>
  <c r="J563" i="13"/>
  <c r="F564" i="13"/>
  <c r="G564" i="13"/>
  <c r="H564" i="13"/>
  <c r="I564" i="13"/>
  <c r="J564" i="13"/>
  <c r="F565" i="13"/>
  <c r="G565" i="13"/>
  <c r="H565" i="13"/>
  <c r="I565" i="13"/>
  <c r="J565" i="13"/>
  <c r="F566" i="13"/>
  <c r="G566" i="13"/>
  <c r="H566" i="13"/>
  <c r="I566" i="13"/>
  <c r="J566" i="13"/>
  <c r="F567" i="13"/>
  <c r="G567" i="13"/>
  <c r="H567" i="13"/>
  <c r="I567" i="13"/>
  <c r="J567" i="13"/>
  <c r="F568" i="13"/>
  <c r="G568" i="13"/>
  <c r="H568" i="13"/>
  <c r="I568" i="13"/>
  <c r="J568" i="13"/>
  <c r="F569" i="13"/>
  <c r="G569" i="13"/>
  <c r="H569" i="13"/>
  <c r="I569" i="13"/>
  <c r="J569" i="13"/>
  <c r="F570" i="13"/>
  <c r="G570" i="13"/>
  <c r="H570" i="13"/>
  <c r="I570" i="13"/>
  <c r="J570" i="13"/>
  <c r="F571" i="13"/>
  <c r="G571" i="13"/>
  <c r="H571" i="13"/>
  <c r="I571" i="13"/>
  <c r="J571" i="13"/>
  <c r="F572" i="13"/>
  <c r="G572" i="13"/>
  <c r="H572" i="13"/>
  <c r="I572" i="13"/>
  <c r="J572" i="13"/>
  <c r="F573" i="13"/>
  <c r="G573" i="13"/>
  <c r="H573" i="13"/>
  <c r="I573" i="13"/>
  <c r="J573" i="13"/>
  <c r="F574" i="13"/>
  <c r="G574" i="13"/>
  <c r="H574" i="13"/>
  <c r="I574" i="13"/>
  <c r="J574" i="13"/>
  <c r="F575" i="13"/>
  <c r="G575" i="13"/>
  <c r="H575" i="13"/>
  <c r="I575" i="13"/>
  <c r="J575" i="13"/>
  <c r="F576" i="13"/>
  <c r="G576" i="13"/>
  <c r="H576" i="13"/>
  <c r="I576" i="13"/>
  <c r="J576" i="13"/>
  <c r="F577" i="13"/>
  <c r="G577" i="13"/>
  <c r="H577" i="13"/>
  <c r="I577" i="13"/>
  <c r="J577" i="13"/>
  <c r="F578" i="13"/>
  <c r="G578" i="13"/>
  <c r="H578" i="13"/>
  <c r="I578" i="13"/>
  <c r="J578" i="13"/>
  <c r="F579" i="13"/>
  <c r="G579" i="13"/>
  <c r="H579" i="13"/>
  <c r="I579" i="13"/>
  <c r="J579" i="13"/>
  <c r="F580" i="13"/>
  <c r="G580" i="13"/>
  <c r="H580" i="13"/>
  <c r="I580" i="13"/>
  <c r="J580" i="13"/>
  <c r="F581" i="13"/>
  <c r="G581" i="13"/>
  <c r="H581" i="13"/>
  <c r="I581" i="13"/>
  <c r="J581" i="13"/>
  <c r="F582" i="13"/>
  <c r="G582" i="13"/>
  <c r="H582" i="13"/>
  <c r="I582" i="13"/>
  <c r="J582" i="13"/>
  <c r="F583" i="13"/>
  <c r="G583" i="13"/>
  <c r="H583" i="13"/>
  <c r="I583" i="13"/>
  <c r="J583" i="13"/>
  <c r="F584" i="13"/>
  <c r="G584" i="13"/>
  <c r="H584" i="13"/>
  <c r="I584" i="13"/>
  <c r="J584" i="13"/>
  <c r="F585" i="13"/>
  <c r="G585" i="13"/>
  <c r="H585" i="13"/>
  <c r="I585" i="13"/>
  <c r="J585" i="13"/>
  <c r="F586" i="13"/>
  <c r="G586" i="13"/>
  <c r="H586" i="13"/>
  <c r="I586" i="13"/>
  <c r="J586" i="13"/>
  <c r="F587" i="13"/>
  <c r="G587" i="13"/>
  <c r="H587" i="13"/>
  <c r="I587" i="13"/>
  <c r="J587" i="13"/>
  <c r="F588" i="13"/>
  <c r="G588" i="13"/>
  <c r="H588" i="13"/>
  <c r="I588" i="13"/>
  <c r="J588" i="13"/>
  <c r="F589" i="13"/>
  <c r="G589" i="13"/>
  <c r="H589" i="13"/>
  <c r="I589" i="13"/>
  <c r="J589" i="13"/>
  <c r="F590" i="13"/>
  <c r="G590" i="13"/>
  <c r="H590" i="13"/>
  <c r="I590" i="13"/>
  <c r="J590" i="13"/>
  <c r="F591" i="13"/>
  <c r="G591" i="13"/>
  <c r="H591" i="13"/>
  <c r="I591" i="13"/>
  <c r="J591" i="13"/>
  <c r="F592" i="13"/>
  <c r="G592" i="13"/>
  <c r="H592" i="13"/>
  <c r="I592" i="13"/>
  <c r="J592" i="13"/>
  <c r="F593" i="13"/>
  <c r="G593" i="13"/>
  <c r="H593" i="13"/>
  <c r="I593" i="13"/>
  <c r="J593" i="13"/>
  <c r="F594" i="13"/>
  <c r="G594" i="13"/>
  <c r="H594" i="13"/>
  <c r="I594" i="13"/>
  <c r="J594" i="13"/>
  <c r="F595" i="13"/>
  <c r="G595" i="13"/>
  <c r="H595" i="13"/>
  <c r="I595" i="13"/>
  <c r="J595" i="13"/>
  <c r="F596" i="13"/>
  <c r="G596" i="13"/>
  <c r="H596" i="13"/>
  <c r="I596" i="13"/>
  <c r="J596" i="13"/>
  <c r="F597" i="13"/>
  <c r="G597" i="13"/>
  <c r="H597" i="13"/>
  <c r="I597" i="13"/>
  <c r="J597" i="13"/>
  <c r="F598" i="13"/>
  <c r="G598" i="13"/>
  <c r="H598" i="13"/>
  <c r="I598" i="13"/>
  <c r="J598" i="13"/>
  <c r="F599" i="13"/>
  <c r="G599" i="13"/>
  <c r="H599" i="13"/>
  <c r="I599" i="13"/>
  <c r="J599" i="13"/>
  <c r="F600" i="13"/>
  <c r="G600" i="13"/>
  <c r="H600" i="13"/>
  <c r="I600" i="13"/>
  <c r="J600" i="13"/>
  <c r="F601" i="13"/>
  <c r="G601" i="13"/>
  <c r="H601" i="13"/>
  <c r="I601" i="13"/>
  <c r="J601" i="13"/>
  <c r="F602" i="13"/>
  <c r="G602" i="13"/>
  <c r="H602" i="13"/>
  <c r="I602" i="13"/>
  <c r="J602" i="13"/>
  <c r="F603" i="13"/>
  <c r="G603" i="13"/>
  <c r="H603" i="13"/>
  <c r="I603" i="13"/>
  <c r="J603" i="13"/>
  <c r="F604" i="13"/>
  <c r="G604" i="13"/>
  <c r="H604" i="13"/>
  <c r="I604" i="13"/>
  <c r="J604" i="13"/>
  <c r="F605" i="13"/>
  <c r="G605" i="13"/>
  <c r="H605" i="13"/>
  <c r="I605" i="13"/>
  <c r="J605" i="13"/>
  <c r="F606" i="13"/>
  <c r="G606" i="13"/>
  <c r="H606" i="13"/>
  <c r="I606" i="13"/>
  <c r="J606" i="13"/>
  <c r="F607" i="13"/>
  <c r="G607" i="13"/>
  <c r="H607" i="13"/>
  <c r="I607" i="13"/>
  <c r="J607" i="13"/>
  <c r="F608" i="13"/>
  <c r="G608" i="13"/>
  <c r="H608" i="13"/>
  <c r="I608" i="13"/>
  <c r="J608" i="13"/>
  <c r="F609" i="13"/>
  <c r="G609" i="13"/>
  <c r="H609" i="13"/>
  <c r="I609" i="13"/>
  <c r="J609" i="13"/>
  <c r="F610" i="13"/>
  <c r="G610" i="13"/>
  <c r="H610" i="13"/>
  <c r="I610" i="13"/>
  <c r="J610" i="13"/>
  <c r="F611" i="13"/>
  <c r="G611" i="13"/>
  <c r="H611" i="13"/>
  <c r="I611" i="13"/>
  <c r="J611" i="13"/>
  <c r="F612" i="13"/>
  <c r="G612" i="13"/>
  <c r="H612" i="13"/>
  <c r="I612" i="13"/>
  <c r="J612" i="13"/>
  <c r="F613" i="13"/>
  <c r="G613" i="13"/>
  <c r="H613" i="13"/>
  <c r="I613" i="13"/>
  <c r="J613" i="13"/>
  <c r="F614" i="13"/>
  <c r="G614" i="13"/>
  <c r="H614" i="13"/>
  <c r="I614" i="13"/>
  <c r="J614" i="13"/>
  <c r="F615" i="13"/>
  <c r="G615" i="13"/>
  <c r="H615" i="13"/>
  <c r="I615" i="13"/>
  <c r="J615" i="13"/>
  <c r="F616" i="13"/>
  <c r="G616" i="13"/>
  <c r="H616" i="13"/>
  <c r="I616" i="13"/>
  <c r="J616" i="13"/>
  <c r="F617" i="13"/>
  <c r="G617" i="13"/>
  <c r="H617" i="13"/>
  <c r="I617" i="13"/>
  <c r="J617" i="13"/>
  <c r="F618" i="13"/>
  <c r="G618" i="13"/>
  <c r="H618" i="13"/>
  <c r="I618" i="13"/>
  <c r="J618" i="13"/>
  <c r="F619" i="13"/>
  <c r="G619" i="13"/>
  <c r="H619" i="13"/>
  <c r="I619" i="13"/>
  <c r="J619" i="13"/>
  <c r="F620" i="13"/>
  <c r="G620" i="13"/>
  <c r="H620" i="13"/>
  <c r="I620" i="13"/>
  <c r="J620" i="13"/>
  <c r="F621" i="13"/>
  <c r="G621" i="13"/>
  <c r="H621" i="13"/>
  <c r="I621" i="13"/>
  <c r="J621" i="13"/>
  <c r="F622" i="13"/>
  <c r="G622" i="13"/>
  <c r="H622" i="13"/>
  <c r="I622" i="13"/>
  <c r="J622" i="13"/>
  <c r="F623" i="13"/>
  <c r="G623" i="13"/>
  <c r="H623" i="13"/>
  <c r="I623" i="13"/>
  <c r="J623" i="13"/>
  <c r="F624" i="13"/>
  <c r="G624" i="13"/>
  <c r="H624" i="13"/>
  <c r="I624" i="13"/>
  <c r="J624" i="13"/>
  <c r="F625" i="13"/>
  <c r="G625" i="13"/>
  <c r="H625" i="13"/>
  <c r="I625" i="13"/>
  <c r="J625" i="13"/>
  <c r="F626" i="13"/>
  <c r="G626" i="13"/>
  <c r="H626" i="13"/>
  <c r="I626" i="13"/>
  <c r="J626" i="13"/>
  <c r="F627" i="13"/>
  <c r="G627" i="13"/>
  <c r="H627" i="13"/>
  <c r="I627" i="13"/>
  <c r="J627" i="13"/>
  <c r="F628" i="13"/>
  <c r="G628" i="13"/>
  <c r="H628" i="13"/>
  <c r="I628" i="13"/>
  <c r="J628" i="13"/>
  <c r="F629" i="13"/>
  <c r="G629" i="13"/>
  <c r="H629" i="13"/>
  <c r="I629" i="13"/>
  <c r="J629" i="13"/>
  <c r="F630" i="13"/>
  <c r="G630" i="13"/>
  <c r="H630" i="13"/>
  <c r="I630" i="13"/>
  <c r="J630" i="13"/>
  <c r="F631" i="13"/>
  <c r="G631" i="13"/>
  <c r="H631" i="13"/>
  <c r="I631" i="13"/>
  <c r="J631" i="13"/>
  <c r="F632" i="13"/>
  <c r="G632" i="13"/>
  <c r="H632" i="13"/>
  <c r="I632" i="13"/>
  <c r="J632" i="13"/>
  <c r="F633" i="13"/>
  <c r="G633" i="13"/>
  <c r="H633" i="13"/>
  <c r="I633" i="13"/>
  <c r="J633" i="13"/>
  <c r="F634" i="13"/>
  <c r="G634" i="13"/>
  <c r="H634" i="13"/>
  <c r="I634" i="13"/>
  <c r="J634" i="13"/>
  <c r="F635" i="13"/>
  <c r="G635" i="13"/>
  <c r="H635" i="13"/>
  <c r="I635" i="13"/>
  <c r="J635" i="13"/>
  <c r="F636" i="13"/>
  <c r="G636" i="13"/>
  <c r="H636" i="13"/>
  <c r="I636" i="13"/>
  <c r="J636" i="13"/>
  <c r="F637" i="13"/>
  <c r="G637" i="13"/>
  <c r="H637" i="13"/>
  <c r="I637" i="13"/>
  <c r="J637" i="13"/>
  <c r="F638" i="13"/>
  <c r="G638" i="13"/>
  <c r="H638" i="13"/>
  <c r="I638" i="13"/>
  <c r="J638" i="13"/>
  <c r="F639" i="13"/>
  <c r="G639" i="13"/>
  <c r="H639" i="13"/>
  <c r="I639" i="13"/>
  <c r="J639" i="13"/>
  <c r="F640" i="13"/>
  <c r="G640" i="13"/>
  <c r="H640" i="13"/>
  <c r="I640" i="13"/>
  <c r="J640" i="13"/>
  <c r="F641" i="13"/>
  <c r="G641" i="13"/>
  <c r="H641" i="13"/>
  <c r="I641" i="13"/>
  <c r="J641" i="13"/>
  <c r="F642" i="13"/>
  <c r="G642" i="13"/>
  <c r="H642" i="13"/>
  <c r="I642" i="13"/>
  <c r="J642" i="13"/>
  <c r="F643" i="13"/>
  <c r="G643" i="13"/>
  <c r="H643" i="13"/>
  <c r="I643" i="13"/>
  <c r="J643" i="13"/>
  <c r="F644" i="13"/>
  <c r="G644" i="13"/>
  <c r="H644" i="13"/>
  <c r="I644" i="13"/>
  <c r="J644" i="13"/>
  <c r="F645" i="13"/>
  <c r="G645" i="13"/>
  <c r="H645" i="13"/>
  <c r="I645" i="13"/>
  <c r="J645" i="13"/>
  <c r="F646" i="13"/>
  <c r="G646" i="13"/>
  <c r="H646" i="13"/>
  <c r="I646" i="13"/>
  <c r="J646" i="13"/>
  <c r="F647" i="13"/>
  <c r="G647" i="13"/>
  <c r="H647" i="13"/>
  <c r="I647" i="13"/>
  <c r="J647" i="13"/>
  <c r="F648" i="13"/>
  <c r="G648" i="13"/>
  <c r="H648" i="13"/>
  <c r="I648" i="13"/>
  <c r="J648" i="13"/>
  <c r="F649" i="13"/>
  <c r="G649" i="13"/>
  <c r="H649" i="13"/>
  <c r="I649" i="13"/>
  <c r="J649" i="13"/>
  <c r="F650" i="13"/>
  <c r="G650" i="13"/>
  <c r="H650" i="13"/>
  <c r="I650" i="13"/>
  <c r="J650" i="13"/>
  <c r="F651" i="13"/>
  <c r="G651" i="13"/>
  <c r="H651" i="13"/>
  <c r="I651" i="13"/>
  <c r="J651" i="13"/>
  <c r="F652" i="13"/>
  <c r="G652" i="13"/>
  <c r="H652" i="13"/>
  <c r="I652" i="13"/>
  <c r="J652" i="13"/>
  <c r="F653" i="13"/>
  <c r="G653" i="13"/>
  <c r="H653" i="13"/>
  <c r="I653" i="13"/>
  <c r="J653" i="13"/>
  <c r="F654" i="13"/>
  <c r="G654" i="13"/>
  <c r="H654" i="13"/>
  <c r="I654" i="13"/>
  <c r="J654" i="13"/>
  <c r="F655" i="13"/>
  <c r="G655" i="13"/>
  <c r="H655" i="13"/>
  <c r="I655" i="13"/>
  <c r="J655" i="13"/>
  <c r="F656" i="13"/>
  <c r="G656" i="13"/>
  <c r="H656" i="13"/>
  <c r="I656" i="13"/>
  <c r="J656" i="13"/>
  <c r="F657" i="13"/>
  <c r="G657" i="13"/>
  <c r="H657" i="13"/>
  <c r="I657" i="13"/>
  <c r="J657" i="13"/>
  <c r="F658" i="13"/>
  <c r="G658" i="13"/>
  <c r="H658" i="13"/>
  <c r="I658" i="13"/>
  <c r="J658" i="13"/>
  <c r="F659" i="13"/>
  <c r="G659" i="13"/>
  <c r="H659" i="13"/>
  <c r="I659" i="13"/>
  <c r="J659" i="13"/>
  <c r="F660" i="13"/>
  <c r="G660" i="13"/>
  <c r="H660" i="13"/>
  <c r="I660" i="13"/>
  <c r="J660" i="13"/>
  <c r="F661" i="13"/>
  <c r="G661" i="13"/>
  <c r="H661" i="13"/>
  <c r="I661" i="13"/>
  <c r="J661" i="13"/>
  <c r="F662" i="13"/>
  <c r="G662" i="13"/>
  <c r="H662" i="13"/>
  <c r="I662" i="13"/>
  <c r="J662" i="13"/>
  <c r="F663" i="13"/>
  <c r="G663" i="13"/>
  <c r="H663" i="13"/>
  <c r="I663" i="13"/>
  <c r="J663" i="13"/>
  <c r="F664" i="13"/>
  <c r="G664" i="13"/>
  <c r="H664" i="13"/>
  <c r="I664" i="13"/>
  <c r="J664" i="13"/>
  <c r="F665" i="13"/>
  <c r="G665" i="13"/>
  <c r="H665" i="13"/>
  <c r="I665" i="13"/>
  <c r="J665" i="13"/>
  <c r="F666" i="13"/>
  <c r="G666" i="13"/>
  <c r="H666" i="13"/>
  <c r="I666" i="13"/>
  <c r="J666" i="13"/>
  <c r="F667" i="13"/>
  <c r="G667" i="13"/>
  <c r="H667" i="13"/>
  <c r="I667" i="13"/>
  <c r="J667" i="13"/>
  <c r="F668" i="13"/>
  <c r="G668" i="13"/>
  <c r="H668" i="13"/>
  <c r="I668" i="13"/>
  <c r="J668" i="13"/>
  <c r="F669" i="13"/>
  <c r="G669" i="13"/>
  <c r="H669" i="13"/>
  <c r="I669" i="13"/>
  <c r="J669" i="13"/>
  <c r="F670" i="13"/>
  <c r="G670" i="13"/>
  <c r="H670" i="13"/>
  <c r="I670" i="13"/>
  <c r="J670" i="13"/>
  <c r="F671" i="13"/>
  <c r="G671" i="13"/>
  <c r="H671" i="13"/>
  <c r="I671" i="13"/>
  <c r="J671" i="13"/>
  <c r="F672" i="13"/>
  <c r="G672" i="13"/>
  <c r="H672" i="13"/>
  <c r="I672" i="13"/>
  <c r="J672" i="13"/>
  <c r="F673" i="13"/>
  <c r="G673" i="13"/>
  <c r="H673" i="13"/>
  <c r="I673" i="13"/>
  <c r="J673" i="13"/>
  <c r="F674" i="13"/>
  <c r="G674" i="13"/>
  <c r="H674" i="13"/>
  <c r="I674" i="13"/>
  <c r="J674" i="13"/>
  <c r="F675" i="13"/>
  <c r="G675" i="13"/>
  <c r="H675" i="13"/>
  <c r="I675" i="13"/>
  <c r="J675" i="13"/>
  <c r="F676" i="13"/>
  <c r="G676" i="13"/>
  <c r="H676" i="13"/>
  <c r="I676" i="13"/>
  <c r="J676" i="13"/>
  <c r="F677" i="13"/>
  <c r="G677" i="13"/>
  <c r="H677" i="13"/>
  <c r="I677" i="13"/>
  <c r="J677" i="13"/>
  <c r="F678" i="13"/>
  <c r="G678" i="13"/>
  <c r="H678" i="13"/>
  <c r="I678" i="13"/>
  <c r="J678" i="13"/>
  <c r="F679" i="13"/>
  <c r="G679" i="13"/>
  <c r="H679" i="13"/>
  <c r="I679" i="13"/>
  <c r="J679" i="13"/>
  <c r="F680" i="13"/>
  <c r="G680" i="13"/>
  <c r="H680" i="13"/>
  <c r="I680" i="13"/>
  <c r="J680" i="13"/>
  <c r="F681" i="13"/>
  <c r="G681" i="13"/>
  <c r="H681" i="13"/>
  <c r="I681" i="13"/>
  <c r="J681" i="13"/>
  <c r="F682" i="13"/>
  <c r="G682" i="13"/>
  <c r="H682" i="13"/>
  <c r="I682" i="13"/>
  <c r="J682" i="13"/>
  <c r="F683" i="13"/>
  <c r="G683" i="13"/>
  <c r="H683" i="13"/>
  <c r="I683" i="13"/>
  <c r="J683" i="13"/>
  <c r="F684" i="13"/>
  <c r="G684" i="13"/>
  <c r="H684" i="13"/>
  <c r="I684" i="13"/>
  <c r="J684" i="13"/>
  <c r="F685" i="13"/>
  <c r="G685" i="13"/>
  <c r="H685" i="13"/>
  <c r="I685" i="13"/>
  <c r="J685" i="13"/>
  <c r="F686" i="13"/>
  <c r="G686" i="13"/>
  <c r="H686" i="13"/>
  <c r="I686" i="13"/>
  <c r="J686" i="13"/>
  <c r="F687" i="13"/>
  <c r="G687" i="13"/>
  <c r="H687" i="13"/>
  <c r="I687" i="13"/>
  <c r="J687" i="13"/>
  <c r="F688" i="13"/>
  <c r="G688" i="13"/>
  <c r="H688" i="13"/>
  <c r="I688" i="13"/>
  <c r="J688" i="13"/>
  <c r="F689" i="13"/>
  <c r="G689" i="13"/>
  <c r="H689" i="13"/>
  <c r="I689" i="13"/>
  <c r="J689" i="13"/>
  <c r="F690" i="13"/>
  <c r="G690" i="13"/>
  <c r="H690" i="13"/>
  <c r="I690" i="13"/>
  <c r="J690" i="13"/>
  <c r="F691" i="13"/>
  <c r="G691" i="13"/>
  <c r="H691" i="13"/>
  <c r="I691" i="13"/>
  <c r="J691" i="13"/>
  <c r="F692" i="13"/>
  <c r="G692" i="13"/>
  <c r="H692" i="13"/>
  <c r="I692" i="13"/>
  <c r="J692" i="13"/>
  <c r="F693" i="13"/>
  <c r="G693" i="13"/>
  <c r="H693" i="13"/>
  <c r="I693" i="13"/>
  <c r="J693" i="13"/>
  <c r="F694" i="13"/>
  <c r="G694" i="13"/>
  <c r="H694" i="13"/>
  <c r="I694" i="13"/>
  <c r="J694" i="13"/>
  <c r="F695" i="13"/>
  <c r="G695" i="13"/>
  <c r="H695" i="13"/>
  <c r="I695" i="13"/>
  <c r="J695" i="13"/>
  <c r="F696" i="13"/>
  <c r="G696" i="13"/>
  <c r="H696" i="13"/>
  <c r="I696" i="13"/>
  <c r="J696" i="13"/>
  <c r="F697" i="13"/>
  <c r="G697" i="13"/>
  <c r="H697" i="13"/>
  <c r="I697" i="13"/>
  <c r="J697" i="13"/>
  <c r="F698" i="13"/>
  <c r="G698" i="13"/>
  <c r="H698" i="13"/>
  <c r="I698" i="13"/>
  <c r="J698" i="13"/>
  <c r="F699" i="13"/>
  <c r="G699" i="13"/>
  <c r="H699" i="13"/>
  <c r="I699" i="13"/>
  <c r="J699" i="13"/>
  <c r="F700" i="13"/>
  <c r="G700" i="13"/>
  <c r="H700" i="13"/>
  <c r="I700" i="13"/>
  <c r="J700" i="13"/>
  <c r="F701" i="13"/>
  <c r="G701" i="13"/>
  <c r="H701" i="13"/>
  <c r="I701" i="13"/>
  <c r="J701" i="13"/>
  <c r="F702" i="13"/>
  <c r="G702" i="13"/>
  <c r="H702" i="13"/>
  <c r="I702" i="13"/>
  <c r="J702" i="13"/>
  <c r="F703" i="13"/>
  <c r="G703" i="13"/>
  <c r="H703" i="13"/>
  <c r="I703" i="13"/>
  <c r="J703" i="13"/>
  <c r="F704" i="13"/>
  <c r="G704" i="13"/>
  <c r="H704" i="13"/>
  <c r="I704" i="13"/>
  <c r="J704" i="13"/>
  <c r="F705" i="13"/>
  <c r="G705" i="13"/>
  <c r="H705" i="13"/>
  <c r="I705" i="13"/>
  <c r="J705" i="13"/>
  <c r="F706" i="13"/>
  <c r="G706" i="13"/>
  <c r="H706" i="13"/>
  <c r="I706" i="13"/>
  <c r="J706" i="13"/>
  <c r="F707" i="13"/>
  <c r="G707" i="13"/>
  <c r="H707" i="13"/>
  <c r="I707" i="13"/>
  <c r="J707" i="13"/>
  <c r="F708" i="13"/>
  <c r="G708" i="13"/>
  <c r="H708" i="13"/>
  <c r="I708" i="13"/>
  <c r="J708" i="13"/>
  <c r="F709" i="13"/>
  <c r="G709" i="13"/>
  <c r="H709" i="13"/>
  <c r="I709" i="13"/>
  <c r="J709" i="13"/>
  <c r="F710" i="13"/>
  <c r="G710" i="13"/>
  <c r="H710" i="13"/>
  <c r="I710" i="13"/>
  <c r="J710" i="13"/>
  <c r="F711" i="13"/>
  <c r="G711" i="13"/>
  <c r="H711" i="13"/>
  <c r="I711" i="13"/>
  <c r="J711" i="13"/>
  <c r="F712" i="13"/>
  <c r="G712" i="13"/>
  <c r="H712" i="13"/>
  <c r="I712" i="13"/>
  <c r="J712" i="13"/>
  <c r="F713" i="13"/>
  <c r="G713" i="13"/>
  <c r="H713" i="13"/>
  <c r="I713" i="13"/>
  <c r="J713" i="13"/>
  <c r="F714" i="13"/>
  <c r="G714" i="13"/>
  <c r="H714" i="13"/>
  <c r="I714" i="13"/>
  <c r="J714" i="13"/>
  <c r="F715" i="13"/>
  <c r="G715" i="13"/>
  <c r="H715" i="13"/>
  <c r="I715" i="13"/>
  <c r="J715" i="13"/>
  <c r="F716" i="13"/>
  <c r="G716" i="13"/>
  <c r="H716" i="13"/>
  <c r="I716" i="13"/>
  <c r="J716" i="13"/>
  <c r="F717" i="13"/>
  <c r="G717" i="13"/>
  <c r="H717" i="13"/>
  <c r="I717" i="13"/>
  <c r="J717" i="13"/>
  <c r="F718" i="13"/>
  <c r="G718" i="13"/>
  <c r="H718" i="13"/>
  <c r="I718" i="13"/>
  <c r="J718" i="13"/>
  <c r="F719" i="13"/>
  <c r="G719" i="13"/>
  <c r="H719" i="13"/>
  <c r="I719" i="13"/>
  <c r="J719" i="13"/>
  <c r="F720" i="13"/>
  <c r="G720" i="13"/>
  <c r="H720" i="13"/>
  <c r="I720" i="13"/>
  <c r="J720" i="13"/>
  <c r="F721" i="13"/>
  <c r="G721" i="13"/>
  <c r="H721" i="13"/>
  <c r="I721" i="13"/>
  <c r="J721" i="13"/>
  <c r="F722" i="13"/>
  <c r="G722" i="13"/>
  <c r="H722" i="13"/>
  <c r="I722" i="13"/>
  <c r="J722" i="13"/>
  <c r="F723" i="13"/>
  <c r="G723" i="13"/>
  <c r="H723" i="13"/>
  <c r="I723" i="13"/>
  <c r="J723" i="13"/>
  <c r="F724" i="13"/>
  <c r="G724" i="13"/>
  <c r="H724" i="13"/>
  <c r="I724" i="13"/>
  <c r="J724" i="13"/>
  <c r="F725" i="13"/>
  <c r="G725" i="13"/>
  <c r="H725" i="13"/>
  <c r="I725" i="13"/>
  <c r="J725" i="13"/>
  <c r="F726" i="13"/>
  <c r="G726" i="13"/>
  <c r="H726" i="13"/>
  <c r="I726" i="13"/>
  <c r="J726" i="13"/>
  <c r="F727" i="13"/>
  <c r="G727" i="13"/>
  <c r="H727" i="13"/>
  <c r="I727" i="13"/>
  <c r="J727" i="13"/>
  <c r="F728" i="13"/>
  <c r="G728" i="13"/>
  <c r="H728" i="13"/>
  <c r="I728" i="13"/>
  <c r="J728" i="13"/>
  <c r="F729" i="13"/>
  <c r="G729" i="13"/>
  <c r="H729" i="13"/>
  <c r="I729" i="13"/>
  <c r="J729" i="13"/>
  <c r="F730" i="13"/>
  <c r="G730" i="13"/>
  <c r="H730" i="13"/>
  <c r="I730" i="13"/>
  <c r="J730" i="13"/>
  <c r="F731" i="13"/>
  <c r="G731" i="13"/>
  <c r="H731" i="13"/>
  <c r="I731" i="13"/>
  <c r="J731" i="13"/>
  <c r="F732" i="13"/>
  <c r="G732" i="13"/>
  <c r="H732" i="13"/>
  <c r="I732" i="13"/>
  <c r="J732" i="13"/>
  <c r="F733" i="13"/>
  <c r="G733" i="13"/>
  <c r="H733" i="13"/>
  <c r="I733" i="13"/>
  <c r="J733" i="13"/>
  <c r="F734" i="13"/>
  <c r="G734" i="13"/>
  <c r="H734" i="13"/>
  <c r="I734" i="13"/>
  <c r="J734" i="13"/>
  <c r="F735" i="13"/>
  <c r="G735" i="13"/>
  <c r="H735" i="13"/>
  <c r="I735" i="13"/>
  <c r="J735" i="13"/>
  <c r="F736" i="13"/>
  <c r="G736" i="13"/>
  <c r="H736" i="13"/>
  <c r="I736" i="13"/>
  <c r="J736" i="13"/>
  <c r="F737" i="13"/>
  <c r="G737" i="13"/>
  <c r="H737" i="13"/>
  <c r="I737" i="13"/>
  <c r="J737" i="13"/>
  <c r="F738" i="13"/>
  <c r="G738" i="13"/>
  <c r="H738" i="13"/>
  <c r="I738" i="13"/>
  <c r="J738" i="13"/>
  <c r="F739" i="13"/>
  <c r="G739" i="13"/>
  <c r="H739" i="13"/>
  <c r="I739" i="13"/>
  <c r="J739" i="13"/>
  <c r="F740" i="13"/>
  <c r="G740" i="13"/>
  <c r="H740" i="13"/>
  <c r="I740" i="13"/>
  <c r="J740" i="13"/>
  <c r="F741" i="13"/>
  <c r="G741" i="13"/>
  <c r="H741" i="13"/>
  <c r="I741" i="13"/>
  <c r="J741" i="13"/>
  <c r="F742" i="13"/>
  <c r="G742" i="13"/>
  <c r="H742" i="13"/>
  <c r="I742" i="13"/>
  <c r="J742" i="13"/>
  <c r="F743" i="13"/>
  <c r="G743" i="13"/>
  <c r="H743" i="13"/>
  <c r="I743" i="13"/>
  <c r="J743" i="13"/>
  <c r="F744" i="13"/>
  <c r="G744" i="13"/>
  <c r="H744" i="13"/>
  <c r="I744" i="13"/>
  <c r="J744" i="13"/>
  <c r="F745" i="13"/>
  <c r="G745" i="13"/>
  <c r="H745" i="13"/>
  <c r="I745" i="13"/>
  <c r="J745" i="13"/>
  <c r="F746" i="13"/>
  <c r="G746" i="13"/>
  <c r="H746" i="13"/>
  <c r="I746" i="13"/>
  <c r="J746" i="13"/>
  <c r="F747" i="13"/>
  <c r="G747" i="13"/>
  <c r="H747" i="13"/>
  <c r="I747" i="13"/>
  <c r="J747" i="13"/>
  <c r="F748" i="13"/>
  <c r="G748" i="13"/>
  <c r="H748" i="13"/>
  <c r="I748" i="13"/>
  <c r="J748" i="13"/>
  <c r="F749" i="13"/>
  <c r="G749" i="13"/>
  <c r="H749" i="13"/>
  <c r="I749" i="13"/>
  <c r="J749" i="13"/>
  <c r="F750" i="13"/>
  <c r="G750" i="13"/>
  <c r="H750" i="13"/>
  <c r="I750" i="13"/>
  <c r="J750" i="13"/>
  <c r="F751" i="13"/>
  <c r="G751" i="13"/>
  <c r="H751" i="13"/>
  <c r="I751" i="13"/>
  <c r="J751" i="13"/>
  <c r="F752" i="13"/>
  <c r="G752" i="13"/>
  <c r="H752" i="13"/>
  <c r="I752" i="13"/>
  <c r="J752" i="13"/>
  <c r="F753" i="13"/>
  <c r="G753" i="13"/>
  <c r="H753" i="13"/>
  <c r="I753" i="13"/>
  <c r="J753" i="13"/>
  <c r="F754" i="13"/>
  <c r="G754" i="13"/>
  <c r="H754" i="13"/>
  <c r="I754" i="13"/>
  <c r="J754" i="13"/>
  <c r="F755" i="13"/>
  <c r="G755" i="13"/>
  <c r="H755" i="13"/>
  <c r="I755" i="13"/>
  <c r="J755" i="13"/>
  <c r="F756" i="13"/>
  <c r="G756" i="13"/>
  <c r="H756" i="13"/>
  <c r="I756" i="13"/>
  <c r="J756" i="13"/>
  <c r="F757" i="13"/>
  <c r="G757" i="13"/>
  <c r="H757" i="13"/>
  <c r="I757" i="13"/>
  <c r="J757" i="13"/>
  <c r="F758" i="13"/>
  <c r="G758" i="13"/>
  <c r="H758" i="13"/>
  <c r="I758" i="13"/>
  <c r="J758" i="13"/>
  <c r="F759" i="13"/>
  <c r="G759" i="13"/>
  <c r="H759" i="13"/>
  <c r="I759" i="13"/>
  <c r="J759" i="13"/>
  <c r="F760" i="13"/>
  <c r="G760" i="13"/>
  <c r="H760" i="13"/>
  <c r="I760" i="13"/>
  <c r="J760" i="13"/>
  <c r="F761" i="13"/>
  <c r="G761" i="13"/>
  <c r="H761" i="13"/>
  <c r="I761" i="13"/>
  <c r="J761" i="13"/>
  <c r="F762" i="13"/>
  <c r="G762" i="13"/>
  <c r="H762" i="13"/>
  <c r="I762" i="13"/>
  <c r="J762" i="13"/>
  <c r="F763" i="13"/>
  <c r="G763" i="13"/>
  <c r="H763" i="13"/>
  <c r="I763" i="13"/>
  <c r="J763" i="13"/>
  <c r="F764" i="13"/>
  <c r="G764" i="13"/>
  <c r="H764" i="13"/>
  <c r="I764" i="13"/>
  <c r="J764" i="13"/>
  <c r="F765" i="13"/>
  <c r="G765" i="13"/>
  <c r="H765" i="13"/>
  <c r="I765" i="13"/>
  <c r="J765" i="13"/>
  <c r="F766" i="13"/>
  <c r="G766" i="13"/>
  <c r="H766" i="13"/>
  <c r="I766" i="13"/>
  <c r="J766" i="13"/>
  <c r="F767" i="13"/>
  <c r="G767" i="13"/>
  <c r="H767" i="13"/>
  <c r="I767" i="13"/>
  <c r="J767" i="13"/>
  <c r="F768" i="13"/>
  <c r="G768" i="13"/>
  <c r="H768" i="13"/>
  <c r="I768" i="13"/>
  <c r="J768" i="13"/>
  <c r="F769" i="13"/>
  <c r="G769" i="13"/>
  <c r="H769" i="13"/>
  <c r="I769" i="13"/>
  <c r="J769" i="13"/>
  <c r="F770" i="13"/>
  <c r="G770" i="13"/>
  <c r="H770" i="13"/>
  <c r="I770" i="13"/>
  <c r="J770" i="13"/>
  <c r="F771" i="13"/>
  <c r="G771" i="13"/>
  <c r="H771" i="13"/>
  <c r="I771" i="13"/>
  <c r="J771" i="13"/>
  <c r="F772" i="13"/>
  <c r="G772" i="13"/>
  <c r="H772" i="13"/>
  <c r="I772" i="13"/>
  <c r="J772" i="13"/>
  <c r="F773" i="13"/>
  <c r="G773" i="13"/>
  <c r="H773" i="13"/>
  <c r="I773" i="13"/>
  <c r="J773" i="13"/>
  <c r="F774" i="13"/>
  <c r="G774" i="13"/>
  <c r="H774" i="13"/>
  <c r="I774" i="13"/>
  <c r="J774" i="13"/>
  <c r="F775" i="13"/>
  <c r="G775" i="13"/>
  <c r="H775" i="13"/>
  <c r="I775" i="13"/>
  <c r="J775" i="13"/>
  <c r="F776" i="13"/>
  <c r="G776" i="13"/>
  <c r="H776" i="13"/>
  <c r="I776" i="13"/>
  <c r="J776" i="13"/>
  <c r="F777" i="13"/>
  <c r="G777" i="13"/>
  <c r="H777" i="13"/>
  <c r="I777" i="13"/>
  <c r="J777" i="13"/>
  <c r="F778" i="13"/>
  <c r="G778" i="13"/>
  <c r="H778" i="13"/>
  <c r="I778" i="13"/>
  <c r="J778" i="13"/>
  <c r="F779" i="13"/>
  <c r="G779" i="13"/>
  <c r="H779" i="13"/>
  <c r="I779" i="13"/>
  <c r="J779" i="13"/>
  <c r="F780" i="13"/>
  <c r="G780" i="13"/>
  <c r="H780" i="13"/>
  <c r="I780" i="13"/>
  <c r="J780" i="13"/>
  <c r="F781" i="13"/>
  <c r="G781" i="13"/>
  <c r="H781" i="13"/>
  <c r="I781" i="13"/>
  <c r="J781" i="13"/>
  <c r="F782" i="13"/>
  <c r="G782" i="13"/>
  <c r="H782" i="13"/>
  <c r="I782" i="13"/>
  <c r="J782" i="13"/>
  <c r="F783" i="13"/>
  <c r="G783" i="13"/>
  <c r="H783" i="13"/>
  <c r="I783" i="13"/>
  <c r="J783" i="13"/>
  <c r="F784" i="13"/>
  <c r="G784" i="13"/>
  <c r="H784" i="13"/>
  <c r="I784" i="13"/>
  <c r="J784" i="13"/>
  <c r="F785" i="13"/>
  <c r="G785" i="13"/>
  <c r="H785" i="13"/>
  <c r="I785" i="13"/>
  <c r="J785" i="13"/>
  <c r="F786" i="13"/>
  <c r="G786" i="13"/>
  <c r="H786" i="13"/>
  <c r="I786" i="13"/>
  <c r="J786" i="13"/>
  <c r="F787" i="13"/>
  <c r="G787" i="13"/>
  <c r="H787" i="13"/>
  <c r="I787" i="13"/>
  <c r="J787" i="13"/>
  <c r="F788" i="13"/>
  <c r="G788" i="13"/>
  <c r="H788" i="13"/>
  <c r="I788" i="13"/>
  <c r="J788" i="13"/>
  <c r="F789" i="13"/>
  <c r="G789" i="13"/>
  <c r="H789" i="13"/>
  <c r="I789" i="13"/>
  <c r="J789" i="13"/>
  <c r="F790" i="13"/>
  <c r="G790" i="13"/>
  <c r="H790" i="13"/>
  <c r="I790" i="13"/>
  <c r="J790" i="13"/>
  <c r="F791" i="13"/>
  <c r="G791" i="13"/>
  <c r="H791" i="13"/>
  <c r="I791" i="13"/>
  <c r="J791" i="13"/>
  <c r="F792" i="13"/>
  <c r="G792" i="13"/>
  <c r="H792" i="13"/>
  <c r="I792" i="13"/>
  <c r="J792" i="13"/>
  <c r="F793" i="13"/>
  <c r="G793" i="13"/>
  <c r="H793" i="13"/>
  <c r="I793" i="13"/>
  <c r="J793" i="13"/>
  <c r="F794" i="13"/>
  <c r="G794" i="13"/>
  <c r="H794" i="13"/>
  <c r="I794" i="13"/>
  <c r="J794" i="13"/>
  <c r="F795" i="13"/>
  <c r="G795" i="13"/>
  <c r="H795" i="13"/>
  <c r="I795" i="13"/>
  <c r="J795" i="13"/>
  <c r="F796" i="13"/>
  <c r="G796" i="13"/>
  <c r="H796" i="13"/>
  <c r="I796" i="13"/>
  <c r="J796" i="13"/>
  <c r="F797" i="13"/>
  <c r="G797" i="13"/>
  <c r="H797" i="13"/>
  <c r="I797" i="13"/>
  <c r="J797" i="13"/>
  <c r="F798" i="13"/>
  <c r="G798" i="13"/>
  <c r="H798" i="13"/>
  <c r="I798" i="13"/>
  <c r="J798" i="13"/>
  <c r="F799" i="13"/>
  <c r="G799" i="13"/>
  <c r="H799" i="13"/>
  <c r="I799" i="13"/>
  <c r="J799" i="13"/>
  <c r="F800" i="13"/>
  <c r="G800" i="13"/>
  <c r="H800" i="13"/>
  <c r="I800" i="13"/>
  <c r="J800" i="13"/>
  <c r="F801" i="13"/>
  <c r="G801" i="13"/>
  <c r="H801" i="13"/>
  <c r="I801" i="13"/>
  <c r="J801" i="13"/>
  <c r="F802" i="13"/>
  <c r="G802" i="13"/>
  <c r="H802" i="13"/>
  <c r="I802" i="13"/>
  <c r="J802" i="13"/>
  <c r="F803" i="13"/>
  <c r="G803" i="13"/>
  <c r="H803" i="13"/>
  <c r="I803" i="13"/>
  <c r="J803" i="13"/>
  <c r="F804" i="13"/>
  <c r="G804" i="13"/>
  <c r="H804" i="13"/>
  <c r="I804" i="13"/>
  <c r="J804" i="13"/>
  <c r="F805" i="13"/>
  <c r="G805" i="13"/>
  <c r="H805" i="13"/>
  <c r="I805" i="13"/>
  <c r="J805" i="13"/>
  <c r="F806" i="13"/>
  <c r="G806" i="13"/>
  <c r="H806" i="13"/>
  <c r="I806" i="13"/>
  <c r="J806" i="13"/>
  <c r="F807" i="13"/>
  <c r="G807" i="13"/>
  <c r="H807" i="13"/>
  <c r="I807" i="13"/>
  <c r="J807" i="13"/>
  <c r="F808" i="13"/>
  <c r="G808" i="13"/>
  <c r="H808" i="13"/>
  <c r="I808" i="13"/>
  <c r="J808" i="13"/>
  <c r="F809" i="13"/>
  <c r="G809" i="13"/>
  <c r="H809" i="13"/>
  <c r="I809" i="13"/>
  <c r="J809" i="13"/>
  <c r="F810" i="13"/>
  <c r="G810" i="13"/>
  <c r="H810" i="13"/>
  <c r="I810" i="13"/>
  <c r="J810" i="13"/>
  <c r="F811" i="13"/>
  <c r="G811" i="13"/>
  <c r="H811" i="13"/>
  <c r="I811" i="13"/>
  <c r="J811" i="13"/>
  <c r="F812" i="13"/>
  <c r="G812" i="13"/>
  <c r="H812" i="13"/>
  <c r="I812" i="13"/>
  <c r="J812" i="13"/>
  <c r="F813" i="13"/>
  <c r="G813" i="13"/>
  <c r="H813" i="13"/>
  <c r="I813" i="13"/>
  <c r="J813" i="13"/>
  <c r="F814" i="13"/>
  <c r="G814" i="13"/>
  <c r="H814" i="13"/>
  <c r="I814" i="13"/>
  <c r="J814" i="13"/>
  <c r="F815" i="13"/>
  <c r="G815" i="13"/>
  <c r="H815" i="13"/>
  <c r="I815" i="13"/>
  <c r="J815" i="13"/>
  <c r="F816" i="13"/>
  <c r="G816" i="13"/>
  <c r="H816" i="13"/>
  <c r="I816" i="13"/>
  <c r="J816" i="13"/>
  <c r="F817" i="13"/>
  <c r="G817" i="13"/>
  <c r="H817" i="13"/>
  <c r="I817" i="13"/>
  <c r="J817" i="13"/>
  <c r="F818" i="13"/>
  <c r="G818" i="13"/>
  <c r="H818" i="13"/>
  <c r="I818" i="13"/>
  <c r="J818" i="13"/>
  <c r="F819" i="13"/>
  <c r="G819" i="13"/>
  <c r="H819" i="13"/>
  <c r="I819" i="13"/>
  <c r="J819" i="13"/>
  <c r="F820" i="13"/>
  <c r="G820" i="13"/>
  <c r="H820" i="13"/>
  <c r="I820" i="13"/>
  <c r="J820" i="13"/>
  <c r="F821" i="13"/>
  <c r="G821" i="13"/>
  <c r="H821" i="13"/>
  <c r="I821" i="13"/>
  <c r="J821" i="13"/>
  <c r="F822" i="13"/>
  <c r="G822" i="13"/>
  <c r="H822" i="13"/>
  <c r="I822" i="13"/>
  <c r="J822" i="13"/>
  <c r="F823" i="13"/>
  <c r="G823" i="13"/>
  <c r="H823" i="13"/>
  <c r="I823" i="13"/>
  <c r="J823" i="13"/>
  <c r="F824" i="13"/>
  <c r="G824" i="13"/>
  <c r="H824" i="13"/>
  <c r="I824" i="13"/>
  <c r="J824" i="13"/>
  <c r="F825" i="13"/>
  <c r="G825" i="13"/>
  <c r="H825" i="13"/>
  <c r="I825" i="13"/>
  <c r="J825" i="13"/>
  <c r="F826" i="13"/>
  <c r="G826" i="13"/>
  <c r="H826" i="13"/>
  <c r="I826" i="13"/>
  <c r="J826" i="13"/>
  <c r="F827" i="13"/>
  <c r="G827" i="13"/>
  <c r="H827" i="13"/>
  <c r="I827" i="13"/>
  <c r="J827" i="13"/>
  <c r="F828" i="13"/>
  <c r="G828" i="13"/>
  <c r="H828" i="13"/>
  <c r="I828" i="13"/>
  <c r="J828" i="13"/>
  <c r="F829" i="13"/>
  <c r="G829" i="13"/>
  <c r="H829" i="13"/>
  <c r="I829" i="13"/>
  <c r="J829" i="13"/>
  <c r="F830" i="13"/>
  <c r="G830" i="13"/>
  <c r="H830" i="13"/>
  <c r="I830" i="13"/>
  <c r="J830" i="13"/>
  <c r="F831" i="13"/>
  <c r="G831" i="13"/>
  <c r="H831" i="13"/>
  <c r="I831" i="13"/>
  <c r="J831" i="13"/>
  <c r="F832" i="13"/>
  <c r="G832" i="13"/>
  <c r="H832" i="13"/>
  <c r="I832" i="13"/>
  <c r="J832" i="13"/>
  <c r="F833" i="13"/>
  <c r="G833" i="13"/>
  <c r="H833" i="13"/>
  <c r="I833" i="13"/>
  <c r="J833" i="13"/>
  <c r="F834" i="13"/>
  <c r="G834" i="13"/>
  <c r="H834" i="13"/>
  <c r="I834" i="13"/>
  <c r="J834" i="13"/>
  <c r="F835" i="13"/>
  <c r="G835" i="13"/>
  <c r="H835" i="13"/>
  <c r="I835" i="13"/>
  <c r="J835" i="13"/>
  <c r="F836" i="13"/>
  <c r="G836" i="13"/>
  <c r="H836" i="13"/>
  <c r="I836" i="13"/>
  <c r="J836" i="13"/>
  <c r="F837" i="13"/>
  <c r="G837" i="13"/>
  <c r="H837" i="13"/>
  <c r="I837" i="13"/>
  <c r="J837" i="13"/>
  <c r="F838" i="13"/>
  <c r="G838" i="13"/>
  <c r="H838" i="13"/>
  <c r="I838" i="13"/>
  <c r="J838" i="13"/>
  <c r="F839" i="13"/>
  <c r="G839" i="13"/>
  <c r="H839" i="13"/>
  <c r="I839" i="13"/>
  <c r="J839" i="13"/>
  <c r="F841" i="13"/>
  <c r="G841" i="13"/>
  <c r="H841" i="13"/>
  <c r="I841" i="13"/>
  <c r="J841" i="13"/>
  <c r="F842" i="13"/>
  <c r="G842" i="13"/>
  <c r="H842" i="13"/>
  <c r="I842" i="13"/>
  <c r="J842" i="13"/>
  <c r="F843" i="13"/>
  <c r="G843" i="13"/>
  <c r="H843" i="13"/>
  <c r="I843" i="13"/>
  <c r="J843" i="13"/>
  <c r="F844" i="13"/>
  <c r="G844" i="13"/>
  <c r="H844" i="13"/>
  <c r="I844" i="13"/>
  <c r="J844" i="13"/>
  <c r="F845" i="13"/>
  <c r="G845" i="13"/>
  <c r="H845" i="13"/>
  <c r="I845" i="13"/>
  <c r="J845" i="13"/>
  <c r="F846" i="13"/>
  <c r="G846" i="13"/>
  <c r="H846" i="13"/>
  <c r="I846" i="13"/>
  <c r="J846" i="13"/>
  <c r="F847" i="13"/>
  <c r="G847" i="13"/>
  <c r="H847" i="13"/>
  <c r="I847" i="13"/>
  <c r="J847" i="13"/>
  <c r="F848" i="13"/>
  <c r="G848" i="13"/>
  <c r="H848" i="13"/>
  <c r="I848" i="13"/>
  <c r="J848" i="13"/>
  <c r="F849" i="13"/>
  <c r="G849" i="13"/>
  <c r="H849" i="13"/>
  <c r="I849" i="13"/>
  <c r="J849" i="13"/>
  <c r="F850" i="13"/>
  <c r="G850" i="13"/>
  <c r="H850" i="13"/>
  <c r="I850" i="13"/>
  <c r="J850" i="13"/>
  <c r="F851" i="13"/>
  <c r="G851" i="13"/>
  <c r="H851" i="13"/>
  <c r="I851" i="13"/>
  <c r="J851" i="13"/>
  <c r="F852" i="13"/>
  <c r="G852" i="13"/>
  <c r="H852" i="13"/>
  <c r="I852" i="13"/>
  <c r="J852" i="13"/>
  <c r="F853" i="13"/>
  <c r="G853" i="13"/>
  <c r="H853" i="13"/>
  <c r="I853" i="13"/>
  <c r="J853" i="13"/>
  <c r="F854" i="13"/>
  <c r="G854" i="13"/>
  <c r="H854" i="13"/>
  <c r="I854" i="13"/>
  <c r="J854" i="13"/>
  <c r="F855" i="13"/>
  <c r="G855" i="13"/>
  <c r="H855" i="13"/>
  <c r="I855" i="13"/>
  <c r="J855" i="13"/>
  <c r="F856" i="13"/>
  <c r="G856" i="13"/>
  <c r="H856" i="13"/>
  <c r="I856" i="13"/>
  <c r="J856" i="13"/>
  <c r="F857" i="13"/>
  <c r="G857" i="13"/>
  <c r="H857" i="13"/>
  <c r="I857" i="13"/>
  <c r="J857" i="13"/>
  <c r="F858" i="13"/>
  <c r="G858" i="13"/>
  <c r="H858" i="13"/>
  <c r="I858" i="13"/>
  <c r="J858" i="13"/>
  <c r="F859" i="13"/>
  <c r="G859" i="13"/>
  <c r="H859" i="13"/>
  <c r="I859" i="13"/>
  <c r="J859" i="13"/>
  <c r="F860" i="13"/>
  <c r="G860" i="13"/>
  <c r="H860" i="13"/>
  <c r="I860" i="13"/>
  <c r="J860" i="13"/>
  <c r="F861" i="13"/>
  <c r="G861" i="13"/>
  <c r="H861" i="13"/>
  <c r="I861" i="13"/>
  <c r="J861" i="13"/>
  <c r="F862" i="13"/>
  <c r="G862" i="13"/>
  <c r="H862" i="13"/>
  <c r="I862" i="13"/>
  <c r="J862" i="13"/>
  <c r="F863" i="13"/>
  <c r="G863" i="13"/>
  <c r="H863" i="13"/>
  <c r="I863" i="13"/>
  <c r="J863" i="13"/>
  <c r="F864" i="13"/>
  <c r="G864" i="13"/>
  <c r="H864" i="13"/>
  <c r="I864" i="13"/>
  <c r="J864" i="13"/>
  <c r="F865" i="13"/>
  <c r="G865" i="13"/>
  <c r="H865" i="13"/>
  <c r="I865" i="13"/>
  <c r="J865" i="13"/>
  <c r="F866" i="13"/>
  <c r="G866" i="13"/>
  <c r="H866" i="13"/>
  <c r="I866" i="13"/>
  <c r="J866" i="13"/>
  <c r="F867" i="13"/>
  <c r="G867" i="13"/>
  <c r="H867" i="13"/>
  <c r="I867" i="13"/>
  <c r="J867" i="13"/>
  <c r="F868" i="13"/>
  <c r="G868" i="13"/>
  <c r="H868" i="13"/>
  <c r="I868" i="13"/>
  <c r="J868" i="13"/>
  <c r="F869" i="13"/>
  <c r="G869" i="13"/>
  <c r="H869" i="13"/>
  <c r="I869" i="13"/>
  <c r="J869" i="13"/>
  <c r="F870" i="13"/>
  <c r="G870" i="13"/>
  <c r="H870" i="13"/>
  <c r="I870" i="13"/>
  <c r="J870" i="13"/>
  <c r="F871" i="13"/>
  <c r="G871" i="13"/>
  <c r="H871" i="13"/>
  <c r="I871" i="13"/>
  <c r="J871" i="13"/>
  <c r="F872" i="13"/>
  <c r="G872" i="13"/>
  <c r="H872" i="13"/>
  <c r="I872" i="13"/>
  <c r="J872" i="13"/>
  <c r="F873" i="13"/>
  <c r="G873" i="13"/>
  <c r="H873" i="13"/>
  <c r="I873" i="13"/>
  <c r="J873" i="13"/>
  <c r="F874" i="13"/>
  <c r="G874" i="13"/>
  <c r="H874" i="13"/>
  <c r="I874" i="13"/>
  <c r="J874" i="13"/>
  <c r="F875" i="13"/>
  <c r="G875" i="13"/>
  <c r="H875" i="13"/>
  <c r="I875" i="13"/>
  <c r="J875" i="13"/>
  <c r="F876" i="13"/>
  <c r="G876" i="13"/>
  <c r="H876" i="13"/>
  <c r="I876" i="13"/>
  <c r="J876" i="13"/>
  <c r="F877" i="13"/>
  <c r="G877" i="13"/>
  <c r="H877" i="13"/>
  <c r="I877" i="13"/>
  <c r="J877" i="13"/>
  <c r="F878" i="13"/>
  <c r="G878" i="13"/>
  <c r="H878" i="13"/>
  <c r="I878" i="13"/>
  <c r="J878" i="13"/>
  <c r="F879" i="13"/>
  <c r="G879" i="13"/>
  <c r="H879" i="13"/>
  <c r="I879" i="13"/>
  <c r="J879" i="13"/>
  <c r="F880" i="13"/>
  <c r="G880" i="13"/>
  <c r="H880" i="13"/>
  <c r="I880" i="13"/>
  <c r="J880" i="13"/>
  <c r="F881" i="13"/>
  <c r="G881" i="13"/>
  <c r="H881" i="13"/>
  <c r="I881" i="13"/>
  <c r="J881" i="13"/>
  <c r="F882" i="13"/>
  <c r="G882" i="13"/>
  <c r="H882" i="13"/>
  <c r="I882" i="13"/>
  <c r="J882" i="13"/>
  <c r="F883" i="13"/>
  <c r="G883" i="13"/>
  <c r="H883" i="13"/>
  <c r="I883" i="13"/>
  <c r="J883" i="13"/>
  <c r="F884" i="13"/>
  <c r="G884" i="13"/>
  <c r="H884" i="13"/>
  <c r="I884" i="13"/>
  <c r="J884" i="13"/>
  <c r="F885" i="13"/>
  <c r="G885" i="13"/>
  <c r="H885" i="13"/>
  <c r="I885" i="13"/>
  <c r="J885" i="13"/>
  <c r="F886" i="13"/>
  <c r="G886" i="13"/>
  <c r="H886" i="13"/>
  <c r="I886" i="13"/>
  <c r="J886" i="13"/>
  <c r="F887" i="13"/>
  <c r="G887" i="13"/>
  <c r="H887" i="13"/>
  <c r="I887" i="13"/>
  <c r="J887" i="13"/>
  <c r="F888" i="13"/>
  <c r="G888" i="13"/>
  <c r="H888" i="13"/>
  <c r="I888" i="13"/>
  <c r="J888" i="13"/>
  <c r="F889" i="13"/>
  <c r="G889" i="13"/>
  <c r="H889" i="13"/>
  <c r="I889" i="13"/>
  <c r="J889" i="13"/>
  <c r="F890" i="13"/>
  <c r="G890" i="13"/>
  <c r="H890" i="13"/>
  <c r="I890" i="13"/>
  <c r="J890" i="13"/>
  <c r="F891" i="13"/>
  <c r="G891" i="13"/>
  <c r="H891" i="13"/>
  <c r="I891" i="13"/>
  <c r="J891" i="13"/>
  <c r="F892" i="13"/>
  <c r="G892" i="13"/>
  <c r="H892" i="13"/>
  <c r="I892" i="13"/>
  <c r="J892" i="13"/>
  <c r="F893" i="13"/>
  <c r="G893" i="13"/>
  <c r="H893" i="13"/>
  <c r="I893" i="13"/>
  <c r="J893" i="13"/>
  <c r="F894" i="13"/>
  <c r="G894" i="13"/>
  <c r="H894" i="13"/>
  <c r="I894" i="13"/>
  <c r="J894" i="13"/>
  <c r="F895" i="13"/>
  <c r="G895" i="13"/>
  <c r="H895" i="13"/>
  <c r="I895" i="13"/>
  <c r="J895" i="13"/>
  <c r="F896" i="13"/>
  <c r="G896" i="13"/>
  <c r="H896" i="13"/>
  <c r="I896" i="13"/>
  <c r="J896" i="13"/>
  <c r="F897" i="13"/>
  <c r="G897" i="13"/>
  <c r="H897" i="13"/>
  <c r="I897" i="13"/>
  <c r="J897" i="13"/>
  <c r="F898" i="13"/>
  <c r="G898" i="13"/>
  <c r="H898" i="13"/>
  <c r="I898" i="13"/>
  <c r="J898" i="13"/>
  <c r="F899" i="13"/>
  <c r="G899" i="13"/>
  <c r="H899" i="13"/>
  <c r="I899" i="13"/>
  <c r="J899" i="13"/>
  <c r="F900" i="13"/>
  <c r="G900" i="13"/>
  <c r="H900" i="13"/>
  <c r="I900" i="13"/>
  <c r="J900" i="13"/>
  <c r="F901" i="13"/>
  <c r="G901" i="13"/>
  <c r="H901" i="13"/>
  <c r="I901" i="13"/>
  <c r="J901" i="13"/>
  <c r="F902" i="13"/>
  <c r="G902" i="13"/>
  <c r="H902" i="13"/>
  <c r="I902" i="13"/>
  <c r="J902" i="13"/>
  <c r="F903" i="13"/>
  <c r="G903" i="13"/>
  <c r="H903" i="13"/>
  <c r="I903" i="13"/>
  <c r="J903" i="13"/>
  <c r="F904" i="13"/>
  <c r="G904" i="13"/>
  <c r="H904" i="13"/>
  <c r="I904" i="13"/>
  <c r="J904" i="13"/>
  <c r="F905" i="13"/>
  <c r="G905" i="13"/>
  <c r="H905" i="13"/>
  <c r="I905" i="13"/>
  <c r="J905" i="13"/>
  <c r="F906" i="13"/>
  <c r="G906" i="13"/>
  <c r="H906" i="13"/>
  <c r="I906" i="13"/>
  <c r="J906" i="13"/>
  <c r="F907" i="13"/>
  <c r="G907" i="13"/>
  <c r="H907" i="13"/>
  <c r="I907" i="13"/>
  <c r="J907" i="13"/>
  <c r="F908" i="13"/>
  <c r="G908" i="13"/>
  <c r="H908" i="13"/>
  <c r="I908" i="13"/>
  <c r="J908" i="13"/>
  <c r="F909" i="13"/>
  <c r="G909" i="13"/>
  <c r="H909" i="13"/>
  <c r="I909" i="13"/>
  <c r="J909" i="13"/>
  <c r="F910" i="13"/>
  <c r="G910" i="13"/>
  <c r="H910" i="13"/>
  <c r="I910" i="13"/>
  <c r="J910" i="13"/>
  <c r="F911" i="13"/>
  <c r="G911" i="13"/>
  <c r="H911" i="13"/>
  <c r="I911" i="13"/>
  <c r="J911" i="13"/>
  <c r="F912" i="13"/>
  <c r="G912" i="13"/>
  <c r="H912" i="13"/>
  <c r="I912" i="13"/>
  <c r="J912" i="13"/>
  <c r="F913" i="13"/>
  <c r="G913" i="13"/>
  <c r="H913" i="13"/>
  <c r="I913" i="13"/>
  <c r="J913" i="13"/>
  <c r="F914" i="13"/>
  <c r="G914" i="13"/>
  <c r="H914" i="13"/>
  <c r="I914" i="13"/>
  <c r="J914" i="13"/>
  <c r="F915" i="13"/>
  <c r="G915" i="13"/>
  <c r="H915" i="13"/>
  <c r="I915" i="13"/>
  <c r="J915" i="13"/>
  <c r="F916" i="13"/>
  <c r="G916" i="13"/>
  <c r="H916" i="13"/>
  <c r="I916" i="13"/>
  <c r="J916" i="13"/>
  <c r="F917" i="13"/>
  <c r="G917" i="13"/>
  <c r="H917" i="13"/>
  <c r="I917" i="13"/>
  <c r="J917" i="13"/>
  <c r="F918" i="13"/>
  <c r="G918" i="13"/>
  <c r="H918" i="13"/>
  <c r="I918" i="13"/>
  <c r="J918" i="13"/>
  <c r="F919" i="13"/>
  <c r="G919" i="13"/>
  <c r="H919" i="13"/>
  <c r="I919" i="13"/>
  <c r="J919" i="13"/>
  <c r="F920" i="13"/>
  <c r="G920" i="13"/>
  <c r="H920" i="13"/>
  <c r="I920" i="13"/>
  <c r="J920" i="13"/>
  <c r="F921" i="13"/>
  <c r="G921" i="13"/>
  <c r="H921" i="13"/>
  <c r="I921" i="13"/>
  <c r="J921" i="13"/>
  <c r="F922" i="13"/>
  <c r="G922" i="13"/>
  <c r="H922" i="13"/>
  <c r="I922" i="13"/>
  <c r="J922" i="13"/>
  <c r="F923" i="13"/>
  <c r="G923" i="13"/>
  <c r="H923" i="13"/>
  <c r="I923" i="13"/>
  <c r="J923" i="13"/>
  <c r="F924" i="13"/>
  <c r="G924" i="13"/>
  <c r="H924" i="13"/>
  <c r="I924" i="13"/>
  <c r="J924" i="13"/>
  <c r="F925" i="13"/>
  <c r="G925" i="13"/>
  <c r="H925" i="13"/>
  <c r="I925" i="13"/>
  <c r="J925" i="13"/>
  <c r="F926" i="13"/>
  <c r="G926" i="13"/>
  <c r="H926" i="13"/>
  <c r="I926" i="13"/>
  <c r="J926" i="13"/>
  <c r="F927" i="13"/>
  <c r="G927" i="13"/>
  <c r="H927" i="13"/>
  <c r="I927" i="13"/>
  <c r="J927" i="13"/>
  <c r="F928" i="13"/>
  <c r="G928" i="13"/>
  <c r="H928" i="13"/>
  <c r="I928" i="13"/>
  <c r="J928" i="13"/>
  <c r="F929" i="13"/>
  <c r="G929" i="13"/>
  <c r="H929" i="13"/>
  <c r="I929" i="13"/>
  <c r="J929" i="13"/>
  <c r="F930" i="13"/>
  <c r="G930" i="13"/>
  <c r="H930" i="13"/>
  <c r="I930" i="13"/>
  <c r="J930" i="13"/>
  <c r="F931" i="13"/>
  <c r="G931" i="13"/>
  <c r="H931" i="13"/>
  <c r="I931" i="13"/>
  <c r="J931" i="13"/>
  <c r="F932" i="13"/>
  <c r="G932" i="13"/>
  <c r="H932" i="13"/>
  <c r="I932" i="13"/>
  <c r="J932" i="13"/>
  <c r="F933" i="13"/>
  <c r="G933" i="13"/>
  <c r="H933" i="13"/>
  <c r="I933" i="13"/>
  <c r="J933" i="13"/>
  <c r="F934" i="13"/>
  <c r="G934" i="13"/>
  <c r="H934" i="13"/>
  <c r="I934" i="13"/>
  <c r="J934" i="13"/>
  <c r="F935" i="13"/>
  <c r="G935" i="13"/>
  <c r="H935" i="13"/>
  <c r="I935" i="13"/>
  <c r="J935" i="13"/>
  <c r="F936" i="13"/>
  <c r="G936" i="13"/>
  <c r="H936" i="13"/>
  <c r="I936" i="13"/>
  <c r="J936" i="13"/>
  <c r="F937" i="13"/>
  <c r="G937" i="13"/>
  <c r="H937" i="13"/>
  <c r="I937" i="13"/>
  <c r="J937" i="13"/>
  <c r="F938" i="13"/>
  <c r="G938" i="13"/>
  <c r="H938" i="13"/>
  <c r="I938" i="13"/>
  <c r="J938" i="13"/>
  <c r="F939" i="13"/>
  <c r="G939" i="13"/>
  <c r="H939" i="13"/>
  <c r="I939" i="13"/>
  <c r="J939" i="13"/>
  <c r="F940" i="13"/>
  <c r="G940" i="13"/>
  <c r="H940" i="13"/>
  <c r="I940" i="13"/>
  <c r="J940" i="13"/>
  <c r="F941" i="13"/>
  <c r="G941" i="13"/>
  <c r="H941" i="13"/>
  <c r="I941" i="13"/>
  <c r="J941" i="13"/>
  <c r="F942" i="13"/>
  <c r="G942" i="13"/>
  <c r="H942" i="13"/>
  <c r="I942" i="13"/>
  <c r="J942" i="13"/>
  <c r="F943" i="13"/>
  <c r="G943" i="13"/>
  <c r="H943" i="13"/>
  <c r="I943" i="13"/>
  <c r="J943" i="13"/>
  <c r="F944" i="13"/>
  <c r="G944" i="13"/>
  <c r="H944" i="13"/>
  <c r="I944" i="13"/>
  <c r="J944" i="13"/>
  <c r="F945" i="13"/>
  <c r="G945" i="13"/>
  <c r="H945" i="13"/>
  <c r="I945" i="13"/>
  <c r="J945" i="13"/>
  <c r="F946" i="13"/>
  <c r="G946" i="13"/>
  <c r="H946" i="13"/>
  <c r="I946" i="13"/>
  <c r="J946" i="13"/>
  <c r="F947" i="13"/>
  <c r="G947" i="13"/>
  <c r="H947" i="13"/>
  <c r="I947" i="13"/>
  <c r="J947" i="13"/>
  <c r="F948" i="13"/>
  <c r="G948" i="13"/>
  <c r="H948" i="13"/>
  <c r="I948" i="13"/>
  <c r="J948" i="13"/>
  <c r="F949" i="13"/>
  <c r="G949" i="13"/>
  <c r="H949" i="13"/>
  <c r="I949" i="13"/>
  <c r="J949" i="13"/>
  <c r="F950" i="13"/>
  <c r="G950" i="13"/>
  <c r="H950" i="13"/>
  <c r="I950" i="13"/>
  <c r="J950" i="13"/>
  <c r="F951" i="13"/>
  <c r="G951" i="13"/>
  <c r="H951" i="13"/>
  <c r="I951" i="13"/>
  <c r="J951" i="13"/>
  <c r="F952" i="13"/>
  <c r="G952" i="13"/>
  <c r="H952" i="13"/>
  <c r="I952" i="13"/>
  <c r="J952" i="13"/>
  <c r="F953" i="13"/>
  <c r="G953" i="13"/>
  <c r="H953" i="13"/>
  <c r="I953" i="13"/>
  <c r="J953" i="13"/>
  <c r="F954" i="13"/>
  <c r="G954" i="13"/>
  <c r="H954" i="13"/>
  <c r="I954" i="13"/>
  <c r="J954" i="13"/>
  <c r="F955" i="13"/>
  <c r="G955" i="13"/>
  <c r="H955" i="13"/>
  <c r="I955" i="13"/>
  <c r="J955" i="13"/>
  <c r="F956" i="13"/>
  <c r="G956" i="13"/>
  <c r="H956" i="13"/>
  <c r="I956" i="13"/>
  <c r="J956" i="13"/>
  <c r="F957" i="13"/>
  <c r="G957" i="13"/>
  <c r="H957" i="13"/>
  <c r="I957" i="13"/>
  <c r="J957" i="13"/>
  <c r="F958" i="13"/>
  <c r="G958" i="13"/>
  <c r="H958" i="13"/>
  <c r="I958" i="13"/>
  <c r="J958" i="13"/>
  <c r="F959" i="13"/>
  <c r="G959" i="13"/>
  <c r="H959" i="13"/>
  <c r="I959" i="13"/>
  <c r="J959" i="13"/>
  <c r="F960" i="13"/>
  <c r="G960" i="13"/>
  <c r="H960" i="13"/>
  <c r="I960" i="13"/>
  <c r="J960" i="13"/>
  <c r="F961" i="13"/>
  <c r="G961" i="13"/>
  <c r="H961" i="13"/>
  <c r="I961" i="13"/>
  <c r="J961" i="13"/>
  <c r="F962" i="13"/>
  <c r="G962" i="13"/>
  <c r="H962" i="13"/>
  <c r="I962" i="13"/>
  <c r="J962" i="13"/>
  <c r="F963" i="13"/>
  <c r="G963" i="13"/>
  <c r="H963" i="13"/>
  <c r="I963" i="13"/>
  <c r="J963" i="13"/>
  <c r="F964" i="13"/>
  <c r="G964" i="13"/>
  <c r="H964" i="13"/>
  <c r="I964" i="13"/>
  <c r="J964" i="13"/>
  <c r="F965" i="13"/>
  <c r="G965" i="13"/>
  <c r="H965" i="13"/>
  <c r="I965" i="13"/>
  <c r="J965" i="13"/>
  <c r="F966" i="13"/>
  <c r="G966" i="13"/>
  <c r="H966" i="13"/>
  <c r="I966" i="13"/>
  <c r="J966" i="13"/>
  <c r="F967" i="13"/>
  <c r="G967" i="13"/>
  <c r="H967" i="13"/>
  <c r="I967" i="13"/>
  <c r="J967" i="13"/>
  <c r="F968" i="13"/>
  <c r="G968" i="13"/>
  <c r="H968" i="13"/>
  <c r="I968" i="13"/>
  <c r="J968" i="13"/>
  <c r="F969" i="13"/>
  <c r="G969" i="13"/>
  <c r="H969" i="13"/>
  <c r="I969" i="13"/>
  <c r="J969" i="13"/>
  <c r="F970" i="13"/>
  <c r="G970" i="13"/>
  <c r="H970" i="13"/>
  <c r="I970" i="13"/>
  <c r="J970" i="13"/>
  <c r="F971" i="13"/>
  <c r="G971" i="13"/>
  <c r="H971" i="13"/>
  <c r="I971" i="13"/>
  <c r="J971" i="13"/>
  <c r="F972" i="13"/>
  <c r="G972" i="13"/>
  <c r="H972" i="13"/>
  <c r="I972" i="13"/>
  <c r="J972" i="13"/>
  <c r="F973" i="13"/>
  <c r="G973" i="13"/>
  <c r="H973" i="13"/>
  <c r="I973" i="13"/>
  <c r="J973" i="13"/>
  <c r="F974" i="13"/>
  <c r="G974" i="13"/>
  <c r="H974" i="13"/>
  <c r="I974" i="13"/>
  <c r="J974" i="13"/>
  <c r="F975" i="13"/>
  <c r="G975" i="13"/>
  <c r="H975" i="13"/>
  <c r="I975" i="13"/>
  <c r="J975" i="13"/>
  <c r="F976" i="13"/>
  <c r="G976" i="13"/>
  <c r="H976" i="13"/>
  <c r="I976" i="13"/>
  <c r="J976" i="13"/>
  <c r="F977" i="13"/>
  <c r="G977" i="13"/>
  <c r="H977" i="13"/>
  <c r="I977" i="13"/>
  <c r="J977" i="13"/>
  <c r="F978" i="13"/>
  <c r="G978" i="13"/>
  <c r="H978" i="13"/>
  <c r="I978" i="13"/>
  <c r="J978" i="13"/>
  <c r="F979" i="13"/>
  <c r="G979" i="13"/>
  <c r="H979" i="13"/>
  <c r="I979" i="13"/>
  <c r="J979" i="13"/>
  <c r="F980" i="13"/>
  <c r="G980" i="13"/>
  <c r="H980" i="13"/>
  <c r="I980" i="13"/>
  <c r="J980" i="13"/>
  <c r="F981" i="13"/>
  <c r="G981" i="13"/>
  <c r="H981" i="13"/>
  <c r="I981" i="13"/>
  <c r="J981" i="13"/>
  <c r="F982" i="13"/>
  <c r="G982" i="13"/>
  <c r="H982" i="13"/>
  <c r="I982" i="13"/>
  <c r="J982" i="13"/>
  <c r="F983" i="13"/>
  <c r="G983" i="13"/>
  <c r="H983" i="13"/>
  <c r="I983" i="13"/>
  <c r="J983" i="13"/>
  <c r="F984" i="13"/>
  <c r="G984" i="13"/>
  <c r="H984" i="13"/>
  <c r="I984" i="13"/>
  <c r="J984" i="13"/>
  <c r="F985" i="13"/>
  <c r="G985" i="13"/>
  <c r="H985" i="13"/>
  <c r="I985" i="13"/>
  <c r="J985" i="13"/>
  <c r="F986" i="13"/>
  <c r="G986" i="13"/>
  <c r="H986" i="13"/>
  <c r="I986" i="13"/>
  <c r="J986" i="13"/>
  <c r="F987" i="13"/>
  <c r="G987" i="13"/>
  <c r="H987" i="13"/>
  <c r="I987" i="13"/>
  <c r="J987" i="13"/>
  <c r="F988" i="13"/>
  <c r="G988" i="13"/>
  <c r="H988" i="13"/>
  <c r="I988" i="13"/>
  <c r="J988" i="13"/>
  <c r="F989" i="13"/>
  <c r="G989" i="13"/>
  <c r="H989" i="13"/>
  <c r="I989" i="13"/>
  <c r="J989" i="13"/>
  <c r="F990" i="13"/>
  <c r="G990" i="13"/>
  <c r="H990" i="13"/>
  <c r="I990" i="13"/>
  <c r="J990" i="13"/>
  <c r="F991" i="13"/>
  <c r="G991" i="13"/>
  <c r="H991" i="13"/>
  <c r="I991" i="13"/>
  <c r="J991" i="13"/>
  <c r="F992" i="13"/>
  <c r="G992" i="13"/>
  <c r="H992" i="13"/>
  <c r="I992" i="13"/>
  <c r="J992" i="13"/>
  <c r="F993" i="13"/>
  <c r="G993" i="13"/>
  <c r="H993" i="13"/>
  <c r="I993" i="13"/>
  <c r="J993" i="13"/>
  <c r="F994" i="13"/>
  <c r="G994" i="13"/>
  <c r="H994" i="13"/>
  <c r="I994" i="13"/>
  <c r="J994" i="13"/>
  <c r="F995" i="13"/>
  <c r="G995" i="13"/>
  <c r="H995" i="13"/>
  <c r="I995" i="13"/>
  <c r="J995" i="13"/>
  <c r="F996" i="13"/>
  <c r="G996" i="13"/>
  <c r="H996" i="13"/>
  <c r="I996" i="13"/>
  <c r="J996" i="13"/>
  <c r="F997" i="13"/>
  <c r="G997" i="13"/>
  <c r="H997" i="13"/>
  <c r="I997" i="13"/>
  <c r="J997" i="13"/>
  <c r="F998" i="13"/>
  <c r="G998" i="13"/>
  <c r="H998" i="13"/>
  <c r="I998" i="13"/>
  <c r="J998" i="13"/>
  <c r="F999" i="13"/>
  <c r="G999" i="13"/>
  <c r="H999" i="13"/>
  <c r="I999" i="13"/>
  <c r="J999" i="13"/>
  <c r="F1000" i="13"/>
  <c r="G1000" i="13"/>
  <c r="H1000" i="13"/>
  <c r="I1000" i="13"/>
  <c r="J1000" i="13"/>
  <c r="F1001" i="13"/>
  <c r="G1001" i="13"/>
  <c r="H1001" i="13"/>
  <c r="I1001" i="13"/>
  <c r="J1001" i="13"/>
  <c r="F1002" i="13"/>
  <c r="G1002" i="13"/>
  <c r="H1002" i="13"/>
  <c r="I1002" i="13"/>
  <c r="J1002" i="13"/>
  <c r="F1003" i="13"/>
  <c r="G1003" i="13"/>
  <c r="H1003" i="13"/>
  <c r="I1003" i="13"/>
  <c r="J1003" i="13"/>
  <c r="F1004" i="13"/>
  <c r="G1004" i="13"/>
  <c r="H1004" i="13"/>
  <c r="I1004" i="13"/>
  <c r="J1004" i="13"/>
  <c r="F1005" i="13"/>
  <c r="G1005" i="13"/>
  <c r="H1005" i="13"/>
  <c r="I1005" i="13"/>
  <c r="J1005" i="13"/>
  <c r="F1006" i="13"/>
  <c r="G1006" i="13"/>
  <c r="H1006" i="13"/>
  <c r="I1006" i="13"/>
  <c r="J1006" i="13"/>
  <c r="F1007" i="13"/>
  <c r="G1007" i="13"/>
  <c r="H1007" i="13"/>
  <c r="I1007" i="13"/>
  <c r="J1007" i="13"/>
  <c r="F1008" i="13"/>
  <c r="G1008" i="13"/>
  <c r="H1008" i="13"/>
  <c r="I1008" i="13"/>
  <c r="J1008" i="13"/>
  <c r="F1009" i="13"/>
  <c r="G1009" i="13"/>
  <c r="H1009" i="13"/>
  <c r="I1009" i="13"/>
  <c r="J1009" i="13"/>
  <c r="F1010" i="13"/>
  <c r="G1010" i="13"/>
  <c r="H1010" i="13"/>
  <c r="I1010" i="13"/>
  <c r="J1010" i="13"/>
  <c r="F1011" i="13"/>
  <c r="G1011" i="13"/>
  <c r="H1011" i="13"/>
  <c r="I1011" i="13"/>
  <c r="J1011" i="13"/>
  <c r="F1012" i="13"/>
  <c r="G1012" i="13"/>
  <c r="H1012" i="13"/>
  <c r="I1012" i="13"/>
  <c r="J1012" i="13"/>
  <c r="F1013" i="13"/>
  <c r="G1013" i="13"/>
  <c r="H1013" i="13"/>
  <c r="I1013" i="13"/>
  <c r="J1013" i="13"/>
  <c r="F1014" i="13"/>
  <c r="G1014" i="13"/>
  <c r="H1014" i="13"/>
  <c r="I1014" i="13"/>
  <c r="J1014" i="13"/>
  <c r="F1015" i="13"/>
  <c r="G1015" i="13"/>
  <c r="H1015" i="13"/>
  <c r="I1015" i="13"/>
  <c r="J1015" i="13"/>
  <c r="F1016" i="13"/>
  <c r="G1016" i="13"/>
  <c r="H1016" i="13"/>
  <c r="I1016" i="13"/>
  <c r="J1016" i="13"/>
  <c r="F1017" i="13"/>
  <c r="G1017" i="13"/>
  <c r="H1017" i="13"/>
  <c r="I1017" i="13"/>
  <c r="J1017" i="13"/>
  <c r="F1018" i="13"/>
  <c r="G1018" i="13"/>
  <c r="H1018" i="13"/>
  <c r="I1018" i="13"/>
  <c r="J1018" i="13"/>
  <c r="F1019" i="13"/>
  <c r="G1019" i="13"/>
  <c r="H1019" i="13"/>
  <c r="I1019" i="13"/>
  <c r="J1019" i="13"/>
  <c r="F1020" i="13"/>
  <c r="G1020" i="13"/>
  <c r="H1020" i="13"/>
  <c r="I1020" i="13"/>
  <c r="J1020" i="13"/>
  <c r="F1021" i="13"/>
  <c r="G1021" i="13"/>
  <c r="H1021" i="13"/>
  <c r="I1021" i="13"/>
  <c r="J1021" i="13"/>
  <c r="F1022" i="13"/>
  <c r="G1022" i="13"/>
  <c r="H1022" i="13"/>
  <c r="I1022" i="13"/>
  <c r="J1022" i="13"/>
  <c r="F1023" i="13"/>
  <c r="G1023" i="13"/>
  <c r="H1023" i="13"/>
  <c r="I1023" i="13"/>
  <c r="J1023" i="13"/>
  <c r="F1024" i="13"/>
  <c r="G1024" i="13"/>
  <c r="H1024" i="13"/>
  <c r="I1024" i="13"/>
  <c r="J1024" i="13"/>
  <c r="F1025" i="13"/>
  <c r="G1025" i="13"/>
  <c r="H1025" i="13"/>
  <c r="I1025" i="13"/>
  <c r="J1025" i="13"/>
  <c r="F1026" i="13"/>
  <c r="G1026" i="13"/>
  <c r="H1026" i="13"/>
  <c r="I1026" i="13"/>
  <c r="J1026" i="13"/>
  <c r="F1027" i="13"/>
  <c r="G1027" i="13"/>
  <c r="H1027" i="13"/>
  <c r="I1027" i="13"/>
  <c r="J1027" i="13"/>
  <c r="F1028" i="13"/>
  <c r="G1028" i="13"/>
  <c r="H1028" i="13"/>
  <c r="I1028" i="13"/>
  <c r="J1028" i="13"/>
  <c r="F1029" i="13"/>
  <c r="G1029" i="13"/>
  <c r="H1029" i="13"/>
  <c r="I1029" i="13"/>
  <c r="J1029" i="13"/>
  <c r="F1030" i="13"/>
  <c r="G1030" i="13"/>
  <c r="H1030" i="13"/>
  <c r="I1030" i="13"/>
  <c r="J1030" i="13"/>
  <c r="F1031" i="13"/>
  <c r="G1031" i="13"/>
  <c r="H1031" i="13"/>
  <c r="I1031" i="13"/>
  <c r="J1031" i="13"/>
  <c r="F1032" i="13"/>
  <c r="G1032" i="13"/>
  <c r="H1032" i="13"/>
  <c r="I1032" i="13"/>
  <c r="J1032" i="13"/>
  <c r="F1033" i="13"/>
  <c r="G1033" i="13"/>
  <c r="H1033" i="13"/>
  <c r="I1033" i="13"/>
  <c r="J1033" i="13"/>
  <c r="F1034" i="13"/>
  <c r="G1034" i="13"/>
  <c r="H1034" i="13"/>
  <c r="I1034" i="13"/>
  <c r="J1034" i="13"/>
  <c r="F1035" i="13"/>
  <c r="G1035" i="13"/>
  <c r="H1035" i="13"/>
  <c r="I1035" i="13"/>
  <c r="J1035" i="13"/>
  <c r="F1036" i="13"/>
  <c r="G1036" i="13"/>
  <c r="H1036" i="13"/>
  <c r="I1036" i="13"/>
  <c r="J1036" i="13"/>
  <c r="F1037" i="13"/>
  <c r="G1037" i="13"/>
  <c r="H1037" i="13"/>
  <c r="I1037" i="13"/>
  <c r="J1037" i="13"/>
  <c r="F1038" i="13"/>
  <c r="G1038" i="13"/>
  <c r="H1038" i="13"/>
  <c r="I1038" i="13"/>
  <c r="J1038" i="13"/>
  <c r="F1039" i="13"/>
  <c r="G1039" i="13"/>
  <c r="H1039" i="13"/>
  <c r="I1039" i="13"/>
  <c r="J1039" i="13"/>
  <c r="F1040" i="13"/>
  <c r="G1040" i="13"/>
  <c r="H1040" i="13"/>
  <c r="I1040" i="13"/>
  <c r="J1040" i="13"/>
  <c r="F1041" i="13"/>
  <c r="G1041" i="13"/>
  <c r="H1041" i="13"/>
  <c r="I1041" i="13"/>
  <c r="J1041" i="13"/>
  <c r="F1042" i="13"/>
  <c r="G1042" i="13"/>
  <c r="H1042" i="13"/>
  <c r="I1042" i="13"/>
  <c r="J1042" i="13"/>
  <c r="F1043" i="13"/>
  <c r="G1043" i="13"/>
  <c r="H1043" i="13"/>
  <c r="I1043" i="13"/>
  <c r="J1043" i="13"/>
  <c r="F1044" i="13"/>
  <c r="G1044" i="13"/>
  <c r="H1044" i="13"/>
  <c r="I1044" i="13"/>
  <c r="J1044" i="13"/>
  <c r="F1045" i="13"/>
  <c r="G1045" i="13"/>
  <c r="H1045" i="13"/>
  <c r="I1045" i="13"/>
  <c r="J1045" i="13"/>
  <c r="F1046" i="13"/>
  <c r="G1046" i="13"/>
  <c r="H1046" i="13"/>
  <c r="I1046" i="13"/>
  <c r="J1046" i="13"/>
  <c r="F1047" i="13"/>
  <c r="G1047" i="13"/>
  <c r="H1047" i="13"/>
  <c r="I1047" i="13"/>
  <c r="J1047" i="13"/>
  <c r="F1048" i="13"/>
  <c r="G1048" i="13"/>
  <c r="H1048" i="13"/>
  <c r="I1048" i="13"/>
  <c r="J1048" i="13"/>
  <c r="F1049" i="13"/>
  <c r="G1049" i="13"/>
  <c r="H1049" i="13"/>
  <c r="I1049" i="13"/>
  <c r="J1049" i="13"/>
  <c r="F1050" i="13"/>
  <c r="G1050" i="13"/>
  <c r="H1050" i="13"/>
  <c r="I1050" i="13"/>
  <c r="J1050" i="13"/>
  <c r="F1051" i="13"/>
  <c r="G1051" i="13"/>
  <c r="H1051" i="13"/>
  <c r="I1051" i="13"/>
  <c r="J1051" i="13"/>
  <c r="F1052" i="13"/>
  <c r="G1052" i="13"/>
  <c r="H1052" i="13"/>
  <c r="I1052" i="13"/>
  <c r="J1052" i="13"/>
  <c r="F1053" i="13"/>
  <c r="G1053" i="13"/>
  <c r="H1053" i="13"/>
  <c r="I1053" i="13"/>
  <c r="J1053" i="13"/>
  <c r="F1054" i="13"/>
  <c r="G1054" i="13"/>
  <c r="H1054" i="13"/>
  <c r="I1054" i="13"/>
  <c r="J1054" i="13"/>
  <c r="F1055" i="13"/>
  <c r="G1055" i="13"/>
  <c r="H1055" i="13"/>
  <c r="I1055" i="13"/>
  <c r="J1055" i="13"/>
  <c r="F1056" i="13"/>
  <c r="G1056" i="13"/>
  <c r="H1056" i="13"/>
  <c r="I1056" i="13"/>
  <c r="J1056" i="13"/>
  <c r="F1057" i="13"/>
  <c r="G1057" i="13"/>
  <c r="H1057" i="13"/>
  <c r="I1057" i="13"/>
  <c r="J1057" i="13"/>
  <c r="F1058" i="13"/>
  <c r="G1058" i="13"/>
  <c r="H1058" i="13"/>
  <c r="I1058" i="13"/>
  <c r="J1058" i="13"/>
  <c r="F1059" i="13"/>
  <c r="G1059" i="13"/>
  <c r="H1059" i="13"/>
  <c r="I1059" i="13"/>
  <c r="J1059" i="13"/>
  <c r="F1060" i="13"/>
  <c r="G1060" i="13"/>
  <c r="H1060" i="13"/>
  <c r="I1060" i="13"/>
  <c r="J1060" i="13"/>
  <c r="F1061" i="13"/>
  <c r="G1061" i="13"/>
  <c r="H1061" i="13"/>
  <c r="I1061" i="13"/>
  <c r="J1061" i="13"/>
  <c r="F1062" i="13"/>
  <c r="G1062" i="13"/>
  <c r="H1062" i="13"/>
  <c r="I1062" i="13"/>
  <c r="J1062" i="13"/>
  <c r="F1063" i="13"/>
  <c r="G1063" i="13"/>
  <c r="H1063" i="13"/>
  <c r="I1063" i="13"/>
  <c r="J1063" i="13"/>
  <c r="F1064" i="13"/>
  <c r="G1064" i="13"/>
  <c r="H1064" i="13"/>
  <c r="I1064" i="13"/>
  <c r="J1064" i="13"/>
  <c r="F1065" i="13"/>
  <c r="G1065" i="13"/>
  <c r="H1065" i="13"/>
  <c r="I1065" i="13"/>
  <c r="J1065" i="13"/>
  <c r="F1066" i="13"/>
  <c r="G1066" i="13"/>
  <c r="H1066" i="13"/>
  <c r="I1066" i="13"/>
  <c r="J1066" i="13"/>
  <c r="F1067" i="13"/>
  <c r="G1067" i="13"/>
  <c r="H1067" i="13"/>
  <c r="I1067" i="13"/>
  <c r="J1067" i="13"/>
  <c r="F1068" i="13"/>
  <c r="G1068" i="13"/>
  <c r="H1068" i="13"/>
  <c r="I1068" i="13"/>
  <c r="J1068" i="13"/>
  <c r="F1069" i="13"/>
  <c r="G1069" i="13"/>
  <c r="H1069" i="13"/>
  <c r="I1069" i="13"/>
  <c r="J1069" i="13"/>
  <c r="F1070" i="13"/>
  <c r="G1070" i="13"/>
  <c r="H1070" i="13"/>
  <c r="I1070" i="13"/>
  <c r="J1070" i="13"/>
  <c r="F1071" i="13"/>
  <c r="G1071" i="13"/>
  <c r="H1071" i="13"/>
  <c r="I1071" i="13"/>
  <c r="J1071" i="13"/>
  <c r="F1072" i="13"/>
  <c r="G1072" i="13"/>
  <c r="H1072" i="13"/>
  <c r="I1072" i="13"/>
  <c r="J1072" i="13"/>
  <c r="F1073" i="13"/>
  <c r="G1073" i="13"/>
  <c r="H1073" i="13"/>
  <c r="I1073" i="13"/>
  <c r="J1073" i="13"/>
  <c r="F1074" i="13"/>
  <c r="G1074" i="13"/>
  <c r="H1074" i="13"/>
  <c r="I1074" i="13"/>
  <c r="J1074" i="13"/>
  <c r="F1075" i="13"/>
  <c r="G1075" i="13"/>
  <c r="H1075" i="13"/>
  <c r="I1075" i="13"/>
  <c r="J1075" i="13"/>
  <c r="F1076" i="13"/>
  <c r="G1076" i="13"/>
  <c r="H1076" i="13"/>
  <c r="I1076" i="13"/>
  <c r="J1076" i="13"/>
  <c r="F1077" i="13"/>
  <c r="G1077" i="13"/>
  <c r="H1077" i="13"/>
  <c r="I1077" i="13"/>
  <c r="J1077" i="13"/>
  <c r="F1078" i="13"/>
  <c r="G1078" i="13"/>
  <c r="H1078" i="13"/>
  <c r="I1078" i="13"/>
  <c r="J1078" i="13"/>
  <c r="F1079" i="13"/>
  <c r="G1079" i="13"/>
  <c r="H1079" i="13"/>
  <c r="I1079" i="13"/>
  <c r="J1079" i="13"/>
  <c r="F1080" i="13"/>
  <c r="G1080" i="13"/>
  <c r="H1080" i="13"/>
  <c r="I1080" i="13"/>
  <c r="J1080" i="13"/>
  <c r="F1081" i="13"/>
  <c r="G1081" i="13"/>
  <c r="H1081" i="13"/>
  <c r="I1081" i="13"/>
  <c r="J1081" i="13"/>
  <c r="F1082" i="13"/>
  <c r="G1082" i="13"/>
  <c r="H1082" i="13"/>
  <c r="I1082" i="13"/>
  <c r="J1082" i="13"/>
  <c r="F1083" i="13"/>
  <c r="G1083" i="13"/>
  <c r="H1083" i="13"/>
  <c r="I1083" i="13"/>
  <c r="J1083" i="13"/>
  <c r="F1084" i="13"/>
  <c r="G1084" i="13"/>
  <c r="H1084" i="13"/>
  <c r="I1084" i="13"/>
  <c r="J1084" i="13"/>
  <c r="F1085" i="13"/>
  <c r="G1085" i="13"/>
  <c r="H1085" i="13"/>
  <c r="I1085" i="13"/>
  <c r="J1085" i="13"/>
  <c r="F1086" i="13"/>
  <c r="G1086" i="13"/>
  <c r="H1086" i="13"/>
  <c r="I1086" i="13"/>
  <c r="J1086" i="13"/>
  <c r="F1087" i="13"/>
  <c r="G1087" i="13"/>
  <c r="H1087" i="13"/>
  <c r="I1087" i="13"/>
  <c r="J1087" i="13"/>
  <c r="F1088" i="13"/>
  <c r="G1088" i="13"/>
  <c r="H1088" i="13"/>
  <c r="I1088" i="13"/>
  <c r="J1088" i="13"/>
  <c r="F1089" i="13"/>
  <c r="G1089" i="13"/>
  <c r="H1089" i="13"/>
  <c r="I1089" i="13"/>
  <c r="J1089" i="13"/>
  <c r="F1090" i="13"/>
  <c r="G1090" i="13"/>
  <c r="H1090" i="13"/>
  <c r="I1090" i="13"/>
  <c r="J1090" i="13"/>
  <c r="F1091" i="13"/>
  <c r="G1091" i="13"/>
  <c r="H1091" i="13"/>
  <c r="I1091" i="13"/>
  <c r="J1091" i="13"/>
  <c r="F1092" i="13"/>
  <c r="G1092" i="13"/>
  <c r="H1092" i="13"/>
  <c r="I1092" i="13"/>
  <c r="J1092" i="13"/>
  <c r="F1093" i="13"/>
  <c r="G1093" i="13"/>
  <c r="H1093" i="13"/>
  <c r="I1093" i="13"/>
  <c r="J1093" i="13"/>
  <c r="F1094" i="13"/>
  <c r="G1094" i="13"/>
  <c r="H1094" i="13"/>
  <c r="I1094" i="13"/>
  <c r="J1094" i="13"/>
  <c r="F1095" i="13"/>
  <c r="G1095" i="13"/>
  <c r="H1095" i="13"/>
  <c r="I1095" i="13"/>
  <c r="J1095" i="13"/>
  <c r="F1096" i="13"/>
  <c r="G1096" i="13"/>
  <c r="H1096" i="13"/>
  <c r="I1096" i="13"/>
  <c r="J1096" i="13"/>
  <c r="F1097" i="13"/>
  <c r="G1097" i="13"/>
  <c r="H1097" i="13"/>
  <c r="I1097" i="13"/>
  <c r="J1097" i="13"/>
  <c r="F1098" i="13"/>
  <c r="G1098" i="13"/>
  <c r="H1098" i="13"/>
  <c r="I1098" i="13"/>
  <c r="J1098" i="13"/>
  <c r="F1099" i="13"/>
  <c r="G1099" i="13"/>
  <c r="H1099" i="13"/>
  <c r="I1099" i="13"/>
  <c r="J1099" i="13"/>
  <c r="F1100" i="13"/>
  <c r="G1100" i="13"/>
  <c r="H1100" i="13"/>
  <c r="I1100" i="13"/>
  <c r="J1100" i="13"/>
  <c r="F1101" i="13"/>
  <c r="G1101" i="13"/>
  <c r="H1101" i="13"/>
  <c r="I1101" i="13"/>
  <c r="J1101" i="13"/>
  <c r="F1102" i="13"/>
  <c r="G1102" i="13"/>
  <c r="H1102" i="13"/>
  <c r="I1102" i="13"/>
  <c r="J1102" i="13"/>
  <c r="F1103" i="13"/>
  <c r="G1103" i="13"/>
  <c r="H1103" i="13"/>
  <c r="I1103" i="13"/>
  <c r="J1103" i="13"/>
  <c r="F1104" i="13"/>
  <c r="G1104" i="13"/>
  <c r="H1104" i="13"/>
  <c r="I1104" i="13"/>
  <c r="J1104" i="13"/>
  <c r="F1105" i="13"/>
  <c r="G1105" i="13"/>
  <c r="H1105" i="13"/>
  <c r="I1105" i="13"/>
  <c r="J1105" i="13"/>
  <c r="F1106" i="13"/>
  <c r="G1106" i="13"/>
  <c r="H1106" i="13"/>
  <c r="I1106" i="13"/>
  <c r="J1106" i="13"/>
  <c r="F1107" i="13"/>
  <c r="G1107" i="13"/>
  <c r="H1107" i="13"/>
  <c r="I1107" i="13"/>
  <c r="J1107" i="13"/>
  <c r="F1108" i="13"/>
  <c r="G1108" i="13"/>
  <c r="H1108" i="13"/>
  <c r="I1108" i="13"/>
  <c r="J1108" i="13"/>
  <c r="F1109" i="13"/>
  <c r="G1109" i="13"/>
  <c r="H1109" i="13"/>
  <c r="I1109" i="13"/>
  <c r="J1109" i="13"/>
  <c r="F1110" i="13"/>
  <c r="G1110" i="13"/>
  <c r="H1110" i="13"/>
  <c r="I1110" i="13"/>
  <c r="J1110" i="13"/>
  <c r="F1111" i="13"/>
  <c r="G1111" i="13"/>
  <c r="H1111" i="13"/>
  <c r="I1111" i="13"/>
  <c r="J1111" i="13"/>
  <c r="F1112" i="13"/>
  <c r="G1112" i="13"/>
  <c r="H1112" i="13"/>
  <c r="I1112" i="13"/>
  <c r="J1112" i="13"/>
  <c r="F1113" i="13"/>
  <c r="G1113" i="13"/>
  <c r="H1113" i="13"/>
  <c r="I1113" i="13"/>
  <c r="J1113" i="13"/>
  <c r="F1114" i="13"/>
  <c r="G1114" i="13"/>
  <c r="H1114" i="13"/>
  <c r="I1114" i="13"/>
  <c r="J1114" i="13"/>
  <c r="F1115" i="13"/>
  <c r="G1115" i="13"/>
  <c r="H1115" i="13"/>
  <c r="I1115" i="13"/>
  <c r="J1115" i="13"/>
  <c r="F1116" i="13"/>
  <c r="G1116" i="13"/>
  <c r="H1116" i="13"/>
  <c r="I1116" i="13"/>
  <c r="J1116" i="13"/>
  <c r="F1117" i="13"/>
  <c r="G1117" i="13"/>
  <c r="H1117" i="13"/>
  <c r="I1117" i="13"/>
  <c r="J1117" i="13"/>
  <c r="F1118" i="13"/>
  <c r="G1118" i="13"/>
  <c r="H1118" i="13"/>
  <c r="I1118" i="13"/>
  <c r="J1118" i="13"/>
  <c r="F1119" i="13"/>
  <c r="G1119" i="13"/>
  <c r="H1119" i="13"/>
  <c r="I1119" i="13"/>
  <c r="J1119" i="13"/>
  <c r="F1120" i="13"/>
  <c r="G1120" i="13"/>
  <c r="H1120" i="13"/>
  <c r="I1120" i="13"/>
  <c r="J1120" i="13"/>
  <c r="F1121" i="13"/>
  <c r="G1121" i="13"/>
  <c r="H1121" i="13"/>
  <c r="I1121" i="13"/>
  <c r="J1121" i="13"/>
  <c r="F1122" i="13"/>
  <c r="G1122" i="13"/>
  <c r="H1122" i="13"/>
  <c r="I1122" i="13"/>
  <c r="J1122" i="13"/>
  <c r="F1123" i="13"/>
  <c r="G1123" i="13"/>
  <c r="H1123" i="13"/>
  <c r="I1123" i="13"/>
  <c r="J1123" i="13"/>
  <c r="F1124" i="13"/>
  <c r="G1124" i="13"/>
  <c r="H1124" i="13"/>
  <c r="I1124" i="13"/>
  <c r="J1124" i="13"/>
  <c r="F1125" i="13"/>
  <c r="G1125" i="13"/>
  <c r="H1125" i="13"/>
  <c r="I1125" i="13"/>
  <c r="J1125" i="13"/>
  <c r="F1126" i="13"/>
  <c r="G1126" i="13"/>
  <c r="H1126" i="13"/>
  <c r="I1126" i="13"/>
  <c r="J1126" i="13"/>
  <c r="F1127" i="13"/>
  <c r="G1127" i="13"/>
  <c r="H1127" i="13"/>
  <c r="I1127" i="13"/>
  <c r="J1127" i="13"/>
  <c r="F1128" i="13"/>
  <c r="G1128" i="13"/>
  <c r="H1128" i="13"/>
  <c r="I1128" i="13"/>
  <c r="J1128" i="13"/>
  <c r="F1129" i="13"/>
  <c r="G1129" i="13"/>
  <c r="H1129" i="13"/>
  <c r="I1129" i="13"/>
  <c r="J1129" i="13"/>
  <c r="F1130" i="13"/>
  <c r="G1130" i="13"/>
  <c r="H1130" i="13"/>
  <c r="I1130" i="13"/>
  <c r="J1130" i="13"/>
  <c r="F1131" i="13"/>
  <c r="G1131" i="13"/>
  <c r="H1131" i="13"/>
  <c r="I1131" i="13"/>
  <c r="J1131" i="13"/>
  <c r="F1132" i="13"/>
  <c r="G1132" i="13"/>
  <c r="H1132" i="13"/>
  <c r="I1132" i="13"/>
  <c r="J1132" i="13"/>
  <c r="F1133" i="13"/>
  <c r="G1133" i="13"/>
  <c r="H1133" i="13"/>
  <c r="I1133" i="13"/>
  <c r="J1133" i="13"/>
  <c r="F1134" i="13"/>
  <c r="G1134" i="13"/>
  <c r="H1134" i="13"/>
  <c r="I1134" i="13"/>
  <c r="J1134" i="13"/>
  <c r="F1135" i="13"/>
  <c r="G1135" i="13"/>
  <c r="H1135" i="13"/>
  <c r="I1135" i="13"/>
  <c r="J1135" i="13"/>
  <c r="F1136" i="13"/>
  <c r="G1136" i="13"/>
  <c r="H1136" i="13"/>
  <c r="I1136" i="13"/>
  <c r="J1136" i="13"/>
  <c r="F1137" i="13"/>
  <c r="G1137" i="13"/>
  <c r="H1137" i="13"/>
  <c r="I1137" i="13"/>
  <c r="J1137" i="13"/>
  <c r="F1138" i="13"/>
  <c r="G1138" i="13"/>
  <c r="H1138" i="13"/>
  <c r="I1138" i="13"/>
  <c r="J1138" i="13"/>
  <c r="F1139" i="13"/>
  <c r="G1139" i="13"/>
  <c r="H1139" i="13"/>
  <c r="I1139" i="13"/>
  <c r="J1139" i="13"/>
  <c r="F1140" i="13"/>
  <c r="G1140" i="13"/>
  <c r="H1140" i="13"/>
  <c r="I1140" i="13"/>
  <c r="J1140" i="13"/>
  <c r="F1141" i="13"/>
  <c r="G1141" i="13"/>
  <c r="H1141" i="13"/>
  <c r="I1141" i="13"/>
  <c r="J1141" i="13"/>
  <c r="F1142" i="13"/>
  <c r="G1142" i="13"/>
  <c r="H1142" i="13"/>
  <c r="I1142" i="13"/>
  <c r="J1142" i="13"/>
  <c r="F1143" i="13"/>
  <c r="G1143" i="13"/>
  <c r="H1143" i="13"/>
  <c r="I1143" i="13"/>
  <c r="J1143" i="13"/>
  <c r="F1144" i="13"/>
  <c r="G1144" i="13"/>
  <c r="H1144" i="13"/>
  <c r="I1144" i="13"/>
  <c r="J1144" i="13"/>
  <c r="F3" i="13"/>
  <c r="G3" i="13"/>
  <c r="H3" i="13"/>
  <c r="I3" i="13"/>
  <c r="J3" i="13"/>
  <c r="F4" i="13"/>
  <c r="G4" i="13"/>
  <c r="H4" i="13"/>
  <c r="I4" i="13"/>
  <c r="J4" i="13"/>
  <c r="F5" i="13"/>
  <c r="G5" i="13"/>
  <c r="H5" i="13"/>
  <c r="I5" i="13"/>
  <c r="J5" i="13"/>
  <c r="F6" i="13"/>
  <c r="G6" i="13"/>
  <c r="H6" i="13"/>
  <c r="I6" i="13"/>
  <c r="J6" i="13"/>
  <c r="F7" i="13"/>
  <c r="G7" i="13"/>
  <c r="H7" i="13"/>
  <c r="I7" i="13"/>
  <c r="J7" i="13"/>
  <c r="G2" i="13"/>
  <c r="F2" i="13"/>
  <c r="H2" i="13"/>
  <c r="J2" i="13"/>
  <c r="I2" i="13"/>
  <c r="M756" i="13"/>
  <c r="M755" i="13"/>
  <c r="S1145" i="13"/>
  <c r="S1146" i="13"/>
  <c r="S1147" i="13"/>
  <c r="S1148" i="13"/>
  <c r="S1149" i="13"/>
  <c r="S1150" i="13"/>
  <c r="S1151" i="13"/>
  <c r="S1152" i="13"/>
  <c r="S1153" i="13"/>
  <c r="S1154" i="13"/>
  <c r="S1155" i="13"/>
  <c r="S1156" i="13"/>
  <c r="S1157" i="13"/>
  <c r="S1158" i="13"/>
  <c r="S1159" i="13"/>
  <c r="S1160" i="13"/>
  <c r="S1161" i="13"/>
  <c r="S1162" i="13"/>
  <c r="S1163" i="13"/>
  <c r="S1164" i="13"/>
  <c r="S1165" i="13"/>
  <c r="S1166" i="13"/>
  <c r="S1167" i="13"/>
  <c r="S1168" i="13"/>
  <c r="S1169" i="13"/>
  <c r="S1170" i="13"/>
  <c r="S1171" i="13"/>
  <c r="S1172" i="13"/>
  <c r="S1173" i="13"/>
  <c r="S1174" i="13"/>
  <c r="S1175" i="13"/>
  <c r="S1176" i="13"/>
  <c r="S1177" i="13"/>
  <c r="S1178" i="13"/>
  <c r="S1179" i="13"/>
  <c r="S1180" i="13"/>
  <c r="S1181" i="13"/>
  <c r="S1182" i="13"/>
  <c r="S1183" i="13"/>
  <c r="S1184" i="13"/>
  <c r="S1185" i="13"/>
  <c r="S1186" i="13"/>
  <c r="S1187" i="13"/>
  <c r="S1188" i="13"/>
  <c r="S1189" i="13"/>
  <c r="S1190" i="13"/>
  <c r="S1191" i="13"/>
  <c r="S1192" i="13"/>
  <c r="S1193" i="13"/>
  <c r="S1194" i="13"/>
  <c r="S1195" i="13"/>
  <c r="S1196" i="13"/>
  <c r="S1197" i="13"/>
  <c r="S1198" i="13"/>
  <c r="S1199" i="13"/>
  <c r="S1200" i="13"/>
  <c r="S1201" i="13"/>
  <c r="S1202" i="13"/>
  <c r="S1203" i="13"/>
  <c r="S1204" i="13"/>
  <c r="S1205" i="13"/>
  <c r="S1206" i="13"/>
  <c r="S1207" i="13"/>
  <c r="S1208" i="13"/>
  <c r="S1209" i="13"/>
  <c r="S1210" i="13"/>
  <c r="S1211" i="13"/>
  <c r="S1212" i="13"/>
  <c r="S1213" i="13"/>
  <c r="S1214" i="13"/>
  <c r="S1215" i="13"/>
  <c r="S1216" i="13"/>
  <c r="S1217" i="13"/>
  <c r="S1218" i="13"/>
  <c r="S1219" i="13"/>
  <c r="S1220" i="13"/>
  <c r="S1221" i="13"/>
  <c r="S1222" i="13"/>
  <c r="S1223" i="13"/>
  <c r="S1224" i="13"/>
  <c r="S1225" i="13"/>
  <c r="S1226" i="13"/>
  <c r="S1227" i="13"/>
  <c r="S1228" i="13"/>
  <c r="S1229" i="13"/>
  <c r="S1230" i="13"/>
  <c r="S1231" i="13"/>
  <c r="S1232" i="13"/>
  <c r="S1233" i="13"/>
  <c r="S1234" i="13"/>
  <c r="S1235" i="13"/>
  <c r="S1236" i="13"/>
  <c r="S1237" i="13"/>
  <c r="S1238" i="13"/>
  <c r="S1239" i="13"/>
  <c r="S1240" i="13"/>
  <c r="S1241" i="13"/>
  <c r="S1242" i="13"/>
  <c r="S1243" i="13"/>
  <c r="S1244" i="13"/>
  <c r="S1245" i="13"/>
  <c r="S1246" i="13"/>
  <c r="S1247" i="13"/>
  <c r="S1248" i="13"/>
  <c r="S1249" i="13"/>
  <c r="S1250" i="13"/>
  <c r="S1251" i="13"/>
  <c r="S1252" i="13"/>
  <c r="S1253" i="13"/>
  <c r="S1254" i="13"/>
  <c r="S1255" i="13"/>
  <c r="S1256" i="13"/>
  <c r="S1257" i="13"/>
  <c r="S1258" i="13"/>
  <c r="S1259" i="13"/>
  <c r="S1260" i="13"/>
  <c r="S1261" i="13"/>
  <c r="S1262" i="13"/>
  <c r="S1263" i="13"/>
  <c r="S1264" i="13"/>
  <c r="S1265" i="13"/>
  <c r="S1266" i="13"/>
  <c r="S1267" i="13"/>
  <c r="S1268" i="13"/>
  <c r="S1269" i="13"/>
  <c r="S1270" i="13"/>
  <c r="S1271" i="13"/>
  <c r="S1272" i="13"/>
  <c r="S1273" i="13"/>
  <c r="S1274" i="13"/>
  <c r="S1275" i="13"/>
  <c r="S1276" i="13"/>
  <c r="S1277" i="13"/>
  <c r="S1278" i="13"/>
  <c r="S1279" i="13"/>
  <c r="S1280" i="13"/>
  <c r="S1281" i="13"/>
  <c r="S1282" i="13"/>
  <c r="S1283" i="13"/>
  <c r="S1284" i="13"/>
  <c r="S1285" i="13"/>
  <c r="S1286" i="13"/>
  <c r="S1287" i="13"/>
  <c r="S1288" i="13"/>
  <c r="S1289" i="13"/>
  <c r="S1290" i="13"/>
  <c r="S1291" i="13"/>
  <c r="S1292" i="13"/>
  <c r="S1293" i="13"/>
  <c r="S1294" i="13"/>
  <c r="S1295" i="13"/>
  <c r="S1296" i="13"/>
  <c r="S1297" i="13"/>
  <c r="S1298" i="13"/>
  <c r="S1299" i="13"/>
  <c r="S1300" i="13"/>
  <c r="S1301" i="13"/>
  <c r="S1302" i="13"/>
  <c r="S1303" i="13"/>
  <c r="S1304" i="13"/>
  <c r="S1305" i="13"/>
  <c r="S1306" i="13"/>
  <c r="S1307" i="13"/>
  <c r="S1308" i="13"/>
  <c r="S1309" i="13"/>
  <c r="S1310" i="13"/>
  <c r="S1311" i="13"/>
  <c r="S1312" i="13"/>
  <c r="S1313" i="13"/>
  <c r="S1314" i="13"/>
  <c r="S1315" i="13"/>
  <c r="S1316" i="13"/>
  <c r="S1317" i="13"/>
  <c r="S1318" i="13"/>
  <c r="S1319" i="13"/>
  <c r="S1320" i="13"/>
  <c r="S1321" i="13"/>
  <c r="S1322" i="13"/>
  <c r="S1323" i="13"/>
  <c r="S1324" i="13"/>
  <c r="S1325" i="13"/>
  <c r="S1326" i="13"/>
  <c r="S1327" i="13"/>
  <c r="S1328" i="13"/>
  <c r="S1329" i="13"/>
  <c r="S1330" i="13"/>
  <c r="S1331" i="13"/>
  <c r="S1332" i="13"/>
  <c r="S1333" i="13"/>
  <c r="S1334" i="13"/>
  <c r="S1335" i="13"/>
  <c r="S1336" i="13"/>
  <c r="S1337" i="13"/>
  <c r="S1338" i="13"/>
  <c r="S1339" i="13"/>
  <c r="S1340" i="13"/>
  <c r="S1341" i="13"/>
  <c r="S1342" i="13"/>
  <c r="S1343" i="13"/>
  <c r="S1344" i="13"/>
  <c r="S1345" i="13"/>
  <c r="S1346" i="13"/>
  <c r="S1347" i="13"/>
  <c r="S1348" i="13"/>
  <c r="S1349" i="13"/>
  <c r="S1350" i="13"/>
  <c r="S1351" i="13"/>
  <c r="S1352" i="13"/>
  <c r="S1353" i="13"/>
  <c r="S1354" i="13"/>
  <c r="S1355" i="13"/>
  <c r="S1356" i="13"/>
  <c r="S1357" i="13"/>
  <c r="S1358" i="13"/>
  <c r="S1359" i="13"/>
  <c r="S1360" i="13"/>
  <c r="S1361" i="13"/>
  <c r="S1362" i="13"/>
  <c r="S1363" i="13"/>
  <c r="S1364" i="13"/>
  <c r="S1365" i="13"/>
  <c r="S1366" i="13"/>
  <c r="S1367" i="13"/>
  <c r="S1368" i="13"/>
  <c r="S1369" i="13"/>
  <c r="S1370" i="13"/>
  <c r="S1371" i="13"/>
  <c r="S1372" i="13"/>
  <c r="S1373" i="13"/>
  <c r="S1374" i="13"/>
  <c r="S1375" i="13"/>
  <c r="S1376" i="13"/>
  <c r="S1377" i="13"/>
  <c r="S1378" i="13"/>
  <c r="S1379" i="13"/>
  <c r="S1380" i="13"/>
  <c r="S1381" i="13"/>
  <c r="S1382" i="13"/>
  <c r="S1383" i="13"/>
  <c r="S1384" i="13"/>
  <c r="S1385" i="13"/>
  <c r="S1386" i="13"/>
  <c r="S1387" i="13"/>
  <c r="S1388" i="13"/>
  <c r="S1389" i="13"/>
  <c r="S1390" i="13"/>
  <c r="S1391" i="13"/>
  <c r="S1392" i="13"/>
  <c r="S1393" i="13"/>
  <c r="S1394" i="13"/>
  <c r="S1395" i="13"/>
  <c r="S1396" i="13"/>
  <c r="S1397" i="13"/>
  <c r="S1398" i="13"/>
  <c r="S1399" i="13"/>
  <c r="S1400" i="13"/>
  <c r="S1401" i="13"/>
  <c r="S1402" i="13"/>
  <c r="S1403" i="13"/>
  <c r="S1404" i="13"/>
  <c r="S1405" i="13"/>
  <c r="S1406" i="13"/>
  <c r="S1407" i="13"/>
  <c r="S1408" i="13"/>
  <c r="S1409" i="13"/>
  <c r="S1410" i="13"/>
  <c r="S1411" i="13"/>
  <c r="S1412" i="13"/>
  <c r="S1413" i="13"/>
  <c r="S1414" i="13"/>
  <c r="S1415" i="13"/>
  <c r="S1416" i="13"/>
  <c r="S1417" i="13"/>
  <c r="S1418" i="13"/>
  <c r="S1419" i="13"/>
  <c r="S1420" i="13"/>
  <c r="S1421" i="13"/>
  <c r="S1422" i="13"/>
  <c r="S1423" i="13"/>
  <c r="S1424" i="13"/>
  <c r="S1425" i="13"/>
  <c r="S1426" i="13"/>
  <c r="S1427" i="13"/>
  <c r="S1428" i="13"/>
  <c r="S1429" i="13"/>
  <c r="S1430" i="13"/>
  <c r="S1431" i="13"/>
  <c r="S1432" i="13"/>
  <c r="S1433" i="13"/>
  <c r="S1434" i="13"/>
  <c r="S1435" i="13"/>
  <c r="S1436" i="13"/>
  <c r="S1437" i="13"/>
  <c r="S1438" i="13"/>
  <c r="S1439" i="13"/>
  <c r="S1440" i="13"/>
  <c r="S1441" i="13"/>
  <c r="S1442" i="13"/>
  <c r="S1443" i="13"/>
  <c r="S1444" i="13"/>
  <c r="S1445" i="13"/>
  <c r="S1446" i="13"/>
  <c r="S1447" i="13"/>
  <c r="S1448" i="13"/>
  <c r="S1449" i="13"/>
  <c r="S1450" i="13"/>
  <c r="S1451" i="13"/>
  <c r="S1452" i="13"/>
  <c r="S1453" i="13"/>
  <c r="S1454" i="13"/>
  <c r="S1455" i="13"/>
  <c r="S1456" i="13"/>
  <c r="S1457" i="13"/>
  <c r="S1458" i="13"/>
  <c r="S1459" i="13"/>
  <c r="S1460" i="13"/>
  <c r="S1461" i="13"/>
  <c r="S1462" i="13"/>
  <c r="S1463" i="13"/>
  <c r="S1464" i="13"/>
  <c r="S1465" i="13"/>
  <c r="S1466" i="13"/>
  <c r="S1467" i="13"/>
  <c r="S1468" i="13"/>
  <c r="S1469" i="13"/>
  <c r="S1470" i="13"/>
  <c r="S1471" i="13"/>
  <c r="S1472" i="13"/>
  <c r="S1473" i="13"/>
  <c r="S1474" i="13"/>
  <c r="S1475" i="13"/>
  <c r="S1476" i="13"/>
  <c r="S1477" i="13"/>
  <c r="S1478" i="13"/>
  <c r="S1479" i="13"/>
  <c r="S1480" i="13"/>
  <c r="S1481" i="13"/>
  <c r="S1482" i="13"/>
  <c r="S1483" i="13"/>
  <c r="S1484" i="13"/>
  <c r="S1485" i="13"/>
  <c r="S1486" i="13"/>
  <c r="S1487" i="13"/>
  <c r="S1488" i="13"/>
  <c r="S1489" i="13"/>
  <c r="S1490" i="13"/>
  <c r="S1491" i="13"/>
  <c r="S1492" i="13"/>
  <c r="S1493" i="13"/>
  <c r="S1494" i="13"/>
  <c r="S1495" i="13"/>
  <c r="S1496" i="13"/>
  <c r="S1497" i="13"/>
  <c r="S1498" i="13"/>
  <c r="S1499" i="13"/>
  <c r="S1500" i="13"/>
  <c r="S1501" i="13"/>
  <c r="S1502" i="13"/>
  <c r="S1503" i="13"/>
  <c r="S1504" i="13"/>
  <c r="S1505" i="13"/>
  <c r="S1506" i="13"/>
  <c r="S1507" i="13"/>
  <c r="S1508" i="13"/>
  <c r="S1509" i="13"/>
  <c r="S1510" i="13"/>
  <c r="S1511" i="13"/>
  <c r="S1512" i="13"/>
  <c r="S1513" i="13"/>
  <c r="S1514" i="13"/>
  <c r="S1515" i="13"/>
  <c r="S1516" i="13"/>
  <c r="S1517" i="13"/>
  <c r="S1518" i="13"/>
  <c r="S1519" i="13"/>
  <c r="S1520" i="13"/>
  <c r="S1521" i="13"/>
  <c r="S1522" i="13"/>
  <c r="S1523" i="13"/>
  <c r="S1524" i="13"/>
  <c r="S1525" i="13"/>
  <c r="S1526" i="13"/>
  <c r="S1527" i="13"/>
  <c r="S1528" i="13"/>
  <c r="S1529" i="13"/>
  <c r="S1530" i="13"/>
  <c r="S1531" i="13"/>
  <c r="S1532" i="13"/>
  <c r="S1533" i="13"/>
  <c r="S1534" i="13"/>
  <c r="S1535" i="13"/>
  <c r="S1536" i="13"/>
  <c r="S1537" i="13"/>
  <c r="S1538" i="13"/>
  <c r="S1539" i="13"/>
  <c r="S1540" i="13"/>
  <c r="S1541" i="13"/>
  <c r="S1542" i="13"/>
  <c r="S1543" i="13"/>
  <c r="S1544" i="13"/>
  <c r="S1545" i="13"/>
  <c r="S1546" i="13"/>
  <c r="S1547" i="13"/>
  <c r="S1548" i="13"/>
  <c r="S1549" i="13"/>
  <c r="S1550" i="13"/>
  <c r="S1551" i="13"/>
  <c r="S1552" i="13"/>
  <c r="S1553" i="13"/>
  <c r="S1554" i="13"/>
  <c r="S1555" i="13"/>
  <c r="S1556" i="13"/>
  <c r="S1557" i="13"/>
  <c r="S1558" i="13"/>
  <c r="S1559" i="13"/>
  <c r="S1560" i="13"/>
  <c r="S1561" i="13"/>
  <c r="S1562" i="13"/>
  <c r="S1563" i="13"/>
  <c r="S1564" i="13"/>
  <c r="S1565" i="13"/>
  <c r="S1566" i="13"/>
  <c r="S1567" i="13"/>
  <c r="S1568" i="13"/>
  <c r="S1569" i="13"/>
  <c r="S1570" i="13"/>
  <c r="S1571" i="13"/>
  <c r="S1572" i="13"/>
  <c r="S1573" i="13"/>
  <c r="S1574" i="13"/>
  <c r="S1575" i="13"/>
  <c r="S1576" i="13"/>
  <c r="S1577" i="13"/>
  <c r="S1578" i="13"/>
  <c r="S1579" i="13"/>
  <c r="S1580" i="13"/>
  <c r="S1581" i="13"/>
  <c r="S1582" i="13"/>
  <c r="S1583" i="13"/>
  <c r="S1584" i="13"/>
  <c r="S1585" i="13"/>
  <c r="S1586" i="13"/>
  <c r="S1587" i="13"/>
  <c r="S1588" i="13"/>
  <c r="S1589" i="13"/>
  <c r="S1590" i="13"/>
  <c r="S1591" i="13"/>
  <c r="S1592" i="13"/>
  <c r="S1593" i="13"/>
  <c r="S1594" i="13"/>
  <c r="S1595" i="13"/>
  <c r="S1596" i="13"/>
  <c r="S1597" i="13"/>
  <c r="S1598" i="13"/>
  <c r="S1599" i="13"/>
  <c r="S1600" i="13"/>
  <c r="S1601" i="13"/>
  <c r="S1602" i="13"/>
  <c r="S1603" i="13"/>
  <c r="S1604" i="13"/>
  <c r="S1605" i="13"/>
  <c r="S1606" i="13"/>
  <c r="S1607" i="13"/>
  <c r="S1608" i="13"/>
  <c r="S1609" i="13"/>
  <c r="S1610" i="13"/>
  <c r="S1611" i="13"/>
  <c r="S1612" i="13"/>
  <c r="S1613" i="13"/>
  <c r="S1614" i="13"/>
  <c r="S1615" i="13"/>
  <c r="S1616" i="13"/>
  <c r="S1617" i="13"/>
  <c r="S1618" i="13"/>
  <c r="S1619" i="13"/>
  <c r="S1620" i="13"/>
  <c r="S1621" i="13"/>
  <c r="S1622" i="13"/>
  <c r="S1623" i="13"/>
  <c r="S1624" i="13"/>
  <c r="S1625" i="13"/>
  <c r="S1626" i="13"/>
  <c r="S1627" i="13"/>
  <c r="S1628" i="13"/>
  <c r="S1629" i="13"/>
  <c r="S1630" i="13"/>
  <c r="S1631" i="13"/>
  <c r="S1632" i="13"/>
  <c r="S1633" i="13"/>
  <c r="S1634" i="13"/>
  <c r="S1635" i="13"/>
  <c r="S1636" i="13"/>
  <c r="S1637" i="13"/>
  <c r="S1638" i="13"/>
  <c r="S1639" i="13"/>
  <c r="S1640" i="13"/>
  <c r="S1641" i="13"/>
  <c r="S1642" i="13"/>
  <c r="S1643" i="13"/>
  <c r="S1644" i="13"/>
  <c r="S1645" i="13"/>
  <c r="S1646" i="13"/>
  <c r="S1647" i="13"/>
  <c r="S1648" i="13"/>
  <c r="S1649" i="13"/>
  <c r="S1650" i="13"/>
  <c r="S1651" i="13"/>
  <c r="S1652" i="13"/>
  <c r="S1653" i="13"/>
  <c r="S1654" i="13"/>
  <c r="S1655" i="13"/>
  <c r="S1656" i="13"/>
  <c r="S1657" i="13"/>
  <c r="S1658" i="13"/>
  <c r="S1659" i="13"/>
  <c r="S1660" i="13"/>
  <c r="S1661" i="13"/>
  <c r="S1662" i="13"/>
  <c r="S1663" i="13"/>
  <c r="S1664" i="13"/>
  <c r="S1665" i="13"/>
  <c r="S1666" i="13"/>
  <c r="S1667" i="13"/>
  <c r="S1668" i="13"/>
  <c r="S1669" i="13"/>
  <c r="S1670" i="13"/>
  <c r="S1671" i="13"/>
  <c r="S1672" i="13"/>
  <c r="S1673" i="13"/>
  <c r="S1674" i="13"/>
  <c r="S1675" i="13"/>
  <c r="S1676" i="13"/>
  <c r="S1677" i="13"/>
  <c r="S1678" i="13"/>
  <c r="S1679" i="13"/>
  <c r="S1680" i="13"/>
  <c r="S1681" i="13"/>
  <c r="S1682" i="13"/>
  <c r="S1683" i="13"/>
  <c r="S1684" i="13"/>
  <c r="S1685" i="13"/>
  <c r="S1686" i="13"/>
  <c r="S1687" i="13"/>
  <c r="S1688" i="13"/>
  <c r="S1689" i="13"/>
  <c r="S1690" i="13"/>
  <c r="S1691" i="13"/>
  <c r="S1692" i="13"/>
  <c r="S1693" i="13"/>
  <c r="S1694" i="13"/>
  <c r="S1695" i="13"/>
  <c r="S1696" i="13"/>
  <c r="S1697" i="13"/>
  <c r="S1698" i="13"/>
  <c r="S1699" i="13"/>
  <c r="S1700" i="13"/>
  <c r="S1701" i="13"/>
  <c r="S1702" i="13"/>
  <c r="S1703" i="13"/>
  <c r="S1704" i="13"/>
  <c r="S1705" i="13"/>
  <c r="S1706" i="13"/>
  <c r="S1707" i="13"/>
  <c r="S1708" i="13"/>
  <c r="S1709" i="13"/>
  <c r="S1710" i="13"/>
  <c r="S1711" i="13"/>
  <c r="S1712" i="13"/>
  <c r="S1713" i="13"/>
  <c r="S1714" i="13"/>
  <c r="S1715" i="13"/>
  <c r="S1716" i="13"/>
  <c r="S1717" i="13"/>
  <c r="S1718" i="13"/>
  <c r="S1719" i="13"/>
  <c r="S1720" i="13"/>
  <c r="S1721" i="13"/>
  <c r="S1722" i="13"/>
  <c r="S1723" i="13"/>
  <c r="S1724" i="13"/>
  <c r="S1725" i="13"/>
  <c r="S1726" i="13"/>
  <c r="S1727" i="13"/>
  <c r="S1728" i="13"/>
  <c r="S1729" i="13"/>
  <c r="S1730" i="13"/>
  <c r="S1731" i="13"/>
  <c r="S1732" i="13"/>
  <c r="S1733" i="13"/>
  <c r="S1734" i="13"/>
  <c r="S1735" i="13"/>
  <c r="S1736" i="13"/>
  <c r="S1737" i="13"/>
  <c r="S1738" i="13"/>
  <c r="S1739" i="13"/>
  <c r="S1740" i="13"/>
  <c r="S1741" i="13"/>
  <c r="S1742" i="13"/>
  <c r="S1743" i="13"/>
  <c r="S1744" i="13"/>
  <c r="S1745" i="13"/>
  <c r="S1746" i="13"/>
  <c r="S1747" i="13"/>
  <c r="S1748" i="13"/>
  <c r="S1749" i="13"/>
  <c r="S1750" i="13"/>
  <c r="S1751" i="13"/>
  <c r="S1752" i="13"/>
  <c r="S1753" i="13"/>
  <c r="S1754" i="13"/>
  <c r="S1755" i="13"/>
  <c r="S1756" i="13"/>
  <c r="S1757" i="13"/>
  <c r="S1758" i="13"/>
  <c r="S1759" i="13"/>
  <c r="S1760" i="13"/>
  <c r="S1761" i="13"/>
  <c r="S1762" i="13"/>
  <c r="S1763" i="13"/>
  <c r="S1764" i="13"/>
  <c r="S1765" i="13"/>
  <c r="S1766" i="13"/>
  <c r="S1767" i="13"/>
  <c r="S1768" i="13"/>
  <c r="S1769" i="13"/>
  <c r="S1770" i="13"/>
  <c r="S1771" i="13"/>
  <c r="S1772" i="13"/>
  <c r="S1773" i="13"/>
  <c r="S1774" i="13"/>
  <c r="S1775" i="13"/>
  <c r="S1776" i="13"/>
  <c r="S1777" i="13"/>
  <c r="S1778" i="13"/>
  <c r="S1779" i="13"/>
  <c r="S1780" i="13"/>
  <c r="S1781" i="13"/>
  <c r="S1782" i="13"/>
  <c r="S1783" i="13"/>
  <c r="S1784" i="13"/>
  <c r="S1785" i="13"/>
  <c r="S1786" i="13"/>
  <c r="S1787" i="13"/>
  <c r="S1788" i="13"/>
  <c r="S1789" i="13"/>
  <c r="S1790" i="13"/>
  <c r="S1791" i="13"/>
  <c r="S1792" i="13"/>
  <c r="S1793" i="13"/>
  <c r="S1794" i="13"/>
  <c r="S1795" i="13"/>
  <c r="S1796" i="13"/>
  <c r="S1797" i="13"/>
  <c r="S1798" i="13"/>
  <c r="S1799" i="13"/>
  <c r="S1800" i="13"/>
  <c r="S1801" i="13"/>
  <c r="S1802" i="13"/>
  <c r="S1803" i="13"/>
  <c r="S1804" i="13"/>
  <c r="S1805" i="13"/>
  <c r="S1806" i="13"/>
  <c r="S1807" i="13"/>
  <c r="S1808" i="13"/>
  <c r="S1809" i="13"/>
  <c r="S1810" i="13"/>
  <c r="S1811" i="13"/>
  <c r="S1812" i="13"/>
  <c r="S1813" i="13"/>
  <c r="S1814" i="13"/>
  <c r="S1815" i="13"/>
  <c r="S1816" i="13"/>
  <c r="S1817" i="13"/>
  <c r="S1818" i="13"/>
  <c r="S1819" i="13"/>
  <c r="S1820" i="13"/>
  <c r="S1821" i="13"/>
  <c r="S1822" i="13"/>
  <c r="S1823" i="13"/>
  <c r="S1824" i="13"/>
  <c r="S1825" i="13"/>
  <c r="S1826" i="13"/>
  <c r="S1827" i="13"/>
  <c r="S1828" i="13"/>
  <c r="S1829" i="13"/>
  <c r="S1830" i="13"/>
  <c r="S1831" i="13"/>
  <c r="S1832" i="13"/>
  <c r="S1833" i="13"/>
  <c r="S1834" i="13"/>
  <c r="S1835" i="13"/>
  <c r="S1836" i="13"/>
  <c r="S1837" i="13"/>
  <c r="S1838" i="13"/>
  <c r="S1839" i="13"/>
  <c r="S1840" i="13"/>
  <c r="S1841" i="13"/>
  <c r="S1842" i="13"/>
  <c r="S1843" i="13"/>
  <c r="S1844" i="13"/>
  <c r="S1845" i="13"/>
  <c r="S1846" i="13"/>
  <c r="S1847" i="13"/>
  <c r="S1848" i="13"/>
  <c r="S1849" i="13"/>
  <c r="S1850" i="13"/>
  <c r="S1851" i="13"/>
  <c r="S1852" i="13"/>
  <c r="S1853" i="13"/>
  <c r="S1854" i="13"/>
  <c r="S1855" i="13"/>
  <c r="S1856" i="13"/>
  <c r="S1857" i="13"/>
  <c r="S1858" i="13"/>
  <c r="S1859" i="13"/>
  <c r="S1860" i="13"/>
  <c r="S1861" i="13"/>
  <c r="S1862" i="13"/>
  <c r="S1863" i="13"/>
  <c r="S1864" i="13"/>
  <c r="S1865" i="13"/>
  <c r="S1866" i="13"/>
  <c r="S1867" i="13"/>
  <c r="S1868" i="13"/>
  <c r="S1869" i="13"/>
  <c r="S1870" i="13"/>
  <c r="S1871" i="13"/>
  <c r="S1872" i="13"/>
  <c r="S1873" i="13"/>
  <c r="S1874" i="13"/>
  <c r="S1875" i="13"/>
  <c r="S1876" i="13"/>
  <c r="S1877" i="13"/>
  <c r="S1878" i="13"/>
  <c r="S1879" i="13"/>
  <c r="S1880" i="13"/>
  <c r="S1881" i="13"/>
  <c r="S1882" i="13"/>
  <c r="S1883" i="13"/>
  <c r="S1884" i="13"/>
  <c r="S1885" i="13"/>
  <c r="S1886" i="13"/>
  <c r="S1887" i="13"/>
  <c r="S1888" i="13"/>
  <c r="S1889" i="13"/>
  <c r="S1890" i="13"/>
  <c r="S1891" i="13"/>
  <c r="S1892" i="13"/>
  <c r="S1893" i="13"/>
  <c r="S1894" i="13"/>
  <c r="S1895" i="13"/>
  <c r="S1896" i="13"/>
  <c r="S1897" i="13"/>
  <c r="S1898" i="13"/>
  <c r="S1899" i="13"/>
  <c r="S1900" i="13"/>
  <c r="S1901" i="13"/>
  <c r="S1902" i="13"/>
  <c r="S1903" i="13"/>
  <c r="S1904" i="13"/>
  <c r="S1905" i="13"/>
  <c r="S1906" i="13"/>
  <c r="S1907" i="13"/>
  <c r="S1908" i="13"/>
  <c r="S1909" i="13"/>
  <c r="S1910" i="13"/>
  <c r="S1911" i="13"/>
  <c r="S1912" i="13"/>
  <c r="S1913" i="13"/>
  <c r="S1914" i="13"/>
  <c r="S1915" i="13"/>
  <c r="S1916" i="13"/>
  <c r="S1917" i="13"/>
  <c r="S1918" i="13"/>
  <c r="S1919" i="13"/>
  <c r="S1920" i="13"/>
  <c r="S1921" i="13"/>
  <c r="S1922" i="13"/>
  <c r="S1923" i="13"/>
  <c r="S1924" i="13"/>
  <c r="S1925" i="13"/>
  <c r="S1926" i="13"/>
  <c r="S1927" i="13"/>
  <c r="S1928" i="13"/>
  <c r="S1929" i="13"/>
  <c r="S1930" i="13"/>
  <c r="S1931" i="13"/>
  <c r="S1932" i="13"/>
  <c r="S1933" i="13"/>
  <c r="S1934" i="13"/>
  <c r="S1935" i="13"/>
  <c r="S1936" i="13"/>
  <c r="S1937" i="13"/>
  <c r="S1938" i="13"/>
  <c r="S1939" i="13"/>
  <c r="S1940" i="13"/>
  <c r="S1941" i="13"/>
  <c r="S1942" i="13"/>
  <c r="S1943" i="13"/>
  <c r="S1944" i="13"/>
  <c r="S1945" i="13"/>
  <c r="S1946" i="13"/>
  <c r="S1947" i="13"/>
  <c r="S1948" i="13"/>
  <c r="S1949" i="13"/>
  <c r="S1950" i="13"/>
  <c r="S1951" i="13"/>
  <c r="S1952" i="13"/>
  <c r="S1953" i="13"/>
  <c r="S1954" i="13"/>
  <c r="S1955" i="13"/>
  <c r="S1956" i="13"/>
  <c r="S1957" i="13"/>
  <c r="S1958" i="13"/>
  <c r="S1959" i="13"/>
  <c r="S1960" i="13"/>
  <c r="S1961" i="13"/>
  <c r="S1962" i="13"/>
  <c r="S1963" i="13"/>
  <c r="S1964" i="13"/>
  <c r="S1965" i="13"/>
  <c r="S1966" i="13"/>
  <c r="S1967" i="13"/>
  <c r="S1968" i="13"/>
  <c r="S1969" i="13"/>
  <c r="S1970" i="13"/>
  <c r="S1971" i="13"/>
  <c r="S1972" i="13"/>
  <c r="S1973" i="13"/>
  <c r="S1974" i="13"/>
  <c r="S1975" i="13"/>
  <c r="S1976" i="13"/>
  <c r="S1977" i="13"/>
  <c r="S1978" i="13"/>
  <c r="S1979" i="13"/>
  <c r="S1980" i="13"/>
  <c r="S1981" i="13"/>
  <c r="S1982" i="13"/>
  <c r="S1983" i="13"/>
  <c r="S1984" i="13"/>
  <c r="S1985" i="13"/>
  <c r="S1986" i="13"/>
  <c r="S1987" i="13"/>
  <c r="S1988" i="13"/>
  <c r="S1989" i="13"/>
  <c r="S1990" i="13"/>
  <c r="S1991" i="13"/>
  <c r="S1992" i="13"/>
  <c r="S1993" i="13"/>
  <c r="S1994" i="13"/>
  <c r="S1995" i="13"/>
  <c r="S1996" i="13"/>
  <c r="S1997" i="13"/>
  <c r="S1998" i="13"/>
  <c r="S1999" i="13"/>
  <c r="S2000" i="13"/>
  <c r="S2001" i="13"/>
  <c r="S2002" i="13"/>
  <c r="S2003" i="13"/>
  <c r="S2004" i="13"/>
  <c r="S2005" i="13"/>
  <c r="S2006" i="13"/>
  <c r="S2007" i="13"/>
  <c r="S2008" i="13"/>
  <c r="S2009" i="13"/>
  <c r="S2010" i="13"/>
  <c r="S2011" i="13"/>
  <c r="S2012" i="13"/>
  <c r="S2013" i="13"/>
  <c r="S2014" i="13"/>
  <c r="S2015" i="13"/>
  <c r="S2016" i="13"/>
  <c r="S2017" i="13"/>
  <c r="S2018" i="13"/>
  <c r="S2019" i="13"/>
  <c r="S2020" i="13"/>
  <c r="S2021" i="13"/>
  <c r="S2022" i="13"/>
  <c r="S2023" i="13"/>
  <c r="S2024" i="13"/>
  <c r="S2025" i="13"/>
  <c r="S2026" i="13"/>
  <c r="S2027" i="13"/>
  <c r="S2028" i="13"/>
  <c r="S2029" i="13"/>
  <c r="S2030" i="13"/>
  <c r="S2031" i="13"/>
  <c r="S2032" i="13"/>
  <c r="S2033" i="13"/>
  <c r="S2034" i="13"/>
  <c r="S2035" i="13"/>
  <c r="S2036" i="13"/>
  <c r="S2037" i="13"/>
  <c r="S2038" i="13"/>
  <c r="S2039" i="13"/>
  <c r="S2040" i="13"/>
  <c r="S2041" i="13"/>
  <c r="S2042" i="13"/>
  <c r="S2043" i="13"/>
  <c r="S2044" i="13"/>
  <c r="S2045" i="13"/>
  <c r="S2046" i="13"/>
  <c r="S2047" i="13"/>
  <c r="S2048" i="13"/>
  <c r="S2049" i="13"/>
  <c r="S2050" i="13"/>
  <c r="S2051" i="13"/>
  <c r="S2052" i="13"/>
  <c r="S2053" i="13"/>
  <c r="S2054" i="13"/>
  <c r="S2055" i="13"/>
  <c r="S2056" i="13"/>
  <c r="S2057" i="13"/>
  <c r="S2058" i="13"/>
  <c r="S2059" i="13"/>
  <c r="S2060" i="13"/>
  <c r="S2061" i="13"/>
  <c r="S2062" i="13"/>
  <c r="S2063" i="13"/>
  <c r="S2064" i="13"/>
  <c r="S2065" i="13"/>
  <c r="S2066" i="13"/>
  <c r="S2067" i="13"/>
  <c r="S2068" i="13"/>
  <c r="S2069" i="13"/>
  <c r="S2070" i="13"/>
  <c r="S2071" i="13"/>
  <c r="S2072" i="13"/>
  <c r="S2073" i="13"/>
  <c r="S2074" i="13"/>
  <c r="S2075" i="13"/>
  <c r="S2076" i="13"/>
  <c r="S2077" i="13"/>
  <c r="S2078" i="13"/>
  <c r="S2079" i="13"/>
  <c r="S2080" i="13"/>
  <c r="S2081" i="13"/>
  <c r="S2082" i="13"/>
  <c r="S2083" i="13"/>
  <c r="S2084" i="13"/>
  <c r="S2085" i="13"/>
  <c r="S2086" i="13"/>
  <c r="S2087" i="13"/>
  <c r="S2088" i="13"/>
  <c r="S2089" i="13"/>
  <c r="S2090" i="13"/>
  <c r="S2091" i="13"/>
  <c r="S2092" i="13"/>
  <c r="S2093" i="13"/>
  <c r="S2094" i="13"/>
  <c r="S2095" i="13"/>
  <c r="S2096" i="13"/>
  <c r="S2097" i="13"/>
  <c r="S2098" i="13"/>
  <c r="S2099" i="13"/>
  <c r="S2100" i="13"/>
  <c r="S2101" i="13"/>
  <c r="S2102" i="13"/>
  <c r="S2103" i="13"/>
  <c r="S2104" i="13"/>
  <c r="S2105" i="13"/>
  <c r="S2106" i="13"/>
  <c r="S2107" i="13"/>
  <c r="S2108" i="13"/>
  <c r="S2109" i="13"/>
  <c r="S2110" i="13"/>
  <c r="S2111" i="13"/>
  <c r="S2112" i="13"/>
  <c r="S2113" i="13"/>
  <c r="S2114" i="13"/>
  <c r="S2115" i="13"/>
  <c r="S2116" i="13"/>
  <c r="S2117" i="13"/>
  <c r="S2118" i="13"/>
  <c r="S2119" i="13"/>
  <c r="S2120" i="13"/>
  <c r="S2121" i="13"/>
  <c r="S2122" i="13"/>
  <c r="S2123" i="13"/>
  <c r="S2124" i="13"/>
  <c r="S2125" i="13"/>
  <c r="S2126" i="13"/>
  <c r="S2127" i="13"/>
  <c r="S2128" i="13"/>
  <c r="S2129" i="13"/>
  <c r="S2130" i="13"/>
  <c r="S2131" i="13"/>
  <c r="S2132" i="13"/>
  <c r="S2133" i="13"/>
  <c r="S2134" i="13"/>
  <c r="S2135" i="13"/>
  <c r="S2136" i="13"/>
  <c r="S2137" i="13"/>
  <c r="S2138" i="13"/>
  <c r="S2139" i="13"/>
  <c r="S2140" i="13"/>
  <c r="S2141" i="13"/>
  <c r="S2142" i="13"/>
  <c r="S2143" i="13"/>
  <c r="S2144" i="13"/>
  <c r="S2145" i="13"/>
  <c r="S2146" i="13"/>
  <c r="S2147" i="13"/>
  <c r="S2148" i="13"/>
  <c r="S2149" i="13"/>
  <c r="S2150" i="13"/>
  <c r="S2151" i="13"/>
  <c r="S2152" i="13"/>
  <c r="S2153" i="13"/>
  <c r="S2154" i="13"/>
  <c r="S2155" i="13"/>
  <c r="S2156" i="13"/>
  <c r="S2157" i="13"/>
  <c r="S2158" i="13"/>
  <c r="S2159" i="13"/>
  <c r="S2160" i="13"/>
  <c r="S2161" i="13"/>
  <c r="S2162" i="13"/>
  <c r="S2163" i="13"/>
  <c r="S2164" i="13"/>
  <c r="S2165" i="13"/>
  <c r="S2166" i="13"/>
  <c r="S2167" i="13"/>
  <c r="S2168" i="13"/>
  <c r="S2169" i="13"/>
  <c r="S2170" i="13"/>
  <c r="S2171" i="13"/>
  <c r="S2172" i="13"/>
  <c r="S2173" i="13"/>
  <c r="S2174" i="13"/>
  <c r="S2175" i="13"/>
  <c r="S2176" i="13"/>
  <c r="S2177" i="13"/>
  <c r="S2178" i="13"/>
  <c r="S2179" i="13"/>
  <c r="S2180" i="13"/>
  <c r="S2181" i="13"/>
  <c r="S2182" i="13"/>
  <c r="S2183" i="13"/>
  <c r="S2184" i="13"/>
  <c r="S2185" i="13"/>
  <c r="S2186" i="13"/>
  <c r="S2187" i="13"/>
  <c r="S2188" i="13"/>
  <c r="S2189" i="13"/>
  <c r="S2190" i="13"/>
  <c r="S2191" i="13"/>
  <c r="S2192" i="13"/>
  <c r="S2193" i="13"/>
  <c r="S2194" i="13"/>
  <c r="S2195" i="13"/>
  <c r="S2196" i="13"/>
  <c r="S2197" i="13"/>
  <c r="S2198" i="13"/>
  <c r="S2199" i="13"/>
  <c r="S2200" i="13"/>
  <c r="S2201" i="13"/>
  <c r="S2202" i="13"/>
  <c r="S2203" i="13"/>
  <c r="S2204" i="13"/>
  <c r="S2205" i="13"/>
  <c r="S2206" i="13"/>
  <c r="S2207" i="13"/>
  <c r="S2208" i="13"/>
  <c r="S2209" i="13"/>
  <c r="S2210" i="13"/>
  <c r="S2211" i="13"/>
  <c r="S2212" i="13"/>
  <c r="S2213" i="13"/>
  <c r="S2214" i="13"/>
  <c r="S2215" i="13"/>
  <c r="S2216" i="13"/>
  <c r="S2217" i="13"/>
  <c r="S2218" i="13"/>
  <c r="S2219" i="13"/>
  <c r="S2220" i="13"/>
  <c r="S2221" i="13"/>
  <c r="S2222" i="13"/>
  <c r="S2223" i="13"/>
  <c r="S2224" i="13"/>
  <c r="S2225" i="13"/>
  <c r="S2226" i="13"/>
  <c r="S2227" i="13"/>
  <c r="S2228" i="13"/>
  <c r="S2229" i="13"/>
  <c r="S2230" i="13"/>
  <c r="S2231" i="13"/>
  <c r="S2232" i="13"/>
  <c r="S2233" i="13"/>
  <c r="S2234" i="13"/>
  <c r="S2235" i="13"/>
  <c r="S2236" i="13"/>
  <c r="S2237" i="13"/>
  <c r="S2238" i="13"/>
  <c r="S2239" i="13"/>
  <c r="S2240" i="13"/>
  <c r="S2241" i="13"/>
  <c r="S2242" i="13"/>
  <c r="S2243" i="13"/>
  <c r="S2244" i="13"/>
  <c r="S2245" i="13"/>
  <c r="S2246" i="13"/>
  <c r="S2247" i="13"/>
  <c r="S2248" i="13"/>
  <c r="S2249" i="13"/>
  <c r="S2250" i="13"/>
  <c r="S2251" i="13"/>
  <c r="S2252" i="13"/>
  <c r="S2253" i="13"/>
  <c r="S2254" i="13"/>
  <c r="S2255" i="13"/>
  <c r="S2256" i="13"/>
  <c r="S2257" i="13"/>
  <c r="S2258" i="13"/>
  <c r="S2259" i="13"/>
  <c r="S2260" i="13"/>
  <c r="S2261" i="13"/>
  <c r="S2262" i="13"/>
  <c r="S2263" i="13"/>
  <c r="S2264" i="13"/>
  <c r="S2265" i="13"/>
  <c r="S2266" i="13"/>
  <c r="S2267" i="13"/>
  <c r="S2268" i="13"/>
  <c r="S2269" i="13"/>
  <c r="S2270" i="13"/>
  <c r="S2271" i="13"/>
  <c r="S2272" i="13"/>
  <c r="S2273" i="13"/>
  <c r="S2274" i="13"/>
  <c r="S2275" i="13"/>
  <c r="S2276" i="13"/>
  <c r="S2277" i="13"/>
  <c r="S2278" i="13"/>
  <c r="S2279" i="13"/>
  <c r="S2280" i="13"/>
  <c r="S2281" i="13"/>
  <c r="S2282" i="13"/>
  <c r="S2283" i="13"/>
  <c r="S2284" i="13"/>
  <c r="S2285" i="13"/>
  <c r="S2286" i="13"/>
  <c r="S2287" i="13"/>
  <c r="S2288" i="13"/>
  <c r="S2289" i="13"/>
  <c r="S2290" i="13"/>
  <c r="S2291" i="13"/>
  <c r="S2292" i="13"/>
  <c r="S2293" i="13"/>
  <c r="S2294" i="13"/>
  <c r="S2295" i="13"/>
  <c r="S2296" i="13"/>
  <c r="S2297" i="13"/>
  <c r="S2298" i="13"/>
  <c r="S2299" i="13"/>
  <c r="S2300" i="13"/>
  <c r="S2301" i="13"/>
  <c r="S2302" i="13"/>
  <c r="S2303" i="13"/>
  <c r="S2304" i="13"/>
  <c r="S2305" i="13"/>
  <c r="S2306" i="13"/>
  <c r="S2307" i="13"/>
  <c r="S2308" i="13"/>
  <c r="S2309" i="13"/>
  <c r="S2310" i="13"/>
  <c r="S2311" i="13"/>
  <c r="S2312" i="13"/>
  <c r="S2313" i="13"/>
  <c r="S2314" i="13"/>
  <c r="S2315" i="13"/>
  <c r="S2316" i="13"/>
  <c r="S2317" i="13"/>
  <c r="S2318" i="13"/>
  <c r="S2319" i="13"/>
  <c r="S2320" i="13"/>
  <c r="S2321" i="13"/>
  <c r="S2322" i="13"/>
  <c r="S2323" i="13"/>
  <c r="S2324" i="13"/>
  <c r="S2325" i="13"/>
  <c r="S2326" i="13"/>
  <c r="S2327" i="13"/>
  <c r="S2328" i="13"/>
  <c r="S2329" i="13"/>
  <c r="S2330" i="13"/>
  <c r="S2331" i="13"/>
  <c r="S2332" i="13"/>
  <c r="S2333" i="13"/>
  <c r="S2334" i="13"/>
  <c r="S2335" i="13"/>
  <c r="S2336" i="13"/>
  <c r="S2337" i="13"/>
  <c r="S2338" i="13"/>
  <c r="S2339" i="13"/>
  <c r="S2340" i="13"/>
  <c r="S2341" i="13"/>
  <c r="S2342" i="13"/>
  <c r="S2343" i="13"/>
  <c r="S2344" i="13"/>
  <c r="S2345" i="13"/>
  <c r="S2346" i="13"/>
  <c r="S2347" i="13"/>
  <c r="S2348" i="13"/>
  <c r="S2349" i="13"/>
  <c r="S2350" i="13"/>
  <c r="S2351" i="13"/>
  <c r="S2352" i="13"/>
  <c r="S2353" i="13"/>
  <c r="S2354" i="13"/>
  <c r="S2355" i="13"/>
  <c r="S2356" i="13"/>
  <c r="S2357" i="13"/>
  <c r="S2358" i="13"/>
  <c r="S2359" i="13"/>
  <c r="S2360" i="13"/>
  <c r="S2361" i="13"/>
  <c r="S2362" i="13"/>
  <c r="S2363" i="13"/>
  <c r="S2364" i="13"/>
  <c r="S2365" i="13"/>
  <c r="S2366" i="13"/>
  <c r="S2367" i="13"/>
  <c r="S2368" i="13"/>
  <c r="S2369" i="13"/>
  <c r="S2370" i="13"/>
  <c r="S2371" i="13"/>
  <c r="S2372" i="13"/>
  <c r="S2373" i="13"/>
  <c r="S2374" i="13"/>
  <c r="S2375" i="13"/>
  <c r="S2376" i="13"/>
  <c r="S2377" i="13"/>
  <c r="S2378" i="13"/>
  <c r="S2379" i="13"/>
  <c r="S2380" i="13"/>
  <c r="S2381" i="13"/>
  <c r="S2382" i="13"/>
  <c r="S2383" i="13"/>
  <c r="S2384" i="13"/>
  <c r="S2385" i="13"/>
  <c r="S2386" i="13"/>
  <c r="S2387" i="13"/>
  <c r="S2388" i="13"/>
  <c r="S2389" i="13"/>
  <c r="S2390" i="13"/>
  <c r="S2391" i="13"/>
  <c r="S2392" i="13"/>
  <c r="S2393" i="13"/>
  <c r="S2394" i="13"/>
  <c r="S2395" i="13"/>
  <c r="S2396" i="13"/>
  <c r="S2397" i="13"/>
  <c r="S2398" i="13"/>
  <c r="S2399" i="13"/>
  <c r="S2400" i="13"/>
  <c r="S2401" i="13"/>
  <c r="S2402" i="13"/>
  <c r="S2403" i="13"/>
  <c r="S2404" i="13"/>
  <c r="S2405" i="13"/>
  <c r="S2406" i="13"/>
  <c r="S2407" i="13"/>
  <c r="S2408" i="13"/>
  <c r="S2409" i="13"/>
  <c r="S2410" i="13"/>
  <c r="S2411" i="13"/>
  <c r="S2412" i="13"/>
  <c r="S2413" i="13"/>
  <c r="S2414" i="13"/>
  <c r="S2415" i="13"/>
  <c r="S2416" i="13"/>
  <c r="S2417" i="13"/>
  <c r="S2418" i="13"/>
  <c r="S2419" i="13"/>
  <c r="S2420" i="13"/>
  <c r="S2421" i="13"/>
  <c r="S2422" i="13"/>
  <c r="S2423" i="13"/>
  <c r="S2424" i="13"/>
  <c r="S2425" i="13"/>
  <c r="S2426" i="13"/>
  <c r="S2427" i="13"/>
  <c r="S2428" i="13"/>
  <c r="S2429" i="13"/>
  <c r="S2430" i="13"/>
  <c r="S2431" i="13"/>
  <c r="S2432" i="13"/>
  <c r="S2433" i="13"/>
  <c r="S2434" i="13"/>
  <c r="S2435" i="13"/>
  <c r="S2436" i="13"/>
  <c r="S2437" i="13"/>
  <c r="S2438" i="13"/>
  <c r="S2439" i="13"/>
  <c r="S2440" i="13"/>
  <c r="S2441" i="13"/>
  <c r="S2442" i="13"/>
  <c r="S2443" i="13"/>
  <c r="S2444" i="13"/>
  <c r="S2445" i="13"/>
  <c r="S2446" i="13"/>
  <c r="S2447" i="13"/>
  <c r="S2448" i="13"/>
  <c r="S2449" i="13"/>
  <c r="S2450" i="13"/>
  <c r="S2451" i="13"/>
  <c r="S2452" i="13"/>
  <c r="S2453" i="13"/>
  <c r="S2454" i="13"/>
  <c r="S2455" i="13"/>
  <c r="S2456" i="13"/>
  <c r="S2457" i="13"/>
  <c r="S2458" i="13"/>
  <c r="S2459" i="13"/>
  <c r="S2460" i="13"/>
  <c r="S2461" i="13"/>
  <c r="S2462" i="13"/>
  <c r="S2463" i="13"/>
  <c r="S2464" i="13"/>
  <c r="S2465" i="13"/>
  <c r="S2466" i="13"/>
  <c r="S2467" i="13"/>
  <c r="S2468" i="13"/>
  <c r="S2469" i="13"/>
  <c r="S2470" i="13"/>
  <c r="S2471" i="13"/>
  <c r="S2472" i="13"/>
  <c r="S2473" i="13"/>
  <c r="S2474" i="13"/>
  <c r="S2475" i="13"/>
  <c r="S2476" i="13"/>
  <c r="S2477" i="13"/>
  <c r="S2478" i="13"/>
  <c r="S2479" i="13"/>
  <c r="S2480" i="13"/>
  <c r="S2481" i="13"/>
  <c r="S2482" i="13"/>
  <c r="S2483" i="13"/>
  <c r="S2484" i="13"/>
  <c r="S2485" i="13"/>
  <c r="S2486" i="13"/>
  <c r="S2487" i="13"/>
  <c r="S2488" i="13"/>
  <c r="S2489" i="13"/>
  <c r="S2490" i="13"/>
  <c r="S2491" i="13"/>
  <c r="S2492" i="13"/>
  <c r="S2493" i="13"/>
  <c r="S2494" i="13"/>
  <c r="S2495" i="13"/>
  <c r="S2496" i="13"/>
  <c r="S2497" i="13"/>
  <c r="S2498" i="13"/>
  <c r="S2499" i="13"/>
  <c r="S2500" i="13"/>
  <c r="S2501" i="13"/>
  <c r="S2502" i="13"/>
  <c r="S2503" i="13"/>
  <c r="S2504" i="13"/>
  <c r="S2505" i="13"/>
  <c r="S2506" i="13"/>
  <c r="S2507" i="13"/>
  <c r="S2508" i="13"/>
  <c r="S2509" i="13"/>
  <c r="S2510" i="13"/>
  <c r="S2511" i="13"/>
  <c r="S2512" i="13"/>
  <c r="S2513" i="13"/>
  <c r="S2514" i="13"/>
  <c r="S2515" i="13"/>
  <c r="S2516" i="13"/>
  <c r="S2517" i="13"/>
  <c r="S2518" i="13"/>
  <c r="S2519" i="13"/>
  <c r="S2520" i="13"/>
  <c r="S2521" i="13"/>
  <c r="S2522" i="13"/>
  <c r="S2523" i="13"/>
  <c r="S2524" i="13"/>
  <c r="S2525" i="13"/>
  <c r="S2526" i="13"/>
  <c r="S2527" i="13"/>
  <c r="S2528" i="13"/>
  <c r="S2529" i="13"/>
  <c r="S2530" i="13"/>
  <c r="S2531" i="13"/>
  <c r="S2532" i="13"/>
  <c r="S2533" i="13"/>
  <c r="S2534" i="13"/>
  <c r="S2535" i="13"/>
  <c r="S2536" i="13"/>
  <c r="S2537" i="13"/>
  <c r="S2538" i="13"/>
  <c r="S2539" i="13"/>
  <c r="S2540" i="13"/>
  <c r="S2541" i="13"/>
  <c r="S2542" i="13"/>
  <c r="S2543" i="13"/>
  <c r="S2544" i="13"/>
  <c r="S2545" i="13"/>
  <c r="S2546" i="13"/>
  <c r="S2547" i="13"/>
  <c r="S2548" i="13"/>
  <c r="S2549" i="13"/>
  <c r="S2550" i="13"/>
  <c r="S2551" i="13"/>
  <c r="S2552" i="13"/>
  <c r="S2553" i="13"/>
  <c r="S2554" i="13"/>
  <c r="S2555" i="13"/>
  <c r="S2556" i="13"/>
  <c r="S2557" i="13"/>
  <c r="S2558" i="13"/>
  <c r="S2559" i="13"/>
  <c r="S2560" i="13"/>
  <c r="S2561" i="13"/>
  <c r="S2562" i="13"/>
  <c r="S2563" i="13"/>
  <c r="S2564" i="13"/>
  <c r="S2565" i="13"/>
  <c r="S2566" i="13"/>
  <c r="S2567" i="13"/>
  <c r="S2568" i="13"/>
  <c r="S2569" i="13"/>
  <c r="S2570" i="13"/>
  <c r="S2571" i="13"/>
  <c r="S2572" i="13"/>
  <c r="S2573" i="13"/>
  <c r="S2574" i="13"/>
  <c r="S2575" i="13"/>
  <c r="S2576" i="13"/>
  <c r="S2577" i="13"/>
  <c r="S2578" i="13"/>
  <c r="S2579" i="13"/>
  <c r="S2580" i="13"/>
  <c r="S2581" i="13"/>
  <c r="S2582" i="13"/>
  <c r="S2583" i="13"/>
  <c r="S2584" i="13"/>
  <c r="S2585" i="13"/>
  <c r="S2586" i="13"/>
  <c r="S2587" i="13"/>
  <c r="S2588" i="13"/>
  <c r="S2589" i="13"/>
  <c r="S2590" i="13"/>
  <c r="S2591" i="13"/>
  <c r="S2592" i="13"/>
  <c r="S2593" i="13"/>
  <c r="S2594" i="13"/>
  <c r="S2595" i="13"/>
  <c r="S2596" i="13"/>
  <c r="S2597" i="13"/>
  <c r="S2598" i="13"/>
  <c r="S2599" i="13"/>
  <c r="S2600" i="13"/>
  <c r="S2601" i="13"/>
  <c r="S2602" i="13"/>
  <c r="S2603" i="13"/>
  <c r="S2604" i="13"/>
  <c r="S2605" i="13"/>
  <c r="S2606" i="13"/>
  <c r="S2607" i="13"/>
  <c r="S2608" i="13"/>
  <c r="S2609" i="13"/>
  <c r="S2610" i="13"/>
  <c r="S2611" i="13"/>
  <c r="S2612" i="13"/>
  <c r="S2613" i="13"/>
  <c r="S2614" i="13"/>
  <c r="S2615" i="13"/>
  <c r="S2616" i="13"/>
  <c r="S2617" i="13"/>
  <c r="S2618" i="13"/>
  <c r="S2619" i="13"/>
  <c r="S2620" i="13"/>
  <c r="S2621" i="13"/>
  <c r="S2622" i="13"/>
  <c r="S2623" i="13"/>
  <c r="S2624" i="13"/>
  <c r="S2625" i="13"/>
  <c r="S2626" i="13"/>
  <c r="S2627" i="13"/>
  <c r="S2628" i="13"/>
  <c r="S2629" i="13"/>
  <c r="S2630" i="13"/>
  <c r="S2631" i="13"/>
  <c r="S2632" i="13"/>
  <c r="S2633" i="13"/>
  <c r="S2634" i="13"/>
  <c r="S2635" i="13"/>
  <c r="S2636" i="13"/>
  <c r="S2637" i="13"/>
  <c r="S2638" i="13"/>
  <c r="S2639" i="13"/>
  <c r="S2640" i="13"/>
  <c r="S2641" i="13"/>
  <c r="S2642" i="13"/>
  <c r="S2643" i="13"/>
  <c r="S2644" i="13"/>
  <c r="S2645" i="13"/>
  <c r="S2646" i="13"/>
  <c r="S2647" i="13"/>
  <c r="S2648" i="13"/>
  <c r="S2649" i="13"/>
  <c r="S2650" i="13"/>
  <c r="S2651" i="13"/>
  <c r="S2652" i="13"/>
  <c r="S2653" i="13"/>
  <c r="S2654" i="13"/>
  <c r="S2655" i="13"/>
  <c r="S2656" i="13"/>
  <c r="S2657" i="13"/>
  <c r="S2658" i="13"/>
  <c r="S2659" i="13"/>
  <c r="S2660" i="13"/>
  <c r="S2661" i="13"/>
  <c r="S2662" i="13"/>
  <c r="S2663" i="13"/>
  <c r="S2664" i="13"/>
  <c r="S2665" i="13"/>
  <c r="S2666" i="13"/>
  <c r="S2667" i="13"/>
  <c r="S2668" i="13"/>
  <c r="S2669" i="13"/>
  <c r="S2670" i="13"/>
  <c r="S2671" i="13"/>
  <c r="S2672" i="13"/>
  <c r="S2673" i="13"/>
  <c r="S2674" i="13"/>
  <c r="S2675" i="13"/>
  <c r="S2676" i="13"/>
  <c r="S2677" i="13"/>
  <c r="S2678" i="13"/>
  <c r="S2679" i="13"/>
  <c r="S2680" i="13"/>
  <c r="S2681" i="13"/>
  <c r="S2682" i="13"/>
  <c r="S2683" i="13"/>
  <c r="S2684" i="13"/>
  <c r="S2685" i="13"/>
  <c r="S2686" i="13"/>
  <c r="S2687" i="13"/>
  <c r="S2688" i="13"/>
  <c r="S2689" i="13"/>
  <c r="S2690" i="13"/>
  <c r="S2691" i="13"/>
  <c r="S2692" i="13"/>
  <c r="S2693" i="13"/>
  <c r="S2694" i="13"/>
  <c r="S2695" i="13"/>
  <c r="S2696" i="13"/>
  <c r="S2697" i="13"/>
  <c r="S2698" i="13"/>
  <c r="S2699" i="13"/>
  <c r="S2700" i="13"/>
  <c r="S2701" i="13"/>
  <c r="S2702" i="13"/>
  <c r="S2703" i="13"/>
  <c r="S2704" i="13"/>
  <c r="S2705" i="13"/>
  <c r="S2706" i="13"/>
  <c r="S2707" i="13"/>
  <c r="S2708" i="13"/>
  <c r="S2709" i="13"/>
  <c r="S2710" i="13"/>
  <c r="S2711" i="13"/>
  <c r="S2712" i="13"/>
  <c r="S2713" i="13"/>
  <c r="S2714" i="13"/>
  <c r="S2715" i="13"/>
  <c r="S2716" i="13"/>
  <c r="S2717" i="13"/>
  <c r="S2718" i="13"/>
  <c r="S2719" i="13"/>
  <c r="S2720" i="13"/>
  <c r="S2721" i="13"/>
  <c r="S2722" i="13"/>
  <c r="S2723" i="13"/>
  <c r="S2724" i="13"/>
  <c r="S2725" i="13"/>
  <c r="S2726" i="13"/>
  <c r="S2727" i="13"/>
  <c r="S2728" i="13"/>
  <c r="S2729" i="13"/>
  <c r="S2730" i="13"/>
  <c r="S2731" i="13"/>
  <c r="S2732" i="13"/>
  <c r="S2733" i="13"/>
  <c r="S2734" i="13"/>
  <c r="S2735" i="13"/>
  <c r="S2736" i="13"/>
  <c r="S2737" i="13"/>
  <c r="S2738" i="13"/>
  <c r="S2739" i="13"/>
  <c r="S2740" i="13"/>
  <c r="S2741" i="13"/>
  <c r="S2742" i="13"/>
  <c r="S2743" i="13"/>
  <c r="S2744" i="13"/>
  <c r="S2745" i="13"/>
  <c r="S2746" i="13"/>
  <c r="S2747" i="13"/>
  <c r="S2748" i="13"/>
  <c r="S2749" i="13"/>
  <c r="S2750" i="13"/>
  <c r="S2751" i="13"/>
  <c r="S2752" i="13"/>
  <c r="S2753" i="13"/>
  <c r="S2754" i="13"/>
  <c r="S2755" i="13"/>
  <c r="S2756" i="13"/>
  <c r="S2757" i="13"/>
  <c r="S2758" i="13"/>
  <c r="S2759" i="13"/>
  <c r="S2760" i="13"/>
  <c r="S2761" i="13"/>
  <c r="S2762" i="13"/>
  <c r="S2763" i="13"/>
  <c r="S2764" i="13"/>
  <c r="S2765" i="13"/>
  <c r="S2766" i="13"/>
  <c r="S2767" i="13"/>
  <c r="S2768" i="13"/>
  <c r="S2769" i="13"/>
  <c r="S2770" i="13"/>
  <c r="S2771" i="13"/>
  <c r="S2772" i="13"/>
  <c r="S2773" i="13"/>
  <c r="S2774" i="13"/>
  <c r="S2775" i="13"/>
  <c r="S2776" i="13"/>
  <c r="S2777" i="13"/>
  <c r="S2778" i="13"/>
  <c r="S2779" i="13"/>
  <c r="S2780" i="13"/>
  <c r="S2781" i="13"/>
  <c r="S2782" i="13"/>
  <c r="S2783" i="13"/>
  <c r="S2784" i="13"/>
  <c r="S2785" i="13"/>
  <c r="S2786" i="13"/>
  <c r="S2787" i="13"/>
  <c r="S2788" i="13"/>
  <c r="S2789" i="13"/>
  <c r="S2790" i="13"/>
  <c r="S2791" i="13"/>
  <c r="S2792" i="13"/>
  <c r="S2793" i="13"/>
  <c r="S2794" i="13"/>
  <c r="S2795" i="13"/>
  <c r="S2796" i="13"/>
  <c r="S2797" i="13"/>
  <c r="S2798" i="13"/>
  <c r="S2799" i="13"/>
  <c r="S2800" i="13"/>
  <c r="S2801" i="13"/>
  <c r="S2802" i="13"/>
  <c r="S2803" i="13"/>
  <c r="S2804" i="13"/>
  <c r="S2805" i="13"/>
  <c r="S2806" i="13"/>
  <c r="S2807" i="13"/>
  <c r="S2808" i="13"/>
  <c r="S2809" i="13"/>
  <c r="S2810" i="13"/>
  <c r="S2811" i="13"/>
  <c r="S2812" i="13"/>
  <c r="S2813" i="13"/>
  <c r="S2814" i="13"/>
  <c r="S2815" i="13"/>
  <c r="S2816" i="13"/>
  <c r="S2817" i="13"/>
  <c r="S2818" i="13"/>
  <c r="S2819" i="13"/>
  <c r="S2820" i="13"/>
  <c r="S2821" i="13"/>
  <c r="S2822" i="13"/>
  <c r="S2823" i="13"/>
  <c r="S2824" i="13"/>
  <c r="S2825" i="13"/>
  <c r="S2826" i="13"/>
  <c r="S2827" i="13"/>
  <c r="S2828" i="13"/>
  <c r="S2829" i="13"/>
  <c r="S2830" i="13"/>
  <c r="S2831" i="13"/>
  <c r="S2832" i="13"/>
  <c r="S2833" i="13"/>
  <c r="S2834" i="13"/>
  <c r="S2835" i="13"/>
  <c r="S2836" i="13"/>
  <c r="S2837" i="13"/>
  <c r="S2838" i="13"/>
  <c r="S2839" i="13"/>
  <c r="S2840" i="13"/>
  <c r="S2841" i="13"/>
  <c r="S2842" i="13"/>
  <c r="S2843" i="13"/>
  <c r="S2844" i="13"/>
  <c r="S2845" i="13"/>
  <c r="S2846" i="13"/>
  <c r="S2847" i="13"/>
  <c r="S2848" i="13"/>
  <c r="S2849" i="13"/>
  <c r="S2850" i="13"/>
  <c r="S2851" i="13"/>
  <c r="S2852" i="13"/>
  <c r="S2853" i="13"/>
  <c r="S2854" i="13"/>
  <c r="S2855" i="13"/>
  <c r="S2856" i="13"/>
  <c r="S2857" i="13"/>
  <c r="S2858" i="13"/>
  <c r="S2859" i="13"/>
  <c r="S2860" i="13"/>
  <c r="S2861" i="13"/>
  <c r="S2862" i="13"/>
  <c r="S2863" i="13"/>
  <c r="S2864" i="13"/>
  <c r="S2865" i="13"/>
  <c r="S2866" i="13"/>
  <c r="S2867" i="13"/>
  <c r="S2868" i="13"/>
  <c r="S2869" i="13"/>
  <c r="S2870" i="13"/>
  <c r="S2871" i="13"/>
  <c r="S2872" i="13"/>
  <c r="S2873" i="13"/>
  <c r="S2874" i="13"/>
  <c r="S2875" i="13"/>
  <c r="S2876" i="13"/>
  <c r="S2877" i="13"/>
  <c r="S2878" i="13"/>
  <c r="S2879" i="13"/>
  <c r="S2880" i="13"/>
  <c r="S2881" i="13"/>
  <c r="S2882" i="13"/>
  <c r="S2883" i="13"/>
  <c r="S2884" i="13"/>
  <c r="S2885" i="13"/>
  <c r="S2886" i="13"/>
  <c r="S2887" i="13"/>
  <c r="S2888" i="13"/>
  <c r="S2889" i="13"/>
  <c r="S2890" i="13"/>
  <c r="S2891" i="13"/>
  <c r="S2892" i="13"/>
  <c r="S2893" i="13"/>
  <c r="S2894" i="13"/>
  <c r="S2895" i="13"/>
  <c r="S2896" i="13"/>
  <c r="S2897" i="13"/>
  <c r="S2898" i="13"/>
  <c r="S2899" i="13"/>
  <c r="S2900" i="13"/>
  <c r="S2901" i="13"/>
  <c r="S2902" i="13"/>
  <c r="S2903" i="13"/>
  <c r="S2904" i="13"/>
  <c r="S2905" i="13"/>
  <c r="S2906" i="13"/>
  <c r="S2907" i="13"/>
  <c r="S2908" i="13"/>
  <c r="S2909" i="13"/>
  <c r="S2910" i="13"/>
  <c r="S2911" i="13"/>
  <c r="S2912" i="13"/>
  <c r="S2913" i="13"/>
  <c r="S2914" i="13"/>
  <c r="S2915" i="13"/>
  <c r="S2916" i="13"/>
  <c r="S2917" i="13"/>
  <c r="S2918" i="13"/>
  <c r="S2919" i="13"/>
  <c r="S2920" i="13"/>
  <c r="S2921" i="13"/>
  <c r="S2922" i="13"/>
  <c r="S2923" i="13"/>
  <c r="S2924" i="13"/>
  <c r="S2925" i="13"/>
  <c r="S2926" i="13"/>
  <c r="S2927" i="13"/>
  <c r="S2928" i="13"/>
  <c r="S2929" i="13"/>
  <c r="S2930" i="13"/>
  <c r="S2931" i="13"/>
  <c r="S2932" i="13"/>
  <c r="S2933" i="13"/>
  <c r="S2934" i="13"/>
  <c r="S2935" i="13"/>
  <c r="S2936" i="13"/>
  <c r="S2937" i="13"/>
  <c r="S2938" i="13"/>
  <c r="S2939" i="13"/>
  <c r="S2940" i="13"/>
  <c r="S2941" i="13"/>
  <c r="S2942" i="13"/>
  <c r="S2943" i="13"/>
  <c r="S2944" i="13"/>
  <c r="S2945" i="13"/>
  <c r="S2946" i="13"/>
  <c r="S2947" i="13"/>
  <c r="S2948" i="13"/>
  <c r="S2949" i="13"/>
  <c r="S2950" i="13"/>
  <c r="S2951" i="13"/>
  <c r="S2952" i="13"/>
  <c r="S2953" i="13"/>
  <c r="S2954" i="13"/>
  <c r="S2955" i="13"/>
  <c r="S2956" i="13"/>
  <c r="S2957" i="13"/>
  <c r="S2958" i="13"/>
  <c r="S2959" i="13"/>
  <c r="S2960" i="13"/>
  <c r="S2961" i="13"/>
  <c r="S2962" i="13"/>
  <c r="S2963" i="13"/>
  <c r="S2964" i="13"/>
  <c r="S2965" i="13"/>
  <c r="S2966" i="13"/>
  <c r="S2967" i="13"/>
  <c r="S2968" i="13"/>
  <c r="S2969" i="13"/>
  <c r="S2970" i="13"/>
  <c r="S2971" i="13"/>
  <c r="S2972" i="13"/>
  <c r="S2973" i="13"/>
  <c r="S2974" i="13"/>
  <c r="S2975" i="13"/>
  <c r="S2976" i="13"/>
  <c r="S2977" i="13"/>
  <c r="S2978" i="13"/>
  <c r="S2979" i="13"/>
  <c r="S2980" i="13"/>
  <c r="S2981" i="13"/>
  <c r="S2982" i="13"/>
  <c r="S2983" i="13"/>
  <c r="S2984" i="13"/>
  <c r="S2985" i="13"/>
  <c r="S2986" i="13"/>
  <c r="S2987" i="13"/>
  <c r="S2988" i="13"/>
  <c r="S2989" i="13"/>
  <c r="S2990" i="13"/>
  <c r="S2991" i="13"/>
  <c r="S2992" i="13"/>
  <c r="S2993" i="13"/>
  <c r="S2994" i="13"/>
  <c r="S2995" i="13"/>
  <c r="S2996" i="13"/>
  <c r="S2997" i="13"/>
  <c r="S2998" i="13"/>
  <c r="S2999" i="13"/>
  <c r="S3000" i="13"/>
  <c r="S3001" i="13"/>
  <c r="S3002" i="13"/>
  <c r="S3003" i="13"/>
  <c r="S3004" i="13"/>
  <c r="S3005" i="13"/>
  <c r="S3006" i="13"/>
  <c r="S3007" i="13"/>
  <c r="S3008" i="13"/>
  <c r="S3009" i="13"/>
  <c r="S3010" i="13"/>
  <c r="S3011" i="13"/>
  <c r="S3012" i="13"/>
  <c r="S3013" i="13"/>
  <c r="S3014" i="13"/>
  <c r="S3015" i="13"/>
  <c r="S3016" i="13"/>
  <c r="S3017" i="13"/>
  <c r="S3018" i="13"/>
  <c r="S3019" i="13"/>
  <c r="S3020" i="13"/>
  <c r="S3021" i="13"/>
  <c r="S3022" i="13"/>
  <c r="S3023" i="13"/>
  <c r="S3024" i="13"/>
  <c r="S3025" i="13"/>
  <c r="S3026" i="13"/>
  <c r="S3027" i="13"/>
  <c r="S3028" i="13"/>
  <c r="S3029" i="13"/>
  <c r="S3030" i="13"/>
  <c r="S3031" i="13"/>
  <c r="S3032" i="13"/>
  <c r="S3033" i="13"/>
  <c r="S3034" i="13"/>
  <c r="S3035" i="13"/>
  <c r="S3036" i="13"/>
  <c r="S3037" i="13"/>
  <c r="S3038" i="13"/>
  <c r="S3039" i="13"/>
  <c r="S3040" i="13"/>
  <c r="S3041" i="13"/>
  <c r="S3042" i="13"/>
  <c r="S3043" i="13"/>
  <c r="S3044" i="13"/>
  <c r="S3045" i="13"/>
  <c r="S3046" i="13"/>
  <c r="S3047" i="13"/>
  <c r="S3048" i="13"/>
  <c r="S3049" i="13"/>
  <c r="S3050" i="13"/>
  <c r="S3051" i="13"/>
  <c r="S3052" i="13"/>
  <c r="S3053" i="13"/>
  <c r="S3054" i="13"/>
  <c r="S3055" i="13"/>
  <c r="S3056" i="13"/>
  <c r="S3057" i="13"/>
  <c r="S3058" i="13"/>
  <c r="S3059" i="13"/>
  <c r="S3060" i="13"/>
  <c r="S3061" i="13"/>
  <c r="S3062" i="13"/>
  <c r="S3063" i="13"/>
  <c r="S3064" i="13"/>
  <c r="S3065" i="13"/>
  <c r="S3066" i="13"/>
  <c r="S3067" i="13"/>
  <c r="S3068" i="13"/>
  <c r="S3069" i="13"/>
  <c r="S3070" i="13"/>
  <c r="S3071" i="13"/>
  <c r="S3072" i="13"/>
  <c r="S3073" i="13"/>
  <c r="S3074" i="13"/>
  <c r="S3075" i="13"/>
  <c r="S3076" i="13"/>
  <c r="S3077" i="13"/>
  <c r="S3078" i="13"/>
  <c r="S3079" i="13"/>
  <c r="S3080" i="13"/>
  <c r="S3081" i="13"/>
  <c r="S3082" i="13"/>
  <c r="S3083" i="13"/>
  <c r="S3084" i="13"/>
  <c r="S3085" i="13"/>
  <c r="S3086" i="13"/>
  <c r="S3087" i="13"/>
  <c r="S3088" i="13"/>
  <c r="S3089" i="13"/>
  <c r="S3090" i="13"/>
  <c r="S3091" i="13"/>
  <c r="S3092" i="13"/>
  <c r="S3093" i="13"/>
  <c r="S3094" i="13"/>
  <c r="S3095" i="13"/>
  <c r="S3096" i="13"/>
  <c r="S3097" i="13"/>
  <c r="S3098" i="13"/>
  <c r="S3099" i="13"/>
  <c r="S3100" i="13"/>
  <c r="S3101" i="13"/>
  <c r="S3102" i="13"/>
  <c r="S3103" i="13"/>
  <c r="S3104" i="13"/>
  <c r="S3105" i="13"/>
  <c r="S3106" i="13"/>
  <c r="S3107" i="13"/>
  <c r="S3108" i="13"/>
  <c r="S3109" i="13"/>
  <c r="S3110" i="13"/>
  <c r="S3111" i="13"/>
  <c r="S3112" i="13"/>
  <c r="S3113" i="13"/>
  <c r="S3114" i="13"/>
  <c r="S3115" i="13"/>
  <c r="S3116" i="13"/>
  <c r="S3117" i="13"/>
  <c r="S3118" i="13"/>
  <c r="S3119" i="13"/>
  <c r="S3120" i="13"/>
  <c r="S3121" i="13"/>
  <c r="S3122" i="13"/>
  <c r="S3123" i="13"/>
  <c r="S3124" i="13"/>
  <c r="S3125" i="13"/>
  <c r="S3126" i="13"/>
  <c r="S3127" i="13"/>
  <c r="S3128" i="13"/>
  <c r="S3129" i="13"/>
  <c r="S3130" i="13"/>
  <c r="S3131" i="13"/>
  <c r="S3132" i="13"/>
  <c r="S3133" i="13"/>
  <c r="S3134" i="13"/>
  <c r="S3135" i="13"/>
  <c r="S3136" i="13"/>
  <c r="S3137" i="13"/>
  <c r="S3138" i="13"/>
  <c r="S3139" i="13"/>
  <c r="S3140" i="13"/>
  <c r="S3141" i="13"/>
  <c r="S3142" i="13"/>
  <c r="S3143" i="13"/>
  <c r="S3144" i="13"/>
  <c r="S3145" i="13"/>
  <c r="S3146" i="13"/>
  <c r="S3147" i="13"/>
  <c r="S3148" i="13"/>
  <c r="S3149" i="13"/>
  <c r="S3150" i="13"/>
  <c r="S3151" i="13"/>
  <c r="S3152" i="13"/>
  <c r="S3153" i="13"/>
  <c r="S3154" i="13"/>
  <c r="S3155" i="13"/>
  <c r="S3156" i="13"/>
  <c r="S3157" i="13"/>
  <c r="S3158" i="13"/>
  <c r="S3159" i="13"/>
  <c r="S3160" i="13"/>
  <c r="S3161" i="13"/>
  <c r="S3162" i="13"/>
  <c r="S3163" i="13"/>
  <c r="S3164" i="13"/>
  <c r="S3165" i="13"/>
  <c r="S3166" i="13"/>
  <c r="S3167" i="13"/>
  <c r="S3168" i="13"/>
  <c r="S3169" i="13"/>
  <c r="S3170" i="13"/>
  <c r="S3171" i="13"/>
  <c r="S3172" i="13"/>
  <c r="S3173" i="13"/>
  <c r="S3174" i="13"/>
  <c r="S3175" i="13"/>
  <c r="S3176" i="13"/>
  <c r="S3177" i="13"/>
  <c r="S3178" i="13"/>
  <c r="S3179" i="13"/>
  <c r="S3180" i="13"/>
  <c r="S3181" i="13"/>
  <c r="S3182" i="13"/>
  <c r="S3183" i="13"/>
  <c r="S3184" i="13"/>
  <c r="S3185" i="13"/>
  <c r="S3186" i="13"/>
  <c r="S3187" i="13"/>
  <c r="S3188" i="13"/>
  <c r="S3189" i="13"/>
  <c r="S3190" i="13"/>
  <c r="S3191" i="13"/>
  <c r="S3192" i="13"/>
  <c r="S3193" i="13"/>
  <c r="S3194" i="13"/>
  <c r="S3195" i="13"/>
  <c r="S3196" i="13"/>
  <c r="S3197" i="13"/>
  <c r="S3198" i="13"/>
  <c r="S3199" i="13"/>
  <c r="S3200" i="13"/>
  <c r="S3201" i="13"/>
  <c r="S3202" i="13"/>
  <c r="S3203" i="13"/>
  <c r="S3204" i="13"/>
  <c r="S3205" i="13"/>
  <c r="S3206" i="13"/>
  <c r="S3207" i="13"/>
  <c r="S3208" i="13"/>
  <c r="S3209" i="13"/>
  <c r="S3210" i="13"/>
  <c r="S3211" i="13"/>
  <c r="S3212" i="13"/>
  <c r="S3213" i="13"/>
  <c r="S3214" i="13"/>
  <c r="S3215" i="13"/>
  <c r="S3216" i="13"/>
  <c r="S3217" i="13"/>
  <c r="S3218" i="13"/>
  <c r="S3219" i="13"/>
  <c r="S3220" i="13"/>
  <c r="S3221" i="13"/>
  <c r="S3222" i="13"/>
  <c r="S3223" i="13"/>
  <c r="S3224" i="13"/>
  <c r="S3225" i="13"/>
  <c r="S3226" i="13"/>
  <c r="S3227" i="13"/>
  <c r="S3228" i="13"/>
  <c r="S3229" i="13"/>
  <c r="S3230" i="13"/>
  <c r="S3231" i="13"/>
  <c r="S3232" i="13"/>
  <c r="S3233" i="13"/>
  <c r="S3234" i="13"/>
  <c r="S3235" i="13"/>
  <c r="S3236" i="13"/>
  <c r="S3237" i="13"/>
  <c r="S3238" i="13"/>
  <c r="S3239" i="13"/>
  <c r="S3240" i="13"/>
  <c r="S3241" i="13"/>
  <c r="S3242" i="13"/>
  <c r="S3243" i="13"/>
  <c r="S3244" i="13"/>
  <c r="S3245" i="13"/>
  <c r="S3246" i="13"/>
  <c r="S3247" i="13"/>
  <c r="S3248" i="13"/>
  <c r="S3249" i="13"/>
  <c r="S3250" i="13"/>
  <c r="S3251" i="13"/>
  <c r="S3252" i="13"/>
  <c r="S3253" i="13"/>
  <c r="S3254" i="13"/>
  <c r="S3255" i="13"/>
  <c r="S3256" i="13"/>
  <c r="S3257" i="13"/>
  <c r="S3258" i="13"/>
  <c r="S3259" i="13"/>
  <c r="S3260" i="13"/>
  <c r="S3261" i="13"/>
  <c r="S3262" i="13"/>
  <c r="S3263" i="13"/>
  <c r="S3264" i="13"/>
  <c r="S3265" i="13"/>
  <c r="S3266" i="13"/>
  <c r="S3267" i="13"/>
  <c r="S3268" i="13"/>
  <c r="S3269" i="13"/>
  <c r="S3270" i="13"/>
  <c r="S3271" i="13"/>
  <c r="S3272" i="13"/>
  <c r="S3273" i="13"/>
  <c r="S3274" i="13"/>
  <c r="S3275" i="13"/>
  <c r="S3276" i="13"/>
  <c r="S3277" i="13"/>
  <c r="S3278" i="13"/>
  <c r="S3279" i="13"/>
  <c r="S3280" i="13"/>
  <c r="S3281" i="13"/>
  <c r="S3282" i="13"/>
  <c r="S3283" i="13"/>
  <c r="S3284" i="13"/>
  <c r="S3285" i="13"/>
  <c r="S3286" i="13"/>
  <c r="S3287" i="13"/>
  <c r="S3288" i="13"/>
  <c r="S3289" i="13"/>
  <c r="S3290" i="13"/>
  <c r="S3291" i="13"/>
  <c r="S3292" i="13"/>
  <c r="S3293" i="13"/>
  <c r="S3294" i="13"/>
  <c r="S3295" i="13"/>
  <c r="S3296" i="13"/>
  <c r="S3297" i="13"/>
  <c r="S3298" i="13"/>
  <c r="S3299" i="13"/>
  <c r="S3300" i="13"/>
  <c r="S3301" i="13"/>
  <c r="S3302" i="13"/>
  <c r="S3303" i="13"/>
  <c r="S3304" i="13"/>
  <c r="S3305" i="13"/>
  <c r="S3306" i="13"/>
  <c r="S3307" i="13"/>
  <c r="S3308" i="13"/>
  <c r="S3309" i="13"/>
  <c r="S3310" i="13"/>
  <c r="S3311" i="13"/>
  <c r="S3312" i="13"/>
  <c r="S3313" i="13"/>
  <c r="S3314" i="13"/>
  <c r="S3315" i="13"/>
  <c r="S3316" i="13"/>
  <c r="S3317" i="13"/>
  <c r="S3318" i="13"/>
  <c r="S3319" i="13"/>
  <c r="S3320" i="13"/>
  <c r="S3321" i="13"/>
  <c r="S3322" i="13"/>
  <c r="S3323" i="13"/>
  <c r="S3324" i="13"/>
  <c r="S3325" i="13"/>
  <c r="S3326" i="13"/>
  <c r="S3327" i="13"/>
  <c r="S3328" i="13"/>
  <c r="S3329" i="13"/>
  <c r="S3330" i="13"/>
  <c r="S3331" i="13"/>
  <c r="S3332" i="13"/>
  <c r="S3333" i="13"/>
  <c r="S3334" i="13"/>
  <c r="S3335" i="13"/>
  <c r="S3336" i="13"/>
  <c r="S3337" i="13"/>
  <c r="S3338" i="13"/>
  <c r="S3339" i="13"/>
  <c r="S3340" i="13"/>
  <c r="S3341" i="13"/>
  <c r="S3342" i="13"/>
  <c r="S3343" i="13"/>
  <c r="S3344" i="13"/>
  <c r="S3345" i="13"/>
  <c r="S3346" i="13"/>
  <c r="S3347" i="13"/>
  <c r="S3348" i="13"/>
  <c r="S3349" i="13"/>
  <c r="S3350" i="13"/>
  <c r="S3351" i="13"/>
  <c r="S3352" i="13"/>
  <c r="S3353" i="13"/>
  <c r="S3354" i="13"/>
  <c r="S3355" i="13"/>
  <c r="S3356" i="13"/>
  <c r="S3357" i="13"/>
  <c r="S3358" i="13"/>
  <c r="S3359" i="13"/>
  <c r="S3360" i="13"/>
  <c r="S3361" i="13"/>
  <c r="S3362" i="13"/>
  <c r="S3363" i="13"/>
  <c r="S3364" i="13"/>
  <c r="S3365" i="13"/>
  <c r="S3366" i="13"/>
  <c r="S3367" i="13"/>
  <c r="S3368" i="13"/>
  <c r="S3369" i="13"/>
  <c r="S3370" i="13"/>
  <c r="S3371" i="13"/>
  <c r="S3372" i="13"/>
  <c r="S3373" i="13"/>
  <c r="S3374" i="13"/>
  <c r="S3375" i="13"/>
  <c r="S3376" i="13"/>
  <c r="S3377" i="13"/>
  <c r="S3378" i="13"/>
  <c r="S3379" i="13"/>
  <c r="S3380" i="13"/>
  <c r="S3381" i="13"/>
  <c r="S3382" i="13"/>
  <c r="S3383" i="13"/>
  <c r="S3384" i="13"/>
  <c r="S3385" i="13"/>
  <c r="S3386" i="13"/>
  <c r="S3387" i="13"/>
  <c r="S3388" i="13"/>
  <c r="S3389" i="13"/>
  <c r="S3390" i="13"/>
  <c r="S3391" i="13"/>
  <c r="S3392" i="13"/>
  <c r="S3393" i="13"/>
  <c r="S3394" i="13"/>
  <c r="S3395" i="13"/>
  <c r="S3396" i="13"/>
  <c r="S3397" i="13"/>
  <c r="S3398" i="13"/>
  <c r="S3399" i="13"/>
  <c r="S3400" i="13"/>
  <c r="S3401" i="13"/>
  <c r="S3402" i="13"/>
  <c r="S3403" i="13"/>
  <c r="S3404" i="13"/>
  <c r="S3405" i="13"/>
  <c r="S3406" i="13"/>
  <c r="S3407" i="13"/>
  <c r="S3408" i="13"/>
  <c r="S3409" i="13"/>
  <c r="S3410" i="13"/>
  <c r="S3411" i="13"/>
  <c r="S3412" i="13"/>
  <c r="S3413" i="13"/>
  <c r="S3414" i="13"/>
  <c r="S3415" i="13"/>
  <c r="S3416" i="13"/>
  <c r="S3417" i="13"/>
  <c r="S3418" i="13"/>
  <c r="S3419" i="13"/>
  <c r="S3420" i="13"/>
  <c r="S3421" i="13"/>
  <c r="S3422" i="13"/>
  <c r="S3423" i="13"/>
  <c r="S3424" i="13"/>
  <c r="S3425" i="13"/>
  <c r="S3426" i="13"/>
  <c r="S3427" i="13"/>
  <c r="S3428" i="13"/>
  <c r="S3429" i="13"/>
  <c r="S3430" i="13"/>
  <c r="S3431" i="13"/>
  <c r="S3432" i="13"/>
  <c r="S3433" i="13"/>
  <c r="S3434" i="13"/>
  <c r="S3435" i="13"/>
  <c r="S3436" i="13"/>
  <c r="S3437" i="13"/>
  <c r="S3438" i="13"/>
  <c r="S3439" i="13"/>
  <c r="S3440" i="13"/>
  <c r="S3441" i="13"/>
  <c r="S3442" i="13"/>
  <c r="S3443" i="13"/>
  <c r="S3444" i="13"/>
  <c r="S3445" i="13"/>
  <c r="S3446" i="13"/>
  <c r="S3447" i="13"/>
  <c r="S3448" i="13"/>
  <c r="S3449" i="13"/>
  <c r="S3450" i="13"/>
  <c r="S3451" i="13"/>
  <c r="S3452" i="13"/>
  <c r="S3453" i="13"/>
  <c r="S3454" i="13"/>
  <c r="S3455" i="13"/>
  <c r="S3456" i="13"/>
  <c r="S3457" i="13"/>
  <c r="S3458" i="13"/>
  <c r="S3459" i="13"/>
  <c r="S3460" i="13"/>
  <c r="S3461" i="13"/>
  <c r="S3462" i="13"/>
  <c r="S3463" i="13"/>
  <c r="S3464" i="13"/>
  <c r="S3465" i="13"/>
  <c r="S3466" i="13"/>
  <c r="S3467" i="13"/>
  <c r="S3468" i="13"/>
  <c r="S3469" i="13"/>
  <c r="S3470" i="13"/>
  <c r="S3471" i="13"/>
  <c r="S3472" i="13"/>
  <c r="S3473" i="13"/>
  <c r="S3474" i="13"/>
  <c r="S3475" i="13"/>
  <c r="S3476" i="13"/>
  <c r="S3477" i="13"/>
  <c r="S3478" i="13"/>
  <c r="S3479" i="13"/>
  <c r="S3480" i="13"/>
  <c r="S3481" i="13"/>
  <c r="S3482" i="13"/>
  <c r="S3483" i="13"/>
  <c r="S3484" i="13"/>
  <c r="S3485" i="13"/>
  <c r="S3486" i="13"/>
  <c r="S3487" i="13"/>
  <c r="S3488" i="13"/>
  <c r="S3489" i="13"/>
  <c r="S3490" i="13"/>
  <c r="S3491" i="13"/>
  <c r="S3492" i="13"/>
  <c r="S3493" i="13"/>
  <c r="S3494" i="13"/>
  <c r="S3495" i="13"/>
  <c r="S3496" i="13"/>
  <c r="S3497" i="13"/>
  <c r="S3498" i="13"/>
  <c r="S3499" i="13"/>
  <c r="S3500" i="13"/>
  <c r="S3501" i="13"/>
  <c r="S3502" i="13"/>
  <c r="S3503" i="13"/>
  <c r="S3504" i="13"/>
  <c r="S3505" i="13"/>
  <c r="S3506" i="13"/>
  <c r="S3507" i="13"/>
  <c r="S3508" i="13"/>
  <c r="S3509" i="13"/>
  <c r="S3510" i="13"/>
  <c r="S3511" i="13"/>
  <c r="S3512" i="13"/>
  <c r="S3513" i="13"/>
  <c r="S3514" i="13"/>
  <c r="S3515" i="13"/>
  <c r="S3516" i="13"/>
  <c r="S3517" i="13"/>
  <c r="S3518" i="13"/>
  <c r="S3519" i="13"/>
  <c r="S3520" i="13"/>
  <c r="S3521" i="13"/>
  <c r="S3522" i="13"/>
  <c r="S3523" i="13"/>
  <c r="S3524" i="13"/>
  <c r="S3525" i="13"/>
  <c r="S3526" i="13"/>
  <c r="S3527" i="13"/>
  <c r="S3528" i="13"/>
  <c r="S3529" i="13"/>
  <c r="S3530" i="13"/>
  <c r="S3531" i="13"/>
  <c r="S3532" i="13"/>
  <c r="S3533" i="13"/>
  <c r="S3534" i="13"/>
  <c r="S3535" i="13"/>
  <c r="S3536" i="13"/>
  <c r="S3537" i="13"/>
  <c r="S3538" i="13"/>
  <c r="S3539" i="13"/>
  <c r="S3540" i="13"/>
  <c r="S3541" i="13"/>
  <c r="S3542" i="13"/>
  <c r="S3543" i="13"/>
  <c r="S3544" i="13"/>
  <c r="S3545" i="13"/>
  <c r="S3546" i="13"/>
  <c r="S3547" i="13"/>
  <c r="S3548" i="13"/>
  <c r="S3549" i="13"/>
  <c r="S3550" i="13"/>
  <c r="S3551" i="13"/>
  <c r="S3552" i="13"/>
  <c r="S3553" i="13"/>
  <c r="S3554" i="13"/>
  <c r="S3555" i="13"/>
  <c r="S3556" i="13"/>
  <c r="S3557" i="13"/>
  <c r="S3558" i="13"/>
  <c r="S3559" i="13"/>
  <c r="S3560" i="13"/>
  <c r="S3561" i="13"/>
  <c r="S3562" i="13"/>
  <c r="S3563" i="13"/>
  <c r="S3564" i="13"/>
  <c r="S3565" i="13"/>
  <c r="S3566" i="13"/>
  <c r="S3567" i="13"/>
  <c r="S3568" i="13"/>
  <c r="S3569" i="13"/>
  <c r="S3570" i="13"/>
  <c r="S3571" i="13"/>
  <c r="S3572" i="13"/>
  <c r="S3573" i="13"/>
  <c r="S3574" i="13"/>
  <c r="S3575" i="13"/>
  <c r="S3576" i="13"/>
  <c r="S3577" i="13"/>
  <c r="S3578" i="13"/>
  <c r="S3579" i="13"/>
  <c r="S3580" i="13"/>
  <c r="S3581" i="13"/>
  <c r="S3582" i="13"/>
  <c r="S3583" i="13"/>
  <c r="S3584" i="13"/>
  <c r="S3585" i="13"/>
  <c r="S3586" i="13"/>
  <c r="S3587" i="13"/>
  <c r="S3588" i="13"/>
  <c r="S3589" i="13"/>
  <c r="S3590" i="13"/>
  <c r="S3591" i="13"/>
  <c r="S3592" i="13"/>
  <c r="S3593" i="13"/>
  <c r="S3594" i="13"/>
  <c r="S3595" i="13"/>
  <c r="S3596" i="13"/>
  <c r="S3597" i="13"/>
  <c r="S3598" i="13"/>
  <c r="S3599" i="13"/>
  <c r="S3600" i="13"/>
  <c r="S3601" i="13"/>
  <c r="S3602" i="13"/>
  <c r="S3603" i="13"/>
  <c r="S3604" i="13"/>
  <c r="S3605" i="13"/>
  <c r="S3606" i="13"/>
  <c r="S3607" i="13"/>
  <c r="S3608" i="13"/>
  <c r="S3609" i="13"/>
  <c r="S3610" i="13"/>
  <c r="S3611" i="13"/>
  <c r="S3612" i="13"/>
  <c r="S3613" i="13"/>
  <c r="S3614" i="13"/>
  <c r="S3615" i="13"/>
  <c r="S3616" i="13"/>
  <c r="S3617" i="13"/>
  <c r="S3618" i="13"/>
  <c r="S3619" i="13"/>
  <c r="S3620" i="13"/>
  <c r="S3621" i="13"/>
  <c r="S3622" i="13"/>
  <c r="S3623" i="13"/>
  <c r="S3624" i="13"/>
  <c r="S3625" i="13"/>
  <c r="S3626" i="13"/>
  <c r="S3627" i="13"/>
  <c r="S3628" i="13"/>
  <c r="S3629" i="13"/>
  <c r="S3630" i="13"/>
  <c r="S3631" i="13"/>
  <c r="S3632" i="13"/>
  <c r="S3633" i="13"/>
  <c r="S3634" i="13"/>
  <c r="S3635" i="13"/>
  <c r="S3636" i="13"/>
  <c r="S3637" i="13"/>
  <c r="S3638" i="13"/>
  <c r="S3639" i="13"/>
  <c r="S3640" i="13"/>
  <c r="S3641" i="13"/>
  <c r="S3642" i="13"/>
  <c r="S3643" i="13"/>
  <c r="S3644" i="13"/>
  <c r="S3645" i="13"/>
  <c r="S3646" i="13"/>
  <c r="S3647" i="13"/>
  <c r="S3648" i="13"/>
  <c r="S3649" i="13"/>
  <c r="S3650" i="13"/>
  <c r="S3651" i="13"/>
  <c r="S3652" i="13"/>
  <c r="S3653" i="13"/>
  <c r="S3654" i="13"/>
  <c r="S3655" i="13"/>
  <c r="S3656" i="13"/>
  <c r="S3657" i="13"/>
  <c r="S3658" i="13"/>
  <c r="S3659" i="13"/>
  <c r="S3660" i="13"/>
  <c r="S3661" i="13"/>
  <c r="S3662" i="13"/>
  <c r="S3663" i="13"/>
  <c r="S3664" i="13"/>
  <c r="S3665" i="13"/>
  <c r="S3666" i="13"/>
  <c r="S3667" i="13"/>
  <c r="S3668" i="13"/>
  <c r="S3669" i="13"/>
  <c r="S3670" i="13"/>
  <c r="S3671" i="13"/>
  <c r="S3672" i="13"/>
  <c r="S3673" i="13"/>
  <c r="S3674" i="13"/>
  <c r="S3675" i="13"/>
  <c r="S3676" i="13"/>
  <c r="S3677" i="13"/>
  <c r="S3678" i="13"/>
  <c r="S3679" i="13"/>
  <c r="S3680" i="13"/>
  <c r="S3681" i="13"/>
  <c r="S3682" i="13"/>
  <c r="S3683" i="13"/>
  <c r="S3684" i="13"/>
  <c r="S3685" i="13"/>
  <c r="S3686" i="13"/>
  <c r="S3687" i="13"/>
  <c r="S3688" i="13"/>
  <c r="S3689" i="13"/>
  <c r="S3690" i="13"/>
  <c r="S3691" i="13"/>
  <c r="S3692" i="13"/>
  <c r="S3693" i="13"/>
  <c r="S3694" i="13"/>
  <c r="S3695" i="13"/>
  <c r="S3696" i="13"/>
  <c r="S3697" i="13"/>
  <c r="S3698" i="13"/>
  <c r="S3699" i="13"/>
  <c r="S3700" i="13"/>
  <c r="S3701" i="13"/>
  <c r="S3702" i="13"/>
  <c r="S3703" i="13"/>
  <c r="S3704" i="13"/>
  <c r="S3705" i="13"/>
  <c r="S3706" i="13"/>
  <c r="S3707" i="13"/>
  <c r="S3708" i="13"/>
  <c r="S3709" i="13"/>
  <c r="S3710" i="13"/>
  <c r="S3711" i="13"/>
  <c r="S3712" i="13"/>
  <c r="S3713" i="13"/>
  <c r="S3714" i="13"/>
  <c r="S3715" i="13"/>
  <c r="S3716" i="13"/>
  <c r="S3717" i="13"/>
  <c r="S3718" i="13"/>
  <c r="S3719" i="13"/>
  <c r="S3720" i="13"/>
  <c r="S3721" i="13"/>
  <c r="S3722" i="13"/>
  <c r="S3723" i="13"/>
  <c r="S3724" i="13"/>
  <c r="S3725" i="13"/>
  <c r="S3726" i="13"/>
  <c r="S3727" i="13"/>
  <c r="S3728" i="13"/>
  <c r="S3729" i="13"/>
  <c r="S3730" i="13"/>
  <c r="S3731" i="13"/>
  <c r="S3732" i="13"/>
  <c r="S3733" i="13"/>
  <c r="S3734" i="13"/>
  <c r="S3735" i="13"/>
  <c r="S3736" i="13"/>
  <c r="S3737" i="13"/>
  <c r="S3738" i="13"/>
  <c r="S3739" i="13"/>
  <c r="S3740" i="13"/>
  <c r="S3741" i="13"/>
  <c r="S3742" i="13"/>
  <c r="S3743" i="13"/>
  <c r="S3744" i="13"/>
  <c r="S3745" i="13"/>
  <c r="S3746" i="13"/>
  <c r="S3747" i="13"/>
  <c r="S3748" i="13"/>
  <c r="S3749" i="13"/>
  <c r="S3750" i="13"/>
  <c r="S3751" i="13"/>
  <c r="S3752" i="13"/>
  <c r="S3753" i="13"/>
  <c r="S3754" i="13"/>
  <c r="S3755" i="13"/>
  <c r="S3756" i="13"/>
  <c r="S3757" i="13"/>
  <c r="S3758" i="13"/>
  <c r="S3759" i="13"/>
  <c r="S3760" i="13"/>
  <c r="S3761" i="13"/>
  <c r="S3762" i="13"/>
  <c r="S3763" i="13"/>
  <c r="S3764" i="13"/>
  <c r="S3765" i="13"/>
  <c r="S3766" i="13"/>
  <c r="S3767" i="13"/>
  <c r="S3768" i="13"/>
  <c r="S3769" i="13"/>
  <c r="S3770" i="13"/>
  <c r="S3771" i="13"/>
  <c r="S3772" i="13"/>
  <c r="S3773" i="13"/>
  <c r="S3774" i="13"/>
  <c r="S3775" i="13"/>
  <c r="S3776" i="13"/>
  <c r="S3777" i="13"/>
  <c r="S3778" i="13"/>
  <c r="S3779" i="13"/>
  <c r="S3780" i="13"/>
  <c r="S3781" i="13"/>
  <c r="S3782" i="13"/>
  <c r="S3783" i="13"/>
  <c r="S3784" i="13"/>
  <c r="S3785" i="13"/>
  <c r="S3786" i="13"/>
  <c r="S3787" i="13"/>
  <c r="S3788" i="13"/>
  <c r="S3789" i="13"/>
  <c r="S3790" i="13"/>
  <c r="S3791" i="13"/>
  <c r="S3792" i="13"/>
  <c r="S3793" i="13"/>
  <c r="S3794" i="13"/>
  <c r="S3795" i="13"/>
  <c r="S3796" i="13"/>
  <c r="S3797" i="13"/>
  <c r="S3798" i="13"/>
  <c r="S3799" i="13"/>
  <c r="S3800" i="13"/>
  <c r="S3801" i="13"/>
  <c r="S3802" i="13"/>
  <c r="S3803" i="13"/>
  <c r="S3804" i="13"/>
  <c r="S3805" i="13"/>
  <c r="S3806" i="13"/>
  <c r="S3807" i="13"/>
  <c r="S3808" i="13"/>
  <c r="S3809" i="13"/>
  <c r="S3810" i="13"/>
  <c r="S3811" i="13"/>
  <c r="S3812" i="13"/>
  <c r="S3813" i="13"/>
  <c r="S3814" i="13"/>
  <c r="S3815" i="13"/>
  <c r="S3816" i="13"/>
  <c r="S3817" i="13"/>
  <c r="S3818" i="13"/>
  <c r="S3819" i="13"/>
  <c r="S3820" i="13"/>
  <c r="S3821" i="13"/>
  <c r="S3822" i="13"/>
  <c r="S3823" i="13"/>
  <c r="S3824" i="13"/>
  <c r="S3825" i="13"/>
  <c r="S3826" i="13"/>
  <c r="S3827" i="13"/>
  <c r="S3828" i="13"/>
  <c r="S3829" i="13"/>
  <c r="S3830" i="13"/>
  <c r="S3831" i="13"/>
  <c r="S3832" i="13"/>
  <c r="S3833" i="13"/>
  <c r="S3834" i="13"/>
  <c r="S3835" i="13"/>
  <c r="S3836" i="13"/>
  <c r="S3837" i="13"/>
  <c r="S3838" i="13"/>
  <c r="S3839" i="13"/>
  <c r="S3840" i="13"/>
  <c r="S3841" i="13"/>
  <c r="S3842" i="13"/>
  <c r="S3843" i="13"/>
  <c r="S3844" i="13"/>
  <c r="S3845" i="13"/>
  <c r="S3846" i="13"/>
  <c r="S3847" i="13"/>
  <c r="S3848" i="13"/>
  <c r="S3849" i="13"/>
  <c r="S3850" i="13"/>
  <c r="S3851" i="13"/>
  <c r="S3852" i="13"/>
  <c r="S3853" i="13"/>
  <c r="S3854" i="13"/>
  <c r="S3855" i="13"/>
  <c r="S3856" i="13"/>
  <c r="S3857" i="13"/>
  <c r="S3858" i="13"/>
  <c r="S3859" i="13"/>
  <c r="S3860" i="13"/>
  <c r="S3861" i="13"/>
  <c r="S3862" i="13"/>
  <c r="S3863" i="13"/>
  <c r="S3864" i="13"/>
  <c r="S3865" i="13"/>
  <c r="S3866" i="13"/>
  <c r="S3867" i="13"/>
  <c r="S3868" i="13"/>
  <c r="S3869" i="13"/>
  <c r="S3870" i="13"/>
  <c r="S3871" i="13"/>
  <c r="S3872" i="13"/>
  <c r="S3873" i="13"/>
  <c r="S3874" i="13"/>
  <c r="S3875" i="13"/>
  <c r="S3876" i="13"/>
  <c r="S3877" i="13"/>
  <c r="S3878" i="13"/>
  <c r="S3879" i="13"/>
  <c r="S3880" i="13"/>
  <c r="S3881" i="13"/>
  <c r="S3882" i="13"/>
  <c r="S3883" i="13"/>
  <c r="S3884" i="13"/>
  <c r="S3885" i="13"/>
  <c r="S3886" i="13"/>
  <c r="S3887" i="13"/>
  <c r="S3888" i="13"/>
  <c r="S3889" i="13"/>
  <c r="S3890" i="13"/>
  <c r="S3891" i="13"/>
  <c r="S3892" i="13"/>
  <c r="S3893" i="13"/>
  <c r="S3894" i="13"/>
  <c r="S3895" i="13"/>
  <c r="S3896" i="13"/>
  <c r="S3897" i="13"/>
  <c r="S3898" i="13"/>
  <c r="S3899" i="13"/>
  <c r="S3900" i="13"/>
  <c r="S3901" i="13"/>
  <c r="S3902" i="13"/>
  <c r="S3903" i="13"/>
  <c r="S3904" i="13"/>
  <c r="S3905" i="13"/>
  <c r="S3906" i="13"/>
  <c r="S3907" i="13"/>
  <c r="S3908" i="13"/>
  <c r="S3909" i="13"/>
  <c r="S3910" i="13"/>
  <c r="S3911" i="13"/>
  <c r="S3912" i="13"/>
  <c r="S3913" i="13"/>
  <c r="S3914" i="13"/>
  <c r="S3915" i="13"/>
  <c r="S3916" i="13"/>
  <c r="S3917" i="13"/>
  <c r="S3918" i="13"/>
  <c r="S3919" i="13"/>
  <c r="S3920" i="13"/>
  <c r="S3921" i="13"/>
  <c r="S3922" i="13"/>
  <c r="S3923" i="13"/>
  <c r="S3924" i="13"/>
  <c r="S3925" i="13"/>
  <c r="S3926" i="13"/>
  <c r="S3927" i="13"/>
  <c r="S3928" i="13"/>
  <c r="S3929" i="13"/>
  <c r="S3930" i="13"/>
  <c r="S3931" i="13"/>
  <c r="S3932" i="13"/>
  <c r="S3933" i="13"/>
  <c r="S3934" i="13"/>
  <c r="S3935" i="13"/>
  <c r="S3936" i="13"/>
  <c r="S3937" i="13"/>
  <c r="S3938" i="13"/>
  <c r="S3939" i="13"/>
  <c r="S3940" i="13"/>
  <c r="S3941" i="13"/>
  <c r="S3942" i="13"/>
  <c r="S3943" i="13"/>
  <c r="S3944" i="13"/>
  <c r="S3945" i="13"/>
  <c r="S3946" i="13"/>
  <c r="S3947" i="13"/>
  <c r="S3948" i="13"/>
  <c r="S3949" i="13"/>
  <c r="S3950" i="13"/>
  <c r="S3951" i="13"/>
  <c r="S3952" i="13"/>
  <c r="S3953" i="13"/>
  <c r="S3954" i="13"/>
  <c r="S3955" i="13"/>
  <c r="S3956" i="13"/>
  <c r="S3957" i="13"/>
  <c r="S3958" i="13"/>
  <c r="S3959" i="13"/>
  <c r="S3960" i="13"/>
  <c r="S3961" i="13"/>
  <c r="S3962" i="13"/>
  <c r="S3963" i="13"/>
  <c r="S3964" i="13"/>
  <c r="S3965" i="13"/>
  <c r="S3966" i="13"/>
  <c r="S3967" i="13"/>
  <c r="S3968" i="13"/>
  <c r="S3969" i="13"/>
  <c r="S3970" i="13"/>
  <c r="S3971" i="13"/>
  <c r="S3972" i="13"/>
  <c r="S3973" i="13"/>
  <c r="S3974" i="13"/>
  <c r="S3975" i="13"/>
  <c r="S3976" i="13"/>
  <c r="S3977" i="13"/>
  <c r="S3978" i="13"/>
  <c r="S3979" i="13"/>
  <c r="S3980" i="13"/>
  <c r="S3981" i="13"/>
  <c r="S3982" i="13"/>
  <c r="S3983" i="13"/>
  <c r="S3984" i="13"/>
  <c r="S3985" i="13"/>
  <c r="S3986" i="13"/>
  <c r="S3987" i="13"/>
  <c r="S3988" i="13"/>
  <c r="S3989" i="13"/>
  <c r="S3990" i="13"/>
  <c r="S3991" i="13"/>
  <c r="S3992" i="13"/>
  <c r="S3993" i="13"/>
  <c r="S3994" i="13"/>
  <c r="S3995" i="13"/>
  <c r="S3996" i="13"/>
  <c r="S3997" i="13"/>
  <c r="S3998" i="13"/>
  <c r="S3999" i="13"/>
  <c r="S4000" i="13"/>
  <c r="S4001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S168" i="13"/>
  <c r="S169" i="13"/>
  <c r="S170" i="13"/>
  <c r="S171" i="13"/>
  <c r="S172" i="13"/>
  <c r="S173" i="13"/>
  <c r="S174" i="13"/>
  <c r="S175" i="13"/>
  <c r="S176" i="13"/>
  <c r="S177" i="13"/>
  <c r="S178" i="13"/>
  <c r="S179" i="13"/>
  <c r="S180" i="13"/>
  <c r="S181" i="13"/>
  <c r="S182" i="13"/>
  <c r="S183" i="13"/>
  <c r="S184" i="13"/>
  <c r="S185" i="13"/>
  <c r="S186" i="13"/>
  <c r="S187" i="13"/>
  <c r="S188" i="13"/>
  <c r="S189" i="13"/>
  <c r="S190" i="13"/>
  <c r="S191" i="13"/>
  <c r="S192" i="13"/>
  <c r="S193" i="13"/>
  <c r="S194" i="13"/>
  <c r="S195" i="13"/>
  <c r="S196" i="13"/>
  <c r="S197" i="13"/>
  <c r="S198" i="13"/>
  <c r="S199" i="13"/>
  <c r="S200" i="13"/>
  <c r="S201" i="13"/>
  <c r="S202" i="13"/>
  <c r="S203" i="13"/>
  <c r="S204" i="13"/>
  <c r="S205" i="13"/>
  <c r="S206" i="13"/>
  <c r="S207" i="13"/>
  <c r="S208" i="13"/>
  <c r="S209" i="13"/>
  <c r="S210" i="13"/>
  <c r="S211" i="13"/>
  <c r="S212" i="13"/>
  <c r="S213" i="13"/>
  <c r="S214" i="13"/>
  <c r="S215" i="13"/>
  <c r="S216" i="13"/>
  <c r="S217" i="13"/>
  <c r="S218" i="13"/>
  <c r="S219" i="13"/>
  <c r="S220" i="13"/>
  <c r="S221" i="13"/>
  <c r="S222" i="13"/>
  <c r="S223" i="13"/>
  <c r="S224" i="13"/>
  <c r="S225" i="13"/>
  <c r="S226" i="13"/>
  <c r="S227" i="13"/>
  <c r="S228" i="13"/>
  <c r="S229" i="13"/>
  <c r="S230" i="13"/>
  <c r="S231" i="13"/>
  <c r="S232" i="13"/>
  <c r="S233" i="13"/>
  <c r="S234" i="13"/>
  <c r="S235" i="13"/>
  <c r="S236" i="13"/>
  <c r="S237" i="13"/>
  <c r="S238" i="13"/>
  <c r="S239" i="13"/>
  <c r="S240" i="13"/>
  <c r="S241" i="13"/>
  <c r="S242" i="13"/>
  <c r="S243" i="13"/>
  <c r="S244" i="13"/>
  <c r="S245" i="13"/>
  <c r="S246" i="13"/>
  <c r="S247" i="13"/>
  <c r="S248" i="13"/>
  <c r="S249" i="13"/>
  <c r="S250" i="13"/>
  <c r="S251" i="13"/>
  <c r="S252" i="13"/>
  <c r="S253" i="13"/>
  <c r="S254" i="13"/>
  <c r="S255" i="13"/>
  <c r="S256" i="13"/>
  <c r="S257" i="13"/>
  <c r="S258" i="13"/>
  <c r="S259" i="13"/>
  <c r="S260" i="13"/>
  <c r="S261" i="13"/>
  <c r="S262" i="13"/>
  <c r="S263" i="13"/>
  <c r="S264" i="13"/>
  <c r="S265" i="13"/>
  <c r="S266" i="13"/>
  <c r="S267" i="13"/>
  <c r="S268" i="13"/>
  <c r="S269" i="13"/>
  <c r="S270" i="13"/>
  <c r="S271" i="13"/>
  <c r="S272" i="13"/>
  <c r="S273" i="13"/>
  <c r="S274" i="13"/>
  <c r="S275" i="13"/>
  <c r="S276" i="13"/>
  <c r="S277" i="13"/>
  <c r="S278" i="13"/>
  <c r="S279" i="13"/>
  <c r="S280" i="13"/>
  <c r="S281" i="13"/>
  <c r="S282" i="13"/>
  <c r="S283" i="13"/>
  <c r="S284" i="13"/>
  <c r="S285" i="13"/>
  <c r="S286" i="13"/>
  <c r="S287" i="13"/>
  <c r="S288" i="13"/>
  <c r="S289" i="13"/>
  <c r="S290" i="13"/>
  <c r="S291" i="13"/>
  <c r="S292" i="13"/>
  <c r="S293" i="13"/>
  <c r="S294" i="13"/>
  <c r="S295" i="13"/>
  <c r="S296" i="13"/>
  <c r="S297" i="13"/>
  <c r="S298" i="13"/>
  <c r="S299" i="13"/>
  <c r="S300" i="13"/>
  <c r="S301" i="13"/>
  <c r="S302" i="13"/>
  <c r="S303" i="13"/>
  <c r="S304" i="13"/>
  <c r="S305" i="13"/>
  <c r="S306" i="13"/>
  <c r="S307" i="13"/>
  <c r="S308" i="13"/>
  <c r="S309" i="13"/>
  <c r="S310" i="13"/>
  <c r="S311" i="13"/>
  <c r="S312" i="13"/>
  <c r="S313" i="13"/>
  <c r="S314" i="13"/>
  <c r="S315" i="13"/>
  <c r="S316" i="13"/>
  <c r="S317" i="13"/>
  <c r="S318" i="13"/>
  <c r="S319" i="13"/>
  <c r="S320" i="13"/>
  <c r="S321" i="13"/>
  <c r="S322" i="13"/>
  <c r="S323" i="13"/>
  <c r="S324" i="13"/>
  <c r="S325" i="13"/>
  <c r="S326" i="13"/>
  <c r="S327" i="13"/>
  <c r="S328" i="13"/>
  <c r="S329" i="13"/>
  <c r="S330" i="13"/>
  <c r="S331" i="13"/>
  <c r="S332" i="13"/>
  <c r="S333" i="13"/>
  <c r="S334" i="13"/>
  <c r="S335" i="13"/>
  <c r="S336" i="13"/>
  <c r="S337" i="13"/>
  <c r="S338" i="13"/>
  <c r="S339" i="13"/>
  <c r="S340" i="13"/>
  <c r="S341" i="13"/>
  <c r="S342" i="13"/>
  <c r="S343" i="13"/>
  <c r="S344" i="13"/>
  <c r="S345" i="13"/>
  <c r="S346" i="13"/>
  <c r="S347" i="13"/>
  <c r="S348" i="13"/>
  <c r="S349" i="13"/>
  <c r="S350" i="13"/>
  <c r="S351" i="13"/>
  <c r="S352" i="13"/>
  <c r="S353" i="13"/>
  <c r="S354" i="13"/>
  <c r="S355" i="13"/>
  <c r="S356" i="13"/>
  <c r="S357" i="13"/>
  <c r="S358" i="13"/>
  <c r="S359" i="13"/>
  <c r="S360" i="13"/>
  <c r="S361" i="13"/>
  <c r="S362" i="13"/>
  <c r="S363" i="13"/>
  <c r="S364" i="13"/>
  <c r="S365" i="13"/>
  <c r="S366" i="13"/>
  <c r="S367" i="13"/>
  <c r="S368" i="13"/>
  <c r="S369" i="13"/>
  <c r="S370" i="13"/>
  <c r="S371" i="13"/>
  <c r="S372" i="13"/>
  <c r="S373" i="13"/>
  <c r="S374" i="13"/>
  <c r="S375" i="13"/>
  <c r="S376" i="13"/>
  <c r="S377" i="13"/>
  <c r="S378" i="13"/>
  <c r="S379" i="13"/>
  <c r="S380" i="13"/>
  <c r="S381" i="13"/>
  <c r="S382" i="13"/>
  <c r="S383" i="13"/>
  <c r="S384" i="13"/>
  <c r="S385" i="13"/>
  <c r="S386" i="13"/>
  <c r="S387" i="13"/>
  <c r="S388" i="13"/>
  <c r="S389" i="13"/>
  <c r="S390" i="13"/>
  <c r="S391" i="13"/>
  <c r="S392" i="13"/>
  <c r="S393" i="13"/>
  <c r="S394" i="13"/>
  <c r="S395" i="13"/>
  <c r="S396" i="13"/>
  <c r="S397" i="13"/>
  <c r="S398" i="13"/>
  <c r="S399" i="13"/>
  <c r="S400" i="13"/>
  <c r="S401" i="13"/>
  <c r="S402" i="13"/>
  <c r="S403" i="13"/>
  <c r="S404" i="13"/>
  <c r="S405" i="13"/>
  <c r="S406" i="13"/>
  <c r="S407" i="13"/>
  <c r="S408" i="13"/>
  <c r="S409" i="13"/>
  <c r="S410" i="13"/>
  <c r="S411" i="13"/>
  <c r="S412" i="13"/>
  <c r="S413" i="13"/>
  <c r="S414" i="13"/>
  <c r="S415" i="13"/>
  <c r="S416" i="13"/>
  <c r="S417" i="13"/>
  <c r="S418" i="13"/>
  <c r="S419" i="13"/>
  <c r="S420" i="13"/>
  <c r="S421" i="13"/>
  <c r="S422" i="13"/>
  <c r="S423" i="13"/>
  <c r="S424" i="13"/>
  <c r="S425" i="13"/>
  <c r="S426" i="13"/>
  <c r="S427" i="13"/>
  <c r="S428" i="13"/>
  <c r="S429" i="13"/>
  <c r="S430" i="13"/>
  <c r="S431" i="13"/>
  <c r="S432" i="13"/>
  <c r="S433" i="13"/>
  <c r="S434" i="13"/>
  <c r="S435" i="13"/>
  <c r="S436" i="13"/>
  <c r="S437" i="13"/>
  <c r="S438" i="13"/>
  <c r="S439" i="13"/>
  <c r="S440" i="13"/>
  <c r="S441" i="13"/>
  <c r="S442" i="13"/>
  <c r="S443" i="13"/>
  <c r="S444" i="13"/>
  <c r="S445" i="13"/>
  <c r="S446" i="13"/>
  <c r="S447" i="13"/>
  <c r="S448" i="13"/>
  <c r="S449" i="13"/>
  <c r="S450" i="13"/>
  <c r="S451" i="13"/>
  <c r="S452" i="13"/>
  <c r="S453" i="13"/>
  <c r="S454" i="13"/>
  <c r="S455" i="13"/>
  <c r="S456" i="13"/>
  <c r="S457" i="13"/>
  <c r="S458" i="13"/>
  <c r="S459" i="13"/>
  <c r="S460" i="13"/>
  <c r="S461" i="13"/>
  <c r="S462" i="13"/>
  <c r="S463" i="13"/>
  <c r="S464" i="13"/>
  <c r="S465" i="13"/>
  <c r="S466" i="13"/>
  <c r="S467" i="13"/>
  <c r="S468" i="13"/>
  <c r="S469" i="13"/>
  <c r="S470" i="13"/>
  <c r="S471" i="13"/>
  <c r="S472" i="13"/>
  <c r="S473" i="13"/>
  <c r="S474" i="13"/>
  <c r="S475" i="13"/>
  <c r="S476" i="13"/>
  <c r="S477" i="13"/>
  <c r="S478" i="13"/>
  <c r="S479" i="13"/>
  <c r="S480" i="13"/>
  <c r="S481" i="13"/>
  <c r="S482" i="13"/>
  <c r="S483" i="13"/>
  <c r="S484" i="13"/>
  <c r="S485" i="13"/>
  <c r="S486" i="13"/>
  <c r="S487" i="13"/>
  <c r="S488" i="13"/>
  <c r="S489" i="13"/>
  <c r="S490" i="13"/>
  <c r="S491" i="13"/>
  <c r="S492" i="13"/>
  <c r="S493" i="13"/>
  <c r="S494" i="13"/>
  <c r="S495" i="13"/>
  <c r="S496" i="13"/>
  <c r="S497" i="13"/>
  <c r="S498" i="13"/>
  <c r="S499" i="13"/>
  <c r="S500" i="13"/>
  <c r="S501" i="13"/>
  <c r="S502" i="13"/>
  <c r="S503" i="13"/>
  <c r="S504" i="13"/>
  <c r="S505" i="13"/>
  <c r="S506" i="13"/>
  <c r="S507" i="13"/>
  <c r="S508" i="13"/>
  <c r="S509" i="13"/>
  <c r="S510" i="13"/>
  <c r="S511" i="13"/>
  <c r="S512" i="13"/>
  <c r="S513" i="13"/>
  <c r="S514" i="13"/>
  <c r="S515" i="13"/>
  <c r="S516" i="13"/>
  <c r="S517" i="13"/>
  <c r="S518" i="13"/>
  <c r="S519" i="13"/>
  <c r="S520" i="13"/>
  <c r="S521" i="13"/>
  <c r="S522" i="13"/>
  <c r="S523" i="13"/>
  <c r="S524" i="13"/>
  <c r="S525" i="13"/>
  <c r="S526" i="13"/>
  <c r="S527" i="13"/>
  <c r="S528" i="13"/>
  <c r="S529" i="13"/>
  <c r="S530" i="13"/>
  <c r="S531" i="13"/>
  <c r="S532" i="13"/>
  <c r="S533" i="13"/>
  <c r="S534" i="13"/>
  <c r="S535" i="13"/>
  <c r="S536" i="13"/>
  <c r="S537" i="13"/>
  <c r="S538" i="13"/>
  <c r="S539" i="13"/>
  <c r="S540" i="13"/>
  <c r="S541" i="13"/>
  <c r="S542" i="13"/>
  <c r="S543" i="13"/>
  <c r="S544" i="13"/>
  <c r="S545" i="13"/>
  <c r="S546" i="13"/>
  <c r="S547" i="13"/>
  <c r="S548" i="13"/>
  <c r="S549" i="13"/>
  <c r="S550" i="13"/>
  <c r="S551" i="13"/>
  <c r="S552" i="13"/>
  <c r="S553" i="13"/>
  <c r="S554" i="13"/>
  <c r="S555" i="13"/>
  <c r="S556" i="13"/>
  <c r="S557" i="13"/>
  <c r="S558" i="13"/>
  <c r="S559" i="13"/>
  <c r="S560" i="13"/>
  <c r="S561" i="13"/>
  <c r="S562" i="13"/>
  <c r="S563" i="13"/>
  <c r="S564" i="13"/>
  <c r="S565" i="13"/>
  <c r="S566" i="13"/>
  <c r="S567" i="13"/>
  <c r="S568" i="13"/>
  <c r="S569" i="13"/>
  <c r="S570" i="13"/>
  <c r="S571" i="13"/>
  <c r="S572" i="13"/>
  <c r="S573" i="13"/>
  <c r="S574" i="13"/>
  <c r="S575" i="13"/>
  <c r="S576" i="13"/>
  <c r="S577" i="13"/>
  <c r="S578" i="13"/>
  <c r="S579" i="13"/>
  <c r="S580" i="13"/>
  <c r="S581" i="13"/>
  <c r="S582" i="13"/>
  <c r="S583" i="13"/>
  <c r="S584" i="13"/>
  <c r="S585" i="13"/>
  <c r="S586" i="13"/>
  <c r="S587" i="13"/>
  <c r="S588" i="13"/>
  <c r="S589" i="13"/>
  <c r="S590" i="13"/>
  <c r="S591" i="13"/>
  <c r="S592" i="13"/>
  <c r="S593" i="13"/>
  <c r="S594" i="13"/>
  <c r="S595" i="13"/>
  <c r="S596" i="13"/>
  <c r="S597" i="13"/>
  <c r="S598" i="13"/>
  <c r="S599" i="13"/>
  <c r="S600" i="13"/>
  <c r="S601" i="13"/>
  <c r="S602" i="13"/>
  <c r="S603" i="13"/>
  <c r="S604" i="13"/>
  <c r="S605" i="13"/>
  <c r="S606" i="13"/>
  <c r="S607" i="13"/>
  <c r="S608" i="13"/>
  <c r="S609" i="13"/>
  <c r="S610" i="13"/>
  <c r="S611" i="13"/>
  <c r="S612" i="13"/>
  <c r="S613" i="13"/>
  <c r="S614" i="13"/>
  <c r="S615" i="13"/>
  <c r="S616" i="13"/>
  <c r="S617" i="13"/>
  <c r="S618" i="13"/>
  <c r="S619" i="13"/>
  <c r="S620" i="13"/>
  <c r="S621" i="13"/>
  <c r="S622" i="13"/>
  <c r="S623" i="13"/>
  <c r="S624" i="13"/>
  <c r="S625" i="13"/>
  <c r="S626" i="13"/>
  <c r="S627" i="13"/>
  <c r="S628" i="13"/>
  <c r="S629" i="13"/>
  <c r="S630" i="13"/>
  <c r="S631" i="13"/>
  <c r="S632" i="13"/>
  <c r="S633" i="13"/>
  <c r="S634" i="13"/>
  <c r="S635" i="13"/>
  <c r="S636" i="13"/>
  <c r="S637" i="13"/>
  <c r="S638" i="13"/>
  <c r="S639" i="13"/>
  <c r="S640" i="13"/>
  <c r="S641" i="13"/>
  <c r="S642" i="13"/>
  <c r="S643" i="13"/>
  <c r="S644" i="13"/>
  <c r="S645" i="13"/>
  <c r="S646" i="13"/>
  <c r="S647" i="13"/>
  <c r="S648" i="13"/>
  <c r="S649" i="13"/>
  <c r="S650" i="13"/>
  <c r="S651" i="13"/>
  <c r="S652" i="13"/>
  <c r="S653" i="13"/>
  <c r="S654" i="13"/>
  <c r="S655" i="13"/>
  <c r="S656" i="13"/>
  <c r="S657" i="13"/>
  <c r="S658" i="13"/>
  <c r="S659" i="13"/>
  <c r="S660" i="13"/>
  <c r="S661" i="13"/>
  <c r="S662" i="13"/>
  <c r="S663" i="13"/>
  <c r="S664" i="13"/>
  <c r="S665" i="13"/>
  <c r="S666" i="13"/>
  <c r="S667" i="13"/>
  <c r="S668" i="13"/>
  <c r="S669" i="13"/>
  <c r="S670" i="13"/>
  <c r="S671" i="13"/>
  <c r="S672" i="13"/>
  <c r="S673" i="13"/>
  <c r="S674" i="13"/>
  <c r="S675" i="13"/>
  <c r="S676" i="13"/>
  <c r="S677" i="13"/>
  <c r="S678" i="13"/>
  <c r="S679" i="13"/>
  <c r="S680" i="13"/>
  <c r="S681" i="13"/>
  <c r="S682" i="13"/>
  <c r="S683" i="13"/>
  <c r="S684" i="13"/>
  <c r="S685" i="13"/>
  <c r="S686" i="13"/>
  <c r="S687" i="13"/>
  <c r="S688" i="13"/>
  <c r="S689" i="13"/>
  <c r="S690" i="13"/>
  <c r="S691" i="13"/>
  <c r="S692" i="13"/>
  <c r="S693" i="13"/>
  <c r="S694" i="13"/>
  <c r="S695" i="13"/>
  <c r="S696" i="13"/>
  <c r="S697" i="13"/>
  <c r="S698" i="13"/>
  <c r="S699" i="13"/>
  <c r="S700" i="13"/>
  <c r="S701" i="13"/>
  <c r="S702" i="13"/>
  <c r="S703" i="13"/>
  <c r="S704" i="13"/>
  <c r="S705" i="13"/>
  <c r="S706" i="13"/>
  <c r="S707" i="13"/>
  <c r="S708" i="13"/>
  <c r="S709" i="13"/>
  <c r="S710" i="13"/>
  <c r="S711" i="13"/>
  <c r="S712" i="13"/>
  <c r="S713" i="13"/>
  <c r="S714" i="13"/>
  <c r="S715" i="13"/>
  <c r="S716" i="13"/>
  <c r="S717" i="13"/>
  <c r="S718" i="13"/>
  <c r="S719" i="13"/>
  <c r="S720" i="13"/>
  <c r="S721" i="13"/>
  <c r="S722" i="13"/>
  <c r="S723" i="13"/>
  <c r="S724" i="13"/>
  <c r="S725" i="13"/>
  <c r="S726" i="13"/>
  <c r="S727" i="13"/>
  <c r="S728" i="13"/>
  <c r="S729" i="13"/>
  <c r="S730" i="13"/>
  <c r="S731" i="13"/>
  <c r="S732" i="13"/>
  <c r="S733" i="13"/>
  <c r="S734" i="13"/>
  <c r="S735" i="13"/>
  <c r="S736" i="13"/>
  <c r="S737" i="13"/>
  <c r="S738" i="13"/>
  <c r="S739" i="13"/>
  <c r="S740" i="13"/>
  <c r="S741" i="13"/>
  <c r="S742" i="13"/>
  <c r="S743" i="13"/>
  <c r="S744" i="13"/>
  <c r="S745" i="13"/>
  <c r="S746" i="13"/>
  <c r="S747" i="13"/>
  <c r="S748" i="13"/>
  <c r="S749" i="13"/>
  <c r="S750" i="13"/>
  <c r="S751" i="13"/>
  <c r="S752" i="13"/>
  <c r="S753" i="13"/>
  <c r="S754" i="13"/>
  <c r="S755" i="13"/>
  <c r="S756" i="13"/>
  <c r="S757" i="13"/>
  <c r="S758" i="13"/>
  <c r="S759" i="13"/>
  <c r="S760" i="13"/>
  <c r="S761" i="13"/>
  <c r="S762" i="13"/>
  <c r="S763" i="13"/>
  <c r="S764" i="13"/>
  <c r="S765" i="13"/>
  <c r="S766" i="13"/>
  <c r="S767" i="13"/>
  <c r="S768" i="13"/>
  <c r="S769" i="13"/>
  <c r="S770" i="13"/>
  <c r="S771" i="13"/>
  <c r="S772" i="13"/>
  <c r="S773" i="13"/>
  <c r="S774" i="13"/>
  <c r="S775" i="13"/>
  <c r="S776" i="13"/>
  <c r="S777" i="13"/>
  <c r="S778" i="13"/>
  <c r="S779" i="13"/>
  <c r="S780" i="13"/>
  <c r="S781" i="13"/>
  <c r="S782" i="13"/>
  <c r="S783" i="13"/>
  <c r="S784" i="13"/>
  <c r="S785" i="13"/>
  <c r="S786" i="13"/>
  <c r="S787" i="13"/>
  <c r="S788" i="13"/>
  <c r="S789" i="13"/>
  <c r="S790" i="13"/>
  <c r="S791" i="13"/>
  <c r="S792" i="13"/>
  <c r="S793" i="13"/>
  <c r="S794" i="13"/>
  <c r="S795" i="13"/>
  <c r="S796" i="13"/>
  <c r="S797" i="13"/>
  <c r="S798" i="13"/>
  <c r="S799" i="13"/>
  <c r="S800" i="13"/>
  <c r="S801" i="13"/>
  <c r="S802" i="13"/>
  <c r="S803" i="13"/>
  <c r="S804" i="13"/>
  <c r="S805" i="13"/>
  <c r="S806" i="13"/>
  <c r="S807" i="13"/>
  <c r="S808" i="13"/>
  <c r="S809" i="13"/>
  <c r="S810" i="13"/>
  <c r="S811" i="13"/>
  <c r="S812" i="13"/>
  <c r="S813" i="13"/>
  <c r="S814" i="13"/>
  <c r="S815" i="13"/>
  <c r="S816" i="13"/>
  <c r="S817" i="13"/>
  <c r="S818" i="13"/>
  <c r="S819" i="13"/>
  <c r="S820" i="13"/>
  <c r="S821" i="13"/>
  <c r="S822" i="13"/>
  <c r="S823" i="13"/>
  <c r="S824" i="13"/>
  <c r="S825" i="13"/>
  <c r="S826" i="13"/>
  <c r="S827" i="13"/>
  <c r="S828" i="13"/>
  <c r="S829" i="13"/>
  <c r="S830" i="13"/>
  <c r="S831" i="13"/>
  <c r="S832" i="13"/>
  <c r="S833" i="13"/>
  <c r="S834" i="13"/>
  <c r="S835" i="13"/>
  <c r="S836" i="13"/>
  <c r="S837" i="13"/>
  <c r="S838" i="13"/>
  <c r="S839" i="13"/>
  <c r="S841" i="13"/>
  <c r="S842" i="13"/>
  <c r="S843" i="13"/>
  <c r="S844" i="13"/>
  <c r="S845" i="13"/>
  <c r="S846" i="13"/>
  <c r="S847" i="13"/>
  <c r="S848" i="13"/>
  <c r="S849" i="13"/>
  <c r="S850" i="13"/>
  <c r="S851" i="13"/>
  <c r="S852" i="13"/>
  <c r="S853" i="13"/>
  <c r="S854" i="13"/>
  <c r="S855" i="13"/>
  <c r="S856" i="13"/>
  <c r="S857" i="13"/>
  <c r="S858" i="13"/>
  <c r="S859" i="13"/>
  <c r="S860" i="13"/>
  <c r="S861" i="13"/>
  <c r="S862" i="13"/>
  <c r="S863" i="13"/>
  <c r="S864" i="13"/>
  <c r="S865" i="13"/>
  <c r="S866" i="13"/>
  <c r="S867" i="13"/>
  <c r="S868" i="13"/>
  <c r="S869" i="13"/>
  <c r="S870" i="13"/>
  <c r="S871" i="13"/>
  <c r="S872" i="13"/>
  <c r="S873" i="13"/>
  <c r="S874" i="13"/>
  <c r="S875" i="13"/>
  <c r="S876" i="13"/>
  <c r="S877" i="13"/>
  <c r="S878" i="13"/>
  <c r="S879" i="13"/>
  <c r="S880" i="13"/>
  <c r="S881" i="13"/>
  <c r="S882" i="13"/>
  <c r="S883" i="13"/>
  <c r="S884" i="13"/>
  <c r="S885" i="13"/>
  <c r="S886" i="13"/>
  <c r="S887" i="13"/>
  <c r="S888" i="13"/>
  <c r="S889" i="13"/>
  <c r="S890" i="13"/>
  <c r="S891" i="13"/>
  <c r="S892" i="13"/>
  <c r="S893" i="13"/>
  <c r="S894" i="13"/>
  <c r="S895" i="13"/>
  <c r="S896" i="13"/>
  <c r="S897" i="13"/>
  <c r="S898" i="13"/>
  <c r="S899" i="13"/>
  <c r="S900" i="13"/>
  <c r="S901" i="13"/>
  <c r="S902" i="13"/>
  <c r="S903" i="13"/>
  <c r="S904" i="13"/>
  <c r="S905" i="13"/>
  <c r="S906" i="13"/>
  <c r="S907" i="13"/>
  <c r="S908" i="13"/>
  <c r="S909" i="13"/>
  <c r="S910" i="13"/>
  <c r="S911" i="13"/>
  <c r="S912" i="13"/>
  <c r="S913" i="13"/>
  <c r="S914" i="13"/>
  <c r="S915" i="13"/>
  <c r="S916" i="13"/>
  <c r="S917" i="13"/>
  <c r="S918" i="13"/>
  <c r="S919" i="13"/>
  <c r="S920" i="13"/>
  <c r="S921" i="13"/>
  <c r="S922" i="13"/>
  <c r="S923" i="13"/>
  <c r="S924" i="13"/>
  <c r="S925" i="13"/>
  <c r="S926" i="13"/>
  <c r="S927" i="13"/>
  <c r="S928" i="13"/>
  <c r="S929" i="13"/>
  <c r="S930" i="13"/>
  <c r="S931" i="13"/>
  <c r="S932" i="13"/>
  <c r="S933" i="13"/>
  <c r="S934" i="13"/>
  <c r="S935" i="13"/>
  <c r="S936" i="13"/>
  <c r="S937" i="13"/>
  <c r="S938" i="13"/>
  <c r="S939" i="13"/>
  <c r="S940" i="13"/>
  <c r="S941" i="13"/>
  <c r="S942" i="13"/>
  <c r="S943" i="13"/>
  <c r="S944" i="13"/>
  <c r="S945" i="13"/>
  <c r="S946" i="13"/>
  <c r="S947" i="13"/>
  <c r="S948" i="13"/>
  <c r="S949" i="13"/>
  <c r="S950" i="13"/>
  <c r="S951" i="13"/>
  <c r="S952" i="13"/>
  <c r="S953" i="13"/>
  <c r="S954" i="13"/>
  <c r="S955" i="13"/>
  <c r="S956" i="13"/>
  <c r="S957" i="13"/>
  <c r="S958" i="13"/>
  <c r="S959" i="13"/>
  <c r="S960" i="13"/>
  <c r="S961" i="13"/>
  <c r="S962" i="13"/>
  <c r="S963" i="13"/>
  <c r="S964" i="13"/>
  <c r="S965" i="13"/>
  <c r="S966" i="13"/>
  <c r="S967" i="13"/>
  <c r="S968" i="13"/>
  <c r="S969" i="13"/>
  <c r="S970" i="13"/>
  <c r="S971" i="13"/>
  <c r="S972" i="13"/>
  <c r="S973" i="13"/>
  <c r="S974" i="13"/>
  <c r="S975" i="13"/>
  <c r="S976" i="13"/>
  <c r="S977" i="13"/>
  <c r="S978" i="13"/>
  <c r="S979" i="13"/>
  <c r="S980" i="13"/>
  <c r="S981" i="13"/>
  <c r="S982" i="13"/>
  <c r="S983" i="13"/>
  <c r="S984" i="13"/>
  <c r="S985" i="13"/>
  <c r="S986" i="13"/>
  <c r="S987" i="13"/>
  <c r="S988" i="13"/>
  <c r="S989" i="13"/>
  <c r="S990" i="13"/>
  <c r="S991" i="13"/>
  <c r="S992" i="13"/>
  <c r="S993" i="13"/>
  <c r="S994" i="13"/>
  <c r="S995" i="13"/>
  <c r="S996" i="13"/>
  <c r="S997" i="13"/>
  <c r="S998" i="13"/>
  <c r="S999" i="13"/>
  <c r="S1000" i="13"/>
  <c r="S1001" i="13"/>
  <c r="S1002" i="13"/>
  <c r="S1003" i="13"/>
  <c r="S1004" i="13"/>
  <c r="S1005" i="13"/>
  <c r="S1006" i="13"/>
  <c r="S1007" i="13"/>
  <c r="S1008" i="13"/>
  <c r="S1009" i="13"/>
  <c r="S1010" i="13"/>
  <c r="S1011" i="13"/>
  <c r="S1012" i="13"/>
  <c r="S1013" i="13"/>
  <c r="S1014" i="13"/>
  <c r="S1015" i="13"/>
  <c r="S1016" i="13"/>
  <c r="S1017" i="13"/>
  <c r="S1018" i="13"/>
  <c r="S1019" i="13"/>
  <c r="S1020" i="13"/>
  <c r="S1021" i="13"/>
  <c r="S1022" i="13"/>
  <c r="S1023" i="13"/>
  <c r="S1024" i="13"/>
  <c r="S1025" i="13"/>
  <c r="S1026" i="13"/>
  <c r="S1027" i="13"/>
  <c r="S1028" i="13"/>
  <c r="S1029" i="13"/>
  <c r="S1030" i="13"/>
  <c r="S1031" i="13"/>
  <c r="S1032" i="13"/>
  <c r="S1033" i="13"/>
  <c r="S1034" i="13"/>
  <c r="S1035" i="13"/>
  <c r="S1036" i="13"/>
  <c r="S1037" i="13"/>
  <c r="S1038" i="13"/>
  <c r="S1039" i="13"/>
  <c r="S1040" i="13"/>
  <c r="S1041" i="13"/>
  <c r="S1042" i="13"/>
  <c r="S1043" i="13"/>
  <c r="S1044" i="13"/>
  <c r="S1045" i="13"/>
  <c r="S1046" i="13"/>
  <c r="S1047" i="13"/>
  <c r="S1048" i="13"/>
  <c r="S1049" i="13"/>
  <c r="S1050" i="13"/>
  <c r="S1051" i="13"/>
  <c r="S1052" i="13"/>
  <c r="S1053" i="13"/>
  <c r="S1054" i="13"/>
  <c r="S1055" i="13"/>
  <c r="S1056" i="13"/>
  <c r="S1057" i="13"/>
  <c r="S1058" i="13"/>
  <c r="S1059" i="13"/>
  <c r="S1060" i="13"/>
  <c r="S1061" i="13"/>
  <c r="S1062" i="13"/>
  <c r="S1063" i="13"/>
  <c r="S1064" i="13"/>
  <c r="S1065" i="13"/>
  <c r="S1066" i="13"/>
  <c r="S1067" i="13"/>
  <c r="S1068" i="13"/>
  <c r="S1069" i="13"/>
  <c r="S1070" i="13"/>
  <c r="S1071" i="13"/>
  <c r="S1072" i="13"/>
  <c r="S1073" i="13"/>
  <c r="S1074" i="13"/>
  <c r="S1075" i="13"/>
  <c r="S1076" i="13"/>
  <c r="S1077" i="13"/>
  <c r="S1078" i="13"/>
  <c r="S1079" i="13"/>
  <c r="S1080" i="13"/>
  <c r="S1081" i="13"/>
  <c r="S1082" i="13"/>
  <c r="S1083" i="13"/>
  <c r="S1084" i="13"/>
  <c r="S1085" i="13"/>
  <c r="S1086" i="13"/>
  <c r="S1087" i="13"/>
  <c r="S1088" i="13"/>
  <c r="S1089" i="13"/>
  <c r="S1090" i="13"/>
  <c r="S1091" i="13"/>
  <c r="S1092" i="13"/>
  <c r="S1093" i="13"/>
  <c r="S1094" i="13"/>
  <c r="S1095" i="13"/>
  <c r="S1096" i="13"/>
  <c r="S1097" i="13"/>
  <c r="S1098" i="13"/>
  <c r="S1099" i="13"/>
  <c r="S1100" i="13"/>
  <c r="S1101" i="13"/>
  <c r="S1102" i="13"/>
  <c r="S1103" i="13"/>
  <c r="S1104" i="13"/>
  <c r="S1105" i="13"/>
  <c r="S1106" i="13"/>
  <c r="S1107" i="13"/>
  <c r="S1108" i="13"/>
  <c r="S1109" i="13"/>
  <c r="S1110" i="13"/>
  <c r="S1111" i="13"/>
  <c r="S1112" i="13"/>
  <c r="S1113" i="13"/>
  <c r="S1114" i="13"/>
  <c r="S1115" i="13"/>
  <c r="S1116" i="13"/>
  <c r="S1117" i="13"/>
  <c r="S1118" i="13"/>
  <c r="S1119" i="13"/>
  <c r="S1120" i="13"/>
  <c r="S1121" i="13"/>
  <c r="S1122" i="13"/>
  <c r="S1123" i="13"/>
  <c r="S1124" i="13"/>
  <c r="S1125" i="13"/>
  <c r="S1126" i="13"/>
  <c r="S1127" i="13"/>
  <c r="S1128" i="13"/>
  <c r="S1129" i="13"/>
  <c r="S1130" i="13"/>
  <c r="S1131" i="13"/>
  <c r="S1132" i="13"/>
  <c r="S1133" i="13"/>
  <c r="S1134" i="13"/>
  <c r="S1135" i="13"/>
  <c r="S1136" i="13"/>
  <c r="S1137" i="13"/>
  <c r="S1138" i="13"/>
  <c r="S1139" i="13"/>
  <c r="S1140" i="13"/>
  <c r="S1141" i="13"/>
  <c r="S1142" i="13"/>
  <c r="S1143" i="13"/>
  <c r="S1144" i="13"/>
  <c r="S2" i="13"/>
  <c r="M294" i="13"/>
  <c r="M295" i="13"/>
  <c r="M296" i="13"/>
  <c r="M297" i="13"/>
  <c r="M298" i="13"/>
  <c r="M299" i="13"/>
  <c r="M300" i="13"/>
  <c r="M301" i="13"/>
  <c r="M302" i="13"/>
  <c r="M293" i="13"/>
  <c r="M303" i="13"/>
  <c r="H31" i="16"/>
  <c r="M675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20" i="13"/>
  <c r="M611" i="13"/>
  <c r="M612" i="13"/>
  <c r="M613" i="13"/>
  <c r="M614" i="13"/>
  <c r="M610" i="13"/>
  <c r="E1046" i="12"/>
  <c r="E945" i="12"/>
  <c r="E777" i="12" l="1"/>
  <c r="E809" i="12"/>
  <c r="E844" i="12"/>
  <c r="E876" i="12"/>
  <c r="E908" i="12"/>
  <c r="E982" i="12"/>
  <c r="E1014" i="12"/>
  <c r="E1081" i="12"/>
  <c r="E1113" i="12"/>
  <c r="E1145" i="12"/>
  <c r="Q52" i="11"/>
  <c r="R52" i="11"/>
  <c r="Z52" i="11"/>
  <c r="Q53" i="11"/>
  <c r="R53" i="11"/>
  <c r="Z53" i="11"/>
  <c r="Q54" i="11"/>
  <c r="R54" i="11"/>
  <c r="Z54" i="11"/>
  <c r="Q55" i="11"/>
  <c r="R55" i="11"/>
  <c r="Z55" i="11"/>
  <c r="Q56" i="11"/>
  <c r="R56" i="11"/>
  <c r="Z56" i="11"/>
  <c r="Q57" i="11"/>
  <c r="R57" i="11"/>
  <c r="Z57" i="11"/>
  <c r="Q58" i="11"/>
  <c r="R58" i="11"/>
  <c r="Z58" i="11"/>
  <c r="Q59" i="11"/>
  <c r="R59" i="11"/>
  <c r="Z59" i="11"/>
  <c r="Q60" i="11"/>
  <c r="R60" i="11"/>
  <c r="Z60" i="11"/>
  <c r="Q61" i="11"/>
  <c r="R61" i="11"/>
  <c r="Z61" i="11"/>
  <c r="Z51" i="11"/>
  <c r="R51" i="11"/>
  <c r="Q51" i="11"/>
  <c r="Q40" i="11"/>
  <c r="R40" i="11"/>
  <c r="Z40" i="11"/>
  <c r="Q41" i="11"/>
  <c r="R41" i="11"/>
  <c r="Z41" i="11"/>
  <c r="Q42" i="11"/>
  <c r="R42" i="11"/>
  <c r="Z42" i="11"/>
  <c r="Q43" i="11"/>
  <c r="R43" i="11"/>
  <c r="Z43" i="11"/>
  <c r="Q44" i="11"/>
  <c r="R44" i="11"/>
  <c r="Z44" i="11"/>
  <c r="Q45" i="11"/>
  <c r="R45" i="11"/>
  <c r="Z45" i="11"/>
  <c r="Q46" i="11"/>
  <c r="R46" i="11"/>
  <c r="Z46" i="11"/>
  <c r="Q47" i="11"/>
  <c r="R47" i="11"/>
  <c r="Z47" i="11"/>
  <c r="Q48" i="11"/>
  <c r="R48" i="11"/>
  <c r="Z48" i="11"/>
  <c r="Q49" i="11"/>
  <c r="R49" i="11"/>
  <c r="Z49" i="11"/>
  <c r="Z39" i="11"/>
  <c r="R39" i="11"/>
  <c r="Q39" i="11"/>
  <c r="Q28" i="11"/>
  <c r="R28" i="11"/>
  <c r="Z28" i="11"/>
  <c r="Q29" i="11"/>
  <c r="R29" i="11"/>
  <c r="Z29" i="11"/>
  <c r="Q30" i="11"/>
  <c r="R30" i="11"/>
  <c r="Z30" i="11"/>
  <c r="Q31" i="11"/>
  <c r="R31" i="11"/>
  <c r="Z31" i="11"/>
  <c r="Q32" i="11"/>
  <c r="R32" i="11"/>
  <c r="Z32" i="11"/>
  <c r="Q33" i="11"/>
  <c r="R33" i="11"/>
  <c r="Z33" i="11"/>
  <c r="Q34" i="11"/>
  <c r="R34" i="11"/>
  <c r="Z34" i="11"/>
  <c r="Q35" i="11"/>
  <c r="R35" i="11"/>
  <c r="Z35" i="11"/>
  <c r="Q36" i="11"/>
  <c r="R36" i="11"/>
  <c r="Z36" i="11"/>
  <c r="Q37" i="11"/>
  <c r="R37" i="11"/>
  <c r="Z37" i="11"/>
  <c r="Z27" i="11"/>
  <c r="R27" i="11"/>
  <c r="Q27" i="11"/>
  <c r="Q16" i="11"/>
  <c r="R16" i="11"/>
  <c r="Z16" i="11"/>
  <c r="Q17" i="11"/>
  <c r="R17" i="11"/>
  <c r="Z17" i="11"/>
  <c r="Q18" i="11"/>
  <c r="R18" i="11"/>
  <c r="Z18" i="11"/>
  <c r="Q19" i="11"/>
  <c r="R19" i="11"/>
  <c r="Z19" i="11"/>
  <c r="Q20" i="11"/>
  <c r="R20" i="11"/>
  <c r="Z20" i="11"/>
  <c r="Q21" i="11"/>
  <c r="R21" i="11"/>
  <c r="Z21" i="11"/>
  <c r="Q22" i="11"/>
  <c r="R22" i="11"/>
  <c r="Z22" i="11"/>
  <c r="Q23" i="11"/>
  <c r="R23" i="11"/>
  <c r="Z23" i="11"/>
  <c r="Q24" i="11"/>
  <c r="R24" i="11"/>
  <c r="Z24" i="11"/>
  <c r="Q25" i="11"/>
  <c r="R25" i="11"/>
  <c r="Z25" i="11"/>
  <c r="Z15" i="11"/>
  <c r="R15" i="11"/>
  <c r="Q15" i="11"/>
  <c r="Q4" i="11"/>
  <c r="R4" i="11"/>
  <c r="Z4" i="11"/>
  <c r="Q5" i="11"/>
  <c r="R5" i="11"/>
  <c r="Z5" i="11"/>
  <c r="Q6" i="11"/>
  <c r="R6" i="11"/>
  <c r="Z6" i="11"/>
  <c r="Q7" i="11"/>
  <c r="R7" i="11"/>
  <c r="Z7" i="11"/>
  <c r="Q8" i="11"/>
  <c r="R8" i="11"/>
  <c r="Z8" i="11"/>
  <c r="Q9" i="11"/>
  <c r="R9" i="11"/>
  <c r="Z9" i="11"/>
  <c r="Q10" i="11"/>
  <c r="R10" i="11"/>
  <c r="Z10" i="11"/>
  <c r="Q11" i="11"/>
  <c r="R11" i="11"/>
  <c r="Z11" i="11"/>
  <c r="Q12" i="11"/>
  <c r="R12" i="11"/>
  <c r="Z12" i="11"/>
  <c r="Q13" i="11"/>
  <c r="R13" i="11"/>
  <c r="Z13" i="11"/>
  <c r="Z3" i="11"/>
  <c r="R3" i="11"/>
  <c r="Q3" i="11"/>
  <c r="Z50" i="11"/>
  <c r="R50" i="11"/>
  <c r="Q50" i="11"/>
  <c r="Z38" i="11"/>
  <c r="R38" i="11"/>
  <c r="Q38" i="11"/>
  <c r="Z26" i="11"/>
  <c r="R26" i="11"/>
  <c r="Q26" i="11"/>
  <c r="Z14" i="11"/>
  <c r="R14" i="11"/>
  <c r="Q14" i="11"/>
  <c r="Z2" i="11"/>
  <c r="R2" i="11"/>
  <c r="Q2" i="11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563" i="13"/>
  <c r="M564" i="13"/>
  <c r="M565" i="13"/>
  <c r="M566" i="13"/>
  <c r="M567" i="13"/>
  <c r="M568" i="13"/>
  <c r="M569" i="13"/>
  <c r="M570" i="13"/>
  <c r="M562" i="13"/>
  <c r="M561" i="13"/>
  <c r="M461" i="13"/>
  <c r="M451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389" i="13"/>
  <c r="M390" i="13"/>
  <c r="M391" i="13"/>
  <c r="M392" i="13"/>
  <c r="M393" i="13"/>
  <c r="M394" i="13"/>
  <c r="M395" i="13"/>
  <c r="M396" i="13"/>
  <c r="M397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 s="1"/>
  <c r="M320" i="13"/>
  <c r="M321" i="13"/>
  <c r="M322" i="13"/>
  <c r="M323" i="13"/>
  <c r="M324" i="13"/>
  <c r="M325" i="13"/>
  <c r="M326" i="13"/>
  <c r="M327" i="13"/>
  <c r="M328" i="13"/>
  <c r="M319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E1209" i="12"/>
  <c r="E1241" i="12"/>
  <c r="E1177" i="12"/>
  <c r="E1337" i="12"/>
  <c r="E1305" i="12"/>
  <c r="E1273" i="12"/>
  <c r="E1433" i="12"/>
  <c r="E1401" i="12"/>
  <c r="E1369" i="12"/>
  <c r="E1529" i="12"/>
  <c r="E1497" i="12"/>
  <c r="E1465" i="12"/>
  <c r="E1561" i="12"/>
  <c r="E1913" i="12"/>
  <c r="E1881" i="12"/>
  <c r="E1849" i="12"/>
  <c r="E1817" i="12"/>
  <c r="E1785" i="12"/>
  <c r="E1753" i="12"/>
  <c r="E1721" i="12"/>
  <c r="E1689" i="12"/>
  <c r="E1657" i="12"/>
  <c r="E1625" i="12"/>
  <c r="E1593" i="12"/>
  <c r="B3" i="15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B4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G16" i="9"/>
  <c r="H16" i="9"/>
  <c r="I16" i="9"/>
  <c r="J16" i="9"/>
  <c r="K16" i="9"/>
  <c r="L16" i="9"/>
  <c r="G17" i="9"/>
  <c r="H17" i="9"/>
  <c r="I17" i="9"/>
  <c r="J17" i="9"/>
  <c r="K17" i="9"/>
  <c r="L17" i="9"/>
  <c r="G18" i="9"/>
  <c r="H18" i="9"/>
  <c r="I18" i="9"/>
  <c r="J18" i="9"/>
  <c r="K18" i="9"/>
  <c r="L18" i="9"/>
  <c r="G19" i="9"/>
  <c r="H19" i="9"/>
  <c r="I19" i="9"/>
  <c r="J19" i="9"/>
  <c r="K19" i="9"/>
  <c r="L19" i="9"/>
  <c r="G20" i="9"/>
  <c r="H20" i="9"/>
  <c r="I20" i="9"/>
  <c r="J20" i="9"/>
  <c r="K20" i="9"/>
  <c r="L20" i="9"/>
  <c r="F20" i="9"/>
  <c r="F19" i="9"/>
  <c r="F18" i="9"/>
  <c r="F17" i="9"/>
  <c r="F16" i="9"/>
  <c r="G9" i="9"/>
  <c r="H9" i="9"/>
  <c r="I9" i="9"/>
  <c r="J9" i="9"/>
  <c r="K9" i="9"/>
  <c r="L9" i="9"/>
  <c r="M9" i="9"/>
  <c r="F9" i="9"/>
  <c r="G10" i="9"/>
  <c r="H10" i="9"/>
  <c r="I10" i="9"/>
  <c r="J10" i="9"/>
  <c r="K10" i="9"/>
  <c r="L10" i="9"/>
  <c r="M10" i="9"/>
  <c r="F10" i="9"/>
  <c r="G11" i="9"/>
  <c r="H11" i="9"/>
  <c r="I11" i="9"/>
  <c r="J11" i="9"/>
  <c r="K11" i="9"/>
  <c r="L11" i="9"/>
  <c r="M11" i="9"/>
  <c r="F11" i="9"/>
  <c r="F12" i="9"/>
  <c r="F13" i="9"/>
  <c r="G12" i="9"/>
  <c r="H12" i="9"/>
  <c r="I12" i="9"/>
  <c r="J12" i="9"/>
  <c r="K12" i="9"/>
  <c r="L12" i="9"/>
  <c r="M12" i="9"/>
  <c r="M13" i="9"/>
  <c r="G13" i="9"/>
  <c r="H13" i="9"/>
  <c r="I13" i="9"/>
  <c r="J13" i="9"/>
  <c r="K13" i="9"/>
  <c r="L13" i="9"/>
  <c r="M2" i="9"/>
  <c r="N2" i="9"/>
  <c r="M3" i="9"/>
  <c r="N3" i="9"/>
  <c r="P3" i="9"/>
  <c r="M4" i="9"/>
  <c r="N4" i="9"/>
  <c r="P4" i="9"/>
  <c r="M5" i="9"/>
  <c r="N5" i="9"/>
  <c r="P5" i="9"/>
  <c r="M6" i="9"/>
  <c r="N6" i="9"/>
  <c r="P6" i="9"/>
  <c r="I2" i="5"/>
  <c r="I3" i="5"/>
  <c r="K21" i="3"/>
  <c r="K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tc={7022847C-56CE-483A-8960-501FC2BFF802}</author>
    <author>tc={5345BEC8-9AB6-4006-A36A-9278B043879F}</author>
  </authors>
  <commentList>
    <comment ref="J3" authorId="0" shapeId="0" xr:uid="{7022847C-56CE-483A-8960-501FC2BFF80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few and not representative</t>
      </text>
    </comment>
    <comment ref="F4" authorId="1" shapeId="0" xr:uid="{5345BEC8-9AB6-4006-A36A-9278B043879F}">
      <text>
        <t>[Threaded comment]
Your version of Excel allows you to read this threaded comment; however, any edits to it will get removed if the file is opened in a newer version of Excel. Learn more: https://go.microsoft.com/fwlink/?linkid=870924
Comment:
    unreachable</t>
      </text>
    </comment>
  </commentList>
</comments>
</file>

<file path=xl/sharedStrings.xml><?xml version="1.0" encoding="utf-8"?>
<sst xmlns="http://schemas.openxmlformats.org/spreadsheetml/2006/main" count="9391" uniqueCount="333">
  <si>
    <t>ID</t>
  </si>
  <si>
    <t>Lake</t>
  </si>
  <si>
    <t>Site</t>
  </si>
  <si>
    <t>Lat</t>
  </si>
  <si>
    <t>Lon</t>
  </si>
  <si>
    <t>Date_Time_in</t>
  </si>
  <si>
    <t>Weather</t>
  </si>
  <si>
    <t>DHT</t>
  </si>
  <si>
    <t>Water_clarity</t>
  </si>
  <si>
    <t>D_10m_m</t>
  </si>
  <si>
    <t>Rip_veg</t>
  </si>
  <si>
    <t>Erosion</t>
  </si>
  <si>
    <t>Sructure</t>
  </si>
  <si>
    <t>Mud</t>
  </si>
  <si>
    <t>Sand</t>
  </si>
  <si>
    <t>DO_mgl</t>
  </si>
  <si>
    <t>DO_percent</t>
  </si>
  <si>
    <t>pH</t>
  </si>
  <si>
    <t>Temperature</t>
  </si>
  <si>
    <t>Em_Su_macro</t>
  </si>
  <si>
    <t>Wood</t>
  </si>
  <si>
    <t>Other</t>
  </si>
  <si>
    <t>Kōura_exp</t>
  </si>
  <si>
    <t>Test_1</t>
  </si>
  <si>
    <t>Rotoiti</t>
  </si>
  <si>
    <t>T1</t>
  </si>
  <si>
    <t>Clear</t>
  </si>
  <si>
    <t>Rocky</t>
  </si>
  <si>
    <t>&gt;5% Turf</t>
  </si>
  <si>
    <t>Test_2</t>
  </si>
  <si>
    <t>T2</t>
  </si>
  <si>
    <t>Parameter</t>
  </si>
  <si>
    <t>Unit</t>
  </si>
  <si>
    <t>Value</t>
  </si>
  <si>
    <t>Bedrock</t>
  </si>
  <si>
    <t>Boulders</t>
  </si>
  <si>
    <t>Cobble</t>
  </si>
  <si>
    <t>Gravel</t>
  </si>
  <si>
    <t>m</t>
  </si>
  <si>
    <t>%</t>
  </si>
  <si>
    <t>0/1</t>
  </si>
  <si>
    <t>mg/l</t>
  </si>
  <si>
    <t>Degree C</t>
  </si>
  <si>
    <t>score</t>
  </si>
  <si>
    <t>Bullies</t>
  </si>
  <si>
    <t>Goldfish</t>
  </si>
  <si>
    <t>Kōaro</t>
  </si>
  <si>
    <t>Catfish</t>
  </si>
  <si>
    <t>M</t>
  </si>
  <si>
    <t>Kōura</t>
  </si>
  <si>
    <t>F</t>
  </si>
  <si>
    <t>Trout</t>
  </si>
  <si>
    <t>Weight_g</t>
  </si>
  <si>
    <t>Length_mm</t>
  </si>
  <si>
    <t>Sex</t>
  </si>
  <si>
    <t>Amount</t>
  </si>
  <si>
    <t>Species</t>
  </si>
  <si>
    <t>Date_Time_out</t>
  </si>
  <si>
    <t>Native/nonnative</t>
  </si>
  <si>
    <t>Non native</t>
  </si>
  <si>
    <t>Native</t>
  </si>
  <si>
    <t>Scientific_name</t>
  </si>
  <si>
    <t>Retropinna retropinna</t>
  </si>
  <si>
    <t>Common smelt</t>
  </si>
  <si>
    <t>Carassius auratus</t>
  </si>
  <si>
    <t>Paranephrops planifrons</t>
  </si>
  <si>
    <t>Ameiurus nebulosus</t>
  </si>
  <si>
    <t>Galaxias brevipinnis</t>
  </si>
  <si>
    <t>Eleotridae</t>
  </si>
  <si>
    <t>Day</t>
  </si>
  <si>
    <t xml:space="preserve">Activity 1 </t>
  </si>
  <si>
    <t>Sites</t>
  </si>
  <si>
    <t xml:space="preserve">Activity 2 </t>
  </si>
  <si>
    <t>Rotorua</t>
  </si>
  <si>
    <t>Monitor and place nets</t>
  </si>
  <si>
    <t>Rotorua/Rotoiti</t>
  </si>
  <si>
    <t xml:space="preserve">Empty nets </t>
  </si>
  <si>
    <t>Rotoehu</t>
  </si>
  <si>
    <t>Rotoehu/Rotomā</t>
  </si>
  <si>
    <t>Rotomā</t>
  </si>
  <si>
    <t>Ōkāreka</t>
  </si>
  <si>
    <t>Monday</t>
  </si>
  <si>
    <t>Tuesday</t>
  </si>
  <si>
    <t>Wednesday</t>
  </si>
  <si>
    <t>Thursday</t>
  </si>
  <si>
    <t>Friday</t>
  </si>
  <si>
    <t>Sandy</t>
  </si>
  <si>
    <t>Raupo</t>
  </si>
  <si>
    <t>Muddy</t>
  </si>
  <si>
    <t>AR</t>
  </si>
  <si>
    <t>Geo</t>
  </si>
  <si>
    <t>Cliff</t>
  </si>
  <si>
    <t>total sites</t>
  </si>
  <si>
    <t>Total_use</t>
  </si>
  <si>
    <t>Total _all</t>
  </si>
  <si>
    <t>total_length_m</t>
  </si>
  <si>
    <t>Proportion per lake</t>
  </si>
  <si>
    <t>Sites per lake</t>
  </si>
  <si>
    <t>Total sites wanted</t>
  </si>
  <si>
    <t>Group</t>
  </si>
  <si>
    <t>Notes</t>
  </si>
  <si>
    <t>Physical</t>
  </si>
  <si>
    <t>Shear_stress</t>
  </si>
  <si>
    <t>m/s, degrees</t>
  </si>
  <si>
    <t xml:space="preserve">Bottom_visible </t>
  </si>
  <si>
    <t>Slope</t>
  </si>
  <si>
    <t>degrees</t>
  </si>
  <si>
    <t>Calculated from depth</t>
  </si>
  <si>
    <t>Overhanging_trees</t>
  </si>
  <si>
    <t>Riparian_vegetation</t>
  </si>
  <si>
    <t>Organic_matter</t>
  </si>
  <si>
    <t>Chemical</t>
  </si>
  <si>
    <t>Connectivity</t>
  </si>
  <si>
    <t>µS/cm</t>
  </si>
  <si>
    <t>Emergent_weed</t>
  </si>
  <si>
    <t>Submerged_weed</t>
  </si>
  <si>
    <t>Vegetation_nearby</t>
  </si>
  <si>
    <t>Wood_cover</t>
  </si>
  <si>
    <t>mm</t>
  </si>
  <si>
    <t>Date_Time</t>
  </si>
  <si>
    <t>Taonga</t>
  </si>
  <si>
    <t>Yes</t>
  </si>
  <si>
    <t>No</t>
  </si>
  <si>
    <t>Morihana</t>
  </si>
  <si>
    <t>Rock_size (cm)</t>
  </si>
  <si>
    <t>green_(ug/cm²)</t>
  </si>
  <si>
    <t>cyanos_(ug/cm²)</t>
  </si>
  <si>
    <t>diatomes_(ug/cm²)</t>
  </si>
  <si>
    <t>Number</t>
  </si>
  <si>
    <t>mean</t>
  </si>
  <si>
    <t>min</t>
  </si>
  <si>
    <t>max</t>
  </si>
  <si>
    <t>need to be calculated from wind speed and wind direction</t>
  </si>
  <si>
    <t>Rock_size</t>
  </si>
  <si>
    <t>Site_ID</t>
  </si>
  <si>
    <t>Site_ID:</t>
  </si>
  <si>
    <t>Net_type</t>
  </si>
  <si>
    <t>Soft_shelled</t>
  </si>
  <si>
    <t>Berried</t>
  </si>
  <si>
    <t>Comments</t>
  </si>
  <si>
    <t>Site_size</t>
  </si>
  <si>
    <t>Monitoring_ID</t>
  </si>
  <si>
    <t>61_0</t>
  </si>
  <si>
    <t>62_0</t>
  </si>
  <si>
    <t>63_0</t>
  </si>
  <si>
    <t>64_0</t>
  </si>
  <si>
    <t>65_0</t>
  </si>
  <si>
    <t>66_0</t>
  </si>
  <si>
    <t>67_0</t>
  </si>
  <si>
    <t>68_0</t>
  </si>
  <si>
    <t>69_0</t>
  </si>
  <si>
    <t>70_0</t>
  </si>
  <si>
    <t>71_0</t>
  </si>
  <si>
    <t>72_0</t>
  </si>
  <si>
    <t>73_0</t>
  </si>
  <si>
    <t>74_0</t>
  </si>
  <si>
    <t>75_0</t>
  </si>
  <si>
    <t>76_0</t>
  </si>
  <si>
    <t>77_0</t>
  </si>
  <si>
    <t>78_0</t>
  </si>
  <si>
    <t>79_0</t>
  </si>
  <si>
    <t>80_0</t>
  </si>
  <si>
    <t>81_0</t>
  </si>
  <si>
    <t>82_0</t>
  </si>
  <si>
    <t>83_0</t>
  </si>
  <si>
    <t>84_0</t>
  </si>
  <si>
    <t>85_0</t>
  </si>
  <si>
    <t>86_0</t>
  </si>
  <si>
    <t>87_0</t>
  </si>
  <si>
    <t>88_0</t>
  </si>
  <si>
    <t>89_0</t>
  </si>
  <si>
    <t>90_0</t>
  </si>
  <si>
    <t>91_0</t>
  </si>
  <si>
    <t>92_0</t>
  </si>
  <si>
    <t>93_0</t>
  </si>
  <si>
    <t>94_0</t>
  </si>
  <si>
    <t>95_0</t>
  </si>
  <si>
    <t>96_0</t>
  </si>
  <si>
    <t>97_0</t>
  </si>
  <si>
    <t>98_0</t>
  </si>
  <si>
    <t>99_0</t>
  </si>
  <si>
    <t>100_0</t>
  </si>
  <si>
    <t>101_0</t>
  </si>
  <si>
    <t>102_0</t>
  </si>
  <si>
    <t>103_0</t>
  </si>
  <si>
    <t>104_0</t>
  </si>
  <si>
    <t>105_0</t>
  </si>
  <si>
    <t>106_0</t>
  </si>
  <si>
    <t>107_0</t>
  </si>
  <si>
    <t>108_0</t>
  </si>
  <si>
    <t>109_0</t>
  </si>
  <si>
    <t>110_0</t>
  </si>
  <si>
    <t>111_0</t>
  </si>
  <si>
    <t>112_0</t>
  </si>
  <si>
    <t>113_0</t>
  </si>
  <si>
    <t>114_0</t>
  </si>
  <si>
    <t>115_0</t>
  </si>
  <si>
    <t>116_0</t>
  </si>
  <si>
    <t>117_0</t>
  </si>
  <si>
    <t>118_0</t>
  </si>
  <si>
    <t>119_0</t>
  </si>
  <si>
    <t>120_0</t>
  </si>
  <si>
    <t>Nonnative</t>
  </si>
  <si>
    <t>109 - 120</t>
  </si>
  <si>
    <t>97-108</t>
  </si>
  <si>
    <t>Rotomā/ Rotoehu</t>
  </si>
  <si>
    <t>Rotomā/Rotoehu</t>
  </si>
  <si>
    <t>Sediment_sample</t>
  </si>
  <si>
    <t>Macrophyte_sample</t>
  </si>
  <si>
    <t>Cloudy</t>
  </si>
  <si>
    <t>Sunny + windy</t>
  </si>
  <si>
    <t>Cloudy + windy</t>
  </si>
  <si>
    <t>Sunny</t>
  </si>
  <si>
    <t>Sunny + cloudy</t>
  </si>
  <si>
    <t>Depth_10m</t>
  </si>
  <si>
    <t>Fyke</t>
  </si>
  <si>
    <t>Box</t>
  </si>
  <si>
    <t>Youngs</t>
  </si>
  <si>
    <t>Secci</t>
  </si>
  <si>
    <t>goes deep very fast</t>
  </si>
  <si>
    <t>2 jetties</t>
  </si>
  <si>
    <t>Diving beetle</t>
  </si>
  <si>
    <t>Jetty + AR</t>
  </si>
  <si>
    <t>Turf</t>
  </si>
  <si>
    <t>Secci /Black:1.7</t>
  </si>
  <si>
    <t>Boatramp+ boat house+ Jetty</t>
  </si>
  <si>
    <t>Lely field</t>
  </si>
  <si>
    <t>Dead standing trees on beach</t>
  </si>
  <si>
    <t>To deep for sediment or Macro</t>
  </si>
  <si>
    <t>To deep for sediment or Macro big boulders in the site</t>
  </si>
  <si>
    <t>Close to road construction rocks</t>
  </si>
  <si>
    <t>Cloudy+ little windy</t>
  </si>
  <si>
    <t>Weed in deeper part</t>
  </si>
  <si>
    <t>Concreete wall and close to the boat ramp</t>
  </si>
  <si>
    <t>Dead</t>
  </si>
  <si>
    <t>Dead trees</t>
  </si>
  <si>
    <t>vulcanic gravel</t>
  </si>
  <si>
    <t>Close to the boat ramp and jetty</t>
  </si>
  <si>
    <t>Eel</t>
  </si>
  <si>
    <t>Anguilla dieffenbachii</t>
  </si>
  <si>
    <t>Onychohydrus</t>
  </si>
  <si>
    <t>Fyke open end</t>
  </si>
  <si>
    <t>Cups</t>
  </si>
  <si>
    <t>scale broke</t>
  </si>
  <si>
    <t>Amount_nets</t>
  </si>
  <si>
    <t>Emergent Macrophyte</t>
  </si>
  <si>
    <t>Dead Emergent Macrophyte in deeper part</t>
  </si>
  <si>
    <t>Common_smelt</t>
  </si>
  <si>
    <t>Riparian_species</t>
  </si>
  <si>
    <t>Habitat</t>
  </si>
  <si>
    <t>Emergent_species</t>
  </si>
  <si>
    <t>Submerged_species</t>
  </si>
  <si>
    <t>Vegetation_species</t>
  </si>
  <si>
    <t>Giant spike rush, Water lilies</t>
  </si>
  <si>
    <t>Trophic_state</t>
  </si>
  <si>
    <t>Mixing</t>
  </si>
  <si>
    <t>Polymictic</t>
  </si>
  <si>
    <t>Stratified</t>
  </si>
  <si>
    <t>TLI</t>
  </si>
  <si>
    <t>relocated son now on beach but in between cliffs with many rocks</t>
  </si>
  <si>
    <t>also little sandy</t>
  </si>
  <si>
    <t>dead manuka</t>
  </si>
  <si>
    <t>Hornwort</t>
  </si>
  <si>
    <t>Giant spike rush</t>
  </si>
  <si>
    <t>Raupō</t>
  </si>
  <si>
    <t>Distance_deep_20m</t>
  </si>
  <si>
    <t>Grass</t>
  </si>
  <si>
    <t>Three-leaved milfoil</t>
  </si>
  <si>
    <t>Native forest</t>
  </si>
  <si>
    <t>Green algea</t>
  </si>
  <si>
    <t>Curly-leaf pondweed</t>
  </si>
  <si>
    <t>Canadian pondweed (Oxygen Weed)</t>
  </si>
  <si>
    <t>Manuka</t>
  </si>
  <si>
    <t xml:space="preserve">Raupō </t>
  </si>
  <si>
    <t>Lagarosiphon (Oxygen Weed)</t>
  </si>
  <si>
    <t>Dragonfly larvae</t>
  </si>
  <si>
    <t>Small</t>
  </si>
  <si>
    <t>Large</t>
  </si>
  <si>
    <t>Damselfly larvae</t>
  </si>
  <si>
    <t>Blue</t>
  </si>
  <si>
    <t>Estimated</t>
  </si>
  <si>
    <t>All in one cup and counted</t>
  </si>
  <si>
    <t>mL</t>
  </si>
  <si>
    <t>Very small</t>
  </si>
  <si>
    <t>Oncorhynchus mykiss</t>
  </si>
  <si>
    <t>Gobiomorphus cotidianus</t>
  </si>
  <si>
    <t>Toitoi</t>
  </si>
  <si>
    <t>Tuna</t>
  </si>
  <si>
    <t>Freshwater_crayfish</t>
  </si>
  <si>
    <t>Climbing_galaxias</t>
  </si>
  <si>
    <t>Common_bully</t>
  </si>
  <si>
    <t>Long_fin_eel</t>
  </si>
  <si>
    <t>Rainbow_trout</t>
  </si>
  <si>
    <t>Maori_name</t>
  </si>
  <si>
    <t>Species_name</t>
  </si>
  <si>
    <t>Orange</t>
  </si>
  <si>
    <t>counted and all small</t>
  </si>
  <si>
    <t>Counted</t>
  </si>
  <si>
    <t>Callipers wet</t>
  </si>
  <si>
    <t>Snails</t>
  </si>
  <si>
    <t>Size_m2</t>
  </si>
  <si>
    <t>Perimter_m</t>
  </si>
  <si>
    <t>Size_km2</t>
  </si>
  <si>
    <t>Perimter_km</t>
  </si>
  <si>
    <t>Catchment_size_km2</t>
  </si>
  <si>
    <t>Mean_depth_m</t>
  </si>
  <si>
    <t>Max_depth_m</t>
  </si>
  <si>
    <t>Volume_km3</t>
  </si>
  <si>
    <t>Elevation_m</t>
  </si>
  <si>
    <t>LakeSPI</t>
  </si>
  <si>
    <t>Grain_size</t>
  </si>
  <si>
    <t>Cumalative_finer</t>
  </si>
  <si>
    <t>LID</t>
  </si>
  <si>
    <t>Rain</t>
  </si>
  <si>
    <t>1 fyke little loose</t>
  </si>
  <si>
    <t>Badrock and to deep</t>
  </si>
  <si>
    <t>Kakahi</t>
  </si>
  <si>
    <t>Too deep</t>
  </si>
  <si>
    <t>Little Rain</t>
  </si>
  <si>
    <t>Re located a little</t>
  </si>
  <si>
    <t>Kakahi a lot</t>
  </si>
  <si>
    <t>Little cliff</t>
  </si>
  <si>
    <t xml:space="preserve">Glossostigma </t>
  </si>
  <si>
    <t>Bushes</t>
  </si>
  <si>
    <t>Niggerhead sedge</t>
  </si>
  <si>
    <t>Blackberries</t>
  </si>
  <si>
    <t>Jetty</t>
  </si>
  <si>
    <t>Flax</t>
  </si>
  <si>
    <t>Weeds</t>
  </si>
  <si>
    <t>More data is still beeing colllected.</t>
  </si>
  <si>
    <t>The monitoring data of each site is shown in the Tab monitoring_data. The fish/koura cathes are shown in Fish_data</t>
  </si>
  <si>
    <t>This data is collected from 5 of Rotorua lakes by Olivier Raven for his PhD.</t>
  </si>
  <si>
    <t>Date: 22/01/25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</si>
</sst>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22" fontId="0" fillId="0" borderId="0" xfId="0" applyNumberFormat="1"/>
    <xf numFmtId="16" fontId="0" fillId="0" borderId="0" xfId="0" applyNumberFormat="1"/>
    <xf numFmtId="22" fontId="1" fillId="0" borderId="0" xfId="0" applyNumberFormat="1" applyFont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2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5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0" fillId="0" borderId="3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0" fillId="0" borderId="12" xfId="0" applyBorder="1"/>
    <xf numFmtId="22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0" xfId="0" applyFont="1"/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22" fontId="0" fillId="0" borderId="9" xfId="0" applyNumberFormat="1" applyBorder="1"/>
    <xf numFmtId="22" fontId="0" fillId="0" borderId="10" xfId="0" applyNumberFormat="1" applyBorder="1"/>
    <xf numFmtId="22" fontId="0" fillId="0" borderId="11" xfId="0" applyNumberFormat="1" applyBorder="1"/>
    <xf numFmtId="0" fontId="0" fillId="0" borderId="13" xfId="0" applyBorder="1"/>
    <xf numFmtId="0" fontId="9" fillId="0" borderId="0" xfId="1"/>
    <xf numFmtId="0" fontId="1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ven, Olivier (Student)" id="{D0465A3C-CB9E-4348-8F87-5CCF06222430}" userId="S::or81@students.waikato.ac.nz::e271f6c9-056d-4468-bbaf-9e72d555f80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" dT="2024-06-10T01:53:40.26" personId="{D0465A3C-CB9E-4348-8F87-5CCF06222430}" id="{7022847C-56CE-483A-8960-501FC2BFF802}">
    <text>To few and not representative</text>
  </threadedComment>
  <threadedComment ref="F4" dT="2024-06-10T01:52:11.64" personId="{D0465A3C-CB9E-4348-8F87-5CCF06222430}" id="{5345BEC8-9AB6-4006-A36A-9278B043879F}">
    <text>unreachable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668C-E6BA-4037-8CD7-78F7FAD4833E}">
  <dimension ref="A1:A5"/>
  <sheetViews>
    <sheetView tabSelected="1" workbookViewId="0">
      <selection activeCell="C21" sqref="C21"/>
    </sheetView>
  </sheetViews>
  <sheetFormatPr defaultRowHeight="14.4" x14ac:dyDescent="0.55000000000000004"/>
  <sheetData>
    <row r="1" spans="1:1" x14ac:dyDescent="0.55000000000000004">
      <c r="A1" t="s">
        <v>331</v>
      </c>
    </row>
    <row r="2" spans="1:1" x14ac:dyDescent="0.55000000000000004">
      <c r="A2" t="s">
        <v>329</v>
      </c>
    </row>
    <row r="3" spans="1:1" x14ac:dyDescent="0.55000000000000004">
      <c r="A3" t="s">
        <v>332</v>
      </c>
    </row>
    <row r="5" spans="1:1" x14ac:dyDescent="0.55000000000000004">
      <c r="A5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A52A-F2C7-417B-A015-3CB6BE220210}">
  <dimension ref="A1:AA64"/>
  <sheetViews>
    <sheetView zoomScale="70" zoomScaleNormal="7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E64" sqref="E64"/>
    </sheetView>
  </sheetViews>
  <sheetFormatPr defaultRowHeight="14.4" x14ac:dyDescent="0.55000000000000004"/>
  <cols>
    <col min="4" max="4" width="12.83984375" bestFit="1" customWidth="1"/>
    <col min="5" max="6" width="8.68359375" bestFit="1" customWidth="1"/>
    <col min="7" max="7" width="8.68359375" customWidth="1"/>
    <col min="8" max="8" width="11.578125" bestFit="1" customWidth="1"/>
    <col min="9" max="9" width="22.41796875" bestFit="1" customWidth="1"/>
    <col min="10" max="10" width="13.3671875" bestFit="1" customWidth="1"/>
    <col min="11" max="11" width="15.83984375" bestFit="1" customWidth="1"/>
    <col min="12" max="12" width="17.3125" bestFit="1" customWidth="1"/>
    <col min="13" max="13" width="11.68359375" customWidth="1"/>
    <col min="14" max="14" width="20" bestFit="1" customWidth="1"/>
    <col min="15" max="15" width="13.1015625" bestFit="1" customWidth="1"/>
    <col min="16" max="16" width="11" bestFit="1" customWidth="1"/>
    <col min="17" max="17" width="11.578125" bestFit="1" customWidth="1"/>
    <col min="18" max="18" width="12.05078125" bestFit="1" customWidth="1"/>
    <col min="19" max="19" width="18.734375" bestFit="1" customWidth="1"/>
    <col min="20" max="20" width="14.41796875" customWidth="1"/>
    <col min="21" max="21" width="13.20703125" bestFit="1" customWidth="1"/>
    <col min="22" max="22" width="12.15625" customWidth="1"/>
    <col min="23" max="23" width="11.3671875" bestFit="1" customWidth="1"/>
    <col min="24" max="24" width="9.26171875" bestFit="1" customWidth="1"/>
    <col min="25" max="25" width="3.68359375" bestFit="1" customWidth="1"/>
    <col min="26" max="26" width="12.05078125" bestFit="1" customWidth="1"/>
    <col min="27" max="27" width="9.7890625" bestFit="1" customWidth="1"/>
  </cols>
  <sheetData>
    <row r="1" spans="1:27" s="1" customFormat="1" ht="14.65" customHeight="1" x14ac:dyDescent="0.55000000000000004">
      <c r="A1" s="1" t="s">
        <v>134</v>
      </c>
      <c r="B1" s="1" t="s">
        <v>1</v>
      </c>
      <c r="C1" s="1" t="s">
        <v>312</v>
      </c>
      <c r="D1" s="1" t="s">
        <v>141</v>
      </c>
      <c r="E1" s="1" t="s">
        <v>3</v>
      </c>
      <c r="F1" s="1" t="s">
        <v>4</v>
      </c>
      <c r="G1" s="1" t="s">
        <v>140</v>
      </c>
      <c r="H1" s="1" t="s">
        <v>7</v>
      </c>
      <c r="I1" s="1" t="s">
        <v>119</v>
      </c>
      <c r="J1" s="1" t="s">
        <v>6</v>
      </c>
      <c r="K1" s="1" t="s">
        <v>207</v>
      </c>
      <c r="L1" s="1" t="s">
        <v>208</v>
      </c>
      <c r="M1" s="1" t="s">
        <v>265</v>
      </c>
      <c r="N1" s="1" t="s">
        <v>100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  <c r="U1" s="1" t="s">
        <v>306</v>
      </c>
      <c r="V1" s="1" t="s">
        <v>307</v>
      </c>
      <c r="W1" s="1" t="s">
        <v>308</v>
      </c>
      <c r="X1" s="1" t="s">
        <v>255</v>
      </c>
      <c r="Y1" s="1" t="s">
        <v>258</v>
      </c>
      <c r="Z1" s="1" t="s">
        <v>254</v>
      </c>
      <c r="AA1" s="1" t="s">
        <v>309</v>
      </c>
    </row>
    <row r="2" spans="1:27" x14ac:dyDescent="0.55000000000000004">
      <c r="A2">
        <v>61</v>
      </c>
      <c r="B2" t="s">
        <v>73</v>
      </c>
      <c r="C2">
        <v>11133</v>
      </c>
      <c r="D2" s="10" t="s">
        <v>142</v>
      </c>
      <c r="E2">
        <v>-38.135120000000001</v>
      </c>
      <c r="F2">
        <v>176.27440000000001</v>
      </c>
      <c r="H2" t="s">
        <v>86</v>
      </c>
      <c r="O2" s="9">
        <v>80632851.420368105</v>
      </c>
      <c r="P2" s="9">
        <v>45495.965038547198</v>
      </c>
      <c r="Q2" s="5">
        <f>O2/1000000</f>
        <v>80.632851420368098</v>
      </c>
      <c r="R2" s="5">
        <f>P2/1000</f>
        <v>45.495965038547197</v>
      </c>
      <c r="S2">
        <v>508</v>
      </c>
      <c r="T2">
        <v>11</v>
      </c>
      <c r="U2">
        <v>45</v>
      </c>
      <c r="V2">
        <v>0.80200000000000005</v>
      </c>
      <c r="W2">
        <v>280</v>
      </c>
      <c r="X2" t="s">
        <v>256</v>
      </c>
      <c r="Y2">
        <v>4.3</v>
      </c>
      <c r="Z2" t="str">
        <f>IF(ISBLANK(Y2), "", IF(Y2&lt;=2, "Microtrophic", IF(Y2&lt;=3, "Oligotrophic", IF(Y2&lt;=4, "Mesotrophic", IF(Y2&lt;=5, "Eutrophic", "Supertrophic")))))</f>
        <v>Eutrophic</v>
      </c>
      <c r="AA2">
        <v>22.4</v>
      </c>
    </row>
    <row r="3" spans="1:27" x14ac:dyDescent="0.55000000000000004">
      <c r="A3">
        <v>62</v>
      </c>
      <c r="B3" t="s">
        <v>73</v>
      </c>
      <c r="C3">
        <v>11133</v>
      </c>
      <c r="D3" s="10" t="s">
        <v>143</v>
      </c>
      <c r="E3">
        <v>-38.081890000000001</v>
      </c>
      <c r="F3">
        <v>176.27979999999999</v>
      </c>
      <c r="H3" t="s">
        <v>27</v>
      </c>
      <c r="O3" s="9">
        <v>80632851.420368105</v>
      </c>
      <c r="P3" s="9">
        <v>45495.965038547198</v>
      </c>
      <c r="Q3" s="5">
        <f>O3/1000000</f>
        <v>80.632851420368098</v>
      </c>
      <c r="R3" s="5">
        <f>P3/1000</f>
        <v>45.495965038547197</v>
      </c>
      <c r="S3">
        <v>508</v>
      </c>
      <c r="T3">
        <v>11</v>
      </c>
      <c r="U3">
        <v>45</v>
      </c>
      <c r="V3">
        <v>0.80200000000000005</v>
      </c>
      <c r="W3">
        <v>280</v>
      </c>
      <c r="X3" t="s">
        <v>256</v>
      </c>
      <c r="Y3">
        <v>4.3</v>
      </c>
      <c r="Z3" t="str">
        <f>IF(ISBLANK(Y3), "", IF(Y3&lt;=2, "Microtrophic", IF(Y3&lt;=3, "Oligotrophic", IF(Y3&lt;=4, "Mesotrophic", IF(Y3&lt;=5, "Eutrophic", "Supertrophic")))))</f>
        <v>Eutrophic</v>
      </c>
      <c r="AA3">
        <v>22.4</v>
      </c>
    </row>
    <row r="4" spans="1:27" x14ac:dyDescent="0.55000000000000004">
      <c r="A4">
        <v>63</v>
      </c>
      <c r="B4" t="s">
        <v>73</v>
      </c>
      <c r="C4">
        <v>11133</v>
      </c>
      <c r="D4" s="10" t="s">
        <v>144</v>
      </c>
      <c r="E4">
        <v>-38.037550000000003</v>
      </c>
      <c r="F4">
        <v>176.30709999999999</v>
      </c>
      <c r="H4" t="s">
        <v>27</v>
      </c>
      <c r="O4" s="9">
        <v>80632851.420368105</v>
      </c>
      <c r="P4" s="9">
        <v>45495.965038547198</v>
      </c>
      <c r="Q4" s="5">
        <f t="shared" ref="Q4:Q13" si="0">O4/1000000</f>
        <v>80.632851420368098</v>
      </c>
      <c r="R4" s="5">
        <f t="shared" ref="R4:R13" si="1">P4/1000</f>
        <v>45.495965038547197</v>
      </c>
      <c r="S4">
        <v>508</v>
      </c>
      <c r="T4">
        <v>11</v>
      </c>
      <c r="U4">
        <v>45</v>
      </c>
      <c r="V4">
        <v>0.80200000000000005</v>
      </c>
      <c r="W4">
        <v>280</v>
      </c>
      <c r="X4" t="s">
        <v>256</v>
      </c>
      <c r="Y4">
        <v>4.3</v>
      </c>
      <c r="Z4" t="str">
        <f t="shared" ref="Z4:Z13" si="2">IF(ISBLANK(Y4), "", IF(Y4&lt;=2, "Microtrophic", IF(Y4&lt;=3, "Oligotrophic", IF(Y4&lt;=4, "Mesotrophic", IF(Y4&lt;=5, "Eutrophic", "Supertrophic")))))</f>
        <v>Eutrophic</v>
      </c>
      <c r="AA4">
        <v>22.4</v>
      </c>
    </row>
    <row r="5" spans="1:27" x14ac:dyDescent="0.55000000000000004">
      <c r="A5">
        <v>64</v>
      </c>
      <c r="B5" t="s">
        <v>73</v>
      </c>
      <c r="C5">
        <v>11133</v>
      </c>
      <c r="D5" s="10" t="s">
        <v>145</v>
      </c>
      <c r="E5">
        <v>-38.035209999999999</v>
      </c>
      <c r="F5">
        <v>176.24889999999999</v>
      </c>
      <c r="H5" t="s">
        <v>86</v>
      </c>
      <c r="O5" s="9">
        <v>80632851.420368105</v>
      </c>
      <c r="P5" s="9">
        <v>45495.965038547198</v>
      </c>
      <c r="Q5" s="5">
        <f t="shared" si="0"/>
        <v>80.632851420368098</v>
      </c>
      <c r="R5" s="5">
        <f t="shared" si="1"/>
        <v>45.495965038547197</v>
      </c>
      <c r="S5">
        <v>508</v>
      </c>
      <c r="T5">
        <v>11</v>
      </c>
      <c r="U5">
        <v>45</v>
      </c>
      <c r="V5">
        <v>0.80200000000000005</v>
      </c>
      <c r="W5">
        <v>280</v>
      </c>
      <c r="X5" t="s">
        <v>256</v>
      </c>
      <c r="Y5">
        <v>4.3</v>
      </c>
      <c r="Z5" t="str">
        <f t="shared" si="2"/>
        <v>Eutrophic</v>
      </c>
      <c r="AA5">
        <v>22.4</v>
      </c>
    </row>
    <row r="6" spans="1:27" x14ac:dyDescent="0.55000000000000004">
      <c r="A6">
        <v>65</v>
      </c>
      <c r="B6" t="s">
        <v>73</v>
      </c>
      <c r="C6">
        <v>11133</v>
      </c>
      <c r="D6" s="10" t="s">
        <v>146</v>
      </c>
      <c r="E6">
        <v>-38.109749999999998</v>
      </c>
      <c r="F6">
        <v>176.24010000000001</v>
      </c>
      <c r="H6" t="s">
        <v>86</v>
      </c>
      <c r="O6" s="9">
        <v>80632851.420368105</v>
      </c>
      <c r="P6" s="9">
        <v>45495.965038547198</v>
      </c>
      <c r="Q6" s="5">
        <f t="shared" si="0"/>
        <v>80.632851420368098</v>
      </c>
      <c r="R6" s="5">
        <f t="shared" si="1"/>
        <v>45.495965038547197</v>
      </c>
      <c r="S6">
        <v>508</v>
      </c>
      <c r="T6">
        <v>11</v>
      </c>
      <c r="U6">
        <v>45</v>
      </c>
      <c r="V6">
        <v>0.80200000000000005</v>
      </c>
      <c r="W6">
        <v>280</v>
      </c>
      <c r="X6" t="s">
        <v>256</v>
      </c>
      <c r="Y6">
        <v>4.3</v>
      </c>
      <c r="Z6" t="str">
        <f t="shared" si="2"/>
        <v>Eutrophic</v>
      </c>
      <c r="AA6">
        <v>22.4</v>
      </c>
    </row>
    <row r="7" spans="1:27" x14ac:dyDescent="0.55000000000000004">
      <c r="A7">
        <v>66</v>
      </c>
      <c r="B7" t="s">
        <v>73</v>
      </c>
      <c r="C7">
        <v>11133</v>
      </c>
      <c r="D7" s="10" t="s">
        <v>147</v>
      </c>
      <c r="E7">
        <v>-38.081479999999999</v>
      </c>
      <c r="F7">
        <v>176.29560000000001</v>
      </c>
      <c r="H7" t="s">
        <v>27</v>
      </c>
      <c r="O7" s="9">
        <v>80632851.420368105</v>
      </c>
      <c r="P7" s="9">
        <v>45495.965038547198</v>
      </c>
      <c r="Q7" s="5">
        <f t="shared" si="0"/>
        <v>80.632851420368098</v>
      </c>
      <c r="R7" s="5">
        <f t="shared" si="1"/>
        <v>45.495965038547197</v>
      </c>
      <c r="S7">
        <v>508</v>
      </c>
      <c r="T7">
        <v>11</v>
      </c>
      <c r="U7">
        <v>45</v>
      </c>
      <c r="V7">
        <v>0.80200000000000005</v>
      </c>
      <c r="W7">
        <v>280</v>
      </c>
      <c r="X7" t="s">
        <v>256</v>
      </c>
      <c r="Y7">
        <v>4.3</v>
      </c>
      <c r="Z7" t="str">
        <f t="shared" si="2"/>
        <v>Eutrophic</v>
      </c>
      <c r="AA7">
        <v>22.4</v>
      </c>
    </row>
    <row r="8" spans="1:27" x14ac:dyDescent="0.55000000000000004">
      <c r="A8">
        <v>67</v>
      </c>
      <c r="B8" t="s">
        <v>73</v>
      </c>
      <c r="C8">
        <v>11133</v>
      </c>
      <c r="D8" s="10" t="s">
        <v>148</v>
      </c>
      <c r="E8">
        <v>-38.082880000000003</v>
      </c>
      <c r="F8">
        <v>176.21850000000001</v>
      </c>
      <c r="H8" t="s">
        <v>86</v>
      </c>
      <c r="O8" s="9">
        <v>80632851.420368105</v>
      </c>
      <c r="P8" s="9">
        <v>45495.965038547198</v>
      </c>
      <c r="Q8" s="5">
        <f t="shared" si="0"/>
        <v>80.632851420368098</v>
      </c>
      <c r="R8" s="5">
        <f t="shared" si="1"/>
        <v>45.495965038547197</v>
      </c>
      <c r="S8">
        <v>508</v>
      </c>
      <c r="T8">
        <v>11</v>
      </c>
      <c r="U8">
        <v>45</v>
      </c>
      <c r="V8">
        <v>0.80200000000000005</v>
      </c>
      <c r="W8">
        <v>280</v>
      </c>
      <c r="X8" t="s">
        <v>256</v>
      </c>
      <c r="Y8">
        <v>4.3</v>
      </c>
      <c r="Z8" t="str">
        <f t="shared" si="2"/>
        <v>Eutrophic</v>
      </c>
      <c r="AA8">
        <v>22.4</v>
      </c>
    </row>
    <row r="9" spans="1:27" x14ac:dyDescent="0.55000000000000004">
      <c r="A9">
        <v>68</v>
      </c>
      <c r="B9" t="s">
        <v>73</v>
      </c>
      <c r="C9">
        <v>11133</v>
      </c>
      <c r="D9" s="10" t="s">
        <v>149</v>
      </c>
      <c r="E9">
        <v>-38.121409999999997</v>
      </c>
      <c r="F9">
        <v>176.28919999999999</v>
      </c>
      <c r="H9" t="s">
        <v>86</v>
      </c>
      <c r="O9" s="9">
        <v>80632851.420368105</v>
      </c>
      <c r="P9" s="9">
        <v>45495.965038547198</v>
      </c>
      <c r="Q9" s="5">
        <f t="shared" si="0"/>
        <v>80.632851420368098</v>
      </c>
      <c r="R9" s="5">
        <f t="shared" si="1"/>
        <v>45.495965038547197</v>
      </c>
      <c r="S9">
        <v>508</v>
      </c>
      <c r="T9">
        <v>11</v>
      </c>
      <c r="U9">
        <v>45</v>
      </c>
      <c r="V9">
        <v>0.80200000000000005</v>
      </c>
      <c r="W9">
        <v>280</v>
      </c>
      <c r="X9" t="s">
        <v>256</v>
      </c>
      <c r="Y9">
        <v>4.3</v>
      </c>
      <c r="Z9" t="str">
        <f t="shared" si="2"/>
        <v>Eutrophic</v>
      </c>
      <c r="AA9">
        <v>22.4</v>
      </c>
    </row>
    <row r="10" spans="1:27" x14ac:dyDescent="0.55000000000000004">
      <c r="A10">
        <v>69</v>
      </c>
      <c r="B10" t="s">
        <v>73</v>
      </c>
      <c r="C10">
        <v>11133</v>
      </c>
      <c r="D10" s="10" t="s">
        <v>150</v>
      </c>
      <c r="E10">
        <v>-38.078180000000003</v>
      </c>
      <c r="F10">
        <v>176.32239999999999</v>
      </c>
      <c r="H10" t="s">
        <v>86</v>
      </c>
      <c r="O10" s="9">
        <v>80632851.420368105</v>
      </c>
      <c r="P10" s="9">
        <v>45495.965038547198</v>
      </c>
      <c r="Q10" s="5">
        <f t="shared" si="0"/>
        <v>80.632851420368098</v>
      </c>
      <c r="R10" s="5">
        <f t="shared" si="1"/>
        <v>45.495965038547197</v>
      </c>
      <c r="S10">
        <v>508</v>
      </c>
      <c r="T10">
        <v>11</v>
      </c>
      <c r="U10">
        <v>45</v>
      </c>
      <c r="V10">
        <v>0.80200000000000005</v>
      </c>
      <c r="W10">
        <v>280</v>
      </c>
      <c r="X10" t="s">
        <v>256</v>
      </c>
      <c r="Y10">
        <v>4.3</v>
      </c>
      <c r="Z10" t="str">
        <f t="shared" si="2"/>
        <v>Eutrophic</v>
      </c>
      <c r="AA10">
        <v>22.4</v>
      </c>
    </row>
    <row r="11" spans="1:27" x14ac:dyDescent="0.55000000000000004">
      <c r="A11">
        <v>70</v>
      </c>
      <c r="B11" t="s">
        <v>73</v>
      </c>
      <c r="C11">
        <v>11133</v>
      </c>
      <c r="D11" s="10" t="s">
        <v>151</v>
      </c>
      <c r="E11">
        <v>-38.033940000000001</v>
      </c>
      <c r="F11">
        <v>176.27260000000001</v>
      </c>
      <c r="H11" t="s">
        <v>86</v>
      </c>
      <c r="O11" s="9">
        <v>80632851.420368105</v>
      </c>
      <c r="P11" s="9">
        <v>45495.965038547198</v>
      </c>
      <c r="Q11" s="5">
        <f t="shared" si="0"/>
        <v>80.632851420368098</v>
      </c>
      <c r="R11" s="5">
        <f t="shared" si="1"/>
        <v>45.495965038547197</v>
      </c>
      <c r="S11">
        <v>508</v>
      </c>
      <c r="T11">
        <v>11</v>
      </c>
      <c r="U11">
        <v>45</v>
      </c>
      <c r="V11">
        <v>0.80200000000000005</v>
      </c>
      <c r="W11">
        <v>280</v>
      </c>
      <c r="X11" t="s">
        <v>256</v>
      </c>
      <c r="Y11">
        <v>4.3</v>
      </c>
      <c r="Z11" t="str">
        <f t="shared" si="2"/>
        <v>Eutrophic</v>
      </c>
      <c r="AA11">
        <v>22.4</v>
      </c>
    </row>
    <row r="12" spans="1:27" x14ac:dyDescent="0.55000000000000004">
      <c r="A12">
        <v>71</v>
      </c>
      <c r="B12" t="s">
        <v>73</v>
      </c>
      <c r="C12">
        <v>11133</v>
      </c>
      <c r="D12" s="10" t="s">
        <v>152</v>
      </c>
      <c r="E12">
        <v>-38.036949999999997</v>
      </c>
      <c r="F12">
        <v>176.2407</v>
      </c>
      <c r="H12" t="s">
        <v>86</v>
      </c>
      <c r="O12" s="9">
        <v>80632851.420368105</v>
      </c>
      <c r="P12" s="9">
        <v>45495.965038547198</v>
      </c>
      <c r="Q12" s="5">
        <f t="shared" si="0"/>
        <v>80.632851420368098</v>
      </c>
      <c r="R12" s="5">
        <f t="shared" si="1"/>
        <v>45.495965038547197</v>
      </c>
      <c r="S12">
        <v>508</v>
      </c>
      <c r="T12">
        <v>11</v>
      </c>
      <c r="U12">
        <v>45</v>
      </c>
      <c r="V12">
        <v>0.80200000000000005</v>
      </c>
      <c r="W12">
        <v>280</v>
      </c>
      <c r="X12" t="s">
        <v>256</v>
      </c>
      <c r="Y12">
        <v>4.3</v>
      </c>
      <c r="Z12" t="str">
        <f t="shared" si="2"/>
        <v>Eutrophic</v>
      </c>
      <c r="AA12">
        <v>22.4</v>
      </c>
    </row>
    <row r="13" spans="1:27" x14ac:dyDescent="0.55000000000000004">
      <c r="A13">
        <v>72</v>
      </c>
      <c r="B13" t="s">
        <v>73</v>
      </c>
      <c r="C13">
        <v>11133</v>
      </c>
      <c r="D13" s="10" t="s">
        <v>153</v>
      </c>
      <c r="E13">
        <v>-38.12632</v>
      </c>
      <c r="F13">
        <v>176.28620000000001</v>
      </c>
      <c r="H13" t="s">
        <v>86</v>
      </c>
      <c r="O13" s="9">
        <v>80632851.420368105</v>
      </c>
      <c r="P13" s="9">
        <v>45495.965038547198</v>
      </c>
      <c r="Q13" s="5">
        <f t="shared" si="0"/>
        <v>80.632851420368098</v>
      </c>
      <c r="R13" s="5">
        <f t="shared" si="1"/>
        <v>45.495965038547197</v>
      </c>
      <c r="S13">
        <v>508</v>
      </c>
      <c r="T13">
        <v>11</v>
      </c>
      <c r="U13">
        <v>45</v>
      </c>
      <c r="V13">
        <v>0.80200000000000005</v>
      </c>
      <c r="W13">
        <v>280</v>
      </c>
      <c r="X13" t="s">
        <v>256</v>
      </c>
      <c r="Y13">
        <v>4.3</v>
      </c>
      <c r="Z13" t="str">
        <f t="shared" si="2"/>
        <v>Eutrophic</v>
      </c>
      <c r="AA13">
        <v>22.4</v>
      </c>
    </row>
    <row r="14" spans="1:27" x14ac:dyDescent="0.55000000000000004">
      <c r="A14">
        <v>73</v>
      </c>
      <c r="B14" t="s">
        <v>24</v>
      </c>
      <c r="C14">
        <v>54730</v>
      </c>
      <c r="D14" s="10" t="s">
        <v>154</v>
      </c>
      <c r="E14">
        <v>-38.016770000000001</v>
      </c>
      <c r="F14">
        <v>176.42099999999999</v>
      </c>
      <c r="H14" t="s">
        <v>27</v>
      </c>
      <c r="I14" s="2">
        <v>45673.545138888891</v>
      </c>
      <c r="J14" t="s">
        <v>209</v>
      </c>
      <c r="K14">
        <v>1</v>
      </c>
      <c r="L14">
        <v>1</v>
      </c>
      <c r="M14">
        <v>147.38007999999999</v>
      </c>
      <c r="O14" s="9">
        <v>33805828.956973203</v>
      </c>
      <c r="P14" s="9">
        <v>60736.7219804458</v>
      </c>
      <c r="Q14" s="5">
        <f>O14/1000000</f>
        <v>33.805828956973201</v>
      </c>
      <c r="R14" s="5">
        <f>P14/1000</f>
        <v>60.7367219804458</v>
      </c>
      <c r="S14">
        <v>123.7</v>
      </c>
      <c r="T14">
        <v>31.5</v>
      </c>
      <c r="U14">
        <v>124</v>
      </c>
      <c r="V14">
        <v>1.042</v>
      </c>
      <c r="W14">
        <v>279</v>
      </c>
      <c r="X14" t="s">
        <v>257</v>
      </c>
      <c r="Y14">
        <v>3.8</v>
      </c>
      <c r="Z14" t="str">
        <f t="shared" ref="Z14" si="3">IF(ISBLANK(Y14), "", IF(Y14&lt;=2, "Microtrophic", IF(Y14&lt;=3, "Oligotrophic", IF(Y14&lt;=4, "Mesotrophic", IF(Y14&lt;=5, "Eutrophic", "Supertrophic")))))</f>
        <v>Mesotrophic</v>
      </c>
      <c r="AA14">
        <v>24.8</v>
      </c>
    </row>
    <row r="15" spans="1:27" x14ac:dyDescent="0.55000000000000004">
      <c r="A15">
        <v>74</v>
      </c>
      <c r="B15" t="s">
        <v>24</v>
      </c>
      <c r="C15">
        <v>54730</v>
      </c>
      <c r="D15" s="10" t="s">
        <v>155</v>
      </c>
      <c r="E15">
        <v>-38.05556</v>
      </c>
      <c r="F15">
        <v>176.4599</v>
      </c>
      <c r="H15" t="s">
        <v>86</v>
      </c>
      <c r="I15" s="2">
        <v>45673.589583333334</v>
      </c>
      <c r="J15" t="s">
        <v>313</v>
      </c>
      <c r="K15">
        <v>1</v>
      </c>
      <c r="L15">
        <v>1</v>
      </c>
      <c r="M15">
        <v>139.7004</v>
      </c>
      <c r="N15" t="s">
        <v>314</v>
      </c>
      <c r="O15" s="9">
        <v>33805828.956973203</v>
      </c>
      <c r="P15" s="9">
        <v>60736.7219804458</v>
      </c>
      <c r="Q15" s="5">
        <f>O15/1000000</f>
        <v>33.805828956973201</v>
      </c>
      <c r="R15" s="5">
        <f>P15/1000</f>
        <v>60.7367219804458</v>
      </c>
      <c r="S15">
        <v>123.7</v>
      </c>
      <c r="T15">
        <v>31.5</v>
      </c>
      <c r="U15">
        <v>124</v>
      </c>
      <c r="V15">
        <v>1.042</v>
      </c>
      <c r="W15">
        <v>279</v>
      </c>
      <c r="X15" t="s">
        <v>257</v>
      </c>
      <c r="Y15">
        <v>3.8</v>
      </c>
      <c r="Z15" t="str">
        <f t="shared" ref="Z15:Z16" si="4">IF(ISBLANK(Y15), "", IF(Y15&lt;=2, "Microtrophic", IF(Y15&lt;=3, "Oligotrophic", IF(Y15&lt;=4, "Mesotrophic", IF(Y15&lt;=5, "Eutrophic", "Supertrophic")))))</f>
        <v>Mesotrophic</v>
      </c>
      <c r="AA15">
        <v>24.8</v>
      </c>
    </row>
    <row r="16" spans="1:27" x14ac:dyDescent="0.55000000000000004">
      <c r="A16">
        <v>75</v>
      </c>
      <c r="B16" t="s">
        <v>24</v>
      </c>
      <c r="C16">
        <v>54730</v>
      </c>
      <c r="D16" s="10" t="s">
        <v>156</v>
      </c>
      <c r="E16">
        <v>-38.039389999999997</v>
      </c>
      <c r="F16">
        <v>176.35890000000001</v>
      </c>
      <c r="H16" t="s">
        <v>27</v>
      </c>
      <c r="I16" s="2">
        <v>45672.46875</v>
      </c>
      <c r="J16" t="s">
        <v>212</v>
      </c>
      <c r="K16">
        <v>0</v>
      </c>
      <c r="L16">
        <v>0</v>
      </c>
      <c r="M16">
        <v>121.34065</v>
      </c>
      <c r="N16" t="s">
        <v>315</v>
      </c>
      <c r="O16" s="9">
        <v>33805828.956973203</v>
      </c>
      <c r="P16" s="9">
        <v>60736.7219804458</v>
      </c>
      <c r="Q16" s="5">
        <f t="shared" ref="Q16:Q25" si="5">O16/1000000</f>
        <v>33.805828956973201</v>
      </c>
      <c r="R16" s="5">
        <f t="shared" ref="R16:R25" si="6">P16/1000</f>
        <v>60.7367219804458</v>
      </c>
      <c r="S16">
        <v>123.7</v>
      </c>
      <c r="T16">
        <v>31.5</v>
      </c>
      <c r="U16">
        <v>124</v>
      </c>
      <c r="V16">
        <v>1.042</v>
      </c>
      <c r="W16">
        <v>279</v>
      </c>
      <c r="X16" t="s">
        <v>257</v>
      </c>
      <c r="Y16">
        <v>3.8</v>
      </c>
      <c r="Z16" t="str">
        <f t="shared" si="4"/>
        <v>Mesotrophic</v>
      </c>
      <c r="AA16">
        <v>24.8</v>
      </c>
    </row>
    <row r="17" spans="1:27" x14ac:dyDescent="0.55000000000000004">
      <c r="A17">
        <v>76</v>
      </c>
      <c r="B17" t="s">
        <v>24</v>
      </c>
      <c r="C17">
        <v>54730</v>
      </c>
      <c r="D17" s="10" t="s">
        <v>157</v>
      </c>
      <c r="E17">
        <v>-38.030970000000003</v>
      </c>
      <c r="F17">
        <v>176.34270000000001</v>
      </c>
      <c r="H17" t="s">
        <v>86</v>
      </c>
      <c r="I17" s="2">
        <v>45672.416666666664</v>
      </c>
      <c r="J17" t="s">
        <v>212</v>
      </c>
      <c r="K17">
        <v>1</v>
      </c>
      <c r="L17">
        <v>1</v>
      </c>
      <c r="M17">
        <v>1132.0023000000001</v>
      </c>
      <c r="N17" t="s">
        <v>320</v>
      </c>
      <c r="O17" s="9">
        <v>33805828.956973203</v>
      </c>
      <c r="P17" s="9">
        <v>60736.7219804458</v>
      </c>
      <c r="Q17" s="5">
        <f t="shared" si="5"/>
        <v>33.805828956973201</v>
      </c>
      <c r="R17" s="5">
        <f t="shared" si="6"/>
        <v>60.7367219804458</v>
      </c>
      <c r="S17">
        <v>123.7</v>
      </c>
      <c r="T17">
        <v>31.5</v>
      </c>
      <c r="U17">
        <v>124</v>
      </c>
      <c r="V17">
        <v>1.042</v>
      </c>
      <c r="W17">
        <v>279</v>
      </c>
      <c r="X17" t="s">
        <v>257</v>
      </c>
      <c r="Y17">
        <v>3.8</v>
      </c>
      <c r="Z17" t="str">
        <f t="shared" ref="Z17:Z25" si="7">IF(ISBLANK(Y17), "", IF(Y17&lt;=2, "Microtrophic", IF(Y17&lt;=3, "Oligotrophic", IF(Y17&lt;=4, "Mesotrophic", IF(Y17&lt;=5, "Eutrophic", "Supertrophic")))))</f>
        <v>Mesotrophic</v>
      </c>
      <c r="AA17">
        <v>24.8</v>
      </c>
    </row>
    <row r="18" spans="1:27" x14ac:dyDescent="0.55000000000000004">
      <c r="A18">
        <v>77</v>
      </c>
      <c r="B18" t="s">
        <v>24</v>
      </c>
      <c r="C18">
        <v>54730</v>
      </c>
      <c r="D18" s="10" t="s">
        <v>158</v>
      </c>
      <c r="E18">
        <v>-38.025118043545199</v>
      </c>
      <c r="F18">
        <v>176.463774952595</v>
      </c>
      <c r="H18" t="s">
        <v>27</v>
      </c>
      <c r="I18" s="2">
        <v>45673.5625</v>
      </c>
      <c r="J18" t="s">
        <v>313</v>
      </c>
      <c r="K18">
        <v>0</v>
      </c>
      <c r="L18">
        <v>0</v>
      </c>
      <c r="M18">
        <v>29.390640000000001</v>
      </c>
      <c r="N18" t="s">
        <v>317</v>
      </c>
      <c r="O18" s="9">
        <v>33805828.956973203</v>
      </c>
      <c r="P18" s="9">
        <v>60736.7219804458</v>
      </c>
      <c r="Q18" s="5">
        <f t="shared" si="5"/>
        <v>33.805828956973201</v>
      </c>
      <c r="R18" s="5">
        <f t="shared" si="6"/>
        <v>60.7367219804458</v>
      </c>
      <c r="S18">
        <v>123.7</v>
      </c>
      <c r="T18">
        <v>31.5</v>
      </c>
      <c r="U18">
        <v>124</v>
      </c>
      <c r="V18">
        <v>1.042</v>
      </c>
      <c r="W18">
        <v>279</v>
      </c>
      <c r="X18" t="s">
        <v>257</v>
      </c>
      <c r="Y18">
        <v>3.8</v>
      </c>
      <c r="Z18" t="str">
        <f t="shared" si="7"/>
        <v>Mesotrophic</v>
      </c>
      <c r="AA18">
        <v>24.8</v>
      </c>
    </row>
    <row r="19" spans="1:27" x14ac:dyDescent="0.55000000000000004">
      <c r="A19">
        <v>78</v>
      </c>
      <c r="B19" t="s">
        <v>24</v>
      </c>
      <c r="C19">
        <v>54730</v>
      </c>
      <c r="D19" s="10" t="s">
        <v>159</v>
      </c>
      <c r="E19">
        <v>-38.041989999999998</v>
      </c>
      <c r="F19">
        <v>176.37090000000001</v>
      </c>
      <c r="H19" t="s">
        <v>86</v>
      </c>
      <c r="I19" s="2">
        <v>45672.520833333336</v>
      </c>
      <c r="J19" t="s">
        <v>212</v>
      </c>
      <c r="K19">
        <v>1</v>
      </c>
      <c r="L19">
        <v>1</v>
      </c>
      <c r="M19">
        <v>337.74621999999999</v>
      </c>
      <c r="N19" t="s">
        <v>316</v>
      </c>
      <c r="O19" s="9">
        <v>33805828.956973203</v>
      </c>
      <c r="P19" s="9">
        <v>60736.7219804458</v>
      </c>
      <c r="Q19" s="5">
        <f t="shared" si="5"/>
        <v>33.805828956973201</v>
      </c>
      <c r="R19" s="5">
        <f t="shared" si="6"/>
        <v>60.7367219804458</v>
      </c>
      <c r="S19">
        <v>123.7</v>
      </c>
      <c r="T19">
        <v>31.5</v>
      </c>
      <c r="U19">
        <v>124</v>
      </c>
      <c r="V19">
        <v>1.042</v>
      </c>
      <c r="W19">
        <v>279</v>
      </c>
      <c r="X19" t="s">
        <v>257</v>
      </c>
      <c r="Y19">
        <v>3.8</v>
      </c>
      <c r="Z19" t="str">
        <f t="shared" si="7"/>
        <v>Mesotrophic</v>
      </c>
      <c r="AA19">
        <v>24.8</v>
      </c>
    </row>
    <row r="20" spans="1:27" x14ac:dyDescent="0.55000000000000004">
      <c r="A20">
        <v>79</v>
      </c>
      <c r="B20" t="s">
        <v>24</v>
      </c>
      <c r="C20">
        <v>54730</v>
      </c>
      <c r="D20" s="10" t="s">
        <v>160</v>
      </c>
      <c r="E20" s="34">
        <v>-38.012647339011103</v>
      </c>
      <c r="F20" s="34">
        <v>176.36979314152501</v>
      </c>
      <c r="H20" t="s">
        <v>245</v>
      </c>
      <c r="I20" s="2">
        <v>45673.511805555558</v>
      </c>
      <c r="J20" t="s">
        <v>318</v>
      </c>
      <c r="K20">
        <v>1</v>
      </c>
      <c r="L20">
        <v>1</v>
      </c>
      <c r="M20" s="6"/>
      <c r="N20" t="s">
        <v>319</v>
      </c>
      <c r="O20" s="9">
        <v>33805828.956973203</v>
      </c>
      <c r="P20" s="9">
        <v>60736.7219804458</v>
      </c>
      <c r="Q20" s="5">
        <f t="shared" si="5"/>
        <v>33.805828956973201</v>
      </c>
      <c r="R20" s="5">
        <f t="shared" si="6"/>
        <v>60.7367219804458</v>
      </c>
      <c r="S20">
        <v>123.7</v>
      </c>
      <c r="T20">
        <v>31.5</v>
      </c>
      <c r="U20">
        <v>124</v>
      </c>
      <c r="V20">
        <v>1.042</v>
      </c>
      <c r="W20">
        <v>279</v>
      </c>
      <c r="X20" t="s">
        <v>257</v>
      </c>
      <c r="Y20">
        <v>3.8</v>
      </c>
      <c r="Z20" t="str">
        <f t="shared" si="7"/>
        <v>Mesotrophic</v>
      </c>
      <c r="AA20">
        <v>24.8</v>
      </c>
    </row>
    <row r="21" spans="1:27" x14ac:dyDescent="0.55000000000000004">
      <c r="A21">
        <v>80</v>
      </c>
      <c r="B21" t="s">
        <v>24</v>
      </c>
      <c r="C21">
        <v>54730</v>
      </c>
      <c r="D21" s="10" t="s">
        <v>161</v>
      </c>
      <c r="E21" s="34">
        <v>-38.032895855228503</v>
      </c>
      <c r="F21" s="34">
        <v>176.352020200434</v>
      </c>
      <c r="H21" t="s">
        <v>245</v>
      </c>
      <c r="I21" s="2">
        <v>45672.451388888891</v>
      </c>
      <c r="J21" t="s">
        <v>212</v>
      </c>
      <c r="K21">
        <v>1</v>
      </c>
      <c r="L21">
        <v>1</v>
      </c>
      <c r="M21" s="6"/>
      <c r="N21" t="s">
        <v>319</v>
      </c>
      <c r="O21" s="9">
        <v>33805828.956973203</v>
      </c>
      <c r="P21" s="9">
        <v>60736.7219804458</v>
      </c>
      <c r="Q21" s="5">
        <f t="shared" si="5"/>
        <v>33.805828956973201</v>
      </c>
      <c r="R21" s="5">
        <f t="shared" si="6"/>
        <v>60.7367219804458</v>
      </c>
      <c r="S21">
        <v>123.7</v>
      </c>
      <c r="T21">
        <v>31.5</v>
      </c>
      <c r="U21">
        <v>124</v>
      </c>
      <c r="V21">
        <v>1.042</v>
      </c>
      <c r="W21">
        <v>279</v>
      </c>
      <c r="X21" t="s">
        <v>257</v>
      </c>
      <c r="Y21">
        <v>3.8</v>
      </c>
      <c r="Z21" t="str">
        <f t="shared" si="7"/>
        <v>Mesotrophic</v>
      </c>
      <c r="AA21">
        <v>24.8</v>
      </c>
    </row>
    <row r="22" spans="1:27" x14ac:dyDescent="0.55000000000000004">
      <c r="A22">
        <v>81</v>
      </c>
      <c r="B22" t="s">
        <v>24</v>
      </c>
      <c r="C22">
        <v>54730</v>
      </c>
      <c r="D22" s="10" t="s">
        <v>162</v>
      </c>
      <c r="E22">
        <v>-38.050739999999998</v>
      </c>
      <c r="F22">
        <v>176.41810000000001</v>
      </c>
      <c r="H22" t="s">
        <v>86</v>
      </c>
      <c r="I22" s="2">
        <v>45673.619444444441</v>
      </c>
      <c r="J22" t="s">
        <v>313</v>
      </c>
      <c r="K22">
        <v>1</v>
      </c>
      <c r="L22">
        <v>1</v>
      </c>
      <c r="M22">
        <v>210.4434</v>
      </c>
      <c r="N22" t="s">
        <v>316</v>
      </c>
      <c r="O22" s="9">
        <v>33805828.956973203</v>
      </c>
      <c r="P22" s="9">
        <v>60736.7219804458</v>
      </c>
      <c r="Q22" s="5">
        <f t="shared" si="5"/>
        <v>33.805828956973201</v>
      </c>
      <c r="R22" s="5">
        <f t="shared" si="6"/>
        <v>60.7367219804458</v>
      </c>
      <c r="S22">
        <v>123.7</v>
      </c>
      <c r="T22">
        <v>31.5</v>
      </c>
      <c r="U22">
        <v>124</v>
      </c>
      <c r="V22">
        <v>1.042</v>
      </c>
      <c r="W22">
        <v>279</v>
      </c>
      <c r="X22" t="s">
        <v>257</v>
      </c>
      <c r="Y22">
        <v>3.8</v>
      </c>
      <c r="Z22" t="str">
        <f t="shared" si="7"/>
        <v>Mesotrophic</v>
      </c>
      <c r="AA22">
        <v>24.8</v>
      </c>
    </row>
    <row r="23" spans="1:27" x14ac:dyDescent="0.55000000000000004">
      <c r="A23">
        <v>82</v>
      </c>
      <c r="B23" t="s">
        <v>24</v>
      </c>
      <c r="C23">
        <v>54730</v>
      </c>
      <c r="D23" s="10" t="s">
        <v>163</v>
      </c>
      <c r="E23">
        <v>-38.044710000000002</v>
      </c>
      <c r="F23">
        <v>176.33879999999999</v>
      </c>
      <c r="H23" t="s">
        <v>86</v>
      </c>
      <c r="I23" s="2">
        <v>45672.430555555555</v>
      </c>
      <c r="J23" t="s">
        <v>212</v>
      </c>
      <c r="K23">
        <v>1</v>
      </c>
      <c r="L23">
        <v>1</v>
      </c>
      <c r="M23">
        <v>1392.9093800000001</v>
      </c>
      <c r="N23" t="s">
        <v>316</v>
      </c>
      <c r="O23" s="9">
        <v>33805828.956973203</v>
      </c>
      <c r="P23" s="9">
        <v>60736.7219804458</v>
      </c>
      <c r="Q23" s="5">
        <f t="shared" si="5"/>
        <v>33.805828956973201</v>
      </c>
      <c r="R23" s="5">
        <f t="shared" si="6"/>
        <v>60.7367219804458</v>
      </c>
      <c r="S23">
        <v>123.7</v>
      </c>
      <c r="T23">
        <v>31.5</v>
      </c>
      <c r="U23">
        <v>124</v>
      </c>
      <c r="V23">
        <v>1.042</v>
      </c>
      <c r="W23">
        <v>279</v>
      </c>
      <c r="X23" t="s">
        <v>257</v>
      </c>
      <c r="Y23">
        <v>3.8</v>
      </c>
      <c r="Z23" t="str">
        <f t="shared" si="7"/>
        <v>Mesotrophic</v>
      </c>
      <c r="AA23">
        <v>24.8</v>
      </c>
    </row>
    <row r="24" spans="1:27" x14ac:dyDescent="0.55000000000000004">
      <c r="A24">
        <v>83</v>
      </c>
      <c r="B24" t="s">
        <v>24</v>
      </c>
      <c r="C24">
        <v>54730</v>
      </c>
      <c r="D24" s="10" t="s">
        <v>164</v>
      </c>
      <c r="E24">
        <v>-38.014940000000003</v>
      </c>
      <c r="F24">
        <v>176.38820000000001</v>
      </c>
      <c r="H24" t="s">
        <v>27</v>
      </c>
      <c r="I24" s="2">
        <v>45673.527777777781</v>
      </c>
      <c r="J24" t="s">
        <v>313</v>
      </c>
      <c r="K24">
        <v>1</v>
      </c>
      <c r="L24">
        <v>1</v>
      </c>
      <c r="M24">
        <v>200.18228999999999</v>
      </c>
      <c r="N24" t="s">
        <v>321</v>
      </c>
      <c r="O24" s="9">
        <v>33805828.956973203</v>
      </c>
      <c r="P24" s="9">
        <v>60736.7219804458</v>
      </c>
      <c r="Q24" s="5">
        <f t="shared" si="5"/>
        <v>33.805828956973201</v>
      </c>
      <c r="R24" s="5">
        <f t="shared" si="6"/>
        <v>60.7367219804458</v>
      </c>
      <c r="S24">
        <v>123.7</v>
      </c>
      <c r="T24">
        <v>31.5</v>
      </c>
      <c r="U24">
        <v>124</v>
      </c>
      <c r="V24">
        <v>1.042</v>
      </c>
      <c r="W24">
        <v>279</v>
      </c>
      <c r="X24" t="s">
        <v>257</v>
      </c>
      <c r="Y24">
        <v>3.8</v>
      </c>
      <c r="Z24" t="str">
        <f t="shared" si="7"/>
        <v>Mesotrophic</v>
      </c>
      <c r="AA24">
        <v>24.8</v>
      </c>
    </row>
    <row r="25" spans="1:27" x14ac:dyDescent="0.55000000000000004">
      <c r="A25">
        <v>84</v>
      </c>
      <c r="B25" t="s">
        <v>24</v>
      </c>
      <c r="C25">
        <v>54730</v>
      </c>
      <c r="D25" s="10" t="s">
        <v>165</v>
      </c>
      <c r="E25">
        <v>-38.028669999999998</v>
      </c>
      <c r="F25">
        <v>176.3724</v>
      </c>
      <c r="H25" t="s">
        <v>86</v>
      </c>
      <c r="I25" s="2">
        <v>45672.497916666667</v>
      </c>
      <c r="J25" t="s">
        <v>212</v>
      </c>
      <c r="K25">
        <v>1</v>
      </c>
      <c r="L25">
        <v>1</v>
      </c>
      <c r="M25">
        <v>277.05354999999997</v>
      </c>
      <c r="O25" s="9">
        <v>33805828.956973203</v>
      </c>
      <c r="P25" s="9">
        <v>60736.7219804458</v>
      </c>
      <c r="Q25" s="5">
        <f t="shared" si="5"/>
        <v>33.805828956973201</v>
      </c>
      <c r="R25" s="5">
        <f t="shared" si="6"/>
        <v>60.7367219804458</v>
      </c>
      <c r="S25">
        <v>123.7</v>
      </c>
      <c r="T25">
        <v>31.5</v>
      </c>
      <c r="U25">
        <v>124</v>
      </c>
      <c r="V25">
        <v>1.042</v>
      </c>
      <c r="W25">
        <v>279</v>
      </c>
      <c r="X25" t="s">
        <v>257</v>
      </c>
      <c r="Y25">
        <v>3.8</v>
      </c>
      <c r="Z25" t="str">
        <f t="shared" si="7"/>
        <v>Mesotrophic</v>
      </c>
      <c r="AA25">
        <v>24.8</v>
      </c>
    </row>
    <row r="26" spans="1:27" x14ac:dyDescent="0.55000000000000004">
      <c r="A26">
        <v>85</v>
      </c>
      <c r="B26" t="s">
        <v>77</v>
      </c>
      <c r="C26">
        <v>40188</v>
      </c>
      <c r="D26" s="10" t="s">
        <v>166</v>
      </c>
      <c r="E26">
        <v>-38.015090000000001</v>
      </c>
      <c r="F26">
        <v>176.53790000000001</v>
      </c>
      <c r="H26" t="s">
        <v>86</v>
      </c>
      <c r="I26" s="2">
        <v>45636.447916666664</v>
      </c>
      <c r="J26" t="s">
        <v>212</v>
      </c>
      <c r="K26">
        <v>1</v>
      </c>
      <c r="L26">
        <v>1</v>
      </c>
      <c r="M26" s="34"/>
      <c r="O26" s="9">
        <v>7926889.2859905297</v>
      </c>
      <c r="P26" s="9">
        <v>39745.737553952902</v>
      </c>
      <c r="Q26" s="5">
        <f>O26/1000000</f>
        <v>7.92688928599053</v>
      </c>
      <c r="R26" s="5">
        <f>P26/1000</f>
        <v>39.7457375539529</v>
      </c>
      <c r="S26">
        <v>49.2</v>
      </c>
      <c r="T26">
        <v>8</v>
      </c>
      <c r="U26">
        <v>13.5</v>
      </c>
      <c r="V26">
        <v>6.0999999999999999E-2</v>
      </c>
      <c r="W26">
        <v>295</v>
      </c>
      <c r="X26" t="s">
        <v>256</v>
      </c>
      <c r="Y26">
        <v>4.3</v>
      </c>
      <c r="Z26" t="str">
        <f>IF(ISBLANK(Y26), "", IF(Y26&lt;=2, "Microtrophic", IF(Y26&lt;=3, "Oligotrophic", IF(Y26&lt;=4, "Mesotrophic", IF(Y26&lt;=5, "Eutrophic", "Supertrophic")))))</f>
        <v>Eutrophic</v>
      </c>
      <c r="AA26">
        <v>16.899999999999999</v>
      </c>
    </row>
    <row r="27" spans="1:27" x14ac:dyDescent="0.55000000000000004">
      <c r="A27">
        <v>86</v>
      </c>
      <c r="B27" t="s">
        <v>77</v>
      </c>
      <c r="C27">
        <v>40188</v>
      </c>
      <c r="D27" s="10" t="s">
        <v>167</v>
      </c>
      <c r="E27">
        <v>-38.000630000000001</v>
      </c>
      <c r="F27">
        <v>176.53270000000001</v>
      </c>
      <c r="H27" t="s">
        <v>245</v>
      </c>
      <c r="I27" s="2">
        <v>45636.479166666664</v>
      </c>
      <c r="J27" t="s">
        <v>212</v>
      </c>
      <c r="K27">
        <v>1</v>
      </c>
      <c r="L27">
        <v>1</v>
      </c>
      <c r="M27" s="34"/>
      <c r="O27" s="9">
        <v>7926889.2859905297</v>
      </c>
      <c r="P27" s="9">
        <v>39745.737553952902</v>
      </c>
      <c r="Q27" s="5">
        <f>O27/1000000</f>
        <v>7.92688928599053</v>
      </c>
      <c r="R27" s="5">
        <f>P27/1000</f>
        <v>39.7457375539529</v>
      </c>
      <c r="S27">
        <v>49.2</v>
      </c>
      <c r="T27">
        <v>8</v>
      </c>
      <c r="U27">
        <v>13.5</v>
      </c>
      <c r="V27">
        <v>6.0999999999999999E-2</v>
      </c>
      <c r="W27">
        <v>295</v>
      </c>
      <c r="X27" t="s">
        <v>256</v>
      </c>
      <c r="Y27">
        <v>4.3</v>
      </c>
      <c r="Z27" t="str">
        <f>IF(ISBLANK(Y27), "", IF(Y27&lt;=2, "Microtrophic", IF(Y27&lt;=3, "Oligotrophic", IF(Y27&lt;=4, "Mesotrophic", IF(Y27&lt;=5, "Eutrophic", "Supertrophic")))))</f>
        <v>Eutrophic</v>
      </c>
      <c r="AA27">
        <v>16.899999999999999</v>
      </c>
    </row>
    <row r="28" spans="1:27" x14ac:dyDescent="0.55000000000000004">
      <c r="A28">
        <v>87</v>
      </c>
      <c r="B28" t="s">
        <v>77</v>
      </c>
      <c r="C28">
        <v>40188</v>
      </c>
      <c r="D28" s="10" t="s">
        <v>168</v>
      </c>
      <c r="E28">
        <v>-38.006630000000001</v>
      </c>
      <c r="F28">
        <v>176.52119999999999</v>
      </c>
      <c r="H28" t="s">
        <v>86</v>
      </c>
      <c r="I28" s="2">
        <v>45636.541666666664</v>
      </c>
      <c r="J28" t="s">
        <v>212</v>
      </c>
      <c r="K28">
        <v>1</v>
      </c>
      <c r="L28">
        <v>1</v>
      </c>
      <c r="M28" s="34"/>
      <c r="O28" s="9">
        <v>7926889.2859905297</v>
      </c>
      <c r="P28" s="9">
        <v>39745.737553952902</v>
      </c>
      <c r="Q28" s="5">
        <f t="shared" ref="Q28:Q37" si="8">O28/1000000</f>
        <v>7.92688928599053</v>
      </c>
      <c r="R28" s="5">
        <f t="shared" ref="R28:R37" si="9">P28/1000</f>
        <v>39.7457375539529</v>
      </c>
      <c r="S28">
        <v>49.2</v>
      </c>
      <c r="T28">
        <v>8</v>
      </c>
      <c r="U28">
        <v>13.5</v>
      </c>
      <c r="V28">
        <v>6.0999999999999999E-2</v>
      </c>
      <c r="W28">
        <v>295</v>
      </c>
      <c r="X28" t="s">
        <v>256</v>
      </c>
      <c r="Y28">
        <v>4.3</v>
      </c>
      <c r="Z28" t="str">
        <f t="shared" ref="Z28:Z37" si="10">IF(ISBLANK(Y28), "", IF(Y28&lt;=2, "Microtrophic", IF(Y28&lt;=3, "Oligotrophic", IF(Y28&lt;=4, "Mesotrophic", IF(Y28&lt;=5, "Eutrophic", "Supertrophic")))))</f>
        <v>Eutrophic</v>
      </c>
      <c r="AA28">
        <v>16.899999999999999</v>
      </c>
    </row>
    <row r="29" spans="1:27" x14ac:dyDescent="0.55000000000000004">
      <c r="A29">
        <v>88</v>
      </c>
      <c r="B29" t="s">
        <v>77</v>
      </c>
      <c r="C29">
        <v>40188</v>
      </c>
      <c r="D29" s="10" t="s">
        <v>169</v>
      </c>
      <c r="E29">
        <v>-38.033340000000003</v>
      </c>
      <c r="F29">
        <v>176.52610000000001</v>
      </c>
      <c r="H29" t="s">
        <v>86</v>
      </c>
      <c r="I29" s="2">
        <v>45637.729166666664</v>
      </c>
      <c r="J29" t="s">
        <v>212</v>
      </c>
      <c r="K29">
        <v>1</v>
      </c>
      <c r="L29">
        <v>1</v>
      </c>
      <c r="M29" s="34"/>
      <c r="O29" s="9">
        <v>7926889.2859905297</v>
      </c>
      <c r="P29" s="9">
        <v>39745.737553952902</v>
      </c>
      <c r="Q29" s="5">
        <f t="shared" si="8"/>
        <v>7.92688928599053</v>
      </c>
      <c r="R29" s="5">
        <f t="shared" si="9"/>
        <v>39.7457375539529</v>
      </c>
      <c r="S29">
        <v>49.2</v>
      </c>
      <c r="T29">
        <v>8</v>
      </c>
      <c r="U29">
        <v>13.5</v>
      </c>
      <c r="V29">
        <v>6.0999999999999999E-2</v>
      </c>
      <c r="W29">
        <v>295</v>
      </c>
      <c r="X29" t="s">
        <v>256</v>
      </c>
      <c r="Y29">
        <v>4.3</v>
      </c>
      <c r="Z29" t="str">
        <f t="shared" si="10"/>
        <v>Eutrophic</v>
      </c>
      <c r="AA29">
        <v>16.899999999999999</v>
      </c>
    </row>
    <row r="30" spans="1:27" x14ac:dyDescent="0.55000000000000004">
      <c r="A30">
        <v>89</v>
      </c>
      <c r="B30" t="s">
        <v>77</v>
      </c>
      <c r="C30">
        <v>40188</v>
      </c>
      <c r="D30" s="10" t="s">
        <v>170</v>
      </c>
      <c r="E30">
        <v>-37.999519999999997</v>
      </c>
      <c r="F30">
        <v>176.53700000000001</v>
      </c>
      <c r="H30" t="s">
        <v>245</v>
      </c>
      <c r="I30" s="2">
        <v>45636.511805555558</v>
      </c>
      <c r="J30" t="s">
        <v>212</v>
      </c>
      <c r="K30">
        <v>1</v>
      </c>
      <c r="L30">
        <v>1</v>
      </c>
      <c r="M30" s="34"/>
      <c r="N30" t="s">
        <v>260</v>
      </c>
      <c r="O30" s="9">
        <v>7926889.2859905297</v>
      </c>
      <c r="P30" s="9">
        <v>39745.737553952902</v>
      </c>
      <c r="Q30" s="5">
        <f t="shared" si="8"/>
        <v>7.92688928599053</v>
      </c>
      <c r="R30" s="5">
        <f t="shared" si="9"/>
        <v>39.7457375539529</v>
      </c>
      <c r="S30">
        <v>49.2</v>
      </c>
      <c r="T30">
        <v>8</v>
      </c>
      <c r="U30">
        <v>13.5</v>
      </c>
      <c r="V30">
        <v>6.0999999999999999E-2</v>
      </c>
      <c r="W30">
        <v>295</v>
      </c>
      <c r="X30" t="s">
        <v>256</v>
      </c>
      <c r="Y30">
        <v>4.3</v>
      </c>
      <c r="Z30" t="str">
        <f t="shared" si="10"/>
        <v>Eutrophic</v>
      </c>
      <c r="AA30">
        <v>16.899999999999999</v>
      </c>
    </row>
    <row r="31" spans="1:27" x14ac:dyDescent="0.55000000000000004">
      <c r="A31">
        <v>90</v>
      </c>
      <c r="B31" t="s">
        <v>77</v>
      </c>
      <c r="C31">
        <v>40188</v>
      </c>
      <c r="D31" s="10" t="s">
        <v>171</v>
      </c>
      <c r="E31">
        <v>-37.999859999999998</v>
      </c>
      <c r="F31">
        <v>176.5215</v>
      </c>
      <c r="H31" t="s">
        <v>86</v>
      </c>
      <c r="I31" s="2">
        <v>45636.53125</v>
      </c>
      <c r="J31" t="s">
        <v>212</v>
      </c>
      <c r="K31">
        <v>1</v>
      </c>
      <c r="L31">
        <v>1</v>
      </c>
      <c r="M31" s="34"/>
      <c r="O31" s="9">
        <v>7926889.2859905297</v>
      </c>
      <c r="P31" s="9">
        <v>39745.737553952902</v>
      </c>
      <c r="Q31" s="5">
        <f t="shared" si="8"/>
        <v>7.92688928599053</v>
      </c>
      <c r="R31" s="5">
        <f t="shared" si="9"/>
        <v>39.7457375539529</v>
      </c>
      <c r="S31">
        <v>49.2</v>
      </c>
      <c r="T31">
        <v>8</v>
      </c>
      <c r="U31">
        <v>13.5</v>
      </c>
      <c r="V31">
        <v>6.0999999999999999E-2</v>
      </c>
      <c r="W31">
        <v>295</v>
      </c>
      <c r="X31" t="s">
        <v>256</v>
      </c>
      <c r="Y31">
        <v>4.3</v>
      </c>
      <c r="Z31" t="str">
        <f t="shared" si="10"/>
        <v>Eutrophic</v>
      </c>
      <c r="AA31">
        <v>16.899999999999999</v>
      </c>
    </row>
    <row r="32" spans="1:27" x14ac:dyDescent="0.55000000000000004">
      <c r="A32">
        <v>91</v>
      </c>
      <c r="B32" t="s">
        <v>77</v>
      </c>
      <c r="C32">
        <v>40188</v>
      </c>
      <c r="D32" s="10" t="s">
        <v>172</v>
      </c>
      <c r="E32">
        <v>-38.014299999999999</v>
      </c>
      <c r="F32">
        <v>176.5179</v>
      </c>
      <c r="H32" t="s">
        <v>86</v>
      </c>
      <c r="I32" s="2">
        <v>45637.663194444445</v>
      </c>
      <c r="J32" t="s">
        <v>209</v>
      </c>
      <c r="K32">
        <v>1</v>
      </c>
      <c r="L32">
        <v>1</v>
      </c>
      <c r="M32" s="34"/>
      <c r="O32" s="9">
        <v>7926889.2859905297</v>
      </c>
      <c r="P32" s="9">
        <v>39745.737553952902</v>
      </c>
      <c r="Q32" s="5">
        <f t="shared" si="8"/>
        <v>7.92688928599053</v>
      </c>
      <c r="R32" s="5">
        <f t="shared" si="9"/>
        <v>39.7457375539529</v>
      </c>
      <c r="S32">
        <v>49.2</v>
      </c>
      <c r="T32">
        <v>8</v>
      </c>
      <c r="U32">
        <v>13.5</v>
      </c>
      <c r="V32">
        <v>6.0999999999999999E-2</v>
      </c>
      <c r="W32">
        <v>295</v>
      </c>
      <c r="X32" t="s">
        <v>256</v>
      </c>
      <c r="Y32">
        <v>4.3</v>
      </c>
      <c r="Z32" t="str">
        <f t="shared" si="10"/>
        <v>Eutrophic</v>
      </c>
      <c r="AA32">
        <v>16.899999999999999</v>
      </c>
    </row>
    <row r="33" spans="1:27" x14ac:dyDescent="0.55000000000000004">
      <c r="A33">
        <v>92</v>
      </c>
      <c r="B33" t="s">
        <v>77</v>
      </c>
      <c r="C33">
        <v>40188</v>
      </c>
      <c r="D33" s="10" t="s">
        <v>173</v>
      </c>
      <c r="E33">
        <v>-38.035739999999997</v>
      </c>
      <c r="F33">
        <v>176.51669999999999</v>
      </c>
      <c r="H33" t="s">
        <v>245</v>
      </c>
      <c r="I33" s="2">
        <v>45637.708333333336</v>
      </c>
      <c r="J33" t="s">
        <v>212</v>
      </c>
      <c r="K33">
        <v>1</v>
      </c>
      <c r="L33">
        <v>1</v>
      </c>
      <c r="M33" s="34"/>
      <c r="O33" s="9">
        <v>7926889.2859905297</v>
      </c>
      <c r="P33" s="9">
        <v>39745.737553952902</v>
      </c>
      <c r="Q33" s="5">
        <f t="shared" si="8"/>
        <v>7.92688928599053</v>
      </c>
      <c r="R33" s="5">
        <f t="shared" si="9"/>
        <v>39.7457375539529</v>
      </c>
      <c r="S33">
        <v>49.2</v>
      </c>
      <c r="T33">
        <v>8</v>
      </c>
      <c r="U33">
        <v>13.5</v>
      </c>
      <c r="V33">
        <v>6.0999999999999999E-2</v>
      </c>
      <c r="W33">
        <v>295</v>
      </c>
      <c r="X33" t="s">
        <v>256</v>
      </c>
      <c r="Y33">
        <v>4.3</v>
      </c>
      <c r="Z33" t="str">
        <f t="shared" si="10"/>
        <v>Eutrophic</v>
      </c>
      <c r="AA33">
        <v>16.899999999999999</v>
      </c>
    </row>
    <row r="34" spans="1:27" x14ac:dyDescent="0.55000000000000004">
      <c r="A34">
        <v>93</v>
      </c>
      <c r="B34" t="s">
        <v>77</v>
      </c>
      <c r="C34">
        <v>40188</v>
      </c>
      <c r="D34" s="10" t="s">
        <v>174</v>
      </c>
      <c r="E34">
        <v>-38.00562</v>
      </c>
      <c r="F34">
        <v>176.54419999999999</v>
      </c>
      <c r="H34" t="s">
        <v>245</v>
      </c>
      <c r="I34" s="2">
        <v>45636.472222222219</v>
      </c>
      <c r="J34" t="s">
        <v>212</v>
      </c>
      <c r="K34">
        <v>1</v>
      </c>
      <c r="L34">
        <v>1</v>
      </c>
      <c r="M34" s="34"/>
      <c r="O34" s="9">
        <v>7926889.2859905297</v>
      </c>
      <c r="P34" s="9">
        <v>39745.737553952902</v>
      </c>
      <c r="Q34" s="5">
        <f t="shared" si="8"/>
        <v>7.92688928599053</v>
      </c>
      <c r="R34" s="5">
        <f t="shared" si="9"/>
        <v>39.7457375539529</v>
      </c>
      <c r="S34">
        <v>49.2</v>
      </c>
      <c r="T34">
        <v>8</v>
      </c>
      <c r="U34">
        <v>13.5</v>
      </c>
      <c r="V34">
        <v>6.0999999999999999E-2</v>
      </c>
      <c r="W34">
        <v>295</v>
      </c>
      <c r="X34" t="s">
        <v>256</v>
      </c>
      <c r="Y34">
        <v>4.3</v>
      </c>
      <c r="Z34" t="str">
        <f t="shared" si="10"/>
        <v>Eutrophic</v>
      </c>
      <c r="AA34">
        <v>16.899999999999999</v>
      </c>
    </row>
    <row r="35" spans="1:27" x14ac:dyDescent="0.55000000000000004">
      <c r="A35">
        <v>94</v>
      </c>
      <c r="B35" t="s">
        <v>77</v>
      </c>
      <c r="C35">
        <v>40188</v>
      </c>
      <c r="D35" s="10" t="s">
        <v>175</v>
      </c>
      <c r="E35">
        <v>-38.012189999999997</v>
      </c>
      <c r="F35">
        <v>176.51220000000001</v>
      </c>
      <c r="H35" t="s">
        <v>86</v>
      </c>
      <c r="I35" s="2">
        <v>45637.651388888888</v>
      </c>
      <c r="J35" t="s">
        <v>209</v>
      </c>
      <c r="K35">
        <v>1</v>
      </c>
      <c r="L35">
        <v>1</v>
      </c>
      <c r="M35" s="34"/>
      <c r="O35" s="9">
        <v>7926889.2859905297</v>
      </c>
      <c r="P35" s="9">
        <v>39745.737553952902</v>
      </c>
      <c r="Q35" s="5">
        <f t="shared" si="8"/>
        <v>7.92688928599053</v>
      </c>
      <c r="R35" s="5">
        <f t="shared" si="9"/>
        <v>39.7457375539529</v>
      </c>
      <c r="S35">
        <v>49.2</v>
      </c>
      <c r="T35">
        <v>8</v>
      </c>
      <c r="U35">
        <v>13.5</v>
      </c>
      <c r="V35">
        <v>6.0999999999999999E-2</v>
      </c>
      <c r="W35">
        <v>295</v>
      </c>
      <c r="X35" t="s">
        <v>256</v>
      </c>
      <c r="Y35">
        <v>4.3</v>
      </c>
      <c r="Z35" t="str">
        <f t="shared" si="10"/>
        <v>Eutrophic</v>
      </c>
      <c r="AA35">
        <v>16.899999999999999</v>
      </c>
    </row>
    <row r="36" spans="1:27" x14ac:dyDescent="0.55000000000000004">
      <c r="A36">
        <v>95</v>
      </c>
      <c r="B36" t="s">
        <v>77</v>
      </c>
      <c r="C36">
        <v>40188</v>
      </c>
      <c r="D36" s="10" t="s">
        <v>176</v>
      </c>
      <c r="E36">
        <v>-38.023350000000001</v>
      </c>
      <c r="F36">
        <v>176.5232</v>
      </c>
      <c r="H36" t="s">
        <v>27</v>
      </c>
      <c r="I36" s="2">
        <v>45637.676388888889</v>
      </c>
      <c r="J36" t="s">
        <v>212</v>
      </c>
      <c r="K36">
        <v>1</v>
      </c>
      <c r="L36">
        <v>1</v>
      </c>
      <c r="M36" s="34"/>
      <c r="O36" s="9">
        <v>7926889.2859905297</v>
      </c>
      <c r="P36" s="9">
        <v>39745.737553952902</v>
      </c>
      <c r="Q36" s="5">
        <f t="shared" si="8"/>
        <v>7.92688928599053</v>
      </c>
      <c r="R36" s="5">
        <f t="shared" si="9"/>
        <v>39.7457375539529</v>
      </c>
      <c r="S36">
        <v>49.2</v>
      </c>
      <c r="T36">
        <v>8</v>
      </c>
      <c r="U36">
        <v>13.5</v>
      </c>
      <c r="V36">
        <v>6.0999999999999999E-2</v>
      </c>
      <c r="W36">
        <v>295</v>
      </c>
      <c r="X36" t="s">
        <v>256</v>
      </c>
      <c r="Y36">
        <v>4.3</v>
      </c>
      <c r="Z36" t="str">
        <f t="shared" si="10"/>
        <v>Eutrophic</v>
      </c>
      <c r="AA36">
        <v>16.899999999999999</v>
      </c>
    </row>
    <row r="37" spans="1:27" x14ac:dyDescent="0.55000000000000004">
      <c r="A37">
        <v>96</v>
      </c>
      <c r="B37" t="s">
        <v>77</v>
      </c>
      <c r="C37">
        <v>40188</v>
      </c>
      <c r="D37" s="10" t="s">
        <v>177</v>
      </c>
      <c r="E37">
        <v>-38.027986465097698</v>
      </c>
      <c r="F37">
        <v>176.51664366909301</v>
      </c>
      <c r="H37" t="s">
        <v>86</v>
      </c>
      <c r="I37" s="2">
        <v>45637.697222222225</v>
      </c>
      <c r="J37" t="s">
        <v>212</v>
      </c>
      <c r="K37">
        <v>1</v>
      </c>
      <c r="L37">
        <v>1</v>
      </c>
      <c r="M37" s="34"/>
      <c r="N37" t="s">
        <v>259</v>
      </c>
      <c r="O37" s="9">
        <v>7926889.2859905297</v>
      </c>
      <c r="P37" s="9">
        <v>39745.737553952902</v>
      </c>
      <c r="Q37" s="5">
        <f t="shared" si="8"/>
        <v>7.92688928599053</v>
      </c>
      <c r="R37" s="5">
        <f t="shared" si="9"/>
        <v>39.7457375539529</v>
      </c>
      <c r="S37">
        <v>49.2</v>
      </c>
      <c r="T37">
        <v>8</v>
      </c>
      <c r="U37">
        <v>13.5</v>
      </c>
      <c r="V37">
        <v>6.0999999999999999E-2</v>
      </c>
      <c r="W37">
        <v>295</v>
      </c>
      <c r="X37" t="s">
        <v>256</v>
      </c>
      <c r="Y37">
        <v>4.3</v>
      </c>
      <c r="Z37" t="str">
        <f t="shared" si="10"/>
        <v>Eutrophic</v>
      </c>
      <c r="AA37">
        <v>16.899999999999999</v>
      </c>
    </row>
    <row r="38" spans="1:27" x14ac:dyDescent="0.55000000000000004">
      <c r="A38">
        <v>97</v>
      </c>
      <c r="B38" t="s">
        <v>79</v>
      </c>
      <c r="C38">
        <v>40102</v>
      </c>
      <c r="D38" s="10" t="s">
        <v>178</v>
      </c>
      <c r="E38">
        <v>-38.03192</v>
      </c>
      <c r="F38">
        <v>176.55930000000001</v>
      </c>
      <c r="H38" t="s">
        <v>86</v>
      </c>
      <c r="I38" s="2">
        <v>45602.46875</v>
      </c>
      <c r="J38" t="s">
        <v>209</v>
      </c>
      <c r="K38">
        <v>1</v>
      </c>
      <c r="L38">
        <v>1</v>
      </c>
      <c r="M38">
        <v>117.61360000000001</v>
      </c>
      <c r="O38" s="9">
        <v>11137002.6670586</v>
      </c>
      <c r="P38" s="9">
        <v>23686.395632694799</v>
      </c>
      <c r="Q38" s="5">
        <f>O38/1000000</f>
        <v>11.137002667058599</v>
      </c>
      <c r="R38" s="5">
        <f>P38/1000</f>
        <v>23.686395632694801</v>
      </c>
      <c r="S38">
        <v>27.8</v>
      </c>
      <c r="T38">
        <v>36.9</v>
      </c>
      <c r="U38">
        <v>83</v>
      </c>
      <c r="V38">
        <v>0.45600000000000002</v>
      </c>
      <c r="W38">
        <v>316</v>
      </c>
      <c r="X38" t="s">
        <v>257</v>
      </c>
      <c r="Y38">
        <v>2.5</v>
      </c>
      <c r="Z38" t="str">
        <f>IF(ISBLANK(Y38), "", IF(Y38&lt;=2, "Microtrophic", IF(Y38&lt;=3, "Oligotrophic", IF(Y38&lt;=4, "Mesotrophic", IF(Y38&lt;=5, "Eutrophic", "Supertrophic")))))</f>
        <v>Oligotrophic</v>
      </c>
      <c r="AA38">
        <v>51.6</v>
      </c>
    </row>
    <row r="39" spans="1:27" x14ac:dyDescent="0.55000000000000004">
      <c r="A39">
        <v>98</v>
      </c>
      <c r="B39" t="s">
        <v>79</v>
      </c>
      <c r="C39">
        <v>40102</v>
      </c>
      <c r="D39" s="10" t="s">
        <v>179</v>
      </c>
      <c r="E39">
        <v>-38.03942</v>
      </c>
      <c r="F39">
        <v>176.5778</v>
      </c>
      <c r="H39" t="s">
        <v>27</v>
      </c>
      <c r="I39" s="2">
        <v>45602.510416666664</v>
      </c>
      <c r="J39" t="s">
        <v>209</v>
      </c>
      <c r="K39">
        <v>1</v>
      </c>
      <c r="L39">
        <v>1</v>
      </c>
      <c r="M39">
        <v>131.57380000000001</v>
      </c>
      <c r="O39" s="9">
        <v>11137002.6670586</v>
      </c>
      <c r="P39" s="9">
        <v>23686.395632694799</v>
      </c>
      <c r="Q39" s="5">
        <f>O39/1000000</f>
        <v>11.137002667058599</v>
      </c>
      <c r="R39" s="5">
        <f>P39/1000</f>
        <v>23.686395632694801</v>
      </c>
      <c r="S39">
        <v>27.8</v>
      </c>
      <c r="T39">
        <v>36.9</v>
      </c>
      <c r="U39">
        <v>83</v>
      </c>
      <c r="V39">
        <v>0.45600000000000002</v>
      </c>
      <c r="W39">
        <v>316</v>
      </c>
      <c r="X39" t="s">
        <v>257</v>
      </c>
      <c r="Y39">
        <v>2.5</v>
      </c>
      <c r="Z39" t="str">
        <f>IF(ISBLANK(Y39), "", IF(Y39&lt;=2, "Microtrophic", IF(Y39&lt;=3, "Oligotrophic", IF(Y39&lt;=4, "Mesotrophic", IF(Y39&lt;=5, "Eutrophic", "Supertrophic")))))</f>
        <v>Oligotrophic</v>
      </c>
      <c r="AA39">
        <v>51.6</v>
      </c>
    </row>
    <row r="40" spans="1:27" x14ac:dyDescent="0.55000000000000004">
      <c r="A40">
        <v>99</v>
      </c>
      <c r="B40" t="s">
        <v>79</v>
      </c>
      <c r="C40">
        <v>40102</v>
      </c>
      <c r="D40" s="10" t="s">
        <v>180</v>
      </c>
      <c r="E40">
        <v>-38.043390000000002</v>
      </c>
      <c r="F40">
        <v>176.5976</v>
      </c>
      <c r="H40" t="s">
        <v>86</v>
      </c>
      <c r="I40" s="2">
        <v>45602.381944444445</v>
      </c>
      <c r="J40" t="s">
        <v>209</v>
      </c>
      <c r="K40">
        <v>1</v>
      </c>
      <c r="L40">
        <v>1</v>
      </c>
      <c r="M40">
        <v>382.47480000000002</v>
      </c>
      <c r="N40" t="s">
        <v>227</v>
      </c>
      <c r="O40" s="9">
        <v>11137002.6670586</v>
      </c>
      <c r="P40" s="9">
        <v>23686.395632694799</v>
      </c>
      <c r="Q40" s="5">
        <f t="shared" ref="Q40:Q49" si="11">O40/1000000</f>
        <v>11.137002667058599</v>
      </c>
      <c r="R40" s="5">
        <f t="shared" ref="R40:R49" si="12">P40/1000</f>
        <v>23.686395632694801</v>
      </c>
      <c r="S40">
        <v>27.8</v>
      </c>
      <c r="T40">
        <v>36.9</v>
      </c>
      <c r="U40">
        <v>83</v>
      </c>
      <c r="V40">
        <v>0.45600000000000002</v>
      </c>
      <c r="W40">
        <v>316</v>
      </c>
      <c r="X40" t="s">
        <v>257</v>
      </c>
      <c r="Y40">
        <v>2.5</v>
      </c>
      <c r="Z40" t="str">
        <f t="shared" ref="Z40:Z49" si="13">IF(ISBLANK(Y40), "", IF(Y40&lt;=2, "Microtrophic", IF(Y40&lt;=3, "Oligotrophic", IF(Y40&lt;=4, "Mesotrophic", IF(Y40&lt;=5, "Eutrophic", "Supertrophic")))))</f>
        <v>Oligotrophic</v>
      </c>
      <c r="AA40">
        <v>51.6</v>
      </c>
    </row>
    <row r="41" spans="1:27" x14ac:dyDescent="0.55000000000000004">
      <c r="A41">
        <v>100</v>
      </c>
      <c r="B41" t="s">
        <v>79</v>
      </c>
      <c r="C41">
        <v>40102</v>
      </c>
      <c r="D41" s="10" t="s">
        <v>181</v>
      </c>
      <c r="E41">
        <v>-38.049709999999997</v>
      </c>
      <c r="F41">
        <v>176.56530000000001</v>
      </c>
      <c r="H41" t="s">
        <v>245</v>
      </c>
      <c r="I41" s="2">
        <v>45603.604166666664</v>
      </c>
      <c r="J41" t="s">
        <v>209</v>
      </c>
      <c r="K41">
        <v>0</v>
      </c>
      <c r="L41">
        <v>0</v>
      </c>
      <c r="M41">
        <v>785.05089999999996</v>
      </c>
      <c r="N41" t="s">
        <v>228</v>
      </c>
      <c r="O41" s="9">
        <v>11137002.6670586</v>
      </c>
      <c r="P41" s="9">
        <v>23686.395632694799</v>
      </c>
      <c r="Q41" s="5">
        <f t="shared" si="11"/>
        <v>11.137002667058599</v>
      </c>
      <c r="R41" s="5">
        <f t="shared" si="12"/>
        <v>23.686395632694801</v>
      </c>
      <c r="S41">
        <v>27.8</v>
      </c>
      <c r="T41">
        <v>36.9</v>
      </c>
      <c r="U41">
        <v>83</v>
      </c>
      <c r="V41">
        <v>0.45600000000000002</v>
      </c>
      <c r="W41">
        <v>316</v>
      </c>
      <c r="X41" t="s">
        <v>257</v>
      </c>
      <c r="Y41">
        <v>2.5</v>
      </c>
      <c r="Z41" t="str">
        <f t="shared" si="13"/>
        <v>Oligotrophic</v>
      </c>
      <c r="AA41">
        <v>51.6</v>
      </c>
    </row>
    <row r="42" spans="1:27" x14ac:dyDescent="0.55000000000000004">
      <c r="A42">
        <v>101</v>
      </c>
      <c r="B42" t="s">
        <v>79</v>
      </c>
      <c r="C42">
        <v>40102</v>
      </c>
      <c r="D42" s="10" t="s">
        <v>182</v>
      </c>
      <c r="E42">
        <v>-38.028880000000001</v>
      </c>
      <c r="F42">
        <v>176.5752</v>
      </c>
      <c r="H42" t="s">
        <v>245</v>
      </c>
      <c r="I42" s="2">
        <v>45602.447916666664</v>
      </c>
      <c r="J42" t="s">
        <v>209</v>
      </c>
      <c r="K42">
        <v>1</v>
      </c>
      <c r="L42">
        <v>1</v>
      </c>
      <c r="M42">
        <v>216.226</v>
      </c>
      <c r="N42" t="s">
        <v>246</v>
      </c>
      <c r="O42" s="9">
        <v>11137002.6670586</v>
      </c>
      <c r="P42" s="9">
        <v>23686.395632694799</v>
      </c>
      <c r="Q42" s="5">
        <f t="shared" si="11"/>
        <v>11.137002667058599</v>
      </c>
      <c r="R42" s="5">
        <f t="shared" si="12"/>
        <v>23.686395632694801</v>
      </c>
      <c r="S42">
        <v>27.8</v>
      </c>
      <c r="T42">
        <v>36.9</v>
      </c>
      <c r="U42">
        <v>83</v>
      </c>
      <c r="V42">
        <v>0.45600000000000002</v>
      </c>
      <c r="W42">
        <v>316</v>
      </c>
      <c r="X42" t="s">
        <v>257</v>
      </c>
      <c r="Y42">
        <v>2.5</v>
      </c>
      <c r="Z42" t="str">
        <f t="shared" si="13"/>
        <v>Oligotrophic</v>
      </c>
      <c r="AA42">
        <v>51.6</v>
      </c>
    </row>
    <row r="43" spans="1:27" x14ac:dyDescent="0.55000000000000004">
      <c r="A43">
        <v>102</v>
      </c>
      <c r="B43" t="s">
        <v>79</v>
      </c>
      <c r="C43">
        <v>40102</v>
      </c>
      <c r="D43" s="10" t="s">
        <v>183</v>
      </c>
      <c r="E43">
        <v>-38.019799999999996</v>
      </c>
      <c r="F43">
        <v>176.5889</v>
      </c>
      <c r="H43" t="s">
        <v>27</v>
      </c>
      <c r="I43" s="2">
        <v>45602.430555555555</v>
      </c>
      <c r="J43" t="s">
        <v>209</v>
      </c>
      <c r="K43">
        <v>0</v>
      </c>
      <c r="L43">
        <v>0</v>
      </c>
      <c r="M43">
        <v>62.696899999999999</v>
      </c>
      <c r="N43" t="s">
        <v>229</v>
      </c>
      <c r="O43" s="9">
        <v>11137002.6670586</v>
      </c>
      <c r="P43" s="9">
        <v>23686.395632694799</v>
      </c>
      <c r="Q43" s="5">
        <f t="shared" si="11"/>
        <v>11.137002667058599</v>
      </c>
      <c r="R43" s="5">
        <f t="shared" si="12"/>
        <v>23.686395632694801</v>
      </c>
      <c r="S43">
        <v>27.8</v>
      </c>
      <c r="T43">
        <v>36.9</v>
      </c>
      <c r="U43">
        <v>83</v>
      </c>
      <c r="V43">
        <v>0.45600000000000002</v>
      </c>
      <c r="W43">
        <v>316</v>
      </c>
      <c r="X43" t="s">
        <v>257</v>
      </c>
      <c r="Y43">
        <v>2.5</v>
      </c>
      <c r="Z43" t="str">
        <f t="shared" si="13"/>
        <v>Oligotrophic</v>
      </c>
      <c r="AA43">
        <v>51.6</v>
      </c>
    </row>
    <row r="44" spans="1:27" x14ac:dyDescent="0.55000000000000004">
      <c r="A44">
        <v>103</v>
      </c>
      <c r="B44" t="s">
        <v>79</v>
      </c>
      <c r="C44">
        <v>40102</v>
      </c>
      <c r="D44" s="10" t="s">
        <v>184</v>
      </c>
      <c r="E44">
        <v>-38.066650000000003</v>
      </c>
      <c r="F44">
        <v>176.59559999999999</v>
      </c>
      <c r="H44" t="s">
        <v>86</v>
      </c>
      <c r="I44" s="2">
        <v>45603.645833333336</v>
      </c>
      <c r="J44" t="s">
        <v>231</v>
      </c>
      <c r="K44">
        <v>1</v>
      </c>
      <c r="L44">
        <v>1</v>
      </c>
      <c r="M44">
        <v>196.3015</v>
      </c>
      <c r="N44" t="s">
        <v>230</v>
      </c>
      <c r="O44" s="9">
        <v>11137002.6670586</v>
      </c>
      <c r="P44" s="9">
        <v>23686.395632694799</v>
      </c>
      <c r="Q44" s="5">
        <f t="shared" si="11"/>
        <v>11.137002667058599</v>
      </c>
      <c r="R44" s="5">
        <f t="shared" si="12"/>
        <v>23.686395632694801</v>
      </c>
      <c r="S44">
        <v>27.8</v>
      </c>
      <c r="T44">
        <v>36.9</v>
      </c>
      <c r="U44">
        <v>83</v>
      </c>
      <c r="V44">
        <v>0.45600000000000002</v>
      </c>
      <c r="W44">
        <v>316</v>
      </c>
      <c r="X44" t="s">
        <v>257</v>
      </c>
      <c r="Y44">
        <v>2.5</v>
      </c>
      <c r="Z44" t="str">
        <f t="shared" si="13"/>
        <v>Oligotrophic</v>
      </c>
      <c r="AA44">
        <v>51.6</v>
      </c>
    </row>
    <row r="45" spans="1:27" x14ac:dyDescent="0.55000000000000004">
      <c r="A45">
        <v>104</v>
      </c>
      <c r="B45" t="s">
        <v>79</v>
      </c>
      <c r="C45">
        <v>40102</v>
      </c>
      <c r="D45" s="10" t="s">
        <v>185</v>
      </c>
      <c r="E45">
        <v>-38.048670000000001</v>
      </c>
      <c r="F45">
        <v>176.5634</v>
      </c>
      <c r="H45" t="s">
        <v>245</v>
      </c>
      <c r="I45" s="2">
        <v>45603.583333333336</v>
      </c>
      <c r="J45" t="s">
        <v>209</v>
      </c>
      <c r="K45">
        <v>1</v>
      </c>
      <c r="L45">
        <v>1</v>
      </c>
      <c r="M45">
        <v>966.80510000000004</v>
      </c>
      <c r="O45" s="9">
        <v>11137002.6670586</v>
      </c>
      <c r="P45" s="9">
        <v>23686.395632694799</v>
      </c>
      <c r="Q45" s="5">
        <f t="shared" si="11"/>
        <v>11.137002667058599</v>
      </c>
      <c r="R45" s="5">
        <f t="shared" si="12"/>
        <v>23.686395632694801</v>
      </c>
      <c r="S45">
        <v>27.8</v>
      </c>
      <c r="T45">
        <v>36.9</v>
      </c>
      <c r="U45">
        <v>83</v>
      </c>
      <c r="V45">
        <v>0.45600000000000002</v>
      </c>
      <c r="W45">
        <v>316</v>
      </c>
      <c r="X45" t="s">
        <v>257</v>
      </c>
      <c r="Y45">
        <v>2.5</v>
      </c>
      <c r="Z45" t="str">
        <f t="shared" si="13"/>
        <v>Oligotrophic</v>
      </c>
      <c r="AA45">
        <v>51.6</v>
      </c>
    </row>
    <row r="46" spans="1:27" x14ac:dyDescent="0.55000000000000004">
      <c r="A46">
        <v>105</v>
      </c>
      <c r="B46" t="s">
        <v>79</v>
      </c>
      <c r="C46">
        <v>40102</v>
      </c>
      <c r="D46" s="10" t="s">
        <v>186</v>
      </c>
      <c r="E46">
        <v>-38.03613</v>
      </c>
      <c r="F46">
        <v>176.56819999999999</v>
      </c>
      <c r="H46" t="s">
        <v>27</v>
      </c>
      <c r="I46" s="2">
        <v>45602.493055555555</v>
      </c>
      <c r="J46" t="s">
        <v>212</v>
      </c>
      <c r="K46">
        <v>1</v>
      </c>
      <c r="L46">
        <v>1</v>
      </c>
      <c r="M46">
        <v>246.0711</v>
      </c>
      <c r="O46" s="9">
        <v>11137002.6670586</v>
      </c>
      <c r="P46" s="9">
        <v>23686.395632694799</v>
      </c>
      <c r="Q46" s="5">
        <f t="shared" si="11"/>
        <v>11.137002667058599</v>
      </c>
      <c r="R46" s="5">
        <f t="shared" si="12"/>
        <v>23.686395632694801</v>
      </c>
      <c r="S46">
        <v>27.8</v>
      </c>
      <c r="T46">
        <v>36.9</v>
      </c>
      <c r="U46">
        <v>83</v>
      </c>
      <c r="V46">
        <v>0.45600000000000002</v>
      </c>
      <c r="W46">
        <v>316</v>
      </c>
      <c r="X46" t="s">
        <v>257</v>
      </c>
      <c r="Y46">
        <v>2.5</v>
      </c>
      <c r="Z46" t="str">
        <f t="shared" si="13"/>
        <v>Oligotrophic</v>
      </c>
      <c r="AA46">
        <v>51.6</v>
      </c>
    </row>
    <row r="47" spans="1:27" x14ac:dyDescent="0.55000000000000004">
      <c r="A47">
        <v>106</v>
      </c>
      <c r="B47" t="s">
        <v>79</v>
      </c>
      <c r="C47">
        <v>40102</v>
      </c>
      <c r="D47" s="10" t="s">
        <v>187</v>
      </c>
      <c r="E47">
        <v>-38.025460000000002</v>
      </c>
      <c r="F47">
        <v>176.59479999999999</v>
      </c>
      <c r="H47" t="s">
        <v>86</v>
      </c>
      <c r="I47" s="2">
        <v>45602.409722222219</v>
      </c>
      <c r="J47" t="s">
        <v>209</v>
      </c>
      <c r="K47">
        <v>1</v>
      </c>
      <c r="L47">
        <v>1</v>
      </c>
      <c r="M47">
        <v>117.917</v>
      </c>
      <c r="N47" t="s">
        <v>232</v>
      </c>
      <c r="O47" s="9">
        <v>11137002.6670586</v>
      </c>
      <c r="P47" s="9">
        <v>23686.395632694799</v>
      </c>
      <c r="Q47" s="5">
        <f t="shared" si="11"/>
        <v>11.137002667058599</v>
      </c>
      <c r="R47" s="5">
        <f t="shared" si="12"/>
        <v>23.686395632694801</v>
      </c>
      <c r="S47">
        <v>27.8</v>
      </c>
      <c r="T47">
        <v>36.9</v>
      </c>
      <c r="U47">
        <v>83</v>
      </c>
      <c r="V47">
        <v>0.45600000000000002</v>
      </c>
      <c r="W47">
        <v>316</v>
      </c>
      <c r="X47" t="s">
        <v>257</v>
      </c>
      <c r="Y47">
        <v>2.5</v>
      </c>
      <c r="Z47" t="str">
        <f t="shared" si="13"/>
        <v>Oligotrophic</v>
      </c>
      <c r="AA47">
        <v>51.6</v>
      </c>
    </row>
    <row r="48" spans="1:27" x14ac:dyDescent="0.55000000000000004">
      <c r="A48">
        <v>107</v>
      </c>
      <c r="B48" t="s">
        <v>79</v>
      </c>
      <c r="C48">
        <v>40102</v>
      </c>
      <c r="D48" s="10" t="s">
        <v>188</v>
      </c>
      <c r="E48">
        <v>-38.064529999999998</v>
      </c>
      <c r="F48">
        <v>176.60169999999999</v>
      </c>
      <c r="H48" t="s">
        <v>86</v>
      </c>
      <c r="I48" s="2">
        <v>45603.657638888886</v>
      </c>
      <c r="J48" t="s">
        <v>231</v>
      </c>
      <c r="K48">
        <v>1</v>
      </c>
      <c r="L48">
        <v>1</v>
      </c>
      <c r="M48">
        <v>161.50909999999999</v>
      </c>
      <c r="N48" t="s">
        <v>237</v>
      </c>
      <c r="O48" s="9">
        <v>11137002.6670586</v>
      </c>
      <c r="P48" s="9">
        <v>23686.395632694799</v>
      </c>
      <c r="Q48" s="5">
        <f t="shared" si="11"/>
        <v>11.137002667058599</v>
      </c>
      <c r="R48" s="5">
        <f t="shared" si="12"/>
        <v>23.686395632694801</v>
      </c>
      <c r="S48">
        <v>27.8</v>
      </c>
      <c r="T48">
        <v>36.9</v>
      </c>
      <c r="U48">
        <v>83</v>
      </c>
      <c r="V48">
        <v>0.45600000000000002</v>
      </c>
      <c r="W48">
        <v>316</v>
      </c>
      <c r="X48" t="s">
        <v>257</v>
      </c>
      <c r="Y48">
        <v>2.5</v>
      </c>
      <c r="Z48" t="str">
        <f t="shared" si="13"/>
        <v>Oligotrophic</v>
      </c>
      <c r="AA48">
        <v>51.6</v>
      </c>
    </row>
    <row r="49" spans="1:27" x14ac:dyDescent="0.55000000000000004">
      <c r="A49">
        <v>108</v>
      </c>
      <c r="B49" t="s">
        <v>79</v>
      </c>
      <c r="C49">
        <v>40102</v>
      </c>
      <c r="D49" s="10" t="s">
        <v>189</v>
      </c>
      <c r="E49">
        <v>-38.052</v>
      </c>
      <c r="F49">
        <v>176.57149999999999</v>
      </c>
      <c r="H49" t="s">
        <v>86</v>
      </c>
      <c r="I49" s="2">
        <v>45603.625</v>
      </c>
      <c r="J49" t="s">
        <v>209</v>
      </c>
      <c r="K49">
        <v>1</v>
      </c>
      <c r="L49">
        <v>1</v>
      </c>
      <c r="M49">
        <v>232.42099999999999</v>
      </c>
      <c r="N49" t="s">
        <v>233</v>
      </c>
      <c r="O49" s="9">
        <v>11137002.6670586</v>
      </c>
      <c r="P49" s="9">
        <v>23686.395632694799</v>
      </c>
      <c r="Q49" s="5">
        <f t="shared" si="11"/>
        <v>11.137002667058599</v>
      </c>
      <c r="R49" s="5">
        <f t="shared" si="12"/>
        <v>23.686395632694801</v>
      </c>
      <c r="S49">
        <v>27.8</v>
      </c>
      <c r="T49">
        <v>36.9</v>
      </c>
      <c r="U49">
        <v>83</v>
      </c>
      <c r="V49">
        <v>0.45600000000000002</v>
      </c>
      <c r="W49">
        <v>316</v>
      </c>
      <c r="X49" t="s">
        <v>257</v>
      </c>
      <c r="Y49">
        <v>2.5</v>
      </c>
      <c r="Z49" t="str">
        <f t="shared" si="13"/>
        <v>Oligotrophic</v>
      </c>
      <c r="AA49">
        <v>51.6</v>
      </c>
    </row>
    <row r="50" spans="1:27" x14ac:dyDescent="0.55000000000000004">
      <c r="A50">
        <v>109</v>
      </c>
      <c r="B50" t="s">
        <v>80</v>
      </c>
      <c r="C50">
        <v>15325</v>
      </c>
      <c r="D50" s="10" t="s">
        <v>190</v>
      </c>
      <c r="E50">
        <v>-38.172840000000001</v>
      </c>
      <c r="F50">
        <v>176.37309999999999</v>
      </c>
      <c r="H50" t="s">
        <v>27</v>
      </c>
      <c r="I50" s="2">
        <v>45596.506944444445</v>
      </c>
      <c r="J50" t="s">
        <v>211</v>
      </c>
      <c r="K50">
        <v>0</v>
      </c>
      <c r="L50">
        <v>1</v>
      </c>
      <c r="O50" s="9">
        <v>3434118.08964225</v>
      </c>
      <c r="P50" s="9">
        <v>11094.524703286501</v>
      </c>
      <c r="Q50" s="5">
        <f>O50/1000000</f>
        <v>3.4341180896422498</v>
      </c>
      <c r="R50" s="5">
        <f>P50/1000</f>
        <v>11.094524703286501</v>
      </c>
      <c r="S50">
        <v>19.600000000000001</v>
      </c>
      <c r="T50">
        <v>20</v>
      </c>
      <c r="U50">
        <v>33.5</v>
      </c>
      <c r="V50">
        <v>6.4000000000000001E-2</v>
      </c>
      <c r="W50">
        <v>355</v>
      </c>
      <c r="X50" t="s">
        <v>257</v>
      </c>
      <c r="Y50">
        <v>3.2</v>
      </c>
      <c r="Z50" t="str">
        <f>IF(ISBLANK(Y50), "", IF(Y50&lt;=2, "Microtrophic", IF(Y50&lt;=3, "Oligotrophic", IF(Y50&lt;=4, "Mesotrophic", IF(Y50&lt;=5, "Eutrophic", "Supertrophic")))))</f>
        <v>Mesotrophic</v>
      </c>
      <c r="AA50">
        <v>65.2</v>
      </c>
    </row>
    <row r="51" spans="1:27" x14ac:dyDescent="0.55000000000000004">
      <c r="A51">
        <v>110</v>
      </c>
      <c r="B51" t="s">
        <v>80</v>
      </c>
      <c r="C51">
        <v>15325</v>
      </c>
      <c r="D51" s="10" t="s">
        <v>191</v>
      </c>
      <c r="E51">
        <v>-38.162320000000001</v>
      </c>
      <c r="F51">
        <v>176.363</v>
      </c>
      <c r="H51" t="s">
        <v>86</v>
      </c>
      <c r="I51" s="2">
        <v>45596.472222222219</v>
      </c>
      <c r="J51" t="s">
        <v>209</v>
      </c>
      <c r="K51">
        <v>1</v>
      </c>
      <c r="L51">
        <v>1</v>
      </c>
      <c r="O51" s="9">
        <v>3434118.08964225</v>
      </c>
      <c r="P51" s="9">
        <v>11094.524703286501</v>
      </c>
      <c r="Q51" s="5">
        <f>O51/1000000</f>
        <v>3.4341180896422498</v>
      </c>
      <c r="R51" s="5">
        <f>P51/1000</f>
        <v>11.094524703286501</v>
      </c>
      <c r="S51">
        <v>19.600000000000001</v>
      </c>
      <c r="T51">
        <v>20</v>
      </c>
      <c r="U51">
        <v>33.5</v>
      </c>
      <c r="V51">
        <v>6.4000000000000001E-2</v>
      </c>
      <c r="W51">
        <v>355</v>
      </c>
      <c r="X51" t="s">
        <v>257</v>
      </c>
      <c r="Y51">
        <v>3.2</v>
      </c>
      <c r="Z51" t="str">
        <f>IF(ISBLANK(Y51), "", IF(Y51&lt;=2, "Microtrophic", IF(Y51&lt;=3, "Oligotrophic", IF(Y51&lt;=4, "Mesotrophic", IF(Y51&lt;=5, "Eutrophic", "Supertrophic")))))</f>
        <v>Mesotrophic</v>
      </c>
      <c r="AA51">
        <v>65.2</v>
      </c>
    </row>
    <row r="52" spans="1:27" x14ac:dyDescent="0.55000000000000004">
      <c r="A52">
        <v>111</v>
      </c>
      <c r="B52" t="s">
        <v>80</v>
      </c>
      <c r="C52">
        <v>15325</v>
      </c>
      <c r="D52" s="10" t="s">
        <v>192</v>
      </c>
      <c r="E52">
        <v>-38.1738</v>
      </c>
      <c r="F52">
        <v>176.35579999999999</v>
      </c>
      <c r="H52" t="s">
        <v>245</v>
      </c>
      <c r="I52" s="2">
        <v>45596.583333333336</v>
      </c>
      <c r="J52" t="s">
        <v>210</v>
      </c>
      <c r="K52">
        <v>0</v>
      </c>
      <c r="L52">
        <v>1</v>
      </c>
      <c r="O52" s="9">
        <v>3434118.08964225</v>
      </c>
      <c r="P52" s="9">
        <v>11094.524703286501</v>
      </c>
      <c r="Q52" s="5">
        <f t="shared" ref="Q52:Q61" si="14">O52/1000000</f>
        <v>3.4341180896422498</v>
      </c>
      <c r="R52" s="5">
        <f t="shared" ref="R52:R61" si="15">P52/1000</f>
        <v>11.094524703286501</v>
      </c>
      <c r="S52">
        <v>19.600000000000001</v>
      </c>
      <c r="T52">
        <v>20</v>
      </c>
      <c r="U52">
        <v>33.5</v>
      </c>
      <c r="V52">
        <v>6.4000000000000001E-2</v>
      </c>
      <c r="W52">
        <v>355</v>
      </c>
      <c r="X52" t="s">
        <v>257</v>
      </c>
      <c r="Y52">
        <v>3.2</v>
      </c>
      <c r="Z52" t="str">
        <f t="shared" ref="Z52:Z61" si="16">IF(ISBLANK(Y52), "", IF(Y52&lt;=2, "Microtrophic", IF(Y52&lt;=3, "Oligotrophic", IF(Y52&lt;=4, "Mesotrophic", IF(Y52&lt;=5, "Eutrophic", "Supertrophic")))))</f>
        <v>Mesotrophic</v>
      </c>
      <c r="AA52">
        <v>65.2</v>
      </c>
    </row>
    <row r="53" spans="1:27" x14ac:dyDescent="0.55000000000000004">
      <c r="A53">
        <v>112</v>
      </c>
      <c r="B53" t="s">
        <v>80</v>
      </c>
      <c r="C53">
        <v>15325</v>
      </c>
      <c r="D53" s="10" t="s">
        <v>193</v>
      </c>
      <c r="E53">
        <v>-38.179720000000003</v>
      </c>
      <c r="F53">
        <v>176.35650000000001</v>
      </c>
      <c r="H53" t="s">
        <v>88</v>
      </c>
      <c r="O53" s="9">
        <v>3434118.08964225</v>
      </c>
      <c r="P53" s="9">
        <v>11094.524703286501</v>
      </c>
      <c r="Q53" s="5">
        <f t="shared" si="14"/>
        <v>3.4341180896422498</v>
      </c>
      <c r="R53" s="5">
        <f t="shared" si="15"/>
        <v>11.094524703286501</v>
      </c>
      <c r="S53">
        <v>19.600000000000001</v>
      </c>
      <c r="T53">
        <v>20</v>
      </c>
      <c r="U53">
        <v>33.5</v>
      </c>
      <c r="V53">
        <v>6.4000000000000001E-2</v>
      </c>
      <c r="W53">
        <v>355</v>
      </c>
      <c r="X53" t="s">
        <v>257</v>
      </c>
      <c r="Y53">
        <v>3.2</v>
      </c>
      <c r="Z53" t="str">
        <f t="shared" si="16"/>
        <v>Mesotrophic</v>
      </c>
      <c r="AA53">
        <v>65.2</v>
      </c>
    </row>
    <row r="54" spans="1:27" x14ac:dyDescent="0.55000000000000004">
      <c r="A54">
        <v>113</v>
      </c>
      <c r="B54" t="s">
        <v>80</v>
      </c>
      <c r="C54">
        <v>15325</v>
      </c>
      <c r="D54" s="10" t="s">
        <v>194</v>
      </c>
      <c r="E54">
        <v>-38.176369999999999</v>
      </c>
      <c r="F54">
        <v>176.37549999999999</v>
      </c>
      <c r="H54" t="s">
        <v>27</v>
      </c>
      <c r="O54" s="9">
        <v>3434118.08964225</v>
      </c>
      <c r="P54" s="9">
        <v>11094.524703286501</v>
      </c>
      <c r="Q54" s="5">
        <f t="shared" si="14"/>
        <v>3.4341180896422498</v>
      </c>
      <c r="R54" s="5">
        <f t="shared" si="15"/>
        <v>11.094524703286501</v>
      </c>
      <c r="S54">
        <v>19.600000000000001</v>
      </c>
      <c r="T54">
        <v>20</v>
      </c>
      <c r="U54">
        <v>33.5</v>
      </c>
      <c r="V54">
        <v>6.4000000000000001E-2</v>
      </c>
      <c r="W54">
        <v>355</v>
      </c>
      <c r="X54" t="s">
        <v>257</v>
      </c>
      <c r="Y54">
        <v>3.2</v>
      </c>
      <c r="Z54" t="str">
        <f t="shared" si="16"/>
        <v>Mesotrophic</v>
      </c>
      <c r="AA54">
        <v>65.2</v>
      </c>
    </row>
    <row r="55" spans="1:27" x14ac:dyDescent="0.55000000000000004">
      <c r="A55">
        <v>114</v>
      </c>
      <c r="B55" t="s">
        <v>80</v>
      </c>
      <c r="C55">
        <v>15325</v>
      </c>
      <c r="D55" s="10" t="s">
        <v>195</v>
      </c>
      <c r="E55">
        <v>-38.161760000000001</v>
      </c>
      <c r="F55">
        <v>176.35570000000001</v>
      </c>
      <c r="H55" t="s">
        <v>245</v>
      </c>
      <c r="I55" s="2">
        <v>45596.458333333336</v>
      </c>
      <c r="J55" t="s">
        <v>211</v>
      </c>
      <c r="K55">
        <v>0</v>
      </c>
      <c r="L55">
        <v>1</v>
      </c>
      <c r="O55" s="9">
        <v>3434118.08964225</v>
      </c>
      <c r="P55" s="9">
        <v>11094.524703286501</v>
      </c>
      <c r="Q55" s="5">
        <f t="shared" si="14"/>
        <v>3.4341180896422498</v>
      </c>
      <c r="R55" s="5">
        <f t="shared" si="15"/>
        <v>11.094524703286501</v>
      </c>
      <c r="S55">
        <v>19.600000000000001</v>
      </c>
      <c r="T55">
        <v>20</v>
      </c>
      <c r="U55">
        <v>33.5</v>
      </c>
      <c r="V55">
        <v>6.4000000000000001E-2</v>
      </c>
      <c r="W55">
        <v>355</v>
      </c>
      <c r="X55" t="s">
        <v>257</v>
      </c>
      <c r="Y55">
        <v>3.2</v>
      </c>
      <c r="Z55" t="str">
        <f t="shared" si="16"/>
        <v>Mesotrophic</v>
      </c>
      <c r="AA55">
        <v>65.2</v>
      </c>
    </row>
    <row r="56" spans="1:27" x14ac:dyDescent="0.55000000000000004">
      <c r="A56">
        <v>115</v>
      </c>
      <c r="B56" t="s">
        <v>80</v>
      </c>
      <c r="C56">
        <v>15325</v>
      </c>
      <c r="D56" s="10" t="s">
        <v>196</v>
      </c>
      <c r="E56">
        <v>-38.172029999999999</v>
      </c>
      <c r="F56">
        <v>176.35589999999999</v>
      </c>
      <c r="H56" t="s">
        <v>86</v>
      </c>
      <c r="I56" s="2">
        <v>45596.569444444445</v>
      </c>
      <c r="J56" t="s">
        <v>211</v>
      </c>
      <c r="K56">
        <v>1</v>
      </c>
      <c r="L56">
        <v>1</v>
      </c>
      <c r="O56" s="9">
        <v>3434118.08964225</v>
      </c>
      <c r="P56" s="9">
        <v>11094.524703286501</v>
      </c>
      <c r="Q56" s="5">
        <f t="shared" si="14"/>
        <v>3.4341180896422498</v>
      </c>
      <c r="R56" s="5">
        <f t="shared" si="15"/>
        <v>11.094524703286501</v>
      </c>
      <c r="S56">
        <v>19.600000000000001</v>
      </c>
      <c r="T56">
        <v>20</v>
      </c>
      <c r="U56">
        <v>33.5</v>
      </c>
      <c r="V56">
        <v>6.4000000000000001E-2</v>
      </c>
      <c r="W56">
        <v>355</v>
      </c>
      <c r="X56" t="s">
        <v>257</v>
      </c>
      <c r="Y56">
        <v>3.2</v>
      </c>
      <c r="Z56" t="str">
        <f t="shared" si="16"/>
        <v>Mesotrophic</v>
      </c>
      <c r="AA56">
        <v>65.2</v>
      </c>
    </row>
    <row r="57" spans="1:27" x14ac:dyDescent="0.55000000000000004">
      <c r="A57">
        <v>116</v>
      </c>
      <c r="B57" t="s">
        <v>80</v>
      </c>
      <c r="C57">
        <v>15325</v>
      </c>
      <c r="D57" s="10" t="s">
        <v>197</v>
      </c>
      <c r="E57">
        <v>-38.176789999999997</v>
      </c>
      <c r="F57">
        <v>176.35509999999999</v>
      </c>
      <c r="H57" t="s">
        <v>88</v>
      </c>
      <c r="I57" s="2">
        <v>45596.548611111109</v>
      </c>
      <c r="J57" t="s">
        <v>212</v>
      </c>
      <c r="K57">
        <v>1</v>
      </c>
      <c r="L57">
        <v>1</v>
      </c>
      <c r="M57" s="6"/>
      <c r="O57" s="9">
        <v>3434118.08964225</v>
      </c>
      <c r="P57" s="9">
        <v>11094.524703286501</v>
      </c>
      <c r="Q57" s="5">
        <f t="shared" si="14"/>
        <v>3.4341180896422498</v>
      </c>
      <c r="R57" s="5">
        <f t="shared" si="15"/>
        <v>11.094524703286501</v>
      </c>
      <c r="S57">
        <v>19.600000000000001</v>
      </c>
      <c r="T57">
        <v>20</v>
      </c>
      <c r="U57">
        <v>33.5</v>
      </c>
      <c r="V57">
        <v>6.4000000000000001E-2</v>
      </c>
      <c r="W57">
        <v>355</v>
      </c>
      <c r="X57" t="s">
        <v>257</v>
      </c>
      <c r="Y57">
        <v>3.2</v>
      </c>
      <c r="Z57" t="str">
        <f t="shared" si="16"/>
        <v>Mesotrophic</v>
      </c>
      <c r="AA57">
        <v>65.2</v>
      </c>
    </row>
    <row r="58" spans="1:27" x14ac:dyDescent="0.55000000000000004">
      <c r="A58">
        <v>117</v>
      </c>
      <c r="B58" t="s">
        <v>80</v>
      </c>
      <c r="C58">
        <v>15325</v>
      </c>
      <c r="D58" s="10" t="s">
        <v>198</v>
      </c>
      <c r="E58">
        <v>-38.170630000000003</v>
      </c>
      <c r="F58">
        <v>176.37180000000001</v>
      </c>
      <c r="H58" t="s">
        <v>27</v>
      </c>
      <c r="I58" s="2">
        <v>45596.488888888889</v>
      </c>
      <c r="J58" t="s">
        <v>211</v>
      </c>
      <c r="K58">
        <v>0</v>
      </c>
      <c r="L58">
        <v>1</v>
      </c>
      <c r="M58" s="6"/>
      <c r="O58" s="9">
        <v>3434118.08964225</v>
      </c>
      <c r="P58" s="9">
        <v>11094.524703286501</v>
      </c>
      <c r="Q58" s="5">
        <f t="shared" si="14"/>
        <v>3.4341180896422498</v>
      </c>
      <c r="R58" s="5">
        <f t="shared" si="15"/>
        <v>11.094524703286501</v>
      </c>
      <c r="S58">
        <v>19.600000000000001</v>
      </c>
      <c r="T58">
        <v>20</v>
      </c>
      <c r="U58">
        <v>33.5</v>
      </c>
      <c r="V58">
        <v>6.4000000000000001E-2</v>
      </c>
      <c r="W58">
        <v>355</v>
      </c>
      <c r="X58" t="s">
        <v>257</v>
      </c>
      <c r="Y58">
        <v>3.2</v>
      </c>
      <c r="Z58" t="str">
        <f t="shared" si="16"/>
        <v>Mesotrophic</v>
      </c>
      <c r="AA58">
        <v>65.2</v>
      </c>
    </row>
    <row r="59" spans="1:27" x14ac:dyDescent="0.55000000000000004">
      <c r="A59">
        <v>118</v>
      </c>
      <c r="B59" t="s">
        <v>80</v>
      </c>
      <c r="C59">
        <v>15325</v>
      </c>
      <c r="D59" s="10" t="s">
        <v>199</v>
      </c>
      <c r="E59">
        <v>-38.167349999999999</v>
      </c>
      <c r="F59">
        <v>176.34739999999999</v>
      </c>
      <c r="H59" t="s">
        <v>86</v>
      </c>
      <c r="I59" s="2">
        <v>45596.416666666664</v>
      </c>
      <c r="J59" t="s">
        <v>209</v>
      </c>
      <c r="K59">
        <v>1</v>
      </c>
      <c r="L59">
        <v>1</v>
      </c>
      <c r="O59" s="9">
        <v>3434118.08964225</v>
      </c>
      <c r="P59" s="9">
        <v>11094.524703286501</v>
      </c>
      <c r="Q59" s="5">
        <f t="shared" si="14"/>
        <v>3.4341180896422498</v>
      </c>
      <c r="R59" s="5">
        <f t="shared" si="15"/>
        <v>11.094524703286501</v>
      </c>
      <c r="S59">
        <v>19.600000000000001</v>
      </c>
      <c r="T59">
        <v>20</v>
      </c>
      <c r="U59">
        <v>33.5</v>
      </c>
      <c r="V59">
        <v>6.4000000000000001E-2</v>
      </c>
      <c r="W59">
        <v>355</v>
      </c>
      <c r="X59" t="s">
        <v>257</v>
      </c>
      <c r="Y59">
        <v>3.2</v>
      </c>
      <c r="Z59" t="str">
        <f t="shared" si="16"/>
        <v>Mesotrophic</v>
      </c>
      <c r="AA59">
        <v>65.2</v>
      </c>
    </row>
    <row r="60" spans="1:27" x14ac:dyDescent="0.55000000000000004">
      <c r="A60">
        <v>119</v>
      </c>
      <c r="B60" t="s">
        <v>80</v>
      </c>
      <c r="C60">
        <v>15325</v>
      </c>
      <c r="D60" s="10" t="s">
        <v>200</v>
      </c>
      <c r="E60">
        <v>-38.176639999999999</v>
      </c>
      <c r="F60">
        <v>176.3527</v>
      </c>
      <c r="H60" t="s">
        <v>245</v>
      </c>
      <c r="I60" s="2">
        <v>45596.604166666664</v>
      </c>
      <c r="J60" t="s">
        <v>211</v>
      </c>
      <c r="K60">
        <v>0</v>
      </c>
      <c r="L60">
        <v>1</v>
      </c>
      <c r="O60" s="9">
        <v>3434118.08964225</v>
      </c>
      <c r="P60" s="9">
        <v>11094.524703286501</v>
      </c>
      <c r="Q60" s="5">
        <f t="shared" si="14"/>
        <v>3.4341180896422498</v>
      </c>
      <c r="R60" s="5">
        <f t="shared" si="15"/>
        <v>11.094524703286501</v>
      </c>
      <c r="S60">
        <v>19.600000000000001</v>
      </c>
      <c r="T60">
        <v>20</v>
      </c>
      <c r="U60">
        <v>33.5</v>
      </c>
      <c r="V60">
        <v>6.4000000000000001E-2</v>
      </c>
      <c r="W60">
        <v>355</v>
      </c>
      <c r="X60" t="s">
        <v>257</v>
      </c>
      <c r="Y60">
        <v>3.2</v>
      </c>
      <c r="Z60" t="str">
        <f t="shared" si="16"/>
        <v>Mesotrophic</v>
      </c>
      <c r="AA60">
        <v>65.2</v>
      </c>
    </row>
    <row r="61" spans="1:27" x14ac:dyDescent="0.55000000000000004">
      <c r="A61">
        <v>120</v>
      </c>
      <c r="B61" t="s">
        <v>80</v>
      </c>
      <c r="C61">
        <v>15325</v>
      </c>
      <c r="D61" s="10" t="s">
        <v>201</v>
      </c>
      <c r="E61">
        <v>-38.172840000000001</v>
      </c>
      <c r="F61">
        <v>176.35040000000001</v>
      </c>
      <c r="H61" t="s">
        <v>86</v>
      </c>
      <c r="I61" s="2">
        <v>45596.381944444445</v>
      </c>
      <c r="J61" t="s">
        <v>213</v>
      </c>
      <c r="K61">
        <v>1</v>
      </c>
      <c r="L61">
        <v>1</v>
      </c>
      <c r="O61" s="9">
        <v>3434118.08964225</v>
      </c>
      <c r="P61" s="9">
        <v>11094.524703286501</v>
      </c>
      <c r="Q61" s="5">
        <f t="shared" si="14"/>
        <v>3.4341180896422498</v>
      </c>
      <c r="R61" s="5">
        <f t="shared" si="15"/>
        <v>11.094524703286501</v>
      </c>
      <c r="S61">
        <v>19.600000000000001</v>
      </c>
      <c r="T61">
        <v>20</v>
      </c>
      <c r="U61">
        <v>33.5</v>
      </c>
      <c r="V61">
        <v>6.4000000000000001E-2</v>
      </c>
      <c r="W61">
        <v>355</v>
      </c>
      <c r="X61" t="s">
        <v>257</v>
      </c>
      <c r="Y61">
        <v>3.2</v>
      </c>
      <c r="Z61" t="str">
        <f t="shared" si="16"/>
        <v>Mesotrophic</v>
      </c>
      <c r="AA61">
        <v>65.2</v>
      </c>
    </row>
    <row r="63" spans="1:27" x14ac:dyDescent="0.55000000000000004">
      <c r="M63" s="6"/>
    </row>
    <row r="64" spans="1:27" x14ac:dyDescent="0.55000000000000004">
      <c r="E64" s="39"/>
      <c r="M64" s="6"/>
    </row>
  </sheetData>
  <pageMargins left="0.7" right="0.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9B6A-0551-4785-B21D-C60C6A31CD5F}">
  <dimension ref="A1:F2067"/>
  <sheetViews>
    <sheetView zoomScale="85" zoomScaleNormal="85" workbookViewId="0">
      <pane xSplit="1" ySplit="1" topLeftCell="B739" activePane="bottomRight" state="frozen"/>
      <selection pane="topRight" activeCell="B1" sqref="B1"/>
      <selection pane="bottomLeft" activeCell="A2" sqref="A2"/>
      <selection pane="bottomRight" activeCell="E772" sqref="E772"/>
    </sheetView>
  </sheetViews>
  <sheetFormatPr defaultRowHeight="14.4" x14ac:dyDescent="0.55000000000000004"/>
  <cols>
    <col min="3" max="3" width="19.68359375" bestFit="1" customWidth="1"/>
    <col min="4" max="4" width="14.15625" bestFit="1" customWidth="1"/>
    <col min="5" max="5" width="16.3671875" customWidth="1"/>
  </cols>
  <sheetData>
    <row r="1" spans="1:6" x14ac:dyDescent="0.55000000000000004">
      <c r="A1" s="1" t="s">
        <v>134</v>
      </c>
      <c r="B1" s="1" t="s">
        <v>99</v>
      </c>
      <c r="C1" s="1" t="s">
        <v>31</v>
      </c>
      <c r="D1" s="1" t="s">
        <v>32</v>
      </c>
      <c r="E1" s="1" t="s">
        <v>33</v>
      </c>
      <c r="F1" s="1" t="s">
        <v>100</v>
      </c>
    </row>
    <row r="2" spans="1:6" x14ac:dyDescent="0.55000000000000004">
      <c r="B2" t="s">
        <v>101</v>
      </c>
      <c r="C2" t="s">
        <v>102</v>
      </c>
      <c r="D2" t="s">
        <v>103</v>
      </c>
      <c r="E2" s="1"/>
      <c r="F2" t="s">
        <v>132</v>
      </c>
    </row>
    <row r="3" spans="1:6" x14ac:dyDescent="0.55000000000000004">
      <c r="B3" t="s">
        <v>101</v>
      </c>
      <c r="C3" s="12" t="s">
        <v>104</v>
      </c>
      <c r="D3" t="s">
        <v>40</v>
      </c>
    </row>
    <row r="4" spans="1:6" x14ac:dyDescent="0.55000000000000004">
      <c r="B4" t="s">
        <v>101</v>
      </c>
      <c r="C4" t="s">
        <v>8</v>
      </c>
      <c r="D4" t="s">
        <v>38</v>
      </c>
    </row>
    <row r="5" spans="1:6" x14ac:dyDescent="0.55000000000000004">
      <c r="B5" t="s">
        <v>101</v>
      </c>
      <c r="C5" t="s">
        <v>214</v>
      </c>
      <c r="D5" t="s">
        <v>38</v>
      </c>
    </row>
    <row r="6" spans="1:6" x14ac:dyDescent="0.55000000000000004">
      <c r="B6" t="s">
        <v>101</v>
      </c>
      <c r="C6" t="s">
        <v>105</v>
      </c>
      <c r="D6" t="s">
        <v>106</v>
      </c>
      <c r="E6">
        <f>E5/10</f>
        <v>0</v>
      </c>
      <c r="F6" t="s">
        <v>107</v>
      </c>
    </row>
    <row r="7" spans="1:6" x14ac:dyDescent="0.55000000000000004">
      <c r="B7" t="s">
        <v>101</v>
      </c>
      <c r="C7" s="2" t="s">
        <v>109</v>
      </c>
      <c r="D7" t="s">
        <v>39</v>
      </c>
    </row>
    <row r="8" spans="1:6" x14ac:dyDescent="0.55000000000000004">
      <c r="B8" t="s">
        <v>101</v>
      </c>
      <c r="C8" s="2" t="s">
        <v>248</v>
      </c>
    </row>
    <row r="9" spans="1:6" x14ac:dyDescent="0.55000000000000004">
      <c r="B9" t="s">
        <v>101</v>
      </c>
      <c r="C9" s="2" t="s">
        <v>108</v>
      </c>
      <c r="D9" t="s">
        <v>39</v>
      </c>
    </row>
    <row r="10" spans="1:6" x14ac:dyDescent="0.55000000000000004">
      <c r="B10" t="s">
        <v>101</v>
      </c>
      <c r="C10" t="s">
        <v>11</v>
      </c>
      <c r="D10" t="s">
        <v>39</v>
      </c>
    </row>
    <row r="11" spans="1:6" x14ac:dyDescent="0.55000000000000004">
      <c r="B11" t="s">
        <v>101</v>
      </c>
      <c r="C11" t="s">
        <v>12</v>
      </c>
      <c r="D11" t="s">
        <v>40</v>
      </c>
    </row>
    <row r="12" spans="1:6" x14ac:dyDescent="0.55000000000000004">
      <c r="B12" t="s">
        <v>101</v>
      </c>
      <c r="C12" t="s">
        <v>34</v>
      </c>
      <c r="D12" t="s">
        <v>39</v>
      </c>
    </row>
    <row r="13" spans="1:6" x14ac:dyDescent="0.55000000000000004">
      <c r="B13" t="s">
        <v>101</v>
      </c>
      <c r="C13" t="s">
        <v>35</v>
      </c>
      <c r="D13" t="s">
        <v>39</v>
      </c>
    </row>
    <row r="14" spans="1:6" x14ac:dyDescent="0.55000000000000004">
      <c r="B14" t="s">
        <v>101</v>
      </c>
      <c r="C14" t="s">
        <v>36</v>
      </c>
      <c r="D14" t="s">
        <v>39</v>
      </c>
    </row>
    <row r="15" spans="1:6" x14ac:dyDescent="0.55000000000000004">
      <c r="B15" t="s">
        <v>101</v>
      </c>
      <c r="C15" t="s">
        <v>37</v>
      </c>
      <c r="D15" t="s">
        <v>39</v>
      </c>
    </row>
    <row r="16" spans="1:6" x14ac:dyDescent="0.55000000000000004">
      <c r="B16" t="s">
        <v>101</v>
      </c>
      <c r="C16" t="s">
        <v>14</v>
      </c>
      <c r="D16" t="s">
        <v>39</v>
      </c>
    </row>
    <row r="17" spans="2:4" x14ac:dyDescent="0.55000000000000004">
      <c r="B17" t="s">
        <v>101</v>
      </c>
      <c r="C17" t="s">
        <v>13</v>
      </c>
      <c r="D17" t="s">
        <v>39</v>
      </c>
    </row>
    <row r="18" spans="2:4" x14ac:dyDescent="0.55000000000000004">
      <c r="B18" t="s">
        <v>101</v>
      </c>
      <c r="C18" t="s">
        <v>110</v>
      </c>
      <c r="D18" t="s">
        <v>39</v>
      </c>
    </row>
    <row r="19" spans="2:4" x14ac:dyDescent="0.55000000000000004">
      <c r="B19" t="s">
        <v>101</v>
      </c>
      <c r="C19" t="s">
        <v>223</v>
      </c>
      <c r="D19" t="s">
        <v>39</v>
      </c>
    </row>
    <row r="20" spans="2:4" x14ac:dyDescent="0.55000000000000004">
      <c r="B20" t="s">
        <v>101</v>
      </c>
      <c r="C20" t="s">
        <v>133</v>
      </c>
      <c r="D20" t="s">
        <v>118</v>
      </c>
    </row>
    <row r="21" spans="2:4" x14ac:dyDescent="0.55000000000000004">
      <c r="B21" t="s">
        <v>111</v>
      </c>
      <c r="C21" t="s">
        <v>18</v>
      </c>
      <c r="D21" t="s">
        <v>42</v>
      </c>
    </row>
    <row r="22" spans="2:4" x14ac:dyDescent="0.55000000000000004">
      <c r="B22" t="s">
        <v>111</v>
      </c>
      <c r="C22" t="s">
        <v>15</v>
      </c>
      <c r="D22" t="s">
        <v>41</v>
      </c>
    </row>
    <row r="23" spans="2:4" x14ac:dyDescent="0.55000000000000004">
      <c r="B23" t="s">
        <v>111</v>
      </c>
      <c r="C23" t="s">
        <v>16</v>
      </c>
      <c r="D23" t="s">
        <v>39</v>
      </c>
    </row>
    <row r="24" spans="2:4" x14ac:dyDescent="0.55000000000000004">
      <c r="B24" t="s">
        <v>111</v>
      </c>
      <c r="C24" t="s">
        <v>112</v>
      </c>
      <c r="D24" t="s">
        <v>113</v>
      </c>
    </row>
    <row r="25" spans="2:4" x14ac:dyDescent="0.55000000000000004">
      <c r="B25" t="s">
        <v>111</v>
      </c>
      <c r="C25" t="s">
        <v>17</v>
      </c>
    </row>
    <row r="26" spans="2:4" x14ac:dyDescent="0.55000000000000004">
      <c r="B26" t="s">
        <v>249</v>
      </c>
      <c r="C26" t="s">
        <v>114</v>
      </c>
      <c r="D26" t="s">
        <v>39</v>
      </c>
    </row>
    <row r="27" spans="2:4" x14ac:dyDescent="0.55000000000000004">
      <c r="B27" t="s">
        <v>249</v>
      </c>
      <c r="C27" t="s">
        <v>250</v>
      </c>
    </row>
    <row r="28" spans="2:4" x14ac:dyDescent="0.55000000000000004">
      <c r="B28" t="s">
        <v>249</v>
      </c>
      <c r="C28" t="s">
        <v>115</v>
      </c>
      <c r="D28" t="s">
        <v>39</v>
      </c>
    </row>
    <row r="29" spans="2:4" x14ac:dyDescent="0.55000000000000004">
      <c r="B29" t="s">
        <v>249</v>
      </c>
      <c r="C29" t="s">
        <v>251</v>
      </c>
    </row>
    <row r="30" spans="2:4" x14ac:dyDescent="0.55000000000000004">
      <c r="B30" t="s">
        <v>249</v>
      </c>
      <c r="C30" t="s">
        <v>116</v>
      </c>
      <c r="D30" t="s">
        <v>40</v>
      </c>
    </row>
    <row r="31" spans="2:4" x14ac:dyDescent="0.55000000000000004">
      <c r="B31" t="s">
        <v>249</v>
      </c>
      <c r="C31" t="s">
        <v>252</v>
      </c>
    </row>
    <row r="32" spans="2:4" x14ac:dyDescent="0.55000000000000004">
      <c r="B32" t="s">
        <v>249</v>
      </c>
      <c r="C32" t="s">
        <v>117</v>
      </c>
      <c r="D32" t="s">
        <v>39</v>
      </c>
    </row>
    <row r="33" spans="2:6" x14ac:dyDescent="0.55000000000000004">
      <c r="B33" t="s">
        <v>249</v>
      </c>
      <c r="C33" t="s">
        <v>21</v>
      </c>
    </row>
    <row r="34" spans="2:6" x14ac:dyDescent="0.55000000000000004">
      <c r="B34" t="s">
        <v>101</v>
      </c>
      <c r="C34" t="s">
        <v>102</v>
      </c>
      <c r="D34" t="s">
        <v>103</v>
      </c>
      <c r="E34" s="1"/>
      <c r="F34" t="s">
        <v>132</v>
      </c>
    </row>
    <row r="35" spans="2:6" x14ac:dyDescent="0.55000000000000004">
      <c r="B35" t="s">
        <v>101</v>
      </c>
      <c r="C35" s="12" t="s">
        <v>104</v>
      </c>
      <c r="D35" t="s">
        <v>40</v>
      </c>
    </row>
    <row r="36" spans="2:6" x14ac:dyDescent="0.55000000000000004">
      <c r="B36" t="s">
        <v>101</v>
      </c>
      <c r="C36" t="s">
        <v>8</v>
      </c>
      <c r="D36" t="s">
        <v>38</v>
      </c>
    </row>
    <row r="37" spans="2:6" x14ac:dyDescent="0.55000000000000004">
      <c r="B37" t="s">
        <v>101</v>
      </c>
      <c r="C37" t="s">
        <v>214</v>
      </c>
      <c r="D37" t="s">
        <v>38</v>
      </c>
    </row>
    <row r="38" spans="2:6" x14ac:dyDescent="0.55000000000000004">
      <c r="B38" t="s">
        <v>101</v>
      </c>
      <c r="C38" t="s">
        <v>105</v>
      </c>
      <c r="D38" t="s">
        <v>106</v>
      </c>
      <c r="E38">
        <f>E37/10</f>
        <v>0</v>
      </c>
      <c r="F38" t="s">
        <v>107</v>
      </c>
    </row>
    <row r="39" spans="2:6" x14ac:dyDescent="0.55000000000000004">
      <c r="B39" t="s">
        <v>101</v>
      </c>
      <c r="C39" s="2" t="s">
        <v>109</v>
      </c>
      <c r="D39" t="s">
        <v>39</v>
      </c>
    </row>
    <row r="40" spans="2:6" x14ac:dyDescent="0.55000000000000004">
      <c r="B40" t="s">
        <v>101</v>
      </c>
      <c r="C40" s="2" t="s">
        <v>248</v>
      </c>
    </row>
    <row r="41" spans="2:6" x14ac:dyDescent="0.55000000000000004">
      <c r="B41" t="s">
        <v>101</v>
      </c>
      <c r="C41" s="2" t="s">
        <v>108</v>
      </c>
      <c r="D41" t="s">
        <v>39</v>
      </c>
    </row>
    <row r="42" spans="2:6" x14ac:dyDescent="0.55000000000000004">
      <c r="B42" t="s">
        <v>101</v>
      </c>
      <c r="C42" t="s">
        <v>11</v>
      </c>
      <c r="D42" t="s">
        <v>39</v>
      </c>
    </row>
    <row r="43" spans="2:6" x14ac:dyDescent="0.55000000000000004">
      <c r="B43" t="s">
        <v>101</v>
      </c>
      <c r="C43" t="s">
        <v>12</v>
      </c>
      <c r="D43" t="s">
        <v>40</v>
      </c>
    </row>
    <row r="44" spans="2:6" x14ac:dyDescent="0.55000000000000004">
      <c r="B44" t="s">
        <v>101</v>
      </c>
      <c r="C44" t="s">
        <v>34</v>
      </c>
      <c r="D44" t="s">
        <v>39</v>
      </c>
    </row>
    <row r="45" spans="2:6" x14ac:dyDescent="0.55000000000000004">
      <c r="B45" t="s">
        <v>101</v>
      </c>
      <c r="C45" t="s">
        <v>35</v>
      </c>
      <c r="D45" t="s">
        <v>39</v>
      </c>
    </row>
    <row r="46" spans="2:6" x14ac:dyDescent="0.55000000000000004">
      <c r="B46" t="s">
        <v>101</v>
      </c>
      <c r="C46" t="s">
        <v>36</v>
      </c>
      <c r="D46" t="s">
        <v>39</v>
      </c>
    </row>
    <row r="47" spans="2:6" x14ac:dyDescent="0.55000000000000004">
      <c r="B47" t="s">
        <v>101</v>
      </c>
      <c r="C47" t="s">
        <v>37</v>
      </c>
      <c r="D47" t="s">
        <v>39</v>
      </c>
    </row>
    <row r="48" spans="2:6" x14ac:dyDescent="0.55000000000000004">
      <c r="B48" t="s">
        <v>101</v>
      </c>
      <c r="C48" t="s">
        <v>14</v>
      </c>
      <c r="D48" t="s">
        <v>39</v>
      </c>
    </row>
    <row r="49" spans="2:4" x14ac:dyDescent="0.55000000000000004">
      <c r="B49" t="s">
        <v>101</v>
      </c>
      <c r="C49" t="s">
        <v>13</v>
      </c>
      <c r="D49" t="s">
        <v>39</v>
      </c>
    </row>
    <row r="50" spans="2:4" x14ac:dyDescent="0.55000000000000004">
      <c r="B50" t="s">
        <v>101</v>
      </c>
      <c r="C50" t="s">
        <v>110</v>
      </c>
      <c r="D50" t="s">
        <v>39</v>
      </c>
    </row>
    <row r="51" spans="2:4" x14ac:dyDescent="0.55000000000000004">
      <c r="B51" t="s">
        <v>101</v>
      </c>
      <c r="C51" t="s">
        <v>223</v>
      </c>
      <c r="D51" t="s">
        <v>39</v>
      </c>
    </row>
    <row r="52" spans="2:4" x14ac:dyDescent="0.55000000000000004">
      <c r="B52" t="s">
        <v>101</v>
      </c>
      <c r="C52" t="s">
        <v>133</v>
      </c>
      <c r="D52" t="s">
        <v>118</v>
      </c>
    </row>
    <row r="53" spans="2:4" x14ac:dyDescent="0.55000000000000004">
      <c r="B53" t="s">
        <v>111</v>
      </c>
      <c r="C53" t="s">
        <v>18</v>
      </c>
      <c r="D53" t="s">
        <v>42</v>
      </c>
    </row>
    <row r="54" spans="2:4" x14ac:dyDescent="0.55000000000000004">
      <c r="B54" t="s">
        <v>111</v>
      </c>
      <c r="C54" t="s">
        <v>15</v>
      </c>
      <c r="D54" t="s">
        <v>41</v>
      </c>
    </row>
    <row r="55" spans="2:4" x14ac:dyDescent="0.55000000000000004">
      <c r="B55" t="s">
        <v>111</v>
      </c>
      <c r="C55" t="s">
        <v>16</v>
      </c>
      <c r="D55" t="s">
        <v>39</v>
      </c>
    </row>
    <row r="56" spans="2:4" x14ac:dyDescent="0.55000000000000004">
      <c r="B56" t="s">
        <v>111</v>
      </c>
      <c r="C56" t="s">
        <v>112</v>
      </c>
      <c r="D56" t="s">
        <v>113</v>
      </c>
    </row>
    <row r="57" spans="2:4" x14ac:dyDescent="0.55000000000000004">
      <c r="B57" t="s">
        <v>111</v>
      </c>
      <c r="C57" t="s">
        <v>17</v>
      </c>
    </row>
    <row r="58" spans="2:4" x14ac:dyDescent="0.55000000000000004">
      <c r="B58" t="s">
        <v>249</v>
      </c>
      <c r="C58" t="s">
        <v>114</v>
      </c>
      <c r="D58" t="s">
        <v>39</v>
      </c>
    </row>
    <row r="59" spans="2:4" x14ac:dyDescent="0.55000000000000004">
      <c r="B59" t="s">
        <v>249</v>
      </c>
      <c r="C59" t="s">
        <v>250</v>
      </c>
    </row>
    <row r="60" spans="2:4" x14ac:dyDescent="0.55000000000000004">
      <c r="B60" t="s">
        <v>249</v>
      </c>
      <c r="C60" t="s">
        <v>115</v>
      </c>
      <c r="D60" t="s">
        <v>39</v>
      </c>
    </row>
    <row r="61" spans="2:4" x14ac:dyDescent="0.55000000000000004">
      <c r="B61" t="s">
        <v>249</v>
      </c>
      <c r="C61" t="s">
        <v>251</v>
      </c>
    </row>
    <row r="62" spans="2:4" x14ac:dyDescent="0.55000000000000004">
      <c r="B62" t="s">
        <v>249</v>
      </c>
      <c r="C62" t="s">
        <v>116</v>
      </c>
      <c r="D62" t="s">
        <v>40</v>
      </c>
    </row>
    <row r="63" spans="2:4" x14ac:dyDescent="0.55000000000000004">
      <c r="B63" t="s">
        <v>249</v>
      </c>
      <c r="C63" t="s">
        <v>252</v>
      </c>
    </row>
    <row r="64" spans="2:4" x14ac:dyDescent="0.55000000000000004">
      <c r="B64" t="s">
        <v>249</v>
      </c>
      <c r="C64" t="s">
        <v>117</v>
      </c>
      <c r="D64" t="s">
        <v>39</v>
      </c>
    </row>
    <row r="65" spans="2:6" x14ac:dyDescent="0.55000000000000004">
      <c r="B65" t="s">
        <v>249</v>
      </c>
      <c r="C65" t="s">
        <v>21</v>
      </c>
    </row>
    <row r="66" spans="2:6" x14ac:dyDescent="0.55000000000000004">
      <c r="B66" t="s">
        <v>101</v>
      </c>
      <c r="C66" t="s">
        <v>102</v>
      </c>
      <c r="D66" t="s">
        <v>103</v>
      </c>
      <c r="E66" s="1"/>
      <c r="F66" t="s">
        <v>132</v>
      </c>
    </row>
    <row r="67" spans="2:6" x14ac:dyDescent="0.55000000000000004">
      <c r="B67" t="s">
        <v>101</v>
      </c>
      <c r="C67" s="12" t="s">
        <v>104</v>
      </c>
      <c r="D67" t="s">
        <v>40</v>
      </c>
    </row>
    <row r="68" spans="2:6" x14ac:dyDescent="0.55000000000000004">
      <c r="B68" t="s">
        <v>101</v>
      </c>
      <c r="C68" t="s">
        <v>8</v>
      </c>
      <c r="D68" t="s">
        <v>38</v>
      </c>
    </row>
    <row r="69" spans="2:6" x14ac:dyDescent="0.55000000000000004">
      <c r="B69" t="s">
        <v>101</v>
      </c>
      <c r="C69" t="s">
        <v>214</v>
      </c>
      <c r="D69" t="s">
        <v>38</v>
      </c>
    </row>
    <row r="70" spans="2:6" x14ac:dyDescent="0.55000000000000004">
      <c r="B70" t="s">
        <v>101</v>
      </c>
      <c r="C70" t="s">
        <v>105</v>
      </c>
      <c r="D70" t="s">
        <v>106</v>
      </c>
      <c r="E70">
        <f>E69/10</f>
        <v>0</v>
      </c>
      <c r="F70" t="s">
        <v>107</v>
      </c>
    </row>
    <row r="71" spans="2:6" x14ac:dyDescent="0.55000000000000004">
      <c r="B71" t="s">
        <v>101</v>
      </c>
      <c r="C71" s="2" t="s">
        <v>109</v>
      </c>
      <c r="D71" t="s">
        <v>39</v>
      </c>
    </row>
    <row r="72" spans="2:6" x14ac:dyDescent="0.55000000000000004">
      <c r="B72" t="s">
        <v>101</v>
      </c>
      <c r="C72" s="2" t="s">
        <v>248</v>
      </c>
    </row>
    <row r="73" spans="2:6" x14ac:dyDescent="0.55000000000000004">
      <c r="B73" t="s">
        <v>101</v>
      </c>
      <c r="C73" s="2" t="s">
        <v>108</v>
      </c>
      <c r="D73" t="s">
        <v>39</v>
      </c>
    </row>
    <row r="74" spans="2:6" x14ac:dyDescent="0.55000000000000004">
      <c r="B74" t="s">
        <v>101</v>
      </c>
      <c r="C74" t="s">
        <v>11</v>
      </c>
      <c r="D74" t="s">
        <v>39</v>
      </c>
    </row>
    <row r="75" spans="2:6" x14ac:dyDescent="0.55000000000000004">
      <c r="B75" t="s">
        <v>101</v>
      </c>
      <c r="C75" t="s">
        <v>12</v>
      </c>
      <c r="D75" t="s">
        <v>40</v>
      </c>
    </row>
    <row r="76" spans="2:6" x14ac:dyDescent="0.55000000000000004">
      <c r="B76" t="s">
        <v>101</v>
      </c>
      <c r="C76" t="s">
        <v>34</v>
      </c>
      <c r="D76" t="s">
        <v>39</v>
      </c>
    </row>
    <row r="77" spans="2:6" x14ac:dyDescent="0.55000000000000004">
      <c r="B77" t="s">
        <v>101</v>
      </c>
      <c r="C77" t="s">
        <v>35</v>
      </c>
      <c r="D77" t="s">
        <v>39</v>
      </c>
    </row>
    <row r="78" spans="2:6" x14ac:dyDescent="0.55000000000000004">
      <c r="B78" t="s">
        <v>101</v>
      </c>
      <c r="C78" t="s">
        <v>36</v>
      </c>
      <c r="D78" t="s">
        <v>39</v>
      </c>
    </row>
    <row r="79" spans="2:6" x14ac:dyDescent="0.55000000000000004">
      <c r="B79" t="s">
        <v>101</v>
      </c>
      <c r="C79" t="s">
        <v>37</v>
      </c>
      <c r="D79" t="s">
        <v>39</v>
      </c>
    </row>
    <row r="80" spans="2:6" x14ac:dyDescent="0.55000000000000004">
      <c r="B80" t="s">
        <v>101</v>
      </c>
      <c r="C80" t="s">
        <v>14</v>
      </c>
      <c r="D80" t="s">
        <v>39</v>
      </c>
    </row>
    <row r="81" spans="2:4" x14ac:dyDescent="0.55000000000000004">
      <c r="B81" t="s">
        <v>101</v>
      </c>
      <c r="C81" t="s">
        <v>13</v>
      </c>
      <c r="D81" t="s">
        <v>39</v>
      </c>
    </row>
    <row r="82" spans="2:4" x14ac:dyDescent="0.55000000000000004">
      <c r="B82" t="s">
        <v>101</v>
      </c>
      <c r="C82" t="s">
        <v>110</v>
      </c>
      <c r="D82" t="s">
        <v>39</v>
      </c>
    </row>
    <row r="83" spans="2:4" x14ac:dyDescent="0.55000000000000004">
      <c r="B83" t="s">
        <v>101</v>
      </c>
      <c r="C83" t="s">
        <v>223</v>
      </c>
      <c r="D83" t="s">
        <v>39</v>
      </c>
    </row>
    <row r="84" spans="2:4" x14ac:dyDescent="0.55000000000000004">
      <c r="B84" t="s">
        <v>101</v>
      </c>
      <c r="C84" t="s">
        <v>133</v>
      </c>
      <c r="D84" t="s">
        <v>118</v>
      </c>
    </row>
    <row r="85" spans="2:4" x14ac:dyDescent="0.55000000000000004">
      <c r="B85" t="s">
        <v>111</v>
      </c>
      <c r="C85" t="s">
        <v>18</v>
      </c>
      <c r="D85" t="s">
        <v>42</v>
      </c>
    </row>
    <row r="86" spans="2:4" x14ac:dyDescent="0.55000000000000004">
      <c r="B86" t="s">
        <v>111</v>
      </c>
      <c r="C86" t="s">
        <v>15</v>
      </c>
      <c r="D86" t="s">
        <v>41</v>
      </c>
    </row>
    <row r="87" spans="2:4" x14ac:dyDescent="0.55000000000000004">
      <c r="B87" t="s">
        <v>111</v>
      </c>
      <c r="C87" t="s">
        <v>16</v>
      </c>
      <c r="D87" t="s">
        <v>39</v>
      </c>
    </row>
    <row r="88" spans="2:4" x14ac:dyDescent="0.55000000000000004">
      <c r="B88" t="s">
        <v>111</v>
      </c>
      <c r="C88" t="s">
        <v>112</v>
      </c>
      <c r="D88" t="s">
        <v>113</v>
      </c>
    </row>
    <row r="89" spans="2:4" x14ac:dyDescent="0.55000000000000004">
      <c r="B89" t="s">
        <v>111</v>
      </c>
      <c r="C89" t="s">
        <v>17</v>
      </c>
    </row>
    <row r="90" spans="2:4" x14ac:dyDescent="0.55000000000000004">
      <c r="B90" t="s">
        <v>249</v>
      </c>
      <c r="C90" t="s">
        <v>114</v>
      </c>
      <c r="D90" t="s">
        <v>39</v>
      </c>
    </row>
    <row r="91" spans="2:4" x14ac:dyDescent="0.55000000000000004">
      <c r="B91" t="s">
        <v>249</v>
      </c>
      <c r="C91" t="s">
        <v>250</v>
      </c>
    </row>
    <row r="92" spans="2:4" x14ac:dyDescent="0.55000000000000004">
      <c r="B92" t="s">
        <v>249</v>
      </c>
      <c r="C92" t="s">
        <v>115</v>
      </c>
      <c r="D92" t="s">
        <v>39</v>
      </c>
    </row>
    <row r="93" spans="2:4" x14ac:dyDescent="0.55000000000000004">
      <c r="B93" t="s">
        <v>249</v>
      </c>
      <c r="C93" t="s">
        <v>251</v>
      </c>
    </row>
    <row r="94" spans="2:4" x14ac:dyDescent="0.55000000000000004">
      <c r="B94" t="s">
        <v>249</v>
      </c>
      <c r="C94" t="s">
        <v>116</v>
      </c>
      <c r="D94" t="s">
        <v>40</v>
      </c>
    </row>
    <row r="95" spans="2:4" x14ac:dyDescent="0.55000000000000004">
      <c r="B95" t="s">
        <v>249</v>
      </c>
      <c r="C95" t="s">
        <v>252</v>
      </c>
    </row>
    <row r="96" spans="2:4" x14ac:dyDescent="0.55000000000000004">
      <c r="B96" t="s">
        <v>249</v>
      </c>
      <c r="C96" t="s">
        <v>117</v>
      </c>
      <c r="D96" t="s">
        <v>39</v>
      </c>
    </row>
    <row r="97" spans="2:6" x14ac:dyDescent="0.55000000000000004">
      <c r="B97" t="s">
        <v>249</v>
      </c>
      <c r="C97" t="s">
        <v>21</v>
      </c>
    </row>
    <row r="98" spans="2:6" x14ac:dyDescent="0.55000000000000004">
      <c r="B98" t="s">
        <v>101</v>
      </c>
      <c r="C98" t="s">
        <v>102</v>
      </c>
      <c r="D98" t="s">
        <v>103</v>
      </c>
      <c r="E98" s="1"/>
      <c r="F98" t="s">
        <v>132</v>
      </c>
    </row>
    <row r="99" spans="2:6" x14ac:dyDescent="0.55000000000000004">
      <c r="B99" t="s">
        <v>101</v>
      </c>
      <c r="C99" s="12" t="s">
        <v>104</v>
      </c>
      <c r="D99" t="s">
        <v>40</v>
      </c>
    </row>
    <row r="100" spans="2:6" x14ac:dyDescent="0.55000000000000004">
      <c r="B100" t="s">
        <v>101</v>
      </c>
      <c r="C100" t="s">
        <v>8</v>
      </c>
      <c r="D100" t="s">
        <v>38</v>
      </c>
    </row>
    <row r="101" spans="2:6" x14ac:dyDescent="0.55000000000000004">
      <c r="B101" t="s">
        <v>101</v>
      </c>
      <c r="C101" t="s">
        <v>214</v>
      </c>
      <c r="D101" t="s">
        <v>38</v>
      </c>
    </row>
    <row r="102" spans="2:6" x14ac:dyDescent="0.55000000000000004">
      <c r="B102" t="s">
        <v>101</v>
      </c>
      <c r="C102" t="s">
        <v>105</v>
      </c>
      <c r="D102" t="s">
        <v>106</v>
      </c>
      <c r="E102">
        <f>E101/10</f>
        <v>0</v>
      </c>
      <c r="F102" t="s">
        <v>107</v>
      </c>
    </row>
    <row r="103" spans="2:6" x14ac:dyDescent="0.55000000000000004">
      <c r="B103" t="s">
        <v>101</v>
      </c>
      <c r="C103" s="2" t="s">
        <v>109</v>
      </c>
      <c r="D103" t="s">
        <v>39</v>
      </c>
    </row>
    <row r="104" spans="2:6" x14ac:dyDescent="0.55000000000000004">
      <c r="B104" t="s">
        <v>101</v>
      </c>
      <c r="C104" s="2" t="s">
        <v>248</v>
      </c>
    </row>
    <row r="105" spans="2:6" x14ac:dyDescent="0.55000000000000004">
      <c r="B105" t="s">
        <v>101</v>
      </c>
      <c r="C105" s="2" t="s">
        <v>108</v>
      </c>
      <c r="D105" t="s">
        <v>39</v>
      </c>
    </row>
    <row r="106" spans="2:6" x14ac:dyDescent="0.55000000000000004">
      <c r="B106" t="s">
        <v>101</v>
      </c>
      <c r="C106" t="s">
        <v>11</v>
      </c>
      <c r="D106" t="s">
        <v>39</v>
      </c>
    </row>
    <row r="107" spans="2:6" x14ac:dyDescent="0.55000000000000004">
      <c r="B107" t="s">
        <v>101</v>
      </c>
      <c r="C107" t="s">
        <v>12</v>
      </c>
      <c r="D107" t="s">
        <v>40</v>
      </c>
    </row>
    <row r="108" spans="2:6" x14ac:dyDescent="0.55000000000000004">
      <c r="B108" t="s">
        <v>101</v>
      </c>
      <c r="C108" t="s">
        <v>34</v>
      </c>
      <c r="D108" t="s">
        <v>39</v>
      </c>
    </row>
    <row r="109" spans="2:6" x14ac:dyDescent="0.55000000000000004">
      <c r="B109" t="s">
        <v>101</v>
      </c>
      <c r="C109" t="s">
        <v>35</v>
      </c>
      <c r="D109" t="s">
        <v>39</v>
      </c>
    </row>
    <row r="110" spans="2:6" x14ac:dyDescent="0.55000000000000004">
      <c r="B110" t="s">
        <v>101</v>
      </c>
      <c r="C110" t="s">
        <v>36</v>
      </c>
      <c r="D110" t="s">
        <v>39</v>
      </c>
    </row>
    <row r="111" spans="2:6" x14ac:dyDescent="0.55000000000000004">
      <c r="B111" t="s">
        <v>101</v>
      </c>
      <c r="C111" t="s">
        <v>37</v>
      </c>
      <c r="D111" t="s">
        <v>39</v>
      </c>
    </row>
    <row r="112" spans="2:6" x14ac:dyDescent="0.55000000000000004">
      <c r="B112" t="s">
        <v>101</v>
      </c>
      <c r="C112" t="s">
        <v>14</v>
      </c>
      <c r="D112" t="s">
        <v>39</v>
      </c>
    </row>
    <row r="113" spans="2:4" x14ac:dyDescent="0.55000000000000004">
      <c r="B113" t="s">
        <v>101</v>
      </c>
      <c r="C113" t="s">
        <v>13</v>
      </c>
      <c r="D113" t="s">
        <v>39</v>
      </c>
    </row>
    <row r="114" spans="2:4" x14ac:dyDescent="0.55000000000000004">
      <c r="B114" t="s">
        <v>101</v>
      </c>
      <c r="C114" t="s">
        <v>110</v>
      </c>
      <c r="D114" t="s">
        <v>39</v>
      </c>
    </row>
    <row r="115" spans="2:4" x14ac:dyDescent="0.55000000000000004">
      <c r="B115" t="s">
        <v>101</v>
      </c>
      <c r="C115" t="s">
        <v>223</v>
      </c>
      <c r="D115" t="s">
        <v>39</v>
      </c>
    </row>
    <row r="116" spans="2:4" x14ac:dyDescent="0.55000000000000004">
      <c r="B116" t="s">
        <v>101</v>
      </c>
      <c r="C116" t="s">
        <v>133</v>
      </c>
      <c r="D116" t="s">
        <v>118</v>
      </c>
    </row>
    <row r="117" spans="2:4" x14ac:dyDescent="0.55000000000000004">
      <c r="B117" t="s">
        <v>111</v>
      </c>
      <c r="C117" t="s">
        <v>18</v>
      </c>
      <c r="D117" t="s">
        <v>42</v>
      </c>
    </row>
    <row r="118" spans="2:4" x14ac:dyDescent="0.55000000000000004">
      <c r="B118" t="s">
        <v>111</v>
      </c>
      <c r="C118" t="s">
        <v>15</v>
      </c>
      <c r="D118" t="s">
        <v>41</v>
      </c>
    </row>
    <row r="119" spans="2:4" x14ac:dyDescent="0.55000000000000004">
      <c r="B119" t="s">
        <v>111</v>
      </c>
      <c r="C119" t="s">
        <v>16</v>
      </c>
      <c r="D119" t="s">
        <v>39</v>
      </c>
    </row>
    <row r="120" spans="2:4" x14ac:dyDescent="0.55000000000000004">
      <c r="B120" t="s">
        <v>111</v>
      </c>
      <c r="C120" t="s">
        <v>112</v>
      </c>
      <c r="D120" t="s">
        <v>113</v>
      </c>
    </row>
    <row r="121" spans="2:4" x14ac:dyDescent="0.55000000000000004">
      <c r="B121" t="s">
        <v>111</v>
      </c>
      <c r="C121" t="s">
        <v>17</v>
      </c>
    </row>
    <row r="122" spans="2:4" x14ac:dyDescent="0.55000000000000004">
      <c r="B122" t="s">
        <v>249</v>
      </c>
      <c r="C122" t="s">
        <v>114</v>
      </c>
      <c r="D122" t="s">
        <v>39</v>
      </c>
    </row>
    <row r="123" spans="2:4" x14ac:dyDescent="0.55000000000000004">
      <c r="B123" t="s">
        <v>249</v>
      </c>
      <c r="C123" t="s">
        <v>250</v>
      </c>
    </row>
    <row r="124" spans="2:4" x14ac:dyDescent="0.55000000000000004">
      <c r="B124" t="s">
        <v>249</v>
      </c>
      <c r="C124" t="s">
        <v>115</v>
      </c>
      <c r="D124" t="s">
        <v>39</v>
      </c>
    </row>
    <row r="125" spans="2:4" x14ac:dyDescent="0.55000000000000004">
      <c r="B125" t="s">
        <v>249</v>
      </c>
      <c r="C125" t="s">
        <v>251</v>
      </c>
    </row>
    <row r="126" spans="2:4" x14ac:dyDescent="0.55000000000000004">
      <c r="B126" t="s">
        <v>249</v>
      </c>
      <c r="C126" t="s">
        <v>116</v>
      </c>
      <c r="D126" t="s">
        <v>40</v>
      </c>
    </row>
    <row r="127" spans="2:4" x14ac:dyDescent="0.55000000000000004">
      <c r="B127" t="s">
        <v>249</v>
      </c>
      <c r="C127" t="s">
        <v>252</v>
      </c>
    </row>
    <row r="128" spans="2:4" x14ac:dyDescent="0.55000000000000004">
      <c r="B128" t="s">
        <v>249</v>
      </c>
      <c r="C128" t="s">
        <v>117</v>
      </c>
      <c r="D128" t="s">
        <v>39</v>
      </c>
    </row>
    <row r="129" spans="2:6" x14ac:dyDescent="0.55000000000000004">
      <c r="B129" t="s">
        <v>249</v>
      </c>
      <c r="C129" t="s">
        <v>21</v>
      </c>
    </row>
    <row r="130" spans="2:6" x14ac:dyDescent="0.55000000000000004">
      <c r="B130" t="s">
        <v>101</v>
      </c>
      <c r="C130" t="s">
        <v>102</v>
      </c>
      <c r="D130" t="s">
        <v>103</v>
      </c>
      <c r="E130" s="1"/>
      <c r="F130" t="s">
        <v>132</v>
      </c>
    </row>
    <row r="131" spans="2:6" x14ac:dyDescent="0.55000000000000004">
      <c r="B131" t="s">
        <v>101</v>
      </c>
      <c r="C131" s="12" t="s">
        <v>104</v>
      </c>
      <c r="D131" t="s">
        <v>40</v>
      </c>
    </row>
    <row r="132" spans="2:6" x14ac:dyDescent="0.55000000000000004">
      <c r="B132" t="s">
        <v>101</v>
      </c>
      <c r="C132" t="s">
        <v>8</v>
      </c>
      <c r="D132" t="s">
        <v>38</v>
      </c>
    </row>
    <row r="133" spans="2:6" x14ac:dyDescent="0.55000000000000004">
      <c r="B133" t="s">
        <v>101</v>
      </c>
      <c r="C133" t="s">
        <v>214</v>
      </c>
      <c r="D133" t="s">
        <v>38</v>
      </c>
    </row>
    <row r="134" spans="2:6" x14ac:dyDescent="0.55000000000000004">
      <c r="B134" t="s">
        <v>101</v>
      </c>
      <c r="C134" t="s">
        <v>105</v>
      </c>
      <c r="D134" t="s">
        <v>106</v>
      </c>
      <c r="E134">
        <f>E133/10</f>
        <v>0</v>
      </c>
      <c r="F134" t="s">
        <v>107</v>
      </c>
    </row>
    <row r="135" spans="2:6" x14ac:dyDescent="0.55000000000000004">
      <c r="B135" t="s">
        <v>101</v>
      </c>
      <c r="C135" s="2" t="s">
        <v>109</v>
      </c>
      <c r="D135" t="s">
        <v>39</v>
      </c>
    </row>
    <row r="136" spans="2:6" x14ac:dyDescent="0.55000000000000004">
      <c r="B136" t="s">
        <v>101</v>
      </c>
      <c r="C136" s="2" t="s">
        <v>248</v>
      </c>
    </row>
    <row r="137" spans="2:6" x14ac:dyDescent="0.55000000000000004">
      <c r="B137" t="s">
        <v>101</v>
      </c>
      <c r="C137" s="2" t="s">
        <v>108</v>
      </c>
      <c r="D137" t="s">
        <v>39</v>
      </c>
    </row>
    <row r="138" spans="2:6" x14ac:dyDescent="0.55000000000000004">
      <c r="B138" t="s">
        <v>101</v>
      </c>
      <c r="C138" t="s">
        <v>11</v>
      </c>
      <c r="D138" t="s">
        <v>39</v>
      </c>
    </row>
    <row r="139" spans="2:6" x14ac:dyDescent="0.55000000000000004">
      <c r="B139" t="s">
        <v>101</v>
      </c>
      <c r="C139" t="s">
        <v>12</v>
      </c>
      <c r="D139" t="s">
        <v>40</v>
      </c>
    </row>
    <row r="140" spans="2:6" x14ac:dyDescent="0.55000000000000004">
      <c r="B140" t="s">
        <v>101</v>
      </c>
      <c r="C140" t="s">
        <v>34</v>
      </c>
      <c r="D140" t="s">
        <v>39</v>
      </c>
    </row>
    <row r="141" spans="2:6" x14ac:dyDescent="0.55000000000000004">
      <c r="B141" t="s">
        <v>101</v>
      </c>
      <c r="C141" t="s">
        <v>35</v>
      </c>
      <c r="D141" t="s">
        <v>39</v>
      </c>
    </row>
    <row r="142" spans="2:6" x14ac:dyDescent="0.55000000000000004">
      <c r="B142" t="s">
        <v>101</v>
      </c>
      <c r="C142" t="s">
        <v>36</v>
      </c>
      <c r="D142" t="s">
        <v>39</v>
      </c>
    </row>
    <row r="143" spans="2:6" x14ac:dyDescent="0.55000000000000004">
      <c r="B143" t="s">
        <v>101</v>
      </c>
      <c r="C143" t="s">
        <v>37</v>
      </c>
      <c r="D143" t="s">
        <v>39</v>
      </c>
    </row>
    <row r="144" spans="2:6" x14ac:dyDescent="0.55000000000000004">
      <c r="B144" t="s">
        <v>101</v>
      </c>
      <c r="C144" t="s">
        <v>14</v>
      </c>
      <c r="D144" t="s">
        <v>39</v>
      </c>
    </row>
    <row r="145" spans="2:4" x14ac:dyDescent="0.55000000000000004">
      <c r="B145" t="s">
        <v>101</v>
      </c>
      <c r="C145" t="s">
        <v>13</v>
      </c>
      <c r="D145" t="s">
        <v>39</v>
      </c>
    </row>
    <row r="146" spans="2:4" x14ac:dyDescent="0.55000000000000004">
      <c r="B146" t="s">
        <v>101</v>
      </c>
      <c r="C146" t="s">
        <v>110</v>
      </c>
      <c r="D146" t="s">
        <v>39</v>
      </c>
    </row>
    <row r="147" spans="2:4" x14ac:dyDescent="0.55000000000000004">
      <c r="B147" t="s">
        <v>101</v>
      </c>
      <c r="C147" t="s">
        <v>223</v>
      </c>
      <c r="D147" t="s">
        <v>39</v>
      </c>
    </row>
    <row r="148" spans="2:4" x14ac:dyDescent="0.55000000000000004">
      <c r="B148" t="s">
        <v>101</v>
      </c>
      <c r="C148" t="s">
        <v>133</v>
      </c>
      <c r="D148" t="s">
        <v>118</v>
      </c>
    </row>
    <row r="149" spans="2:4" x14ac:dyDescent="0.55000000000000004">
      <c r="B149" t="s">
        <v>111</v>
      </c>
      <c r="C149" t="s">
        <v>18</v>
      </c>
      <c r="D149" t="s">
        <v>42</v>
      </c>
    </row>
    <row r="150" spans="2:4" x14ac:dyDescent="0.55000000000000004">
      <c r="B150" t="s">
        <v>111</v>
      </c>
      <c r="C150" t="s">
        <v>15</v>
      </c>
      <c r="D150" t="s">
        <v>41</v>
      </c>
    </row>
    <row r="151" spans="2:4" x14ac:dyDescent="0.55000000000000004">
      <c r="B151" t="s">
        <v>111</v>
      </c>
      <c r="C151" t="s">
        <v>16</v>
      </c>
      <c r="D151" t="s">
        <v>39</v>
      </c>
    </row>
    <row r="152" spans="2:4" x14ac:dyDescent="0.55000000000000004">
      <c r="B152" t="s">
        <v>111</v>
      </c>
      <c r="C152" t="s">
        <v>112</v>
      </c>
      <c r="D152" t="s">
        <v>113</v>
      </c>
    </row>
    <row r="153" spans="2:4" x14ac:dyDescent="0.55000000000000004">
      <c r="B153" t="s">
        <v>111</v>
      </c>
      <c r="C153" t="s">
        <v>17</v>
      </c>
    </row>
    <row r="154" spans="2:4" x14ac:dyDescent="0.55000000000000004">
      <c r="B154" t="s">
        <v>249</v>
      </c>
      <c r="C154" t="s">
        <v>114</v>
      </c>
      <c r="D154" t="s">
        <v>39</v>
      </c>
    </row>
    <row r="155" spans="2:4" x14ac:dyDescent="0.55000000000000004">
      <c r="B155" t="s">
        <v>249</v>
      </c>
      <c r="C155" t="s">
        <v>250</v>
      </c>
    </row>
    <row r="156" spans="2:4" x14ac:dyDescent="0.55000000000000004">
      <c r="B156" t="s">
        <v>249</v>
      </c>
      <c r="C156" t="s">
        <v>115</v>
      </c>
      <c r="D156" t="s">
        <v>39</v>
      </c>
    </row>
    <row r="157" spans="2:4" x14ac:dyDescent="0.55000000000000004">
      <c r="B157" t="s">
        <v>249</v>
      </c>
      <c r="C157" t="s">
        <v>251</v>
      </c>
    </row>
    <row r="158" spans="2:4" x14ac:dyDescent="0.55000000000000004">
      <c r="B158" t="s">
        <v>249</v>
      </c>
      <c r="C158" t="s">
        <v>116</v>
      </c>
      <c r="D158" t="s">
        <v>40</v>
      </c>
    </row>
    <row r="159" spans="2:4" x14ac:dyDescent="0.55000000000000004">
      <c r="B159" t="s">
        <v>249</v>
      </c>
      <c r="C159" t="s">
        <v>252</v>
      </c>
    </row>
    <row r="160" spans="2:4" x14ac:dyDescent="0.55000000000000004">
      <c r="B160" t="s">
        <v>249</v>
      </c>
      <c r="C160" t="s">
        <v>117</v>
      </c>
      <c r="D160" t="s">
        <v>39</v>
      </c>
    </row>
    <row r="161" spans="2:6" x14ac:dyDescent="0.55000000000000004">
      <c r="B161" t="s">
        <v>249</v>
      </c>
      <c r="C161" t="s">
        <v>21</v>
      </c>
    </row>
    <row r="162" spans="2:6" x14ac:dyDescent="0.55000000000000004">
      <c r="B162" t="s">
        <v>101</v>
      </c>
      <c r="C162" t="s">
        <v>102</v>
      </c>
      <c r="D162" t="s">
        <v>103</v>
      </c>
      <c r="E162" s="1"/>
      <c r="F162" t="s">
        <v>132</v>
      </c>
    </row>
    <row r="163" spans="2:6" x14ac:dyDescent="0.55000000000000004">
      <c r="B163" t="s">
        <v>101</v>
      </c>
      <c r="C163" s="12" t="s">
        <v>104</v>
      </c>
      <c r="D163" t="s">
        <v>40</v>
      </c>
    </row>
    <row r="164" spans="2:6" x14ac:dyDescent="0.55000000000000004">
      <c r="B164" t="s">
        <v>101</v>
      </c>
      <c r="C164" t="s">
        <v>8</v>
      </c>
      <c r="D164" t="s">
        <v>38</v>
      </c>
    </row>
    <row r="165" spans="2:6" x14ac:dyDescent="0.55000000000000004">
      <c r="B165" t="s">
        <v>101</v>
      </c>
      <c r="C165" t="s">
        <v>214</v>
      </c>
      <c r="D165" t="s">
        <v>38</v>
      </c>
    </row>
    <row r="166" spans="2:6" x14ac:dyDescent="0.55000000000000004">
      <c r="B166" t="s">
        <v>101</v>
      </c>
      <c r="C166" t="s">
        <v>105</v>
      </c>
      <c r="D166" t="s">
        <v>106</v>
      </c>
      <c r="E166">
        <f>E165/10</f>
        <v>0</v>
      </c>
      <c r="F166" t="s">
        <v>107</v>
      </c>
    </row>
    <row r="167" spans="2:6" x14ac:dyDescent="0.55000000000000004">
      <c r="B167" t="s">
        <v>101</v>
      </c>
      <c r="C167" s="2" t="s">
        <v>109</v>
      </c>
      <c r="D167" t="s">
        <v>39</v>
      </c>
    </row>
    <row r="168" spans="2:6" x14ac:dyDescent="0.55000000000000004">
      <c r="B168" t="s">
        <v>101</v>
      </c>
      <c r="C168" s="2" t="s">
        <v>248</v>
      </c>
    </row>
    <row r="169" spans="2:6" x14ac:dyDescent="0.55000000000000004">
      <c r="B169" t="s">
        <v>101</v>
      </c>
      <c r="C169" s="2" t="s">
        <v>108</v>
      </c>
      <c r="D169" t="s">
        <v>39</v>
      </c>
    </row>
    <row r="170" spans="2:6" x14ac:dyDescent="0.55000000000000004">
      <c r="B170" t="s">
        <v>101</v>
      </c>
      <c r="C170" t="s">
        <v>11</v>
      </c>
      <c r="D170" t="s">
        <v>39</v>
      </c>
    </row>
    <row r="171" spans="2:6" x14ac:dyDescent="0.55000000000000004">
      <c r="B171" t="s">
        <v>101</v>
      </c>
      <c r="C171" t="s">
        <v>12</v>
      </c>
      <c r="D171" t="s">
        <v>40</v>
      </c>
    </row>
    <row r="172" spans="2:6" x14ac:dyDescent="0.55000000000000004">
      <c r="B172" t="s">
        <v>101</v>
      </c>
      <c r="C172" t="s">
        <v>34</v>
      </c>
      <c r="D172" t="s">
        <v>39</v>
      </c>
    </row>
    <row r="173" spans="2:6" x14ac:dyDescent="0.55000000000000004">
      <c r="B173" t="s">
        <v>101</v>
      </c>
      <c r="C173" t="s">
        <v>35</v>
      </c>
      <c r="D173" t="s">
        <v>39</v>
      </c>
    </row>
    <row r="174" spans="2:6" x14ac:dyDescent="0.55000000000000004">
      <c r="B174" t="s">
        <v>101</v>
      </c>
      <c r="C174" t="s">
        <v>36</v>
      </c>
      <c r="D174" t="s">
        <v>39</v>
      </c>
    </row>
    <row r="175" spans="2:6" x14ac:dyDescent="0.55000000000000004">
      <c r="B175" t="s">
        <v>101</v>
      </c>
      <c r="C175" t="s">
        <v>37</v>
      </c>
      <c r="D175" t="s">
        <v>39</v>
      </c>
    </row>
    <row r="176" spans="2:6" x14ac:dyDescent="0.55000000000000004">
      <c r="B176" t="s">
        <v>101</v>
      </c>
      <c r="C176" t="s">
        <v>14</v>
      </c>
      <c r="D176" t="s">
        <v>39</v>
      </c>
    </row>
    <row r="177" spans="2:4" x14ac:dyDescent="0.55000000000000004">
      <c r="B177" t="s">
        <v>101</v>
      </c>
      <c r="C177" t="s">
        <v>13</v>
      </c>
      <c r="D177" t="s">
        <v>39</v>
      </c>
    </row>
    <row r="178" spans="2:4" x14ac:dyDescent="0.55000000000000004">
      <c r="B178" t="s">
        <v>101</v>
      </c>
      <c r="C178" t="s">
        <v>110</v>
      </c>
      <c r="D178" t="s">
        <v>39</v>
      </c>
    </row>
    <row r="179" spans="2:4" x14ac:dyDescent="0.55000000000000004">
      <c r="B179" t="s">
        <v>101</v>
      </c>
      <c r="C179" t="s">
        <v>223</v>
      </c>
      <c r="D179" t="s">
        <v>39</v>
      </c>
    </row>
    <row r="180" spans="2:4" x14ac:dyDescent="0.55000000000000004">
      <c r="B180" t="s">
        <v>101</v>
      </c>
      <c r="C180" t="s">
        <v>133</v>
      </c>
      <c r="D180" t="s">
        <v>118</v>
      </c>
    </row>
    <row r="181" spans="2:4" x14ac:dyDescent="0.55000000000000004">
      <c r="B181" t="s">
        <v>111</v>
      </c>
      <c r="C181" t="s">
        <v>18</v>
      </c>
      <c r="D181" t="s">
        <v>42</v>
      </c>
    </row>
    <row r="182" spans="2:4" x14ac:dyDescent="0.55000000000000004">
      <c r="B182" t="s">
        <v>111</v>
      </c>
      <c r="C182" t="s">
        <v>15</v>
      </c>
      <c r="D182" t="s">
        <v>41</v>
      </c>
    </row>
    <row r="183" spans="2:4" x14ac:dyDescent="0.55000000000000004">
      <c r="B183" t="s">
        <v>111</v>
      </c>
      <c r="C183" t="s">
        <v>16</v>
      </c>
      <c r="D183" t="s">
        <v>39</v>
      </c>
    </row>
    <row r="184" spans="2:4" x14ac:dyDescent="0.55000000000000004">
      <c r="B184" t="s">
        <v>111</v>
      </c>
      <c r="C184" t="s">
        <v>112</v>
      </c>
      <c r="D184" t="s">
        <v>113</v>
      </c>
    </row>
    <row r="185" spans="2:4" x14ac:dyDescent="0.55000000000000004">
      <c r="B185" t="s">
        <v>111</v>
      </c>
      <c r="C185" t="s">
        <v>17</v>
      </c>
    </row>
    <row r="186" spans="2:4" x14ac:dyDescent="0.55000000000000004">
      <c r="B186" t="s">
        <v>249</v>
      </c>
      <c r="C186" t="s">
        <v>114</v>
      </c>
      <c r="D186" t="s">
        <v>39</v>
      </c>
    </row>
    <row r="187" spans="2:4" x14ac:dyDescent="0.55000000000000004">
      <c r="B187" t="s">
        <v>249</v>
      </c>
      <c r="C187" t="s">
        <v>250</v>
      </c>
    </row>
    <row r="188" spans="2:4" x14ac:dyDescent="0.55000000000000004">
      <c r="B188" t="s">
        <v>249</v>
      </c>
      <c r="C188" t="s">
        <v>115</v>
      </c>
      <c r="D188" t="s">
        <v>39</v>
      </c>
    </row>
    <row r="189" spans="2:4" x14ac:dyDescent="0.55000000000000004">
      <c r="B189" t="s">
        <v>249</v>
      </c>
      <c r="C189" t="s">
        <v>251</v>
      </c>
    </row>
    <row r="190" spans="2:4" x14ac:dyDescent="0.55000000000000004">
      <c r="B190" t="s">
        <v>249</v>
      </c>
      <c r="C190" t="s">
        <v>116</v>
      </c>
      <c r="D190" t="s">
        <v>40</v>
      </c>
    </row>
    <row r="191" spans="2:4" x14ac:dyDescent="0.55000000000000004">
      <c r="B191" t="s">
        <v>249</v>
      </c>
      <c r="C191" t="s">
        <v>252</v>
      </c>
    </row>
    <row r="192" spans="2:4" x14ac:dyDescent="0.55000000000000004">
      <c r="B192" t="s">
        <v>249</v>
      </c>
      <c r="C192" t="s">
        <v>117</v>
      </c>
      <c r="D192" t="s">
        <v>39</v>
      </c>
    </row>
    <row r="193" spans="2:6" x14ac:dyDescent="0.55000000000000004">
      <c r="B193" t="s">
        <v>249</v>
      </c>
      <c r="C193" t="s">
        <v>21</v>
      </c>
    </row>
    <row r="194" spans="2:6" x14ac:dyDescent="0.55000000000000004">
      <c r="B194" t="s">
        <v>101</v>
      </c>
      <c r="C194" t="s">
        <v>102</v>
      </c>
      <c r="D194" t="s">
        <v>103</v>
      </c>
      <c r="E194" s="1"/>
      <c r="F194" t="s">
        <v>132</v>
      </c>
    </row>
    <row r="195" spans="2:6" x14ac:dyDescent="0.55000000000000004">
      <c r="B195" t="s">
        <v>101</v>
      </c>
      <c r="C195" s="12" t="s">
        <v>104</v>
      </c>
      <c r="D195" t="s">
        <v>40</v>
      </c>
    </row>
    <row r="196" spans="2:6" x14ac:dyDescent="0.55000000000000004">
      <c r="B196" t="s">
        <v>101</v>
      </c>
      <c r="C196" t="s">
        <v>8</v>
      </c>
      <c r="D196" t="s">
        <v>38</v>
      </c>
    </row>
    <row r="197" spans="2:6" x14ac:dyDescent="0.55000000000000004">
      <c r="B197" t="s">
        <v>101</v>
      </c>
      <c r="C197" t="s">
        <v>214</v>
      </c>
      <c r="D197" t="s">
        <v>38</v>
      </c>
    </row>
    <row r="198" spans="2:6" x14ac:dyDescent="0.55000000000000004">
      <c r="B198" t="s">
        <v>101</v>
      </c>
      <c r="C198" t="s">
        <v>105</v>
      </c>
      <c r="D198" t="s">
        <v>106</v>
      </c>
      <c r="E198">
        <f>E197/10</f>
        <v>0</v>
      </c>
      <c r="F198" t="s">
        <v>107</v>
      </c>
    </row>
    <row r="199" spans="2:6" x14ac:dyDescent="0.55000000000000004">
      <c r="B199" t="s">
        <v>101</v>
      </c>
      <c r="C199" s="2" t="s">
        <v>109</v>
      </c>
      <c r="D199" t="s">
        <v>39</v>
      </c>
    </row>
    <row r="200" spans="2:6" x14ac:dyDescent="0.55000000000000004">
      <c r="B200" t="s">
        <v>101</v>
      </c>
      <c r="C200" s="2" t="s">
        <v>248</v>
      </c>
    </row>
    <row r="201" spans="2:6" x14ac:dyDescent="0.55000000000000004">
      <c r="B201" t="s">
        <v>101</v>
      </c>
      <c r="C201" s="2" t="s">
        <v>108</v>
      </c>
      <c r="D201" t="s">
        <v>39</v>
      </c>
    </row>
    <row r="202" spans="2:6" x14ac:dyDescent="0.55000000000000004">
      <c r="B202" t="s">
        <v>101</v>
      </c>
      <c r="C202" t="s">
        <v>11</v>
      </c>
      <c r="D202" t="s">
        <v>39</v>
      </c>
    </row>
    <row r="203" spans="2:6" x14ac:dyDescent="0.55000000000000004">
      <c r="B203" t="s">
        <v>101</v>
      </c>
      <c r="C203" t="s">
        <v>12</v>
      </c>
      <c r="D203" t="s">
        <v>40</v>
      </c>
    </row>
    <row r="204" spans="2:6" x14ac:dyDescent="0.55000000000000004">
      <c r="B204" t="s">
        <v>101</v>
      </c>
      <c r="C204" t="s">
        <v>34</v>
      </c>
      <c r="D204" t="s">
        <v>39</v>
      </c>
    </row>
    <row r="205" spans="2:6" x14ac:dyDescent="0.55000000000000004">
      <c r="B205" t="s">
        <v>101</v>
      </c>
      <c r="C205" t="s">
        <v>35</v>
      </c>
      <c r="D205" t="s">
        <v>39</v>
      </c>
    </row>
    <row r="206" spans="2:6" x14ac:dyDescent="0.55000000000000004">
      <c r="B206" t="s">
        <v>101</v>
      </c>
      <c r="C206" t="s">
        <v>36</v>
      </c>
      <c r="D206" t="s">
        <v>39</v>
      </c>
    </row>
    <row r="207" spans="2:6" x14ac:dyDescent="0.55000000000000004">
      <c r="B207" t="s">
        <v>101</v>
      </c>
      <c r="C207" t="s">
        <v>37</v>
      </c>
      <c r="D207" t="s">
        <v>39</v>
      </c>
    </row>
    <row r="208" spans="2:6" x14ac:dyDescent="0.55000000000000004">
      <c r="B208" t="s">
        <v>101</v>
      </c>
      <c r="C208" t="s">
        <v>14</v>
      </c>
      <c r="D208" t="s">
        <v>39</v>
      </c>
    </row>
    <row r="209" spans="2:4" x14ac:dyDescent="0.55000000000000004">
      <c r="B209" t="s">
        <v>101</v>
      </c>
      <c r="C209" t="s">
        <v>13</v>
      </c>
      <c r="D209" t="s">
        <v>39</v>
      </c>
    </row>
    <row r="210" spans="2:4" x14ac:dyDescent="0.55000000000000004">
      <c r="B210" t="s">
        <v>101</v>
      </c>
      <c r="C210" t="s">
        <v>110</v>
      </c>
      <c r="D210" t="s">
        <v>39</v>
      </c>
    </row>
    <row r="211" spans="2:4" x14ac:dyDescent="0.55000000000000004">
      <c r="B211" t="s">
        <v>101</v>
      </c>
      <c r="C211" t="s">
        <v>223</v>
      </c>
      <c r="D211" t="s">
        <v>39</v>
      </c>
    </row>
    <row r="212" spans="2:4" x14ac:dyDescent="0.55000000000000004">
      <c r="B212" t="s">
        <v>101</v>
      </c>
      <c r="C212" t="s">
        <v>133</v>
      </c>
      <c r="D212" t="s">
        <v>118</v>
      </c>
    </row>
    <row r="213" spans="2:4" x14ac:dyDescent="0.55000000000000004">
      <c r="B213" t="s">
        <v>111</v>
      </c>
      <c r="C213" t="s">
        <v>18</v>
      </c>
      <c r="D213" t="s">
        <v>42</v>
      </c>
    </row>
    <row r="214" spans="2:4" x14ac:dyDescent="0.55000000000000004">
      <c r="B214" t="s">
        <v>111</v>
      </c>
      <c r="C214" t="s">
        <v>15</v>
      </c>
      <c r="D214" t="s">
        <v>41</v>
      </c>
    </row>
    <row r="215" spans="2:4" x14ac:dyDescent="0.55000000000000004">
      <c r="B215" t="s">
        <v>111</v>
      </c>
      <c r="C215" t="s">
        <v>16</v>
      </c>
      <c r="D215" t="s">
        <v>39</v>
      </c>
    </row>
    <row r="216" spans="2:4" x14ac:dyDescent="0.55000000000000004">
      <c r="B216" t="s">
        <v>111</v>
      </c>
      <c r="C216" t="s">
        <v>112</v>
      </c>
      <c r="D216" t="s">
        <v>113</v>
      </c>
    </row>
    <row r="217" spans="2:4" x14ac:dyDescent="0.55000000000000004">
      <c r="B217" t="s">
        <v>111</v>
      </c>
      <c r="C217" t="s">
        <v>17</v>
      </c>
    </row>
    <row r="218" spans="2:4" x14ac:dyDescent="0.55000000000000004">
      <c r="B218" t="s">
        <v>249</v>
      </c>
      <c r="C218" t="s">
        <v>114</v>
      </c>
      <c r="D218" t="s">
        <v>39</v>
      </c>
    </row>
    <row r="219" spans="2:4" x14ac:dyDescent="0.55000000000000004">
      <c r="B219" t="s">
        <v>249</v>
      </c>
      <c r="C219" t="s">
        <v>250</v>
      </c>
    </row>
    <row r="220" spans="2:4" x14ac:dyDescent="0.55000000000000004">
      <c r="B220" t="s">
        <v>249</v>
      </c>
      <c r="C220" t="s">
        <v>115</v>
      </c>
      <c r="D220" t="s">
        <v>39</v>
      </c>
    </row>
    <row r="221" spans="2:4" x14ac:dyDescent="0.55000000000000004">
      <c r="B221" t="s">
        <v>249</v>
      </c>
      <c r="C221" t="s">
        <v>251</v>
      </c>
    </row>
    <row r="222" spans="2:4" x14ac:dyDescent="0.55000000000000004">
      <c r="B222" t="s">
        <v>249</v>
      </c>
      <c r="C222" t="s">
        <v>116</v>
      </c>
      <c r="D222" t="s">
        <v>40</v>
      </c>
    </row>
    <row r="223" spans="2:4" x14ac:dyDescent="0.55000000000000004">
      <c r="B223" t="s">
        <v>249</v>
      </c>
      <c r="C223" t="s">
        <v>252</v>
      </c>
    </row>
    <row r="224" spans="2:4" x14ac:dyDescent="0.55000000000000004">
      <c r="B224" t="s">
        <v>249</v>
      </c>
      <c r="C224" t="s">
        <v>117</v>
      </c>
      <c r="D224" t="s">
        <v>39</v>
      </c>
    </row>
    <row r="225" spans="2:6" x14ac:dyDescent="0.55000000000000004">
      <c r="B225" t="s">
        <v>249</v>
      </c>
      <c r="C225" t="s">
        <v>21</v>
      </c>
    </row>
    <row r="226" spans="2:6" x14ac:dyDescent="0.55000000000000004">
      <c r="B226" t="s">
        <v>101</v>
      </c>
      <c r="C226" t="s">
        <v>102</v>
      </c>
      <c r="D226" t="s">
        <v>103</v>
      </c>
      <c r="E226" s="1"/>
      <c r="F226" t="s">
        <v>132</v>
      </c>
    </row>
    <row r="227" spans="2:6" x14ac:dyDescent="0.55000000000000004">
      <c r="B227" t="s">
        <v>101</v>
      </c>
      <c r="C227" s="12" t="s">
        <v>104</v>
      </c>
      <c r="D227" t="s">
        <v>40</v>
      </c>
    </row>
    <row r="228" spans="2:6" x14ac:dyDescent="0.55000000000000004">
      <c r="B228" t="s">
        <v>101</v>
      </c>
      <c r="C228" t="s">
        <v>8</v>
      </c>
      <c r="D228" t="s">
        <v>38</v>
      </c>
    </row>
    <row r="229" spans="2:6" x14ac:dyDescent="0.55000000000000004">
      <c r="B229" t="s">
        <v>101</v>
      </c>
      <c r="C229" t="s">
        <v>214</v>
      </c>
      <c r="D229" t="s">
        <v>38</v>
      </c>
    </row>
    <row r="230" spans="2:6" x14ac:dyDescent="0.55000000000000004">
      <c r="B230" t="s">
        <v>101</v>
      </c>
      <c r="C230" t="s">
        <v>105</v>
      </c>
      <c r="D230" t="s">
        <v>106</v>
      </c>
      <c r="E230">
        <f>E229/10</f>
        <v>0</v>
      </c>
      <c r="F230" t="s">
        <v>107</v>
      </c>
    </row>
    <row r="231" spans="2:6" x14ac:dyDescent="0.55000000000000004">
      <c r="B231" t="s">
        <v>101</v>
      </c>
      <c r="C231" s="2" t="s">
        <v>109</v>
      </c>
      <c r="D231" t="s">
        <v>39</v>
      </c>
    </row>
    <row r="232" spans="2:6" x14ac:dyDescent="0.55000000000000004">
      <c r="B232" t="s">
        <v>101</v>
      </c>
      <c r="C232" s="2" t="s">
        <v>248</v>
      </c>
    </row>
    <row r="233" spans="2:6" x14ac:dyDescent="0.55000000000000004">
      <c r="B233" t="s">
        <v>101</v>
      </c>
      <c r="C233" s="2" t="s">
        <v>108</v>
      </c>
      <c r="D233" t="s">
        <v>39</v>
      </c>
    </row>
    <row r="234" spans="2:6" x14ac:dyDescent="0.55000000000000004">
      <c r="B234" t="s">
        <v>101</v>
      </c>
      <c r="C234" t="s">
        <v>11</v>
      </c>
      <c r="D234" t="s">
        <v>39</v>
      </c>
    </row>
    <row r="235" spans="2:6" x14ac:dyDescent="0.55000000000000004">
      <c r="B235" t="s">
        <v>101</v>
      </c>
      <c r="C235" t="s">
        <v>12</v>
      </c>
      <c r="D235" t="s">
        <v>40</v>
      </c>
    </row>
    <row r="236" spans="2:6" x14ac:dyDescent="0.55000000000000004">
      <c r="B236" t="s">
        <v>101</v>
      </c>
      <c r="C236" t="s">
        <v>34</v>
      </c>
      <c r="D236" t="s">
        <v>39</v>
      </c>
    </row>
    <row r="237" spans="2:6" x14ac:dyDescent="0.55000000000000004">
      <c r="B237" t="s">
        <v>101</v>
      </c>
      <c r="C237" t="s">
        <v>35</v>
      </c>
      <c r="D237" t="s">
        <v>39</v>
      </c>
    </row>
    <row r="238" spans="2:6" x14ac:dyDescent="0.55000000000000004">
      <c r="B238" t="s">
        <v>101</v>
      </c>
      <c r="C238" t="s">
        <v>36</v>
      </c>
      <c r="D238" t="s">
        <v>39</v>
      </c>
    </row>
    <row r="239" spans="2:6" x14ac:dyDescent="0.55000000000000004">
      <c r="B239" t="s">
        <v>101</v>
      </c>
      <c r="C239" t="s">
        <v>37</v>
      </c>
      <c r="D239" t="s">
        <v>39</v>
      </c>
    </row>
    <row r="240" spans="2:6" x14ac:dyDescent="0.55000000000000004">
      <c r="B240" t="s">
        <v>101</v>
      </c>
      <c r="C240" t="s">
        <v>14</v>
      </c>
      <c r="D240" t="s">
        <v>39</v>
      </c>
    </row>
    <row r="241" spans="2:4" x14ac:dyDescent="0.55000000000000004">
      <c r="B241" t="s">
        <v>101</v>
      </c>
      <c r="C241" t="s">
        <v>13</v>
      </c>
      <c r="D241" t="s">
        <v>39</v>
      </c>
    </row>
    <row r="242" spans="2:4" x14ac:dyDescent="0.55000000000000004">
      <c r="B242" t="s">
        <v>101</v>
      </c>
      <c r="C242" t="s">
        <v>110</v>
      </c>
      <c r="D242" t="s">
        <v>39</v>
      </c>
    </row>
    <row r="243" spans="2:4" x14ac:dyDescent="0.55000000000000004">
      <c r="B243" t="s">
        <v>101</v>
      </c>
      <c r="C243" t="s">
        <v>223</v>
      </c>
      <c r="D243" t="s">
        <v>39</v>
      </c>
    </row>
    <row r="244" spans="2:4" x14ac:dyDescent="0.55000000000000004">
      <c r="B244" t="s">
        <v>101</v>
      </c>
      <c r="C244" t="s">
        <v>133</v>
      </c>
      <c r="D244" t="s">
        <v>118</v>
      </c>
    </row>
    <row r="245" spans="2:4" x14ac:dyDescent="0.55000000000000004">
      <c r="B245" t="s">
        <v>111</v>
      </c>
      <c r="C245" t="s">
        <v>18</v>
      </c>
      <c r="D245" t="s">
        <v>42</v>
      </c>
    </row>
    <row r="246" spans="2:4" x14ac:dyDescent="0.55000000000000004">
      <c r="B246" t="s">
        <v>111</v>
      </c>
      <c r="C246" t="s">
        <v>15</v>
      </c>
      <c r="D246" t="s">
        <v>41</v>
      </c>
    </row>
    <row r="247" spans="2:4" x14ac:dyDescent="0.55000000000000004">
      <c r="B247" t="s">
        <v>111</v>
      </c>
      <c r="C247" t="s">
        <v>16</v>
      </c>
      <c r="D247" t="s">
        <v>39</v>
      </c>
    </row>
    <row r="248" spans="2:4" x14ac:dyDescent="0.55000000000000004">
      <c r="B248" t="s">
        <v>111</v>
      </c>
      <c r="C248" t="s">
        <v>112</v>
      </c>
      <c r="D248" t="s">
        <v>113</v>
      </c>
    </row>
    <row r="249" spans="2:4" x14ac:dyDescent="0.55000000000000004">
      <c r="B249" t="s">
        <v>111</v>
      </c>
      <c r="C249" t="s">
        <v>17</v>
      </c>
    </row>
    <row r="250" spans="2:4" x14ac:dyDescent="0.55000000000000004">
      <c r="B250" t="s">
        <v>249</v>
      </c>
      <c r="C250" t="s">
        <v>114</v>
      </c>
      <c r="D250" t="s">
        <v>39</v>
      </c>
    </row>
    <row r="251" spans="2:4" x14ac:dyDescent="0.55000000000000004">
      <c r="B251" t="s">
        <v>249</v>
      </c>
      <c r="C251" t="s">
        <v>250</v>
      </c>
    </row>
    <row r="252" spans="2:4" x14ac:dyDescent="0.55000000000000004">
      <c r="B252" t="s">
        <v>249</v>
      </c>
      <c r="C252" t="s">
        <v>115</v>
      </c>
      <c r="D252" t="s">
        <v>39</v>
      </c>
    </row>
    <row r="253" spans="2:4" x14ac:dyDescent="0.55000000000000004">
      <c r="B253" t="s">
        <v>249</v>
      </c>
      <c r="C253" t="s">
        <v>251</v>
      </c>
    </row>
    <row r="254" spans="2:4" x14ac:dyDescent="0.55000000000000004">
      <c r="B254" t="s">
        <v>249</v>
      </c>
      <c r="C254" t="s">
        <v>116</v>
      </c>
      <c r="D254" t="s">
        <v>40</v>
      </c>
    </row>
    <row r="255" spans="2:4" x14ac:dyDescent="0.55000000000000004">
      <c r="B255" t="s">
        <v>249</v>
      </c>
      <c r="C255" t="s">
        <v>252</v>
      </c>
    </row>
    <row r="256" spans="2:4" x14ac:dyDescent="0.55000000000000004">
      <c r="B256" t="s">
        <v>249</v>
      </c>
      <c r="C256" t="s">
        <v>117</v>
      </c>
      <c r="D256" t="s">
        <v>39</v>
      </c>
    </row>
    <row r="257" spans="2:6" x14ac:dyDescent="0.55000000000000004">
      <c r="B257" t="s">
        <v>249</v>
      </c>
      <c r="C257" t="s">
        <v>21</v>
      </c>
    </row>
    <row r="258" spans="2:6" x14ac:dyDescent="0.55000000000000004">
      <c r="B258" t="s">
        <v>101</v>
      </c>
      <c r="C258" t="s">
        <v>102</v>
      </c>
      <c r="D258" t="s">
        <v>103</v>
      </c>
      <c r="E258" s="1"/>
      <c r="F258" t="s">
        <v>132</v>
      </c>
    </row>
    <row r="259" spans="2:6" x14ac:dyDescent="0.55000000000000004">
      <c r="B259" t="s">
        <v>101</v>
      </c>
      <c r="C259" s="12" t="s">
        <v>104</v>
      </c>
      <c r="D259" t="s">
        <v>40</v>
      </c>
    </row>
    <row r="260" spans="2:6" x14ac:dyDescent="0.55000000000000004">
      <c r="B260" t="s">
        <v>101</v>
      </c>
      <c r="C260" t="s">
        <v>8</v>
      </c>
      <c r="D260" t="s">
        <v>38</v>
      </c>
    </row>
    <row r="261" spans="2:6" x14ac:dyDescent="0.55000000000000004">
      <c r="B261" t="s">
        <v>101</v>
      </c>
      <c r="C261" t="s">
        <v>214</v>
      </c>
      <c r="D261" t="s">
        <v>38</v>
      </c>
    </row>
    <row r="262" spans="2:6" x14ac:dyDescent="0.55000000000000004">
      <c r="B262" t="s">
        <v>101</v>
      </c>
      <c r="C262" t="s">
        <v>105</v>
      </c>
      <c r="D262" t="s">
        <v>106</v>
      </c>
      <c r="E262">
        <f>E261/10</f>
        <v>0</v>
      </c>
      <c r="F262" t="s">
        <v>107</v>
      </c>
    </row>
    <row r="263" spans="2:6" x14ac:dyDescent="0.55000000000000004">
      <c r="B263" t="s">
        <v>101</v>
      </c>
      <c r="C263" s="2" t="s">
        <v>109</v>
      </c>
      <c r="D263" t="s">
        <v>39</v>
      </c>
    </row>
    <row r="264" spans="2:6" x14ac:dyDescent="0.55000000000000004">
      <c r="B264" t="s">
        <v>101</v>
      </c>
      <c r="C264" s="2" t="s">
        <v>248</v>
      </c>
    </row>
    <row r="265" spans="2:6" x14ac:dyDescent="0.55000000000000004">
      <c r="B265" t="s">
        <v>101</v>
      </c>
      <c r="C265" s="2" t="s">
        <v>108</v>
      </c>
      <c r="D265" t="s">
        <v>39</v>
      </c>
    </row>
    <row r="266" spans="2:6" x14ac:dyDescent="0.55000000000000004">
      <c r="B266" t="s">
        <v>101</v>
      </c>
      <c r="C266" t="s">
        <v>11</v>
      </c>
      <c r="D266" t="s">
        <v>39</v>
      </c>
    </row>
    <row r="267" spans="2:6" x14ac:dyDescent="0.55000000000000004">
      <c r="B267" t="s">
        <v>101</v>
      </c>
      <c r="C267" t="s">
        <v>12</v>
      </c>
      <c r="D267" t="s">
        <v>40</v>
      </c>
    </row>
    <row r="268" spans="2:6" x14ac:dyDescent="0.55000000000000004">
      <c r="B268" t="s">
        <v>101</v>
      </c>
      <c r="C268" t="s">
        <v>34</v>
      </c>
      <c r="D268" t="s">
        <v>39</v>
      </c>
    </row>
    <row r="269" spans="2:6" x14ac:dyDescent="0.55000000000000004">
      <c r="B269" t="s">
        <v>101</v>
      </c>
      <c r="C269" t="s">
        <v>35</v>
      </c>
      <c r="D269" t="s">
        <v>39</v>
      </c>
    </row>
    <row r="270" spans="2:6" x14ac:dyDescent="0.55000000000000004">
      <c r="B270" t="s">
        <v>101</v>
      </c>
      <c r="C270" t="s">
        <v>36</v>
      </c>
      <c r="D270" t="s">
        <v>39</v>
      </c>
    </row>
    <row r="271" spans="2:6" x14ac:dyDescent="0.55000000000000004">
      <c r="B271" t="s">
        <v>101</v>
      </c>
      <c r="C271" t="s">
        <v>37</v>
      </c>
      <c r="D271" t="s">
        <v>39</v>
      </c>
    </row>
    <row r="272" spans="2:6" x14ac:dyDescent="0.55000000000000004">
      <c r="B272" t="s">
        <v>101</v>
      </c>
      <c r="C272" t="s">
        <v>14</v>
      </c>
      <c r="D272" t="s">
        <v>39</v>
      </c>
    </row>
    <row r="273" spans="2:4" x14ac:dyDescent="0.55000000000000004">
      <c r="B273" t="s">
        <v>101</v>
      </c>
      <c r="C273" t="s">
        <v>13</v>
      </c>
      <c r="D273" t="s">
        <v>39</v>
      </c>
    </row>
    <row r="274" spans="2:4" x14ac:dyDescent="0.55000000000000004">
      <c r="B274" t="s">
        <v>101</v>
      </c>
      <c r="C274" t="s">
        <v>110</v>
      </c>
      <c r="D274" t="s">
        <v>39</v>
      </c>
    </row>
    <row r="275" spans="2:4" x14ac:dyDescent="0.55000000000000004">
      <c r="B275" t="s">
        <v>101</v>
      </c>
      <c r="C275" t="s">
        <v>223</v>
      </c>
      <c r="D275" t="s">
        <v>39</v>
      </c>
    </row>
    <row r="276" spans="2:4" x14ac:dyDescent="0.55000000000000004">
      <c r="B276" t="s">
        <v>101</v>
      </c>
      <c r="C276" t="s">
        <v>133</v>
      </c>
      <c r="D276" t="s">
        <v>118</v>
      </c>
    </row>
    <row r="277" spans="2:4" x14ac:dyDescent="0.55000000000000004">
      <c r="B277" t="s">
        <v>111</v>
      </c>
      <c r="C277" t="s">
        <v>18</v>
      </c>
      <c r="D277" t="s">
        <v>42</v>
      </c>
    </row>
    <row r="278" spans="2:4" x14ac:dyDescent="0.55000000000000004">
      <c r="B278" t="s">
        <v>111</v>
      </c>
      <c r="C278" t="s">
        <v>15</v>
      </c>
      <c r="D278" t="s">
        <v>41</v>
      </c>
    </row>
    <row r="279" spans="2:4" x14ac:dyDescent="0.55000000000000004">
      <c r="B279" t="s">
        <v>111</v>
      </c>
      <c r="C279" t="s">
        <v>16</v>
      </c>
      <c r="D279" t="s">
        <v>39</v>
      </c>
    </row>
    <row r="280" spans="2:4" x14ac:dyDescent="0.55000000000000004">
      <c r="B280" t="s">
        <v>111</v>
      </c>
      <c r="C280" t="s">
        <v>112</v>
      </c>
      <c r="D280" t="s">
        <v>113</v>
      </c>
    </row>
    <row r="281" spans="2:4" x14ac:dyDescent="0.55000000000000004">
      <c r="B281" t="s">
        <v>111</v>
      </c>
      <c r="C281" t="s">
        <v>17</v>
      </c>
    </row>
    <row r="282" spans="2:4" x14ac:dyDescent="0.55000000000000004">
      <c r="B282" t="s">
        <v>249</v>
      </c>
      <c r="C282" t="s">
        <v>114</v>
      </c>
      <c r="D282" t="s">
        <v>39</v>
      </c>
    </row>
    <row r="283" spans="2:4" x14ac:dyDescent="0.55000000000000004">
      <c r="B283" t="s">
        <v>249</v>
      </c>
      <c r="C283" t="s">
        <v>250</v>
      </c>
    </row>
    <row r="284" spans="2:4" x14ac:dyDescent="0.55000000000000004">
      <c r="B284" t="s">
        <v>249</v>
      </c>
      <c r="C284" t="s">
        <v>115</v>
      </c>
      <c r="D284" t="s">
        <v>39</v>
      </c>
    </row>
    <row r="285" spans="2:4" x14ac:dyDescent="0.55000000000000004">
      <c r="B285" t="s">
        <v>249</v>
      </c>
      <c r="C285" t="s">
        <v>251</v>
      </c>
    </row>
    <row r="286" spans="2:4" x14ac:dyDescent="0.55000000000000004">
      <c r="B286" t="s">
        <v>249</v>
      </c>
      <c r="C286" t="s">
        <v>116</v>
      </c>
      <c r="D286" t="s">
        <v>40</v>
      </c>
    </row>
    <row r="287" spans="2:4" x14ac:dyDescent="0.55000000000000004">
      <c r="B287" t="s">
        <v>249</v>
      </c>
      <c r="C287" t="s">
        <v>252</v>
      </c>
    </row>
    <row r="288" spans="2:4" x14ac:dyDescent="0.55000000000000004">
      <c r="B288" t="s">
        <v>249</v>
      </c>
      <c r="C288" t="s">
        <v>117</v>
      </c>
      <c r="D288" t="s">
        <v>39</v>
      </c>
    </row>
    <row r="289" spans="2:6" x14ac:dyDescent="0.55000000000000004">
      <c r="B289" t="s">
        <v>249</v>
      </c>
      <c r="C289" t="s">
        <v>21</v>
      </c>
    </row>
    <row r="290" spans="2:6" x14ac:dyDescent="0.55000000000000004">
      <c r="B290" t="s">
        <v>101</v>
      </c>
      <c r="C290" t="s">
        <v>102</v>
      </c>
      <c r="D290" t="s">
        <v>103</v>
      </c>
      <c r="E290" s="1"/>
      <c r="F290" t="s">
        <v>132</v>
      </c>
    </row>
    <row r="291" spans="2:6" x14ac:dyDescent="0.55000000000000004">
      <c r="B291" t="s">
        <v>101</v>
      </c>
      <c r="C291" s="12" t="s">
        <v>104</v>
      </c>
      <c r="D291" t="s">
        <v>40</v>
      </c>
    </row>
    <row r="292" spans="2:6" x14ac:dyDescent="0.55000000000000004">
      <c r="B292" t="s">
        <v>101</v>
      </c>
      <c r="C292" t="s">
        <v>8</v>
      </c>
      <c r="D292" t="s">
        <v>38</v>
      </c>
    </row>
    <row r="293" spans="2:6" x14ac:dyDescent="0.55000000000000004">
      <c r="B293" t="s">
        <v>101</v>
      </c>
      <c r="C293" t="s">
        <v>214</v>
      </c>
      <c r="D293" t="s">
        <v>38</v>
      </c>
    </row>
    <row r="294" spans="2:6" x14ac:dyDescent="0.55000000000000004">
      <c r="B294" t="s">
        <v>101</v>
      </c>
      <c r="C294" t="s">
        <v>105</v>
      </c>
      <c r="D294" t="s">
        <v>106</v>
      </c>
      <c r="E294">
        <f>E293/10</f>
        <v>0</v>
      </c>
      <c r="F294" t="s">
        <v>107</v>
      </c>
    </row>
    <row r="295" spans="2:6" x14ac:dyDescent="0.55000000000000004">
      <c r="B295" t="s">
        <v>101</v>
      </c>
      <c r="C295" s="2" t="s">
        <v>109</v>
      </c>
      <c r="D295" t="s">
        <v>39</v>
      </c>
    </row>
    <row r="296" spans="2:6" x14ac:dyDescent="0.55000000000000004">
      <c r="B296" t="s">
        <v>101</v>
      </c>
      <c r="C296" s="2" t="s">
        <v>248</v>
      </c>
    </row>
    <row r="297" spans="2:6" x14ac:dyDescent="0.55000000000000004">
      <c r="B297" t="s">
        <v>101</v>
      </c>
      <c r="C297" s="2" t="s">
        <v>108</v>
      </c>
      <c r="D297" t="s">
        <v>39</v>
      </c>
    </row>
    <row r="298" spans="2:6" x14ac:dyDescent="0.55000000000000004">
      <c r="B298" t="s">
        <v>101</v>
      </c>
      <c r="C298" t="s">
        <v>11</v>
      </c>
      <c r="D298" t="s">
        <v>39</v>
      </c>
    </row>
    <row r="299" spans="2:6" x14ac:dyDescent="0.55000000000000004">
      <c r="B299" t="s">
        <v>101</v>
      </c>
      <c r="C299" t="s">
        <v>12</v>
      </c>
      <c r="D299" t="s">
        <v>40</v>
      </c>
    </row>
    <row r="300" spans="2:6" x14ac:dyDescent="0.55000000000000004">
      <c r="B300" t="s">
        <v>101</v>
      </c>
      <c r="C300" t="s">
        <v>34</v>
      </c>
      <c r="D300" t="s">
        <v>39</v>
      </c>
    </row>
    <row r="301" spans="2:6" x14ac:dyDescent="0.55000000000000004">
      <c r="B301" t="s">
        <v>101</v>
      </c>
      <c r="C301" t="s">
        <v>35</v>
      </c>
      <c r="D301" t="s">
        <v>39</v>
      </c>
    </row>
    <row r="302" spans="2:6" x14ac:dyDescent="0.55000000000000004">
      <c r="B302" t="s">
        <v>101</v>
      </c>
      <c r="C302" t="s">
        <v>36</v>
      </c>
      <c r="D302" t="s">
        <v>39</v>
      </c>
    </row>
    <row r="303" spans="2:6" x14ac:dyDescent="0.55000000000000004">
      <c r="B303" t="s">
        <v>101</v>
      </c>
      <c r="C303" t="s">
        <v>37</v>
      </c>
      <c r="D303" t="s">
        <v>39</v>
      </c>
    </row>
    <row r="304" spans="2:6" x14ac:dyDescent="0.55000000000000004">
      <c r="B304" t="s">
        <v>101</v>
      </c>
      <c r="C304" t="s">
        <v>14</v>
      </c>
      <c r="D304" t="s">
        <v>39</v>
      </c>
    </row>
    <row r="305" spans="2:4" x14ac:dyDescent="0.55000000000000004">
      <c r="B305" t="s">
        <v>101</v>
      </c>
      <c r="C305" t="s">
        <v>13</v>
      </c>
      <c r="D305" t="s">
        <v>39</v>
      </c>
    </row>
    <row r="306" spans="2:4" x14ac:dyDescent="0.55000000000000004">
      <c r="B306" t="s">
        <v>101</v>
      </c>
      <c r="C306" t="s">
        <v>110</v>
      </c>
      <c r="D306" t="s">
        <v>39</v>
      </c>
    </row>
    <row r="307" spans="2:4" x14ac:dyDescent="0.55000000000000004">
      <c r="B307" t="s">
        <v>101</v>
      </c>
      <c r="C307" t="s">
        <v>223</v>
      </c>
      <c r="D307" t="s">
        <v>39</v>
      </c>
    </row>
    <row r="308" spans="2:4" x14ac:dyDescent="0.55000000000000004">
      <c r="B308" t="s">
        <v>101</v>
      </c>
      <c r="C308" t="s">
        <v>133</v>
      </c>
      <c r="D308" t="s">
        <v>118</v>
      </c>
    </row>
    <row r="309" spans="2:4" x14ac:dyDescent="0.55000000000000004">
      <c r="B309" t="s">
        <v>111</v>
      </c>
      <c r="C309" t="s">
        <v>18</v>
      </c>
      <c r="D309" t="s">
        <v>42</v>
      </c>
    </row>
    <row r="310" spans="2:4" x14ac:dyDescent="0.55000000000000004">
      <c r="B310" t="s">
        <v>111</v>
      </c>
      <c r="C310" t="s">
        <v>15</v>
      </c>
      <c r="D310" t="s">
        <v>41</v>
      </c>
    </row>
    <row r="311" spans="2:4" x14ac:dyDescent="0.55000000000000004">
      <c r="B311" t="s">
        <v>111</v>
      </c>
      <c r="C311" t="s">
        <v>16</v>
      </c>
      <c r="D311" t="s">
        <v>39</v>
      </c>
    </row>
    <row r="312" spans="2:4" x14ac:dyDescent="0.55000000000000004">
      <c r="B312" t="s">
        <v>111</v>
      </c>
      <c r="C312" t="s">
        <v>112</v>
      </c>
      <c r="D312" t="s">
        <v>113</v>
      </c>
    </row>
    <row r="313" spans="2:4" x14ac:dyDescent="0.55000000000000004">
      <c r="B313" t="s">
        <v>111</v>
      </c>
      <c r="C313" t="s">
        <v>17</v>
      </c>
    </row>
    <row r="314" spans="2:4" x14ac:dyDescent="0.55000000000000004">
      <c r="B314" t="s">
        <v>249</v>
      </c>
      <c r="C314" t="s">
        <v>114</v>
      </c>
      <c r="D314" t="s">
        <v>39</v>
      </c>
    </row>
    <row r="315" spans="2:4" x14ac:dyDescent="0.55000000000000004">
      <c r="B315" t="s">
        <v>249</v>
      </c>
      <c r="C315" t="s">
        <v>250</v>
      </c>
    </row>
    <row r="316" spans="2:4" x14ac:dyDescent="0.55000000000000004">
      <c r="B316" t="s">
        <v>249</v>
      </c>
      <c r="C316" t="s">
        <v>115</v>
      </c>
      <c r="D316" t="s">
        <v>39</v>
      </c>
    </row>
    <row r="317" spans="2:4" x14ac:dyDescent="0.55000000000000004">
      <c r="B317" t="s">
        <v>249</v>
      </c>
      <c r="C317" t="s">
        <v>251</v>
      </c>
    </row>
    <row r="318" spans="2:4" x14ac:dyDescent="0.55000000000000004">
      <c r="B318" t="s">
        <v>249</v>
      </c>
      <c r="C318" t="s">
        <v>116</v>
      </c>
      <c r="D318" t="s">
        <v>40</v>
      </c>
    </row>
    <row r="319" spans="2:4" x14ac:dyDescent="0.55000000000000004">
      <c r="B319" t="s">
        <v>249</v>
      </c>
      <c r="C319" t="s">
        <v>252</v>
      </c>
    </row>
    <row r="320" spans="2:4" x14ac:dyDescent="0.55000000000000004">
      <c r="B320" t="s">
        <v>249</v>
      </c>
      <c r="C320" t="s">
        <v>117</v>
      </c>
      <c r="D320" t="s">
        <v>39</v>
      </c>
    </row>
    <row r="321" spans="2:6" x14ac:dyDescent="0.55000000000000004">
      <c r="B321" t="s">
        <v>249</v>
      </c>
      <c r="C321" t="s">
        <v>21</v>
      </c>
    </row>
    <row r="322" spans="2:6" x14ac:dyDescent="0.55000000000000004">
      <c r="B322" t="s">
        <v>101</v>
      </c>
      <c r="C322" t="s">
        <v>102</v>
      </c>
      <c r="D322" t="s">
        <v>103</v>
      </c>
      <c r="E322" s="1"/>
      <c r="F322" t="s">
        <v>132</v>
      </c>
    </row>
    <row r="323" spans="2:6" x14ac:dyDescent="0.55000000000000004">
      <c r="B323" t="s">
        <v>101</v>
      </c>
      <c r="C323" s="12" t="s">
        <v>104</v>
      </c>
      <c r="D323" t="s">
        <v>40</v>
      </c>
    </row>
    <row r="324" spans="2:6" x14ac:dyDescent="0.55000000000000004">
      <c r="B324" t="s">
        <v>101</v>
      </c>
      <c r="C324" t="s">
        <v>8</v>
      </c>
      <c r="D324" t="s">
        <v>38</v>
      </c>
    </row>
    <row r="325" spans="2:6" x14ac:dyDescent="0.55000000000000004">
      <c r="B325" t="s">
        <v>101</v>
      </c>
      <c r="C325" t="s">
        <v>214</v>
      </c>
      <c r="D325" t="s">
        <v>38</v>
      </c>
    </row>
    <row r="326" spans="2:6" x14ac:dyDescent="0.55000000000000004">
      <c r="B326" t="s">
        <v>101</v>
      </c>
      <c r="C326" t="s">
        <v>105</v>
      </c>
      <c r="D326" t="s">
        <v>106</v>
      </c>
      <c r="E326">
        <f>E325/10</f>
        <v>0</v>
      </c>
      <c r="F326" t="s">
        <v>107</v>
      </c>
    </row>
    <row r="327" spans="2:6" x14ac:dyDescent="0.55000000000000004">
      <c r="B327" t="s">
        <v>101</v>
      </c>
      <c r="C327" s="2" t="s">
        <v>109</v>
      </c>
      <c r="D327" t="s">
        <v>39</v>
      </c>
    </row>
    <row r="328" spans="2:6" x14ac:dyDescent="0.55000000000000004">
      <c r="B328" t="s">
        <v>101</v>
      </c>
      <c r="C328" s="2" t="s">
        <v>248</v>
      </c>
    </row>
    <row r="329" spans="2:6" x14ac:dyDescent="0.55000000000000004">
      <c r="B329" t="s">
        <v>101</v>
      </c>
      <c r="C329" s="2" t="s">
        <v>108</v>
      </c>
      <c r="D329" t="s">
        <v>39</v>
      </c>
    </row>
    <row r="330" spans="2:6" x14ac:dyDescent="0.55000000000000004">
      <c r="B330" t="s">
        <v>101</v>
      </c>
      <c r="C330" t="s">
        <v>11</v>
      </c>
      <c r="D330" t="s">
        <v>39</v>
      </c>
    </row>
    <row r="331" spans="2:6" x14ac:dyDescent="0.55000000000000004">
      <c r="B331" t="s">
        <v>101</v>
      </c>
      <c r="C331" t="s">
        <v>12</v>
      </c>
      <c r="D331" t="s">
        <v>40</v>
      </c>
    </row>
    <row r="332" spans="2:6" x14ac:dyDescent="0.55000000000000004">
      <c r="B332" t="s">
        <v>101</v>
      </c>
      <c r="C332" t="s">
        <v>34</v>
      </c>
      <c r="D332" t="s">
        <v>39</v>
      </c>
    </row>
    <row r="333" spans="2:6" x14ac:dyDescent="0.55000000000000004">
      <c r="B333" t="s">
        <v>101</v>
      </c>
      <c r="C333" t="s">
        <v>35</v>
      </c>
      <c r="D333" t="s">
        <v>39</v>
      </c>
    </row>
    <row r="334" spans="2:6" x14ac:dyDescent="0.55000000000000004">
      <c r="B334" t="s">
        <v>101</v>
      </c>
      <c r="C334" t="s">
        <v>36</v>
      </c>
      <c r="D334" t="s">
        <v>39</v>
      </c>
    </row>
    <row r="335" spans="2:6" x14ac:dyDescent="0.55000000000000004">
      <c r="B335" t="s">
        <v>101</v>
      </c>
      <c r="C335" t="s">
        <v>37</v>
      </c>
      <c r="D335" t="s">
        <v>39</v>
      </c>
    </row>
    <row r="336" spans="2:6" x14ac:dyDescent="0.55000000000000004">
      <c r="B336" t="s">
        <v>101</v>
      </c>
      <c r="C336" t="s">
        <v>14</v>
      </c>
      <c r="D336" t="s">
        <v>39</v>
      </c>
    </row>
    <row r="337" spans="2:4" x14ac:dyDescent="0.55000000000000004">
      <c r="B337" t="s">
        <v>101</v>
      </c>
      <c r="C337" t="s">
        <v>13</v>
      </c>
      <c r="D337" t="s">
        <v>39</v>
      </c>
    </row>
    <row r="338" spans="2:4" x14ac:dyDescent="0.55000000000000004">
      <c r="B338" t="s">
        <v>101</v>
      </c>
      <c r="C338" t="s">
        <v>110</v>
      </c>
      <c r="D338" t="s">
        <v>39</v>
      </c>
    </row>
    <row r="339" spans="2:4" x14ac:dyDescent="0.55000000000000004">
      <c r="B339" t="s">
        <v>101</v>
      </c>
      <c r="C339" t="s">
        <v>223</v>
      </c>
      <c r="D339" t="s">
        <v>39</v>
      </c>
    </row>
    <row r="340" spans="2:4" x14ac:dyDescent="0.55000000000000004">
      <c r="B340" t="s">
        <v>101</v>
      </c>
      <c r="C340" t="s">
        <v>133</v>
      </c>
      <c r="D340" t="s">
        <v>118</v>
      </c>
    </row>
    <row r="341" spans="2:4" x14ac:dyDescent="0.55000000000000004">
      <c r="B341" t="s">
        <v>111</v>
      </c>
      <c r="C341" t="s">
        <v>18</v>
      </c>
      <c r="D341" t="s">
        <v>42</v>
      </c>
    </row>
    <row r="342" spans="2:4" x14ac:dyDescent="0.55000000000000004">
      <c r="B342" t="s">
        <v>111</v>
      </c>
      <c r="C342" t="s">
        <v>15</v>
      </c>
      <c r="D342" t="s">
        <v>41</v>
      </c>
    </row>
    <row r="343" spans="2:4" x14ac:dyDescent="0.55000000000000004">
      <c r="B343" t="s">
        <v>111</v>
      </c>
      <c r="C343" t="s">
        <v>16</v>
      </c>
      <c r="D343" t="s">
        <v>39</v>
      </c>
    </row>
    <row r="344" spans="2:4" x14ac:dyDescent="0.55000000000000004">
      <c r="B344" t="s">
        <v>111</v>
      </c>
      <c r="C344" t="s">
        <v>112</v>
      </c>
      <c r="D344" t="s">
        <v>113</v>
      </c>
    </row>
    <row r="345" spans="2:4" x14ac:dyDescent="0.55000000000000004">
      <c r="B345" t="s">
        <v>111</v>
      </c>
      <c r="C345" t="s">
        <v>17</v>
      </c>
    </row>
    <row r="346" spans="2:4" x14ac:dyDescent="0.55000000000000004">
      <c r="B346" t="s">
        <v>249</v>
      </c>
      <c r="C346" t="s">
        <v>114</v>
      </c>
      <c r="D346" t="s">
        <v>39</v>
      </c>
    </row>
    <row r="347" spans="2:4" x14ac:dyDescent="0.55000000000000004">
      <c r="B347" t="s">
        <v>249</v>
      </c>
      <c r="C347" t="s">
        <v>250</v>
      </c>
    </row>
    <row r="348" spans="2:4" x14ac:dyDescent="0.55000000000000004">
      <c r="B348" t="s">
        <v>249</v>
      </c>
      <c r="C348" t="s">
        <v>115</v>
      </c>
      <c r="D348" t="s">
        <v>39</v>
      </c>
    </row>
    <row r="349" spans="2:4" x14ac:dyDescent="0.55000000000000004">
      <c r="B349" t="s">
        <v>249</v>
      </c>
      <c r="C349" t="s">
        <v>251</v>
      </c>
    </row>
    <row r="350" spans="2:4" x14ac:dyDescent="0.55000000000000004">
      <c r="B350" t="s">
        <v>249</v>
      </c>
      <c r="C350" t="s">
        <v>116</v>
      </c>
      <c r="D350" t="s">
        <v>40</v>
      </c>
    </row>
    <row r="351" spans="2:4" x14ac:dyDescent="0.55000000000000004">
      <c r="B351" t="s">
        <v>249</v>
      </c>
      <c r="C351" t="s">
        <v>252</v>
      </c>
    </row>
    <row r="352" spans="2:4" x14ac:dyDescent="0.55000000000000004">
      <c r="B352" t="s">
        <v>249</v>
      </c>
      <c r="C352" t="s">
        <v>117</v>
      </c>
      <c r="D352" t="s">
        <v>39</v>
      </c>
    </row>
    <row r="353" spans="2:6" x14ac:dyDescent="0.55000000000000004">
      <c r="B353" t="s">
        <v>249</v>
      </c>
      <c r="C353" t="s">
        <v>21</v>
      </c>
    </row>
    <row r="354" spans="2:6" x14ac:dyDescent="0.55000000000000004">
      <c r="B354" t="s">
        <v>101</v>
      </c>
      <c r="C354" t="s">
        <v>102</v>
      </c>
      <c r="D354" t="s">
        <v>103</v>
      </c>
      <c r="E354" s="1"/>
      <c r="F354" t="s">
        <v>132</v>
      </c>
    </row>
    <row r="355" spans="2:6" x14ac:dyDescent="0.55000000000000004">
      <c r="B355" t="s">
        <v>101</v>
      </c>
      <c r="C355" s="12" t="s">
        <v>104</v>
      </c>
      <c r="D355" t="s">
        <v>40</v>
      </c>
    </row>
    <row r="356" spans="2:6" x14ac:dyDescent="0.55000000000000004">
      <c r="B356" t="s">
        <v>101</v>
      </c>
      <c r="C356" t="s">
        <v>8</v>
      </c>
      <c r="D356" t="s">
        <v>38</v>
      </c>
    </row>
    <row r="357" spans="2:6" x14ac:dyDescent="0.55000000000000004">
      <c r="B357" t="s">
        <v>101</v>
      </c>
      <c r="C357" t="s">
        <v>214</v>
      </c>
      <c r="D357" t="s">
        <v>38</v>
      </c>
    </row>
    <row r="358" spans="2:6" x14ac:dyDescent="0.55000000000000004">
      <c r="B358" t="s">
        <v>101</v>
      </c>
      <c r="C358" t="s">
        <v>105</v>
      </c>
      <c r="D358" t="s">
        <v>106</v>
      </c>
      <c r="E358">
        <f>E357/10</f>
        <v>0</v>
      </c>
      <c r="F358" t="s">
        <v>107</v>
      </c>
    </row>
    <row r="359" spans="2:6" x14ac:dyDescent="0.55000000000000004">
      <c r="B359" t="s">
        <v>101</v>
      </c>
      <c r="C359" s="2" t="s">
        <v>109</v>
      </c>
      <c r="D359" t="s">
        <v>39</v>
      </c>
    </row>
    <row r="360" spans="2:6" x14ac:dyDescent="0.55000000000000004">
      <c r="B360" t="s">
        <v>101</v>
      </c>
      <c r="C360" s="2" t="s">
        <v>248</v>
      </c>
    </row>
    <row r="361" spans="2:6" x14ac:dyDescent="0.55000000000000004">
      <c r="B361" t="s">
        <v>101</v>
      </c>
      <c r="C361" s="2" t="s">
        <v>108</v>
      </c>
      <c r="D361" t="s">
        <v>39</v>
      </c>
    </row>
    <row r="362" spans="2:6" x14ac:dyDescent="0.55000000000000004">
      <c r="B362" t="s">
        <v>101</v>
      </c>
      <c r="C362" t="s">
        <v>11</v>
      </c>
      <c r="D362" t="s">
        <v>39</v>
      </c>
    </row>
    <row r="363" spans="2:6" x14ac:dyDescent="0.55000000000000004">
      <c r="B363" t="s">
        <v>101</v>
      </c>
      <c r="C363" t="s">
        <v>12</v>
      </c>
      <c r="D363" t="s">
        <v>40</v>
      </c>
    </row>
    <row r="364" spans="2:6" x14ac:dyDescent="0.55000000000000004">
      <c r="B364" t="s">
        <v>101</v>
      </c>
      <c r="C364" t="s">
        <v>34</v>
      </c>
      <c r="D364" t="s">
        <v>39</v>
      </c>
    </row>
    <row r="365" spans="2:6" x14ac:dyDescent="0.55000000000000004">
      <c r="B365" t="s">
        <v>101</v>
      </c>
      <c r="C365" t="s">
        <v>35</v>
      </c>
      <c r="D365" t="s">
        <v>39</v>
      </c>
    </row>
    <row r="366" spans="2:6" x14ac:dyDescent="0.55000000000000004">
      <c r="B366" t="s">
        <v>101</v>
      </c>
      <c r="C366" t="s">
        <v>36</v>
      </c>
      <c r="D366" t="s">
        <v>39</v>
      </c>
    </row>
    <row r="367" spans="2:6" x14ac:dyDescent="0.55000000000000004">
      <c r="B367" t="s">
        <v>101</v>
      </c>
      <c r="C367" t="s">
        <v>37</v>
      </c>
      <c r="D367" t="s">
        <v>39</v>
      </c>
    </row>
    <row r="368" spans="2:6" x14ac:dyDescent="0.55000000000000004">
      <c r="B368" t="s">
        <v>101</v>
      </c>
      <c r="C368" t="s">
        <v>14</v>
      </c>
      <c r="D368" t="s">
        <v>39</v>
      </c>
    </row>
    <row r="369" spans="2:4" x14ac:dyDescent="0.55000000000000004">
      <c r="B369" t="s">
        <v>101</v>
      </c>
      <c r="C369" t="s">
        <v>13</v>
      </c>
      <c r="D369" t="s">
        <v>39</v>
      </c>
    </row>
    <row r="370" spans="2:4" x14ac:dyDescent="0.55000000000000004">
      <c r="B370" t="s">
        <v>101</v>
      </c>
      <c r="C370" t="s">
        <v>110</v>
      </c>
      <c r="D370" t="s">
        <v>39</v>
      </c>
    </row>
    <row r="371" spans="2:4" x14ac:dyDescent="0.55000000000000004">
      <c r="B371" t="s">
        <v>101</v>
      </c>
      <c r="C371" t="s">
        <v>223</v>
      </c>
      <c r="D371" t="s">
        <v>39</v>
      </c>
    </row>
    <row r="372" spans="2:4" x14ac:dyDescent="0.55000000000000004">
      <c r="B372" t="s">
        <v>101</v>
      </c>
      <c r="C372" t="s">
        <v>133</v>
      </c>
      <c r="D372" t="s">
        <v>118</v>
      </c>
    </row>
    <row r="373" spans="2:4" x14ac:dyDescent="0.55000000000000004">
      <c r="B373" t="s">
        <v>111</v>
      </c>
      <c r="C373" t="s">
        <v>18</v>
      </c>
      <c r="D373" t="s">
        <v>42</v>
      </c>
    </row>
    <row r="374" spans="2:4" x14ac:dyDescent="0.55000000000000004">
      <c r="B374" t="s">
        <v>111</v>
      </c>
      <c r="C374" t="s">
        <v>15</v>
      </c>
      <c r="D374" t="s">
        <v>41</v>
      </c>
    </row>
    <row r="375" spans="2:4" x14ac:dyDescent="0.55000000000000004">
      <c r="B375" t="s">
        <v>111</v>
      </c>
      <c r="C375" t="s">
        <v>16</v>
      </c>
      <c r="D375" t="s">
        <v>39</v>
      </c>
    </row>
    <row r="376" spans="2:4" x14ac:dyDescent="0.55000000000000004">
      <c r="B376" t="s">
        <v>111</v>
      </c>
      <c r="C376" t="s">
        <v>112</v>
      </c>
      <c r="D376" t="s">
        <v>113</v>
      </c>
    </row>
    <row r="377" spans="2:4" x14ac:dyDescent="0.55000000000000004">
      <c r="B377" t="s">
        <v>111</v>
      </c>
      <c r="C377" t="s">
        <v>17</v>
      </c>
    </row>
    <row r="378" spans="2:4" x14ac:dyDescent="0.55000000000000004">
      <c r="B378" t="s">
        <v>249</v>
      </c>
      <c r="C378" t="s">
        <v>114</v>
      </c>
      <c r="D378" t="s">
        <v>39</v>
      </c>
    </row>
    <row r="379" spans="2:4" x14ac:dyDescent="0.55000000000000004">
      <c r="B379" t="s">
        <v>249</v>
      </c>
      <c r="C379" t="s">
        <v>250</v>
      </c>
    </row>
    <row r="380" spans="2:4" x14ac:dyDescent="0.55000000000000004">
      <c r="B380" t="s">
        <v>249</v>
      </c>
      <c r="C380" t="s">
        <v>115</v>
      </c>
      <c r="D380" t="s">
        <v>39</v>
      </c>
    </row>
    <row r="381" spans="2:4" x14ac:dyDescent="0.55000000000000004">
      <c r="B381" t="s">
        <v>249</v>
      </c>
      <c r="C381" t="s">
        <v>251</v>
      </c>
    </row>
    <row r="382" spans="2:4" x14ac:dyDescent="0.55000000000000004">
      <c r="B382" t="s">
        <v>249</v>
      </c>
      <c r="C382" t="s">
        <v>116</v>
      </c>
      <c r="D382" t="s">
        <v>40</v>
      </c>
    </row>
    <row r="383" spans="2:4" x14ac:dyDescent="0.55000000000000004">
      <c r="B383" t="s">
        <v>249</v>
      </c>
      <c r="C383" t="s">
        <v>252</v>
      </c>
    </row>
    <row r="384" spans="2:4" x14ac:dyDescent="0.55000000000000004">
      <c r="B384" t="s">
        <v>249</v>
      </c>
      <c r="C384" t="s">
        <v>117</v>
      </c>
      <c r="D384" t="s">
        <v>39</v>
      </c>
    </row>
    <row r="385" spans="1:6" x14ac:dyDescent="0.55000000000000004">
      <c r="B385" t="s">
        <v>249</v>
      </c>
      <c r="C385" t="s">
        <v>21</v>
      </c>
    </row>
    <row r="386" spans="1:6" x14ac:dyDescent="0.55000000000000004">
      <c r="A386">
        <v>73</v>
      </c>
      <c r="B386" t="s">
        <v>101</v>
      </c>
      <c r="C386" t="s">
        <v>102</v>
      </c>
      <c r="D386" t="s">
        <v>103</v>
      </c>
      <c r="E386" s="1"/>
      <c r="F386" t="s">
        <v>132</v>
      </c>
    </row>
    <row r="387" spans="1:6" x14ac:dyDescent="0.55000000000000004">
      <c r="A387">
        <v>73</v>
      </c>
      <c r="B387" t="s">
        <v>101</v>
      </c>
      <c r="C387" s="12" t="s">
        <v>104</v>
      </c>
      <c r="D387" t="s">
        <v>40</v>
      </c>
      <c r="E387">
        <v>1</v>
      </c>
    </row>
    <row r="388" spans="1:6" x14ac:dyDescent="0.55000000000000004">
      <c r="A388">
        <v>73</v>
      </c>
      <c r="B388" t="s">
        <v>101</v>
      </c>
      <c r="C388" t="s">
        <v>8</v>
      </c>
      <c r="D388" t="s">
        <v>38</v>
      </c>
    </row>
    <row r="389" spans="1:6" x14ac:dyDescent="0.55000000000000004">
      <c r="A389">
        <v>73</v>
      </c>
      <c r="B389" t="s">
        <v>101</v>
      </c>
      <c r="C389" t="s">
        <v>214</v>
      </c>
      <c r="D389" t="s">
        <v>38</v>
      </c>
      <c r="E389">
        <v>0.75</v>
      </c>
    </row>
    <row r="390" spans="1:6" x14ac:dyDescent="0.55000000000000004">
      <c r="A390">
        <v>73</v>
      </c>
      <c r="B390" t="s">
        <v>101</v>
      </c>
      <c r="C390" t="s">
        <v>105</v>
      </c>
      <c r="D390" t="s">
        <v>106</v>
      </c>
      <c r="E390">
        <f>E389/10</f>
        <v>7.4999999999999997E-2</v>
      </c>
      <c r="F390" t="s">
        <v>107</v>
      </c>
    </row>
    <row r="391" spans="1:6" x14ac:dyDescent="0.55000000000000004">
      <c r="A391">
        <v>73</v>
      </c>
      <c r="B391" t="s">
        <v>101</v>
      </c>
      <c r="C391" s="2" t="s">
        <v>109</v>
      </c>
      <c r="D391" t="s">
        <v>39</v>
      </c>
      <c r="E391">
        <v>100</v>
      </c>
    </row>
    <row r="392" spans="1:6" x14ac:dyDescent="0.55000000000000004">
      <c r="A392">
        <v>73</v>
      </c>
      <c r="B392" t="s">
        <v>101</v>
      </c>
      <c r="C392" s="2" t="s">
        <v>248</v>
      </c>
      <c r="E392" t="s">
        <v>268</v>
      </c>
    </row>
    <row r="393" spans="1:6" x14ac:dyDescent="0.55000000000000004">
      <c r="A393">
        <v>73</v>
      </c>
      <c r="B393" t="s">
        <v>101</v>
      </c>
      <c r="C393" s="2" t="s">
        <v>108</v>
      </c>
      <c r="D393" t="s">
        <v>39</v>
      </c>
      <c r="E393">
        <v>0</v>
      </c>
    </row>
    <row r="394" spans="1:6" x14ac:dyDescent="0.55000000000000004">
      <c r="A394">
        <v>73</v>
      </c>
      <c r="B394" t="s">
        <v>101</v>
      </c>
      <c r="C394" t="s">
        <v>11</v>
      </c>
      <c r="D394" t="s">
        <v>39</v>
      </c>
      <c r="E394">
        <v>0</v>
      </c>
    </row>
    <row r="395" spans="1:6" x14ac:dyDescent="0.55000000000000004">
      <c r="A395">
        <v>73</v>
      </c>
      <c r="B395" t="s">
        <v>101</v>
      </c>
      <c r="C395" t="s">
        <v>12</v>
      </c>
      <c r="D395" t="s">
        <v>40</v>
      </c>
      <c r="E395">
        <v>0</v>
      </c>
    </row>
    <row r="396" spans="1:6" x14ac:dyDescent="0.55000000000000004">
      <c r="A396">
        <v>73</v>
      </c>
      <c r="B396" t="s">
        <v>101</v>
      </c>
      <c r="C396" t="s">
        <v>34</v>
      </c>
      <c r="D396" t="s">
        <v>39</v>
      </c>
      <c r="E396">
        <v>0</v>
      </c>
    </row>
    <row r="397" spans="1:6" x14ac:dyDescent="0.55000000000000004">
      <c r="A397">
        <v>73</v>
      </c>
      <c r="B397" t="s">
        <v>101</v>
      </c>
      <c r="C397" t="s">
        <v>35</v>
      </c>
      <c r="D397" t="s">
        <v>39</v>
      </c>
      <c r="E397">
        <v>0</v>
      </c>
    </row>
    <row r="398" spans="1:6" x14ac:dyDescent="0.55000000000000004">
      <c r="A398">
        <v>73</v>
      </c>
      <c r="B398" t="s">
        <v>101</v>
      </c>
      <c r="C398" t="s">
        <v>36</v>
      </c>
      <c r="D398" t="s">
        <v>39</v>
      </c>
      <c r="E398">
        <v>70</v>
      </c>
    </row>
    <row r="399" spans="1:6" x14ac:dyDescent="0.55000000000000004">
      <c r="A399">
        <v>73</v>
      </c>
      <c r="B399" t="s">
        <v>101</v>
      </c>
      <c r="C399" t="s">
        <v>37</v>
      </c>
      <c r="D399" t="s">
        <v>39</v>
      </c>
      <c r="E399">
        <v>10</v>
      </c>
    </row>
    <row r="400" spans="1:6" x14ac:dyDescent="0.55000000000000004">
      <c r="A400">
        <v>73</v>
      </c>
      <c r="B400" t="s">
        <v>101</v>
      </c>
      <c r="C400" t="s">
        <v>14</v>
      </c>
      <c r="D400" t="s">
        <v>39</v>
      </c>
      <c r="E400">
        <v>20</v>
      </c>
    </row>
    <row r="401" spans="1:5" x14ac:dyDescent="0.55000000000000004">
      <c r="A401">
        <v>73</v>
      </c>
      <c r="B401" t="s">
        <v>101</v>
      </c>
      <c r="C401" t="s">
        <v>13</v>
      </c>
      <c r="D401" t="s">
        <v>39</v>
      </c>
      <c r="E401">
        <v>0</v>
      </c>
    </row>
    <row r="402" spans="1:5" x14ac:dyDescent="0.55000000000000004">
      <c r="A402">
        <v>73</v>
      </c>
      <c r="B402" t="s">
        <v>101</v>
      </c>
      <c r="C402" t="s">
        <v>110</v>
      </c>
      <c r="D402" t="s">
        <v>39</v>
      </c>
      <c r="E402">
        <v>0</v>
      </c>
    </row>
    <row r="403" spans="1:5" x14ac:dyDescent="0.55000000000000004">
      <c r="A403">
        <v>73</v>
      </c>
      <c r="B403" t="s">
        <v>101</v>
      </c>
      <c r="C403" t="s">
        <v>223</v>
      </c>
      <c r="D403" t="s">
        <v>39</v>
      </c>
      <c r="E403">
        <v>0</v>
      </c>
    </row>
    <row r="404" spans="1:5" x14ac:dyDescent="0.55000000000000004">
      <c r="A404">
        <v>73</v>
      </c>
      <c r="B404" t="s">
        <v>101</v>
      </c>
      <c r="C404" t="s">
        <v>133</v>
      </c>
      <c r="D404" t="s">
        <v>118</v>
      </c>
      <c r="E404">
        <f>Rock_sizes_Periphyton_biomass!B3</f>
        <v>10.505000000000001</v>
      </c>
    </row>
    <row r="405" spans="1:5" x14ac:dyDescent="0.55000000000000004">
      <c r="A405">
        <v>73</v>
      </c>
      <c r="B405" t="s">
        <v>111</v>
      </c>
      <c r="C405" t="s">
        <v>18</v>
      </c>
      <c r="D405" t="s">
        <v>42</v>
      </c>
      <c r="E405">
        <v>20.7</v>
      </c>
    </row>
    <row r="406" spans="1:5" x14ac:dyDescent="0.55000000000000004">
      <c r="A406">
        <v>73</v>
      </c>
      <c r="B406" t="s">
        <v>111</v>
      </c>
      <c r="C406" t="s">
        <v>15</v>
      </c>
      <c r="D406" t="s">
        <v>41</v>
      </c>
      <c r="E406">
        <v>10.42</v>
      </c>
    </row>
    <row r="407" spans="1:5" x14ac:dyDescent="0.55000000000000004">
      <c r="A407">
        <v>73</v>
      </c>
      <c r="B407" t="s">
        <v>111</v>
      </c>
      <c r="C407" t="s">
        <v>16</v>
      </c>
      <c r="D407" t="s">
        <v>39</v>
      </c>
      <c r="E407">
        <v>116.1</v>
      </c>
    </row>
    <row r="408" spans="1:5" x14ac:dyDescent="0.55000000000000004">
      <c r="A408">
        <v>73</v>
      </c>
      <c r="B408" t="s">
        <v>111</v>
      </c>
      <c r="C408" t="s">
        <v>112</v>
      </c>
      <c r="D408" t="s">
        <v>113</v>
      </c>
      <c r="E408">
        <v>144</v>
      </c>
    </row>
    <row r="409" spans="1:5" x14ac:dyDescent="0.55000000000000004">
      <c r="A409">
        <v>73</v>
      </c>
      <c r="B409" t="s">
        <v>111</v>
      </c>
      <c r="C409" t="s">
        <v>17</v>
      </c>
      <c r="E409">
        <v>9.01</v>
      </c>
    </row>
    <row r="410" spans="1:5" x14ac:dyDescent="0.55000000000000004">
      <c r="A410">
        <v>73</v>
      </c>
      <c r="B410" t="s">
        <v>249</v>
      </c>
      <c r="C410" t="s">
        <v>114</v>
      </c>
      <c r="D410" t="s">
        <v>39</v>
      </c>
      <c r="E410">
        <v>0</v>
      </c>
    </row>
    <row r="411" spans="1:5" x14ac:dyDescent="0.55000000000000004">
      <c r="A411">
        <v>73</v>
      </c>
      <c r="B411" t="s">
        <v>249</v>
      </c>
      <c r="C411" t="s">
        <v>250</v>
      </c>
    </row>
    <row r="412" spans="1:5" x14ac:dyDescent="0.55000000000000004">
      <c r="A412">
        <v>73</v>
      </c>
      <c r="B412" t="s">
        <v>249</v>
      </c>
      <c r="C412" t="s">
        <v>115</v>
      </c>
      <c r="D412" t="s">
        <v>39</v>
      </c>
      <c r="E412">
        <v>0</v>
      </c>
    </row>
    <row r="413" spans="1:5" x14ac:dyDescent="0.55000000000000004">
      <c r="A413">
        <v>73</v>
      </c>
      <c r="B413" t="s">
        <v>249</v>
      </c>
      <c r="C413" t="s">
        <v>251</v>
      </c>
    </row>
    <row r="414" spans="1:5" x14ac:dyDescent="0.55000000000000004">
      <c r="A414">
        <v>73</v>
      </c>
      <c r="B414" t="s">
        <v>249</v>
      </c>
      <c r="C414" t="s">
        <v>116</v>
      </c>
      <c r="D414" t="s">
        <v>40</v>
      </c>
      <c r="E414">
        <v>1</v>
      </c>
    </row>
    <row r="415" spans="1:5" x14ac:dyDescent="0.55000000000000004">
      <c r="A415">
        <v>73</v>
      </c>
      <c r="B415" t="s">
        <v>249</v>
      </c>
      <c r="C415" t="s">
        <v>252</v>
      </c>
      <c r="E415" t="s">
        <v>262</v>
      </c>
    </row>
    <row r="416" spans="1:5" x14ac:dyDescent="0.55000000000000004">
      <c r="A416">
        <v>73</v>
      </c>
      <c r="B416" t="s">
        <v>249</v>
      </c>
      <c r="C416" t="s">
        <v>117</v>
      </c>
      <c r="D416" t="s">
        <v>39</v>
      </c>
      <c r="E416">
        <v>1</v>
      </c>
    </row>
    <row r="417" spans="1:6" x14ac:dyDescent="0.55000000000000004">
      <c r="A417">
        <v>73</v>
      </c>
      <c r="B417" t="s">
        <v>249</v>
      </c>
      <c r="C417" t="s">
        <v>21</v>
      </c>
    </row>
    <row r="418" spans="1:6" x14ac:dyDescent="0.55000000000000004">
      <c r="A418">
        <v>74</v>
      </c>
      <c r="B418" t="s">
        <v>101</v>
      </c>
      <c r="C418" t="s">
        <v>102</v>
      </c>
      <c r="D418" t="s">
        <v>103</v>
      </c>
      <c r="E418" s="1"/>
      <c r="F418" t="s">
        <v>132</v>
      </c>
    </row>
    <row r="419" spans="1:6" x14ac:dyDescent="0.55000000000000004">
      <c r="A419">
        <v>74</v>
      </c>
      <c r="B419" t="s">
        <v>101</v>
      </c>
      <c r="C419" s="12" t="s">
        <v>104</v>
      </c>
      <c r="D419" t="s">
        <v>40</v>
      </c>
      <c r="E419">
        <v>1</v>
      </c>
    </row>
    <row r="420" spans="1:6" x14ac:dyDescent="0.55000000000000004">
      <c r="A420">
        <v>74</v>
      </c>
      <c r="B420" t="s">
        <v>101</v>
      </c>
      <c r="C420" t="s">
        <v>8</v>
      </c>
      <c r="D420" t="s">
        <v>38</v>
      </c>
    </row>
    <row r="421" spans="1:6" x14ac:dyDescent="0.55000000000000004">
      <c r="A421">
        <v>74</v>
      </c>
      <c r="B421" t="s">
        <v>101</v>
      </c>
      <c r="C421" t="s">
        <v>214</v>
      </c>
      <c r="D421" t="s">
        <v>38</v>
      </c>
      <c r="E421">
        <v>0.7</v>
      </c>
    </row>
    <row r="422" spans="1:6" x14ac:dyDescent="0.55000000000000004">
      <c r="A422">
        <v>74</v>
      </c>
      <c r="B422" t="s">
        <v>101</v>
      </c>
      <c r="C422" t="s">
        <v>105</v>
      </c>
      <c r="D422" t="s">
        <v>106</v>
      </c>
      <c r="E422">
        <f>E421/10</f>
        <v>6.9999999999999993E-2</v>
      </c>
      <c r="F422" t="s">
        <v>107</v>
      </c>
    </row>
    <row r="423" spans="1:6" x14ac:dyDescent="0.55000000000000004">
      <c r="A423">
        <v>74</v>
      </c>
      <c r="B423" t="s">
        <v>101</v>
      </c>
      <c r="C423" s="2" t="s">
        <v>109</v>
      </c>
      <c r="D423" t="s">
        <v>39</v>
      </c>
      <c r="E423">
        <v>100</v>
      </c>
    </row>
    <row r="424" spans="1:6" x14ac:dyDescent="0.55000000000000004">
      <c r="A424">
        <v>74</v>
      </c>
      <c r="B424" t="s">
        <v>101</v>
      </c>
      <c r="C424" s="2" t="s">
        <v>248</v>
      </c>
      <c r="E424" t="s">
        <v>268</v>
      </c>
    </row>
    <row r="425" spans="1:6" x14ac:dyDescent="0.55000000000000004">
      <c r="A425">
        <v>74</v>
      </c>
      <c r="B425" t="s">
        <v>101</v>
      </c>
      <c r="C425" s="2" t="s">
        <v>108</v>
      </c>
      <c r="D425" t="s">
        <v>39</v>
      </c>
      <c r="E425">
        <v>100</v>
      </c>
    </row>
    <row r="426" spans="1:6" x14ac:dyDescent="0.55000000000000004">
      <c r="A426">
        <v>74</v>
      </c>
      <c r="B426" t="s">
        <v>101</v>
      </c>
      <c r="C426" t="s">
        <v>11</v>
      </c>
      <c r="D426" t="s">
        <v>39</v>
      </c>
      <c r="E426">
        <v>0</v>
      </c>
    </row>
    <row r="427" spans="1:6" x14ac:dyDescent="0.55000000000000004">
      <c r="A427">
        <v>74</v>
      </c>
      <c r="B427" t="s">
        <v>101</v>
      </c>
      <c r="C427" t="s">
        <v>12</v>
      </c>
      <c r="D427" t="s">
        <v>40</v>
      </c>
      <c r="E427">
        <v>0</v>
      </c>
    </row>
    <row r="428" spans="1:6" x14ac:dyDescent="0.55000000000000004">
      <c r="A428">
        <v>74</v>
      </c>
      <c r="B428" t="s">
        <v>101</v>
      </c>
      <c r="C428" t="s">
        <v>34</v>
      </c>
      <c r="D428" t="s">
        <v>39</v>
      </c>
      <c r="E428">
        <v>0</v>
      </c>
    </row>
    <row r="429" spans="1:6" x14ac:dyDescent="0.55000000000000004">
      <c r="A429">
        <v>74</v>
      </c>
      <c r="B429" t="s">
        <v>101</v>
      </c>
      <c r="C429" t="s">
        <v>35</v>
      </c>
      <c r="D429" t="s">
        <v>39</v>
      </c>
      <c r="E429">
        <v>10</v>
      </c>
    </row>
    <row r="430" spans="1:6" x14ac:dyDescent="0.55000000000000004">
      <c r="A430">
        <v>74</v>
      </c>
      <c r="B430" t="s">
        <v>101</v>
      </c>
      <c r="C430" t="s">
        <v>36</v>
      </c>
      <c r="D430" t="s">
        <v>39</v>
      </c>
      <c r="E430">
        <v>0</v>
      </c>
    </row>
    <row r="431" spans="1:6" x14ac:dyDescent="0.55000000000000004">
      <c r="A431">
        <v>74</v>
      </c>
      <c r="B431" t="s">
        <v>101</v>
      </c>
      <c r="C431" t="s">
        <v>37</v>
      </c>
      <c r="D431" t="s">
        <v>39</v>
      </c>
      <c r="E431">
        <v>0</v>
      </c>
    </row>
    <row r="432" spans="1:6" x14ac:dyDescent="0.55000000000000004">
      <c r="A432">
        <v>74</v>
      </c>
      <c r="B432" t="s">
        <v>101</v>
      </c>
      <c r="C432" t="s">
        <v>14</v>
      </c>
      <c r="D432" t="s">
        <v>39</v>
      </c>
      <c r="E432">
        <v>80</v>
      </c>
    </row>
    <row r="433" spans="1:6" x14ac:dyDescent="0.55000000000000004">
      <c r="A433">
        <v>74</v>
      </c>
      <c r="B433" t="s">
        <v>101</v>
      </c>
      <c r="C433" t="s">
        <v>13</v>
      </c>
      <c r="D433" t="s">
        <v>39</v>
      </c>
      <c r="E433">
        <v>0</v>
      </c>
    </row>
    <row r="434" spans="1:6" x14ac:dyDescent="0.55000000000000004">
      <c r="A434">
        <v>74</v>
      </c>
      <c r="B434" t="s">
        <v>101</v>
      </c>
      <c r="C434" t="s">
        <v>110</v>
      </c>
      <c r="D434" t="s">
        <v>39</v>
      </c>
      <c r="E434">
        <v>0</v>
      </c>
    </row>
    <row r="435" spans="1:6" x14ac:dyDescent="0.55000000000000004">
      <c r="A435">
        <v>74</v>
      </c>
      <c r="B435" t="s">
        <v>101</v>
      </c>
      <c r="C435" t="s">
        <v>223</v>
      </c>
      <c r="D435" t="s">
        <v>39</v>
      </c>
      <c r="E435">
        <v>10</v>
      </c>
      <c r="F435" t="s">
        <v>322</v>
      </c>
    </row>
    <row r="436" spans="1:6" x14ac:dyDescent="0.55000000000000004">
      <c r="A436">
        <v>74</v>
      </c>
      <c r="B436" t="s">
        <v>101</v>
      </c>
      <c r="C436" t="s">
        <v>133</v>
      </c>
      <c r="D436" t="s">
        <v>118</v>
      </c>
    </row>
    <row r="437" spans="1:6" x14ac:dyDescent="0.55000000000000004">
      <c r="A437">
        <v>74</v>
      </c>
      <c r="B437" t="s">
        <v>111</v>
      </c>
      <c r="C437" t="s">
        <v>18</v>
      </c>
      <c r="D437" t="s">
        <v>42</v>
      </c>
      <c r="E437">
        <v>21.5</v>
      </c>
    </row>
    <row r="438" spans="1:6" x14ac:dyDescent="0.55000000000000004">
      <c r="A438">
        <v>74</v>
      </c>
      <c r="B438" t="s">
        <v>111</v>
      </c>
      <c r="C438" t="s">
        <v>15</v>
      </c>
      <c r="D438" t="s">
        <v>41</v>
      </c>
      <c r="E438">
        <v>9.89</v>
      </c>
    </row>
    <row r="439" spans="1:6" x14ac:dyDescent="0.55000000000000004">
      <c r="A439">
        <v>74</v>
      </c>
      <c r="B439" t="s">
        <v>111</v>
      </c>
      <c r="C439" t="s">
        <v>16</v>
      </c>
      <c r="D439" t="s">
        <v>39</v>
      </c>
      <c r="E439">
        <v>112.1</v>
      </c>
    </row>
    <row r="440" spans="1:6" x14ac:dyDescent="0.55000000000000004">
      <c r="A440">
        <v>74</v>
      </c>
      <c r="B440" t="s">
        <v>111</v>
      </c>
      <c r="C440" t="s">
        <v>112</v>
      </c>
      <c r="D440" t="s">
        <v>113</v>
      </c>
      <c r="E440">
        <v>146.9</v>
      </c>
    </row>
    <row r="441" spans="1:6" x14ac:dyDescent="0.55000000000000004">
      <c r="A441">
        <v>74</v>
      </c>
      <c r="B441" t="s">
        <v>111</v>
      </c>
      <c r="C441" t="s">
        <v>17</v>
      </c>
      <c r="E441">
        <v>9.02</v>
      </c>
    </row>
    <row r="442" spans="1:6" x14ac:dyDescent="0.55000000000000004">
      <c r="A442">
        <v>74</v>
      </c>
      <c r="B442" t="s">
        <v>249</v>
      </c>
      <c r="C442" t="s">
        <v>114</v>
      </c>
      <c r="D442" t="s">
        <v>39</v>
      </c>
      <c r="E442">
        <v>0</v>
      </c>
    </row>
    <row r="443" spans="1:6" x14ac:dyDescent="0.55000000000000004">
      <c r="A443">
        <v>74</v>
      </c>
      <c r="B443" t="s">
        <v>249</v>
      </c>
      <c r="C443" t="s">
        <v>250</v>
      </c>
    </row>
    <row r="444" spans="1:6" x14ac:dyDescent="0.55000000000000004">
      <c r="A444">
        <v>74</v>
      </c>
      <c r="B444" t="s">
        <v>249</v>
      </c>
      <c r="C444" t="s">
        <v>115</v>
      </c>
      <c r="D444" t="s">
        <v>39</v>
      </c>
      <c r="E444">
        <v>0</v>
      </c>
    </row>
    <row r="445" spans="1:6" x14ac:dyDescent="0.55000000000000004">
      <c r="A445">
        <v>74</v>
      </c>
      <c r="B445" t="s">
        <v>249</v>
      </c>
      <c r="C445" t="s">
        <v>251</v>
      </c>
    </row>
    <row r="446" spans="1:6" x14ac:dyDescent="0.55000000000000004">
      <c r="A446">
        <v>74</v>
      </c>
      <c r="B446" t="s">
        <v>249</v>
      </c>
      <c r="C446" t="s">
        <v>116</v>
      </c>
      <c r="D446" t="s">
        <v>40</v>
      </c>
      <c r="E446">
        <v>0</v>
      </c>
    </row>
    <row r="447" spans="1:6" x14ac:dyDescent="0.55000000000000004">
      <c r="A447">
        <v>74</v>
      </c>
      <c r="B447" t="s">
        <v>249</v>
      </c>
      <c r="C447" t="s">
        <v>252</v>
      </c>
    </row>
    <row r="448" spans="1:6" x14ac:dyDescent="0.55000000000000004">
      <c r="A448">
        <v>74</v>
      </c>
      <c r="B448" t="s">
        <v>249</v>
      </c>
      <c r="C448" t="s">
        <v>117</v>
      </c>
      <c r="D448" t="s">
        <v>39</v>
      </c>
      <c r="E448">
        <v>0</v>
      </c>
    </row>
    <row r="449" spans="1:6" x14ac:dyDescent="0.55000000000000004">
      <c r="A449">
        <v>74</v>
      </c>
      <c r="B449" t="s">
        <v>249</v>
      </c>
      <c r="C449" t="s">
        <v>21</v>
      </c>
    </row>
    <row r="450" spans="1:6" x14ac:dyDescent="0.55000000000000004">
      <c r="A450">
        <v>75</v>
      </c>
      <c r="B450" t="s">
        <v>101</v>
      </c>
      <c r="C450" t="s">
        <v>102</v>
      </c>
      <c r="D450" t="s">
        <v>103</v>
      </c>
      <c r="E450" s="1"/>
      <c r="F450" t="s">
        <v>132</v>
      </c>
    </row>
    <row r="451" spans="1:6" x14ac:dyDescent="0.55000000000000004">
      <c r="A451">
        <v>75</v>
      </c>
      <c r="B451" t="s">
        <v>101</v>
      </c>
      <c r="C451" s="12" t="s">
        <v>104</v>
      </c>
      <c r="D451" t="s">
        <v>40</v>
      </c>
      <c r="E451">
        <v>1</v>
      </c>
    </row>
    <row r="452" spans="1:6" x14ac:dyDescent="0.55000000000000004">
      <c r="A452">
        <v>75</v>
      </c>
      <c r="B452" t="s">
        <v>101</v>
      </c>
      <c r="C452" t="s">
        <v>8</v>
      </c>
      <c r="D452" t="s">
        <v>38</v>
      </c>
      <c r="E452">
        <v>3.5</v>
      </c>
      <c r="F452" t="s">
        <v>218</v>
      </c>
    </row>
    <row r="453" spans="1:6" x14ac:dyDescent="0.55000000000000004">
      <c r="A453">
        <v>75</v>
      </c>
      <c r="B453" t="s">
        <v>101</v>
      </c>
      <c r="C453" t="s">
        <v>214</v>
      </c>
      <c r="D453" t="s">
        <v>38</v>
      </c>
      <c r="E453">
        <v>8</v>
      </c>
    </row>
    <row r="454" spans="1:6" x14ac:dyDescent="0.55000000000000004">
      <c r="A454">
        <v>75</v>
      </c>
      <c r="B454" t="s">
        <v>101</v>
      </c>
      <c r="C454" t="s">
        <v>105</v>
      </c>
      <c r="D454" t="s">
        <v>106</v>
      </c>
      <c r="E454">
        <f>E453/10</f>
        <v>0.8</v>
      </c>
      <c r="F454" t="s">
        <v>107</v>
      </c>
    </row>
    <row r="455" spans="1:6" x14ac:dyDescent="0.55000000000000004">
      <c r="A455">
        <v>75</v>
      </c>
      <c r="B455" t="s">
        <v>101</v>
      </c>
      <c r="C455" s="2" t="s">
        <v>109</v>
      </c>
      <c r="D455" t="s">
        <v>39</v>
      </c>
      <c r="E455">
        <v>100</v>
      </c>
    </row>
    <row r="456" spans="1:6" x14ac:dyDescent="0.55000000000000004">
      <c r="A456">
        <v>75</v>
      </c>
      <c r="B456" t="s">
        <v>101</v>
      </c>
      <c r="C456" s="2" t="s">
        <v>248</v>
      </c>
      <c r="E456" t="s">
        <v>268</v>
      </c>
    </row>
    <row r="457" spans="1:6" x14ac:dyDescent="0.55000000000000004">
      <c r="A457">
        <v>75</v>
      </c>
      <c r="B457" t="s">
        <v>101</v>
      </c>
      <c r="C457" s="2" t="s">
        <v>108</v>
      </c>
      <c r="D457" t="s">
        <v>39</v>
      </c>
      <c r="E457">
        <v>100</v>
      </c>
    </row>
    <row r="458" spans="1:6" x14ac:dyDescent="0.55000000000000004">
      <c r="A458">
        <v>75</v>
      </c>
      <c r="B458" t="s">
        <v>101</v>
      </c>
      <c r="C458" t="s">
        <v>11</v>
      </c>
      <c r="D458" t="s">
        <v>39</v>
      </c>
      <c r="E458">
        <v>0</v>
      </c>
    </row>
    <row r="459" spans="1:6" x14ac:dyDescent="0.55000000000000004">
      <c r="A459">
        <v>75</v>
      </c>
      <c r="B459" t="s">
        <v>101</v>
      </c>
      <c r="C459" t="s">
        <v>12</v>
      </c>
      <c r="D459" t="s">
        <v>40</v>
      </c>
      <c r="E459">
        <v>0</v>
      </c>
    </row>
    <row r="460" spans="1:6" x14ac:dyDescent="0.55000000000000004">
      <c r="A460">
        <v>75</v>
      </c>
      <c r="B460" t="s">
        <v>101</v>
      </c>
      <c r="C460" t="s">
        <v>34</v>
      </c>
      <c r="D460" t="s">
        <v>39</v>
      </c>
      <c r="E460">
        <v>100</v>
      </c>
    </row>
    <row r="461" spans="1:6" x14ac:dyDescent="0.55000000000000004">
      <c r="A461">
        <v>75</v>
      </c>
      <c r="B461" t="s">
        <v>101</v>
      </c>
      <c r="C461" t="s">
        <v>35</v>
      </c>
      <c r="D461" t="s">
        <v>39</v>
      </c>
      <c r="E461">
        <v>0</v>
      </c>
    </row>
    <row r="462" spans="1:6" x14ac:dyDescent="0.55000000000000004">
      <c r="A462">
        <v>75</v>
      </c>
      <c r="B462" t="s">
        <v>101</v>
      </c>
      <c r="C462" t="s">
        <v>36</v>
      </c>
      <c r="D462" t="s">
        <v>39</v>
      </c>
      <c r="E462">
        <v>0</v>
      </c>
    </row>
    <row r="463" spans="1:6" x14ac:dyDescent="0.55000000000000004">
      <c r="A463">
        <v>75</v>
      </c>
      <c r="B463" t="s">
        <v>101</v>
      </c>
      <c r="C463" t="s">
        <v>37</v>
      </c>
      <c r="D463" t="s">
        <v>39</v>
      </c>
      <c r="E463">
        <v>0</v>
      </c>
    </row>
    <row r="464" spans="1:6" x14ac:dyDescent="0.55000000000000004">
      <c r="A464">
        <v>75</v>
      </c>
      <c r="B464" t="s">
        <v>101</v>
      </c>
      <c r="C464" t="s">
        <v>14</v>
      </c>
      <c r="D464" t="s">
        <v>39</v>
      </c>
      <c r="E464">
        <v>0</v>
      </c>
    </row>
    <row r="465" spans="1:5" x14ac:dyDescent="0.55000000000000004">
      <c r="A465">
        <v>75</v>
      </c>
      <c r="B465" t="s">
        <v>101</v>
      </c>
      <c r="C465" t="s">
        <v>13</v>
      </c>
      <c r="D465" t="s">
        <v>39</v>
      </c>
      <c r="E465">
        <v>0</v>
      </c>
    </row>
    <row r="466" spans="1:5" x14ac:dyDescent="0.55000000000000004">
      <c r="A466">
        <v>75</v>
      </c>
      <c r="B466" t="s">
        <v>101</v>
      </c>
      <c r="C466" t="s">
        <v>110</v>
      </c>
      <c r="D466" t="s">
        <v>39</v>
      </c>
      <c r="E466">
        <v>0</v>
      </c>
    </row>
    <row r="467" spans="1:5" x14ac:dyDescent="0.55000000000000004">
      <c r="A467">
        <v>75</v>
      </c>
      <c r="B467" t="s">
        <v>101</v>
      </c>
      <c r="C467" t="s">
        <v>223</v>
      </c>
      <c r="D467" t="s">
        <v>39</v>
      </c>
      <c r="E467">
        <v>0</v>
      </c>
    </row>
    <row r="468" spans="1:5" x14ac:dyDescent="0.55000000000000004">
      <c r="A468">
        <v>75</v>
      </c>
      <c r="B468" t="s">
        <v>101</v>
      </c>
      <c r="C468" t="s">
        <v>133</v>
      </c>
      <c r="D468" t="s">
        <v>118</v>
      </c>
    </row>
    <row r="469" spans="1:5" x14ac:dyDescent="0.55000000000000004">
      <c r="A469">
        <v>75</v>
      </c>
      <c r="B469" t="s">
        <v>111</v>
      </c>
      <c r="C469" t="s">
        <v>18</v>
      </c>
      <c r="D469" t="s">
        <v>42</v>
      </c>
      <c r="E469">
        <v>22.3</v>
      </c>
    </row>
    <row r="470" spans="1:5" x14ac:dyDescent="0.55000000000000004">
      <c r="A470">
        <v>75</v>
      </c>
      <c r="B470" t="s">
        <v>111</v>
      </c>
      <c r="C470" t="s">
        <v>15</v>
      </c>
      <c r="D470" t="s">
        <v>41</v>
      </c>
      <c r="E470">
        <v>9.74</v>
      </c>
    </row>
    <row r="471" spans="1:5" x14ac:dyDescent="0.55000000000000004">
      <c r="A471">
        <v>75</v>
      </c>
      <c r="B471" t="s">
        <v>111</v>
      </c>
      <c r="C471" t="s">
        <v>16</v>
      </c>
      <c r="D471" t="s">
        <v>39</v>
      </c>
      <c r="E471">
        <v>111.6</v>
      </c>
    </row>
    <row r="472" spans="1:5" x14ac:dyDescent="0.55000000000000004">
      <c r="A472">
        <v>75</v>
      </c>
      <c r="B472" t="s">
        <v>111</v>
      </c>
      <c r="C472" t="s">
        <v>112</v>
      </c>
      <c r="D472" t="s">
        <v>113</v>
      </c>
      <c r="E472">
        <v>153.4</v>
      </c>
    </row>
    <row r="473" spans="1:5" x14ac:dyDescent="0.55000000000000004">
      <c r="A473">
        <v>75</v>
      </c>
      <c r="B473" t="s">
        <v>111</v>
      </c>
      <c r="C473" t="s">
        <v>17</v>
      </c>
      <c r="E473">
        <v>8.08</v>
      </c>
    </row>
    <row r="474" spans="1:5" x14ac:dyDescent="0.55000000000000004">
      <c r="A474">
        <v>75</v>
      </c>
      <c r="B474" t="s">
        <v>249</v>
      </c>
      <c r="C474" t="s">
        <v>114</v>
      </c>
      <c r="D474" t="s">
        <v>39</v>
      </c>
      <c r="E474">
        <v>0</v>
      </c>
    </row>
    <row r="475" spans="1:5" x14ac:dyDescent="0.55000000000000004">
      <c r="A475">
        <v>75</v>
      </c>
      <c r="B475" t="s">
        <v>249</v>
      </c>
      <c r="C475" t="s">
        <v>250</v>
      </c>
    </row>
    <row r="476" spans="1:5" x14ac:dyDescent="0.55000000000000004">
      <c r="A476">
        <v>75</v>
      </c>
      <c r="B476" t="s">
        <v>249</v>
      </c>
      <c r="C476" t="s">
        <v>115</v>
      </c>
      <c r="D476" t="s">
        <v>39</v>
      </c>
      <c r="E476">
        <v>0</v>
      </c>
    </row>
    <row r="477" spans="1:5" x14ac:dyDescent="0.55000000000000004">
      <c r="A477">
        <v>75</v>
      </c>
      <c r="B477" t="s">
        <v>249</v>
      </c>
      <c r="C477" t="s">
        <v>251</v>
      </c>
    </row>
    <row r="478" spans="1:5" x14ac:dyDescent="0.55000000000000004">
      <c r="A478">
        <v>75</v>
      </c>
      <c r="B478" t="s">
        <v>249</v>
      </c>
      <c r="C478" t="s">
        <v>116</v>
      </c>
      <c r="D478" t="s">
        <v>40</v>
      </c>
      <c r="E478">
        <v>0</v>
      </c>
    </row>
    <row r="479" spans="1:5" x14ac:dyDescent="0.55000000000000004">
      <c r="A479">
        <v>75</v>
      </c>
      <c r="B479" t="s">
        <v>249</v>
      </c>
      <c r="C479" t="s">
        <v>252</v>
      </c>
    </row>
    <row r="480" spans="1:5" x14ac:dyDescent="0.55000000000000004">
      <c r="A480">
        <v>75</v>
      </c>
      <c r="B480" t="s">
        <v>249</v>
      </c>
      <c r="C480" t="s">
        <v>117</v>
      </c>
      <c r="D480" t="s">
        <v>39</v>
      </c>
      <c r="E480">
        <v>2</v>
      </c>
    </row>
    <row r="481" spans="1:6" x14ac:dyDescent="0.55000000000000004">
      <c r="A481">
        <v>75</v>
      </c>
      <c r="B481" t="s">
        <v>249</v>
      </c>
      <c r="C481" t="s">
        <v>21</v>
      </c>
    </row>
    <row r="482" spans="1:6" x14ac:dyDescent="0.55000000000000004">
      <c r="A482">
        <v>76</v>
      </c>
      <c r="B482" t="s">
        <v>101</v>
      </c>
      <c r="C482" t="s">
        <v>102</v>
      </c>
      <c r="D482" t="s">
        <v>103</v>
      </c>
      <c r="E482" s="1"/>
      <c r="F482" t="s">
        <v>132</v>
      </c>
    </row>
    <row r="483" spans="1:6" x14ac:dyDescent="0.55000000000000004">
      <c r="A483">
        <v>76</v>
      </c>
      <c r="B483" t="s">
        <v>101</v>
      </c>
      <c r="C483" s="12" t="s">
        <v>104</v>
      </c>
      <c r="D483" t="s">
        <v>40</v>
      </c>
      <c r="E483">
        <v>1</v>
      </c>
    </row>
    <row r="484" spans="1:6" x14ac:dyDescent="0.55000000000000004">
      <c r="A484">
        <v>76</v>
      </c>
      <c r="B484" t="s">
        <v>101</v>
      </c>
      <c r="C484" t="s">
        <v>8</v>
      </c>
      <c r="D484" t="s">
        <v>38</v>
      </c>
    </row>
    <row r="485" spans="1:6" x14ac:dyDescent="0.55000000000000004">
      <c r="A485">
        <v>76</v>
      </c>
      <c r="B485" t="s">
        <v>101</v>
      </c>
      <c r="C485" t="s">
        <v>214</v>
      </c>
      <c r="D485" t="s">
        <v>38</v>
      </c>
      <c r="E485">
        <v>0.6</v>
      </c>
    </row>
    <row r="486" spans="1:6" x14ac:dyDescent="0.55000000000000004">
      <c r="A486">
        <v>76</v>
      </c>
      <c r="B486" t="s">
        <v>101</v>
      </c>
      <c r="C486" t="s">
        <v>105</v>
      </c>
      <c r="D486" t="s">
        <v>106</v>
      </c>
      <c r="E486">
        <f>E485/10</f>
        <v>0.06</v>
      </c>
      <c r="F486" t="s">
        <v>107</v>
      </c>
    </row>
    <row r="487" spans="1:6" x14ac:dyDescent="0.55000000000000004">
      <c r="A487">
        <v>76</v>
      </c>
      <c r="B487" t="s">
        <v>101</v>
      </c>
      <c r="C487" s="2" t="s">
        <v>109</v>
      </c>
      <c r="D487" t="s">
        <v>39</v>
      </c>
      <c r="E487">
        <v>100</v>
      </c>
    </row>
    <row r="488" spans="1:6" x14ac:dyDescent="0.55000000000000004">
      <c r="A488">
        <v>76</v>
      </c>
      <c r="B488" t="s">
        <v>101</v>
      </c>
      <c r="C488" s="2" t="s">
        <v>248</v>
      </c>
      <c r="E488" t="s">
        <v>323</v>
      </c>
    </row>
    <row r="489" spans="1:6" x14ac:dyDescent="0.55000000000000004">
      <c r="A489">
        <v>76</v>
      </c>
      <c r="B489" t="s">
        <v>101</v>
      </c>
      <c r="C489" s="2" t="s">
        <v>108</v>
      </c>
      <c r="D489" t="s">
        <v>39</v>
      </c>
      <c r="E489">
        <v>30</v>
      </c>
    </row>
    <row r="490" spans="1:6" x14ac:dyDescent="0.55000000000000004">
      <c r="A490">
        <v>76</v>
      </c>
      <c r="B490" t="s">
        <v>101</v>
      </c>
      <c r="C490" t="s">
        <v>11</v>
      </c>
      <c r="D490" t="s">
        <v>39</v>
      </c>
      <c r="E490">
        <v>0</v>
      </c>
    </row>
    <row r="491" spans="1:6" x14ac:dyDescent="0.55000000000000004">
      <c r="A491">
        <v>76</v>
      </c>
      <c r="B491" t="s">
        <v>101</v>
      </c>
      <c r="C491" t="s">
        <v>12</v>
      </c>
      <c r="D491" t="s">
        <v>40</v>
      </c>
      <c r="E491">
        <v>0</v>
      </c>
    </row>
    <row r="492" spans="1:6" x14ac:dyDescent="0.55000000000000004">
      <c r="A492">
        <v>76</v>
      </c>
      <c r="B492" t="s">
        <v>101</v>
      </c>
      <c r="C492" t="s">
        <v>34</v>
      </c>
      <c r="D492" t="s">
        <v>39</v>
      </c>
      <c r="E492">
        <v>0</v>
      </c>
    </row>
    <row r="493" spans="1:6" x14ac:dyDescent="0.55000000000000004">
      <c r="A493">
        <v>76</v>
      </c>
      <c r="B493" t="s">
        <v>101</v>
      </c>
      <c r="C493" t="s">
        <v>35</v>
      </c>
      <c r="D493" t="s">
        <v>39</v>
      </c>
      <c r="E493">
        <v>0</v>
      </c>
    </row>
    <row r="494" spans="1:6" x14ac:dyDescent="0.55000000000000004">
      <c r="A494">
        <v>76</v>
      </c>
      <c r="B494" t="s">
        <v>101</v>
      </c>
      <c r="C494" t="s">
        <v>36</v>
      </c>
      <c r="D494" t="s">
        <v>39</v>
      </c>
      <c r="E494">
        <v>0</v>
      </c>
    </row>
    <row r="495" spans="1:6" x14ac:dyDescent="0.55000000000000004">
      <c r="A495">
        <v>76</v>
      </c>
      <c r="B495" t="s">
        <v>101</v>
      </c>
      <c r="C495" t="s">
        <v>37</v>
      </c>
      <c r="D495" t="s">
        <v>39</v>
      </c>
      <c r="E495">
        <v>0</v>
      </c>
    </row>
    <row r="496" spans="1:6" x14ac:dyDescent="0.55000000000000004">
      <c r="A496">
        <v>76</v>
      </c>
      <c r="B496" t="s">
        <v>101</v>
      </c>
      <c r="C496" t="s">
        <v>14</v>
      </c>
      <c r="D496" t="s">
        <v>39</v>
      </c>
      <c r="E496">
        <v>90</v>
      </c>
    </row>
    <row r="497" spans="1:6" x14ac:dyDescent="0.55000000000000004">
      <c r="A497">
        <v>76</v>
      </c>
      <c r="B497" t="s">
        <v>101</v>
      </c>
      <c r="C497" t="s">
        <v>13</v>
      </c>
      <c r="D497" t="s">
        <v>39</v>
      </c>
      <c r="E497">
        <v>0</v>
      </c>
    </row>
    <row r="498" spans="1:6" x14ac:dyDescent="0.55000000000000004">
      <c r="A498">
        <v>76</v>
      </c>
      <c r="B498" t="s">
        <v>101</v>
      </c>
      <c r="C498" t="s">
        <v>110</v>
      </c>
      <c r="D498" t="s">
        <v>39</v>
      </c>
      <c r="E498">
        <v>0</v>
      </c>
    </row>
    <row r="499" spans="1:6" x14ac:dyDescent="0.55000000000000004">
      <c r="A499">
        <v>76</v>
      </c>
      <c r="B499" t="s">
        <v>101</v>
      </c>
      <c r="C499" t="s">
        <v>223</v>
      </c>
      <c r="D499" t="s">
        <v>39</v>
      </c>
      <c r="E499">
        <v>10</v>
      </c>
      <c r="F499" t="s">
        <v>322</v>
      </c>
    </row>
    <row r="500" spans="1:6" x14ac:dyDescent="0.55000000000000004">
      <c r="A500">
        <v>76</v>
      </c>
      <c r="B500" t="s">
        <v>101</v>
      </c>
      <c r="C500" t="s">
        <v>133</v>
      </c>
      <c r="D500" t="s">
        <v>118</v>
      </c>
    </row>
    <row r="501" spans="1:6" x14ac:dyDescent="0.55000000000000004">
      <c r="A501">
        <v>76</v>
      </c>
      <c r="B501" t="s">
        <v>111</v>
      </c>
      <c r="C501" t="s">
        <v>18</v>
      </c>
      <c r="D501" t="s">
        <v>42</v>
      </c>
      <c r="E501">
        <v>21.5</v>
      </c>
    </row>
    <row r="502" spans="1:6" x14ac:dyDescent="0.55000000000000004">
      <c r="A502">
        <v>76</v>
      </c>
      <c r="B502" t="s">
        <v>111</v>
      </c>
      <c r="C502" t="s">
        <v>15</v>
      </c>
      <c r="D502" t="s">
        <v>41</v>
      </c>
      <c r="E502">
        <v>6.8</v>
      </c>
    </row>
    <row r="503" spans="1:6" x14ac:dyDescent="0.55000000000000004">
      <c r="A503">
        <v>76</v>
      </c>
      <c r="B503" t="s">
        <v>111</v>
      </c>
      <c r="C503" t="s">
        <v>16</v>
      </c>
      <c r="D503" t="s">
        <v>39</v>
      </c>
      <c r="E503">
        <v>77.3</v>
      </c>
    </row>
    <row r="504" spans="1:6" x14ac:dyDescent="0.55000000000000004">
      <c r="A504">
        <v>76</v>
      </c>
      <c r="B504" t="s">
        <v>111</v>
      </c>
      <c r="C504" t="s">
        <v>112</v>
      </c>
      <c r="D504" t="s">
        <v>113</v>
      </c>
      <c r="E504">
        <v>181.6</v>
      </c>
    </row>
    <row r="505" spans="1:6" x14ac:dyDescent="0.55000000000000004">
      <c r="A505">
        <v>76</v>
      </c>
      <c r="B505" t="s">
        <v>111</v>
      </c>
      <c r="C505" t="s">
        <v>17</v>
      </c>
      <c r="E505">
        <v>8.24</v>
      </c>
    </row>
    <row r="506" spans="1:6" x14ac:dyDescent="0.55000000000000004">
      <c r="A506">
        <v>76</v>
      </c>
      <c r="B506" t="s">
        <v>249</v>
      </c>
      <c r="C506" t="s">
        <v>114</v>
      </c>
      <c r="D506" t="s">
        <v>39</v>
      </c>
      <c r="E506">
        <v>30</v>
      </c>
    </row>
    <row r="507" spans="1:6" x14ac:dyDescent="0.55000000000000004">
      <c r="A507">
        <v>76</v>
      </c>
      <c r="B507" t="s">
        <v>249</v>
      </c>
      <c r="C507" t="s">
        <v>250</v>
      </c>
      <c r="E507" t="s">
        <v>324</v>
      </c>
    </row>
    <row r="508" spans="1:6" x14ac:dyDescent="0.55000000000000004">
      <c r="A508">
        <v>76</v>
      </c>
      <c r="B508" t="s">
        <v>249</v>
      </c>
      <c r="C508" t="s">
        <v>115</v>
      </c>
      <c r="D508" t="s">
        <v>39</v>
      </c>
      <c r="E508">
        <v>0</v>
      </c>
    </row>
    <row r="509" spans="1:6" x14ac:dyDescent="0.55000000000000004">
      <c r="A509">
        <v>76</v>
      </c>
      <c r="B509" t="s">
        <v>249</v>
      </c>
      <c r="C509" t="s">
        <v>251</v>
      </c>
    </row>
    <row r="510" spans="1:6" x14ac:dyDescent="0.55000000000000004">
      <c r="A510">
        <v>76</v>
      </c>
      <c r="B510" t="s">
        <v>249</v>
      </c>
      <c r="C510" t="s">
        <v>116</v>
      </c>
      <c r="D510" t="s">
        <v>40</v>
      </c>
      <c r="E510">
        <v>0</v>
      </c>
    </row>
    <row r="511" spans="1:6" x14ac:dyDescent="0.55000000000000004">
      <c r="A511">
        <v>76</v>
      </c>
      <c r="B511" t="s">
        <v>249</v>
      </c>
      <c r="C511" t="s">
        <v>252</v>
      </c>
    </row>
    <row r="512" spans="1:6" x14ac:dyDescent="0.55000000000000004">
      <c r="A512">
        <v>76</v>
      </c>
      <c r="B512" t="s">
        <v>249</v>
      </c>
      <c r="C512" t="s">
        <v>117</v>
      </c>
      <c r="D512" t="s">
        <v>39</v>
      </c>
      <c r="E512">
        <v>10</v>
      </c>
    </row>
    <row r="513" spans="1:6" x14ac:dyDescent="0.55000000000000004">
      <c r="A513">
        <v>76</v>
      </c>
      <c r="B513" t="s">
        <v>249</v>
      </c>
      <c r="C513" t="s">
        <v>21</v>
      </c>
    </row>
    <row r="514" spans="1:6" x14ac:dyDescent="0.55000000000000004">
      <c r="A514">
        <v>77</v>
      </c>
      <c r="B514" t="s">
        <v>101</v>
      </c>
      <c r="C514" t="s">
        <v>102</v>
      </c>
      <c r="D514" t="s">
        <v>103</v>
      </c>
      <c r="E514" s="1"/>
      <c r="F514" t="s">
        <v>132</v>
      </c>
    </row>
    <row r="515" spans="1:6" x14ac:dyDescent="0.55000000000000004">
      <c r="A515">
        <v>77</v>
      </c>
      <c r="B515" t="s">
        <v>101</v>
      </c>
      <c r="C515" s="12" t="s">
        <v>104</v>
      </c>
      <c r="D515" t="s">
        <v>40</v>
      </c>
      <c r="E515">
        <v>1</v>
      </c>
    </row>
    <row r="516" spans="1:6" x14ac:dyDescent="0.55000000000000004">
      <c r="A516">
        <v>77</v>
      </c>
      <c r="B516" t="s">
        <v>101</v>
      </c>
      <c r="C516" t="s">
        <v>8</v>
      </c>
      <c r="D516" t="s">
        <v>38</v>
      </c>
    </row>
    <row r="517" spans="1:6" x14ac:dyDescent="0.55000000000000004">
      <c r="A517">
        <v>77</v>
      </c>
      <c r="B517" t="s">
        <v>101</v>
      </c>
      <c r="C517" t="s">
        <v>214</v>
      </c>
      <c r="D517" t="s">
        <v>38</v>
      </c>
      <c r="E517">
        <v>2</v>
      </c>
    </row>
    <row r="518" spans="1:6" x14ac:dyDescent="0.55000000000000004">
      <c r="A518">
        <v>77</v>
      </c>
      <c r="B518" t="s">
        <v>101</v>
      </c>
      <c r="C518" t="s">
        <v>105</v>
      </c>
      <c r="D518" t="s">
        <v>106</v>
      </c>
      <c r="E518">
        <f>E517/10</f>
        <v>0.2</v>
      </c>
      <c r="F518" t="s">
        <v>107</v>
      </c>
    </row>
    <row r="519" spans="1:6" x14ac:dyDescent="0.55000000000000004">
      <c r="A519">
        <v>77</v>
      </c>
      <c r="B519" t="s">
        <v>101</v>
      </c>
      <c r="C519" s="2" t="s">
        <v>109</v>
      </c>
      <c r="D519" t="s">
        <v>39</v>
      </c>
      <c r="E519">
        <v>100</v>
      </c>
    </row>
    <row r="520" spans="1:6" x14ac:dyDescent="0.55000000000000004">
      <c r="A520">
        <v>77</v>
      </c>
      <c r="B520" t="s">
        <v>101</v>
      </c>
      <c r="C520" s="2" t="s">
        <v>248</v>
      </c>
      <c r="E520" t="s">
        <v>268</v>
      </c>
    </row>
    <row r="521" spans="1:6" x14ac:dyDescent="0.55000000000000004">
      <c r="A521">
        <v>77</v>
      </c>
      <c r="B521" t="s">
        <v>101</v>
      </c>
      <c r="C521" s="2" t="s">
        <v>108</v>
      </c>
      <c r="D521" t="s">
        <v>39</v>
      </c>
      <c r="E521">
        <v>100</v>
      </c>
    </row>
    <row r="522" spans="1:6" x14ac:dyDescent="0.55000000000000004">
      <c r="A522">
        <v>77</v>
      </c>
      <c r="B522" t="s">
        <v>101</v>
      </c>
      <c r="C522" t="s">
        <v>11</v>
      </c>
      <c r="D522" t="s">
        <v>39</v>
      </c>
      <c r="E522">
        <v>0</v>
      </c>
    </row>
    <row r="523" spans="1:6" x14ac:dyDescent="0.55000000000000004">
      <c r="A523">
        <v>77</v>
      </c>
      <c r="B523" t="s">
        <v>101</v>
      </c>
      <c r="C523" t="s">
        <v>12</v>
      </c>
      <c r="D523" t="s">
        <v>40</v>
      </c>
      <c r="E523">
        <v>0</v>
      </c>
    </row>
    <row r="524" spans="1:6" x14ac:dyDescent="0.55000000000000004">
      <c r="A524">
        <v>77</v>
      </c>
      <c r="B524" t="s">
        <v>101</v>
      </c>
      <c r="C524" t="s">
        <v>34</v>
      </c>
      <c r="D524" t="s">
        <v>39</v>
      </c>
      <c r="E524">
        <v>0</v>
      </c>
    </row>
    <row r="525" spans="1:6" x14ac:dyDescent="0.55000000000000004">
      <c r="A525">
        <v>77</v>
      </c>
      <c r="B525" t="s">
        <v>101</v>
      </c>
      <c r="C525" t="s">
        <v>35</v>
      </c>
      <c r="D525" t="s">
        <v>39</v>
      </c>
      <c r="E525">
        <v>100</v>
      </c>
    </row>
    <row r="526" spans="1:6" x14ac:dyDescent="0.55000000000000004">
      <c r="A526">
        <v>77</v>
      </c>
      <c r="B526" t="s">
        <v>101</v>
      </c>
      <c r="C526" t="s">
        <v>36</v>
      </c>
      <c r="D526" t="s">
        <v>39</v>
      </c>
      <c r="E526">
        <v>0</v>
      </c>
    </row>
    <row r="527" spans="1:6" x14ac:dyDescent="0.55000000000000004">
      <c r="A527">
        <v>77</v>
      </c>
      <c r="B527" t="s">
        <v>101</v>
      </c>
      <c r="C527" t="s">
        <v>37</v>
      </c>
      <c r="D527" t="s">
        <v>39</v>
      </c>
      <c r="E527">
        <v>0</v>
      </c>
    </row>
    <row r="528" spans="1:6" x14ac:dyDescent="0.55000000000000004">
      <c r="A528">
        <v>77</v>
      </c>
      <c r="B528" t="s">
        <v>101</v>
      </c>
      <c r="C528" t="s">
        <v>14</v>
      </c>
      <c r="D528" t="s">
        <v>39</v>
      </c>
      <c r="E528">
        <v>0</v>
      </c>
    </row>
    <row r="529" spans="1:5" x14ac:dyDescent="0.55000000000000004">
      <c r="A529">
        <v>77</v>
      </c>
      <c r="B529" t="s">
        <v>101</v>
      </c>
      <c r="C529" t="s">
        <v>13</v>
      </c>
      <c r="D529" t="s">
        <v>39</v>
      </c>
      <c r="E529">
        <v>0</v>
      </c>
    </row>
    <row r="530" spans="1:5" x14ac:dyDescent="0.55000000000000004">
      <c r="A530">
        <v>77</v>
      </c>
      <c r="B530" t="s">
        <v>101</v>
      </c>
      <c r="C530" t="s">
        <v>110</v>
      </c>
      <c r="D530" t="s">
        <v>39</v>
      </c>
      <c r="E530">
        <v>0</v>
      </c>
    </row>
    <row r="531" spans="1:5" x14ac:dyDescent="0.55000000000000004">
      <c r="A531">
        <v>77</v>
      </c>
      <c r="B531" t="s">
        <v>101</v>
      </c>
      <c r="C531" t="s">
        <v>223</v>
      </c>
      <c r="D531" t="s">
        <v>39</v>
      </c>
      <c r="E531">
        <v>0</v>
      </c>
    </row>
    <row r="532" spans="1:5" x14ac:dyDescent="0.55000000000000004">
      <c r="A532">
        <v>77</v>
      </c>
      <c r="B532" t="s">
        <v>101</v>
      </c>
      <c r="C532" t="s">
        <v>133</v>
      </c>
      <c r="D532" t="s">
        <v>118</v>
      </c>
    </row>
    <row r="533" spans="1:5" x14ac:dyDescent="0.55000000000000004">
      <c r="A533">
        <v>77</v>
      </c>
      <c r="B533" t="s">
        <v>111</v>
      </c>
      <c r="C533" t="s">
        <v>18</v>
      </c>
      <c r="D533" t="s">
        <v>42</v>
      </c>
      <c r="E533">
        <v>20.6</v>
      </c>
    </row>
    <row r="534" spans="1:5" x14ac:dyDescent="0.55000000000000004">
      <c r="A534">
        <v>77</v>
      </c>
      <c r="B534" t="s">
        <v>111</v>
      </c>
      <c r="C534" t="s">
        <v>15</v>
      </c>
      <c r="D534" t="s">
        <v>41</v>
      </c>
      <c r="E534">
        <v>9.77</v>
      </c>
    </row>
    <row r="535" spans="1:5" x14ac:dyDescent="0.55000000000000004">
      <c r="A535">
        <v>77</v>
      </c>
      <c r="B535" t="s">
        <v>111</v>
      </c>
      <c r="C535" t="s">
        <v>16</v>
      </c>
      <c r="D535" t="s">
        <v>39</v>
      </c>
      <c r="E535">
        <v>108.6</v>
      </c>
    </row>
    <row r="536" spans="1:5" x14ac:dyDescent="0.55000000000000004">
      <c r="A536">
        <v>77</v>
      </c>
      <c r="B536" t="s">
        <v>111</v>
      </c>
      <c r="C536" t="s">
        <v>112</v>
      </c>
      <c r="D536" t="s">
        <v>113</v>
      </c>
      <c r="E536">
        <v>143.19999999999999</v>
      </c>
    </row>
    <row r="537" spans="1:5" x14ac:dyDescent="0.55000000000000004">
      <c r="A537">
        <v>77</v>
      </c>
      <c r="B537" t="s">
        <v>111</v>
      </c>
      <c r="C537" t="s">
        <v>17</v>
      </c>
      <c r="E537">
        <v>8.91</v>
      </c>
    </row>
    <row r="538" spans="1:5" x14ac:dyDescent="0.55000000000000004">
      <c r="A538">
        <v>77</v>
      </c>
      <c r="B538" t="s">
        <v>249</v>
      </c>
      <c r="C538" t="s">
        <v>114</v>
      </c>
      <c r="D538" t="s">
        <v>39</v>
      </c>
      <c r="E538">
        <v>0</v>
      </c>
    </row>
    <row r="539" spans="1:5" x14ac:dyDescent="0.55000000000000004">
      <c r="A539">
        <v>77</v>
      </c>
      <c r="B539" t="s">
        <v>249</v>
      </c>
      <c r="C539" t="s">
        <v>250</v>
      </c>
    </row>
    <row r="540" spans="1:5" x14ac:dyDescent="0.55000000000000004">
      <c r="A540">
        <v>77</v>
      </c>
      <c r="B540" t="s">
        <v>249</v>
      </c>
      <c r="C540" t="s">
        <v>115</v>
      </c>
      <c r="D540" t="s">
        <v>39</v>
      </c>
      <c r="E540">
        <v>0</v>
      </c>
    </row>
    <row r="541" spans="1:5" x14ac:dyDescent="0.55000000000000004">
      <c r="A541">
        <v>77</v>
      </c>
      <c r="B541" t="s">
        <v>249</v>
      </c>
      <c r="C541" t="s">
        <v>251</v>
      </c>
    </row>
    <row r="542" spans="1:5" x14ac:dyDescent="0.55000000000000004">
      <c r="A542">
        <v>77</v>
      </c>
      <c r="B542" t="s">
        <v>249</v>
      </c>
      <c r="C542" t="s">
        <v>116</v>
      </c>
      <c r="D542" t="s">
        <v>40</v>
      </c>
      <c r="E542">
        <v>0</v>
      </c>
    </row>
    <row r="543" spans="1:5" x14ac:dyDescent="0.55000000000000004">
      <c r="A543">
        <v>77</v>
      </c>
      <c r="B543" t="s">
        <v>249</v>
      </c>
      <c r="C543" t="s">
        <v>252</v>
      </c>
    </row>
    <row r="544" spans="1:5" x14ac:dyDescent="0.55000000000000004">
      <c r="A544">
        <v>77</v>
      </c>
      <c r="B544" t="s">
        <v>249</v>
      </c>
      <c r="C544" t="s">
        <v>117</v>
      </c>
      <c r="D544" t="s">
        <v>39</v>
      </c>
      <c r="E544">
        <v>0</v>
      </c>
    </row>
    <row r="545" spans="1:6" x14ac:dyDescent="0.55000000000000004">
      <c r="A545">
        <v>77</v>
      </c>
      <c r="B545" t="s">
        <v>249</v>
      </c>
      <c r="C545" t="s">
        <v>21</v>
      </c>
    </row>
    <row r="546" spans="1:6" x14ac:dyDescent="0.55000000000000004">
      <c r="A546">
        <v>78</v>
      </c>
      <c r="B546" t="s">
        <v>101</v>
      </c>
      <c r="C546" t="s">
        <v>102</v>
      </c>
      <c r="D546" t="s">
        <v>103</v>
      </c>
      <c r="E546" s="1"/>
      <c r="F546" t="s">
        <v>132</v>
      </c>
    </row>
    <row r="547" spans="1:6" x14ac:dyDescent="0.55000000000000004">
      <c r="A547">
        <v>78</v>
      </c>
      <c r="B547" t="s">
        <v>101</v>
      </c>
      <c r="C547" s="12" t="s">
        <v>104</v>
      </c>
      <c r="D547" t="s">
        <v>40</v>
      </c>
      <c r="E547">
        <v>1</v>
      </c>
    </row>
    <row r="548" spans="1:6" x14ac:dyDescent="0.55000000000000004">
      <c r="A548">
        <v>78</v>
      </c>
      <c r="B548" t="s">
        <v>101</v>
      </c>
      <c r="C548" t="s">
        <v>8</v>
      </c>
      <c r="D548" t="s">
        <v>38</v>
      </c>
    </row>
    <row r="549" spans="1:6" x14ac:dyDescent="0.55000000000000004">
      <c r="A549">
        <v>78</v>
      </c>
      <c r="B549" t="s">
        <v>101</v>
      </c>
      <c r="C549" t="s">
        <v>214</v>
      </c>
      <c r="D549" t="s">
        <v>38</v>
      </c>
      <c r="E549">
        <v>0.6</v>
      </c>
    </row>
    <row r="550" spans="1:6" x14ac:dyDescent="0.55000000000000004">
      <c r="A550">
        <v>78</v>
      </c>
      <c r="B550" t="s">
        <v>101</v>
      </c>
      <c r="C550" t="s">
        <v>105</v>
      </c>
      <c r="D550" t="s">
        <v>106</v>
      </c>
      <c r="E550">
        <f>E549/10</f>
        <v>0.06</v>
      </c>
      <c r="F550" t="s">
        <v>107</v>
      </c>
    </row>
    <row r="551" spans="1:6" x14ac:dyDescent="0.55000000000000004">
      <c r="A551">
        <v>78</v>
      </c>
      <c r="B551" t="s">
        <v>101</v>
      </c>
      <c r="C551" s="2" t="s">
        <v>109</v>
      </c>
      <c r="D551" t="s">
        <v>39</v>
      </c>
      <c r="E551">
        <v>100</v>
      </c>
    </row>
    <row r="552" spans="1:6" x14ac:dyDescent="0.55000000000000004">
      <c r="A552">
        <v>78</v>
      </c>
      <c r="B552" t="s">
        <v>101</v>
      </c>
      <c r="C552" s="2" t="s">
        <v>248</v>
      </c>
      <c r="E552" t="s">
        <v>325</v>
      </c>
    </row>
    <row r="553" spans="1:6" x14ac:dyDescent="0.55000000000000004">
      <c r="A553">
        <v>78</v>
      </c>
      <c r="B553" t="s">
        <v>101</v>
      </c>
      <c r="C553" s="2" t="s">
        <v>108</v>
      </c>
      <c r="D553" t="s">
        <v>39</v>
      </c>
      <c r="E553">
        <v>0</v>
      </c>
    </row>
    <row r="554" spans="1:6" x14ac:dyDescent="0.55000000000000004">
      <c r="A554">
        <v>78</v>
      </c>
      <c r="B554" t="s">
        <v>101</v>
      </c>
      <c r="C554" t="s">
        <v>11</v>
      </c>
      <c r="D554" t="s">
        <v>39</v>
      </c>
      <c r="E554">
        <v>0</v>
      </c>
    </row>
    <row r="555" spans="1:6" x14ac:dyDescent="0.55000000000000004">
      <c r="A555">
        <v>78</v>
      </c>
      <c r="B555" t="s">
        <v>101</v>
      </c>
      <c r="C555" t="s">
        <v>12</v>
      </c>
      <c r="D555" t="s">
        <v>40</v>
      </c>
      <c r="E555">
        <v>1</v>
      </c>
      <c r="F555" t="s">
        <v>326</v>
      </c>
    </row>
    <row r="556" spans="1:6" x14ac:dyDescent="0.55000000000000004">
      <c r="A556">
        <v>78</v>
      </c>
      <c r="B556" t="s">
        <v>101</v>
      </c>
      <c r="C556" t="s">
        <v>34</v>
      </c>
      <c r="D556" t="s">
        <v>39</v>
      </c>
      <c r="E556">
        <v>0</v>
      </c>
    </row>
    <row r="557" spans="1:6" x14ac:dyDescent="0.55000000000000004">
      <c r="A557">
        <v>78</v>
      </c>
      <c r="B557" t="s">
        <v>101</v>
      </c>
      <c r="C557" t="s">
        <v>35</v>
      </c>
      <c r="D557" t="s">
        <v>39</v>
      </c>
      <c r="E557">
        <v>0</v>
      </c>
    </row>
    <row r="558" spans="1:6" x14ac:dyDescent="0.55000000000000004">
      <c r="A558">
        <v>78</v>
      </c>
      <c r="B558" t="s">
        <v>101</v>
      </c>
      <c r="C558" t="s">
        <v>36</v>
      </c>
      <c r="D558" t="s">
        <v>39</v>
      </c>
      <c r="E558">
        <v>0</v>
      </c>
    </row>
    <row r="559" spans="1:6" x14ac:dyDescent="0.55000000000000004">
      <c r="A559">
        <v>78</v>
      </c>
      <c r="B559" t="s">
        <v>101</v>
      </c>
      <c r="C559" t="s">
        <v>37</v>
      </c>
      <c r="D559" t="s">
        <v>39</v>
      </c>
      <c r="E559">
        <v>10</v>
      </c>
    </row>
    <row r="560" spans="1:6" x14ac:dyDescent="0.55000000000000004">
      <c r="A560">
        <v>78</v>
      </c>
      <c r="B560" t="s">
        <v>101</v>
      </c>
      <c r="C560" t="s">
        <v>14</v>
      </c>
      <c r="D560" t="s">
        <v>39</v>
      </c>
      <c r="E560">
        <v>90</v>
      </c>
    </row>
    <row r="561" spans="1:5" x14ac:dyDescent="0.55000000000000004">
      <c r="A561">
        <v>78</v>
      </c>
      <c r="B561" t="s">
        <v>101</v>
      </c>
      <c r="C561" t="s">
        <v>13</v>
      </c>
      <c r="D561" t="s">
        <v>39</v>
      </c>
      <c r="E561">
        <v>0</v>
      </c>
    </row>
    <row r="562" spans="1:5" x14ac:dyDescent="0.55000000000000004">
      <c r="A562">
        <v>78</v>
      </c>
      <c r="B562" t="s">
        <v>101</v>
      </c>
      <c r="C562" t="s">
        <v>110</v>
      </c>
      <c r="D562" t="s">
        <v>39</v>
      </c>
      <c r="E562">
        <v>0</v>
      </c>
    </row>
    <row r="563" spans="1:5" x14ac:dyDescent="0.55000000000000004">
      <c r="A563">
        <v>78</v>
      </c>
      <c r="B563" t="s">
        <v>101</v>
      </c>
      <c r="C563" t="s">
        <v>223</v>
      </c>
      <c r="D563" t="s">
        <v>39</v>
      </c>
      <c r="E563">
        <v>0</v>
      </c>
    </row>
    <row r="564" spans="1:5" x14ac:dyDescent="0.55000000000000004">
      <c r="A564">
        <v>78</v>
      </c>
      <c r="B564" t="s">
        <v>101</v>
      </c>
      <c r="C564" t="s">
        <v>133</v>
      </c>
      <c r="D564" t="s">
        <v>118</v>
      </c>
    </row>
    <row r="565" spans="1:5" x14ac:dyDescent="0.55000000000000004">
      <c r="A565">
        <v>78</v>
      </c>
      <c r="B565" t="s">
        <v>111</v>
      </c>
      <c r="C565" t="s">
        <v>18</v>
      </c>
      <c r="D565" t="s">
        <v>42</v>
      </c>
      <c r="E565">
        <v>23.8</v>
      </c>
    </row>
    <row r="566" spans="1:5" x14ac:dyDescent="0.55000000000000004">
      <c r="A566">
        <v>78</v>
      </c>
      <c r="B566" t="s">
        <v>111</v>
      </c>
      <c r="C566" t="s">
        <v>15</v>
      </c>
      <c r="D566" t="s">
        <v>41</v>
      </c>
      <c r="E566">
        <v>10.47</v>
      </c>
    </row>
    <row r="567" spans="1:5" x14ac:dyDescent="0.55000000000000004">
      <c r="A567">
        <v>78</v>
      </c>
      <c r="B567" t="s">
        <v>111</v>
      </c>
      <c r="C567" t="s">
        <v>16</v>
      </c>
      <c r="D567" t="s">
        <v>39</v>
      </c>
      <c r="E567">
        <v>124.1</v>
      </c>
    </row>
    <row r="568" spans="1:5" x14ac:dyDescent="0.55000000000000004">
      <c r="A568">
        <v>78</v>
      </c>
      <c r="B568" t="s">
        <v>111</v>
      </c>
      <c r="C568" t="s">
        <v>112</v>
      </c>
      <c r="D568" t="s">
        <v>113</v>
      </c>
      <c r="E568">
        <v>158.6</v>
      </c>
    </row>
    <row r="569" spans="1:5" x14ac:dyDescent="0.55000000000000004">
      <c r="A569">
        <v>78</v>
      </c>
      <c r="B569" t="s">
        <v>111</v>
      </c>
      <c r="C569" t="s">
        <v>17</v>
      </c>
      <c r="E569">
        <v>8.43</v>
      </c>
    </row>
    <row r="570" spans="1:5" x14ac:dyDescent="0.55000000000000004">
      <c r="A570">
        <v>78</v>
      </c>
      <c r="B570" t="s">
        <v>249</v>
      </c>
      <c r="C570" t="s">
        <v>114</v>
      </c>
      <c r="D570" t="s">
        <v>39</v>
      </c>
      <c r="E570">
        <v>0</v>
      </c>
    </row>
    <row r="571" spans="1:5" x14ac:dyDescent="0.55000000000000004">
      <c r="A571">
        <v>78</v>
      </c>
      <c r="B571" t="s">
        <v>249</v>
      </c>
      <c r="C571" t="s">
        <v>250</v>
      </c>
    </row>
    <row r="572" spans="1:5" x14ac:dyDescent="0.55000000000000004">
      <c r="A572">
        <v>78</v>
      </c>
      <c r="B572" t="s">
        <v>249</v>
      </c>
      <c r="C572" t="s">
        <v>115</v>
      </c>
      <c r="D572" t="s">
        <v>39</v>
      </c>
      <c r="E572">
        <v>0</v>
      </c>
    </row>
    <row r="573" spans="1:5" x14ac:dyDescent="0.55000000000000004">
      <c r="A573">
        <v>78</v>
      </c>
      <c r="B573" t="s">
        <v>249</v>
      </c>
      <c r="C573" t="s">
        <v>251</v>
      </c>
    </row>
    <row r="574" spans="1:5" x14ac:dyDescent="0.55000000000000004">
      <c r="A574">
        <v>78</v>
      </c>
      <c r="B574" t="s">
        <v>249</v>
      </c>
      <c r="C574" t="s">
        <v>116</v>
      </c>
      <c r="D574" t="s">
        <v>40</v>
      </c>
      <c r="E574">
        <v>0</v>
      </c>
    </row>
    <row r="575" spans="1:5" x14ac:dyDescent="0.55000000000000004">
      <c r="A575">
        <v>78</v>
      </c>
      <c r="B575" t="s">
        <v>249</v>
      </c>
      <c r="C575" t="s">
        <v>252</v>
      </c>
    </row>
    <row r="576" spans="1:5" x14ac:dyDescent="0.55000000000000004">
      <c r="A576">
        <v>78</v>
      </c>
      <c r="B576" t="s">
        <v>249</v>
      </c>
      <c r="C576" t="s">
        <v>117</v>
      </c>
      <c r="D576" t="s">
        <v>39</v>
      </c>
      <c r="E576">
        <v>0</v>
      </c>
    </row>
    <row r="577" spans="1:6" x14ac:dyDescent="0.55000000000000004">
      <c r="A577">
        <v>78</v>
      </c>
      <c r="B577" t="s">
        <v>249</v>
      </c>
      <c r="C577" t="s">
        <v>21</v>
      </c>
    </row>
    <row r="578" spans="1:6" x14ac:dyDescent="0.55000000000000004">
      <c r="A578">
        <v>79</v>
      </c>
      <c r="B578" t="s">
        <v>101</v>
      </c>
      <c r="C578" t="s">
        <v>102</v>
      </c>
      <c r="D578" t="s">
        <v>103</v>
      </c>
      <c r="E578" s="1"/>
      <c r="F578" t="s">
        <v>132</v>
      </c>
    </row>
    <row r="579" spans="1:6" x14ac:dyDescent="0.55000000000000004">
      <c r="A579">
        <v>79</v>
      </c>
      <c r="B579" t="s">
        <v>101</v>
      </c>
      <c r="C579" s="12" t="s">
        <v>104</v>
      </c>
      <c r="D579" t="s">
        <v>40</v>
      </c>
      <c r="E579">
        <v>1</v>
      </c>
    </row>
    <row r="580" spans="1:6" x14ac:dyDescent="0.55000000000000004">
      <c r="A580">
        <v>79</v>
      </c>
      <c r="B580" t="s">
        <v>101</v>
      </c>
      <c r="C580" t="s">
        <v>8</v>
      </c>
      <c r="D580" t="s">
        <v>38</v>
      </c>
    </row>
    <row r="581" spans="1:6" x14ac:dyDescent="0.55000000000000004">
      <c r="A581">
        <v>79</v>
      </c>
      <c r="B581" t="s">
        <v>101</v>
      </c>
      <c r="C581" t="s">
        <v>214</v>
      </c>
      <c r="D581" t="s">
        <v>38</v>
      </c>
      <c r="E581">
        <v>1.55</v>
      </c>
    </row>
    <row r="582" spans="1:6" x14ac:dyDescent="0.55000000000000004">
      <c r="A582">
        <v>79</v>
      </c>
      <c r="B582" t="s">
        <v>101</v>
      </c>
      <c r="C582" t="s">
        <v>105</v>
      </c>
      <c r="D582" t="s">
        <v>106</v>
      </c>
      <c r="E582">
        <f>E581/10</f>
        <v>0.155</v>
      </c>
      <c r="F582" t="s">
        <v>107</v>
      </c>
    </row>
    <row r="583" spans="1:6" x14ac:dyDescent="0.55000000000000004">
      <c r="A583">
        <v>79</v>
      </c>
      <c r="B583" t="s">
        <v>101</v>
      </c>
      <c r="C583" s="2" t="s">
        <v>109</v>
      </c>
      <c r="D583" t="s">
        <v>39</v>
      </c>
      <c r="E583">
        <v>100</v>
      </c>
    </row>
    <row r="584" spans="1:6" x14ac:dyDescent="0.55000000000000004">
      <c r="A584">
        <v>79</v>
      </c>
      <c r="B584" t="s">
        <v>101</v>
      </c>
      <c r="C584" s="2" t="s">
        <v>248</v>
      </c>
      <c r="E584" t="s">
        <v>327</v>
      </c>
    </row>
    <row r="585" spans="1:6" x14ac:dyDescent="0.55000000000000004">
      <c r="A585">
        <v>79</v>
      </c>
      <c r="B585" t="s">
        <v>101</v>
      </c>
      <c r="C585" s="2" t="s">
        <v>108</v>
      </c>
      <c r="D585" t="s">
        <v>39</v>
      </c>
      <c r="E585">
        <v>20</v>
      </c>
    </row>
    <row r="586" spans="1:6" x14ac:dyDescent="0.55000000000000004">
      <c r="A586">
        <v>79</v>
      </c>
      <c r="B586" t="s">
        <v>101</v>
      </c>
      <c r="C586" t="s">
        <v>11</v>
      </c>
      <c r="D586" t="s">
        <v>39</v>
      </c>
      <c r="E586">
        <v>0</v>
      </c>
    </row>
    <row r="587" spans="1:6" x14ac:dyDescent="0.55000000000000004">
      <c r="A587">
        <v>79</v>
      </c>
      <c r="B587" t="s">
        <v>101</v>
      </c>
      <c r="C587" t="s">
        <v>12</v>
      </c>
      <c r="D587" t="s">
        <v>40</v>
      </c>
      <c r="E587">
        <v>0</v>
      </c>
    </row>
    <row r="588" spans="1:6" x14ac:dyDescent="0.55000000000000004">
      <c r="A588">
        <v>79</v>
      </c>
      <c r="B588" t="s">
        <v>101</v>
      </c>
      <c r="C588" t="s">
        <v>34</v>
      </c>
      <c r="D588" t="s">
        <v>39</v>
      </c>
      <c r="E588">
        <v>0</v>
      </c>
    </row>
    <row r="589" spans="1:6" x14ac:dyDescent="0.55000000000000004">
      <c r="A589">
        <v>79</v>
      </c>
      <c r="B589" t="s">
        <v>101</v>
      </c>
      <c r="C589" t="s">
        <v>35</v>
      </c>
      <c r="D589" t="s">
        <v>39</v>
      </c>
      <c r="E589">
        <v>0</v>
      </c>
    </row>
    <row r="590" spans="1:6" x14ac:dyDescent="0.55000000000000004">
      <c r="A590">
        <v>79</v>
      </c>
      <c r="B590" t="s">
        <v>101</v>
      </c>
      <c r="C590" t="s">
        <v>36</v>
      </c>
      <c r="D590" t="s">
        <v>39</v>
      </c>
      <c r="E590">
        <v>0</v>
      </c>
    </row>
    <row r="591" spans="1:6" x14ac:dyDescent="0.55000000000000004">
      <c r="A591">
        <v>79</v>
      </c>
      <c r="B591" t="s">
        <v>101</v>
      </c>
      <c r="C591" t="s">
        <v>37</v>
      </c>
      <c r="D591" t="s">
        <v>39</v>
      </c>
      <c r="E591">
        <v>0</v>
      </c>
    </row>
    <row r="592" spans="1:6" x14ac:dyDescent="0.55000000000000004">
      <c r="A592">
        <v>79</v>
      </c>
      <c r="B592" t="s">
        <v>101</v>
      </c>
      <c r="C592" t="s">
        <v>14</v>
      </c>
      <c r="D592" t="s">
        <v>39</v>
      </c>
      <c r="E592">
        <v>0</v>
      </c>
    </row>
    <row r="593" spans="1:5" x14ac:dyDescent="0.55000000000000004">
      <c r="A593">
        <v>79</v>
      </c>
      <c r="B593" t="s">
        <v>101</v>
      </c>
      <c r="C593" t="s">
        <v>13</v>
      </c>
      <c r="D593" t="s">
        <v>39</v>
      </c>
      <c r="E593">
        <v>0</v>
      </c>
    </row>
    <row r="594" spans="1:5" x14ac:dyDescent="0.55000000000000004">
      <c r="A594">
        <v>79</v>
      </c>
      <c r="B594" t="s">
        <v>101</v>
      </c>
      <c r="C594" t="s">
        <v>110</v>
      </c>
      <c r="D594" t="s">
        <v>39</v>
      </c>
      <c r="E594">
        <v>100</v>
      </c>
    </row>
    <row r="595" spans="1:5" x14ac:dyDescent="0.55000000000000004">
      <c r="A595">
        <v>79</v>
      </c>
      <c r="B595" t="s">
        <v>101</v>
      </c>
      <c r="C595" t="s">
        <v>223</v>
      </c>
      <c r="D595" t="s">
        <v>39</v>
      </c>
      <c r="E595">
        <v>0</v>
      </c>
    </row>
    <row r="596" spans="1:5" x14ac:dyDescent="0.55000000000000004">
      <c r="A596">
        <v>79</v>
      </c>
      <c r="B596" t="s">
        <v>101</v>
      </c>
      <c r="C596" t="s">
        <v>133</v>
      </c>
      <c r="D596" t="s">
        <v>118</v>
      </c>
    </row>
    <row r="597" spans="1:5" x14ac:dyDescent="0.55000000000000004">
      <c r="A597">
        <v>79</v>
      </c>
      <c r="B597" t="s">
        <v>111</v>
      </c>
      <c r="C597" t="s">
        <v>18</v>
      </c>
      <c r="D597" t="s">
        <v>42</v>
      </c>
      <c r="E597">
        <v>21.6</v>
      </c>
    </row>
    <row r="598" spans="1:5" x14ac:dyDescent="0.55000000000000004">
      <c r="A598">
        <v>79</v>
      </c>
      <c r="B598" t="s">
        <v>111</v>
      </c>
      <c r="C598" t="s">
        <v>15</v>
      </c>
      <c r="D598" t="s">
        <v>41</v>
      </c>
      <c r="E598">
        <v>9.1300000000000008</v>
      </c>
    </row>
    <row r="599" spans="1:5" x14ac:dyDescent="0.55000000000000004">
      <c r="A599">
        <v>79</v>
      </c>
      <c r="B599" t="s">
        <v>111</v>
      </c>
      <c r="C599" t="s">
        <v>16</v>
      </c>
      <c r="D599" t="s">
        <v>39</v>
      </c>
      <c r="E599">
        <v>103.7</v>
      </c>
    </row>
    <row r="600" spans="1:5" x14ac:dyDescent="0.55000000000000004">
      <c r="A600">
        <v>79</v>
      </c>
      <c r="B600" t="s">
        <v>111</v>
      </c>
      <c r="C600" t="s">
        <v>112</v>
      </c>
      <c r="D600" t="s">
        <v>113</v>
      </c>
      <c r="E600">
        <v>146.19999999999999</v>
      </c>
    </row>
    <row r="601" spans="1:5" x14ac:dyDescent="0.55000000000000004">
      <c r="A601">
        <v>79</v>
      </c>
      <c r="B601" t="s">
        <v>111</v>
      </c>
      <c r="C601" t="s">
        <v>17</v>
      </c>
      <c r="E601">
        <v>8.6300000000000008</v>
      </c>
    </row>
    <row r="602" spans="1:5" x14ac:dyDescent="0.55000000000000004">
      <c r="A602">
        <v>79</v>
      </c>
      <c r="B602" t="s">
        <v>249</v>
      </c>
      <c r="C602" t="s">
        <v>114</v>
      </c>
      <c r="D602" t="s">
        <v>39</v>
      </c>
      <c r="E602">
        <v>10</v>
      </c>
    </row>
    <row r="603" spans="1:5" x14ac:dyDescent="0.55000000000000004">
      <c r="A603">
        <v>79</v>
      </c>
      <c r="B603" t="s">
        <v>249</v>
      </c>
      <c r="C603" t="s">
        <v>250</v>
      </c>
      <c r="E603" t="s">
        <v>263</v>
      </c>
    </row>
    <row r="604" spans="1:5" x14ac:dyDescent="0.55000000000000004">
      <c r="A604">
        <v>79</v>
      </c>
      <c r="B604" t="s">
        <v>249</v>
      </c>
      <c r="C604" t="s">
        <v>115</v>
      </c>
      <c r="D604" t="s">
        <v>39</v>
      </c>
      <c r="E604">
        <v>0</v>
      </c>
    </row>
    <row r="605" spans="1:5" x14ac:dyDescent="0.55000000000000004">
      <c r="A605">
        <v>79</v>
      </c>
      <c r="B605" t="s">
        <v>249</v>
      </c>
      <c r="C605" t="s">
        <v>251</v>
      </c>
    </row>
    <row r="606" spans="1:5" x14ac:dyDescent="0.55000000000000004">
      <c r="A606">
        <v>79</v>
      </c>
      <c r="B606" t="s">
        <v>249</v>
      </c>
      <c r="C606" t="s">
        <v>116</v>
      </c>
      <c r="D606" t="s">
        <v>40</v>
      </c>
      <c r="E606">
        <v>0</v>
      </c>
    </row>
    <row r="607" spans="1:5" x14ac:dyDescent="0.55000000000000004">
      <c r="A607">
        <v>79</v>
      </c>
      <c r="B607" t="s">
        <v>249</v>
      </c>
      <c r="C607" t="s">
        <v>252</v>
      </c>
    </row>
    <row r="608" spans="1:5" x14ac:dyDescent="0.55000000000000004">
      <c r="A608">
        <v>79</v>
      </c>
      <c r="B608" t="s">
        <v>249</v>
      </c>
      <c r="C608" t="s">
        <v>117</v>
      </c>
      <c r="D608" t="s">
        <v>39</v>
      </c>
      <c r="E608">
        <v>5</v>
      </c>
    </row>
    <row r="609" spans="1:6" x14ac:dyDescent="0.55000000000000004">
      <c r="A609">
        <v>79</v>
      </c>
      <c r="B609" t="s">
        <v>249</v>
      </c>
      <c r="C609" t="s">
        <v>21</v>
      </c>
    </row>
    <row r="610" spans="1:6" x14ac:dyDescent="0.55000000000000004">
      <c r="A610">
        <v>80</v>
      </c>
      <c r="B610" t="s">
        <v>101</v>
      </c>
      <c r="C610" t="s">
        <v>102</v>
      </c>
      <c r="D610" t="s">
        <v>103</v>
      </c>
      <c r="E610" s="1"/>
      <c r="F610" t="s">
        <v>132</v>
      </c>
    </row>
    <row r="611" spans="1:6" x14ac:dyDescent="0.55000000000000004">
      <c r="A611">
        <v>80</v>
      </c>
      <c r="B611" t="s">
        <v>101</v>
      </c>
      <c r="C611" s="12" t="s">
        <v>104</v>
      </c>
      <c r="D611" t="s">
        <v>40</v>
      </c>
      <c r="E611">
        <v>1</v>
      </c>
    </row>
    <row r="612" spans="1:6" x14ac:dyDescent="0.55000000000000004">
      <c r="A612">
        <v>80</v>
      </c>
      <c r="B612" t="s">
        <v>101</v>
      </c>
      <c r="C612" t="s">
        <v>8</v>
      </c>
      <c r="D612" t="s">
        <v>38</v>
      </c>
      <c r="E612">
        <v>3</v>
      </c>
      <c r="F612" t="s">
        <v>218</v>
      </c>
    </row>
    <row r="613" spans="1:6" x14ac:dyDescent="0.55000000000000004">
      <c r="A613">
        <v>80</v>
      </c>
      <c r="B613" t="s">
        <v>101</v>
      </c>
      <c r="C613" t="s">
        <v>214</v>
      </c>
      <c r="D613" t="s">
        <v>38</v>
      </c>
      <c r="E613">
        <v>1</v>
      </c>
    </row>
    <row r="614" spans="1:6" x14ac:dyDescent="0.55000000000000004">
      <c r="A614">
        <v>80</v>
      </c>
      <c r="B614" t="s">
        <v>101</v>
      </c>
      <c r="C614" t="s">
        <v>105</v>
      </c>
      <c r="D614" t="s">
        <v>106</v>
      </c>
      <c r="E614">
        <f>E613/10</f>
        <v>0.1</v>
      </c>
      <c r="F614" t="s">
        <v>107</v>
      </c>
    </row>
    <row r="615" spans="1:6" x14ac:dyDescent="0.55000000000000004">
      <c r="A615">
        <v>80</v>
      </c>
      <c r="B615" t="s">
        <v>101</v>
      </c>
      <c r="C615" s="2" t="s">
        <v>109</v>
      </c>
      <c r="D615" t="s">
        <v>39</v>
      </c>
      <c r="E615">
        <v>100</v>
      </c>
    </row>
    <row r="616" spans="1:6" x14ac:dyDescent="0.55000000000000004">
      <c r="A616">
        <v>80</v>
      </c>
      <c r="B616" t="s">
        <v>101</v>
      </c>
      <c r="C616" s="2" t="s">
        <v>248</v>
      </c>
      <c r="E616" t="s">
        <v>273</v>
      </c>
    </row>
    <row r="617" spans="1:6" x14ac:dyDescent="0.55000000000000004">
      <c r="A617">
        <v>80</v>
      </c>
      <c r="B617" t="s">
        <v>101</v>
      </c>
      <c r="C617" s="2" t="s">
        <v>108</v>
      </c>
      <c r="D617" t="s">
        <v>39</v>
      </c>
      <c r="E617">
        <v>0</v>
      </c>
    </row>
    <row r="618" spans="1:6" x14ac:dyDescent="0.55000000000000004">
      <c r="A618">
        <v>80</v>
      </c>
      <c r="B618" t="s">
        <v>101</v>
      </c>
      <c r="C618" t="s">
        <v>11</v>
      </c>
      <c r="D618" t="s">
        <v>39</v>
      </c>
      <c r="E618">
        <v>0</v>
      </c>
    </row>
    <row r="619" spans="1:6" x14ac:dyDescent="0.55000000000000004">
      <c r="A619">
        <v>80</v>
      </c>
      <c r="B619" t="s">
        <v>101</v>
      </c>
      <c r="C619" t="s">
        <v>12</v>
      </c>
      <c r="D619" t="s">
        <v>40</v>
      </c>
      <c r="E619">
        <v>0</v>
      </c>
    </row>
    <row r="620" spans="1:6" x14ac:dyDescent="0.55000000000000004">
      <c r="A620">
        <v>80</v>
      </c>
      <c r="B620" t="s">
        <v>101</v>
      </c>
      <c r="C620" t="s">
        <v>34</v>
      </c>
      <c r="D620" t="s">
        <v>39</v>
      </c>
      <c r="E620">
        <v>0</v>
      </c>
    </row>
    <row r="621" spans="1:6" x14ac:dyDescent="0.55000000000000004">
      <c r="A621">
        <v>80</v>
      </c>
      <c r="B621" t="s">
        <v>101</v>
      </c>
      <c r="C621" t="s">
        <v>35</v>
      </c>
      <c r="D621" t="s">
        <v>39</v>
      </c>
      <c r="E621">
        <v>0</v>
      </c>
    </row>
    <row r="622" spans="1:6" x14ac:dyDescent="0.55000000000000004">
      <c r="A622">
        <v>80</v>
      </c>
      <c r="B622" t="s">
        <v>101</v>
      </c>
      <c r="C622" t="s">
        <v>36</v>
      </c>
      <c r="D622" t="s">
        <v>39</v>
      </c>
      <c r="E622">
        <v>0</v>
      </c>
    </row>
    <row r="623" spans="1:6" x14ac:dyDescent="0.55000000000000004">
      <c r="A623">
        <v>80</v>
      </c>
      <c r="B623" t="s">
        <v>101</v>
      </c>
      <c r="C623" t="s">
        <v>37</v>
      </c>
      <c r="D623" t="s">
        <v>39</v>
      </c>
      <c r="E623">
        <v>0</v>
      </c>
    </row>
    <row r="624" spans="1:6" x14ac:dyDescent="0.55000000000000004">
      <c r="A624">
        <v>80</v>
      </c>
      <c r="B624" t="s">
        <v>101</v>
      </c>
      <c r="C624" t="s">
        <v>14</v>
      </c>
      <c r="D624" t="s">
        <v>39</v>
      </c>
      <c r="E624">
        <v>0</v>
      </c>
    </row>
    <row r="625" spans="1:5" x14ac:dyDescent="0.55000000000000004">
      <c r="A625">
        <v>80</v>
      </c>
      <c r="B625" t="s">
        <v>101</v>
      </c>
      <c r="C625" t="s">
        <v>13</v>
      </c>
      <c r="D625" t="s">
        <v>39</v>
      </c>
      <c r="E625">
        <v>0</v>
      </c>
    </row>
    <row r="626" spans="1:5" x14ac:dyDescent="0.55000000000000004">
      <c r="A626">
        <v>80</v>
      </c>
      <c r="B626" t="s">
        <v>101</v>
      </c>
      <c r="C626" t="s">
        <v>110</v>
      </c>
      <c r="D626" t="s">
        <v>39</v>
      </c>
      <c r="E626">
        <v>100</v>
      </c>
    </row>
    <row r="627" spans="1:5" x14ac:dyDescent="0.55000000000000004">
      <c r="A627">
        <v>80</v>
      </c>
      <c r="B627" t="s">
        <v>101</v>
      </c>
      <c r="C627" t="s">
        <v>223</v>
      </c>
      <c r="D627" t="s">
        <v>39</v>
      </c>
      <c r="E627">
        <v>0</v>
      </c>
    </row>
    <row r="628" spans="1:5" x14ac:dyDescent="0.55000000000000004">
      <c r="A628">
        <v>80</v>
      </c>
      <c r="B628" t="s">
        <v>101</v>
      </c>
      <c r="C628" t="s">
        <v>133</v>
      </c>
      <c r="D628" t="s">
        <v>118</v>
      </c>
    </row>
    <row r="629" spans="1:5" x14ac:dyDescent="0.55000000000000004">
      <c r="A629">
        <v>80</v>
      </c>
      <c r="B629" t="s">
        <v>111</v>
      </c>
      <c r="C629" t="s">
        <v>18</v>
      </c>
      <c r="D629" t="s">
        <v>42</v>
      </c>
      <c r="E629">
        <v>22</v>
      </c>
    </row>
    <row r="630" spans="1:5" x14ac:dyDescent="0.55000000000000004">
      <c r="A630">
        <v>80</v>
      </c>
      <c r="B630" t="s">
        <v>111</v>
      </c>
      <c r="C630" t="s">
        <v>15</v>
      </c>
      <c r="D630" t="s">
        <v>41</v>
      </c>
      <c r="E630">
        <v>8.8000000000000007</v>
      </c>
    </row>
    <row r="631" spans="1:5" x14ac:dyDescent="0.55000000000000004">
      <c r="A631">
        <v>80</v>
      </c>
      <c r="B631" t="s">
        <v>111</v>
      </c>
      <c r="C631" t="s">
        <v>16</v>
      </c>
      <c r="D631" t="s">
        <v>39</v>
      </c>
      <c r="E631">
        <v>100.4</v>
      </c>
    </row>
    <row r="632" spans="1:5" x14ac:dyDescent="0.55000000000000004">
      <c r="A632">
        <v>80</v>
      </c>
      <c r="B632" t="s">
        <v>111</v>
      </c>
      <c r="C632" t="s">
        <v>112</v>
      </c>
      <c r="D632" t="s">
        <v>113</v>
      </c>
      <c r="E632">
        <v>154.5</v>
      </c>
    </row>
    <row r="633" spans="1:5" x14ac:dyDescent="0.55000000000000004">
      <c r="A633">
        <v>80</v>
      </c>
      <c r="B633" t="s">
        <v>111</v>
      </c>
      <c r="C633" t="s">
        <v>17</v>
      </c>
      <c r="E633">
        <v>8.36</v>
      </c>
    </row>
    <row r="634" spans="1:5" x14ac:dyDescent="0.55000000000000004">
      <c r="A634">
        <v>80</v>
      </c>
      <c r="B634" t="s">
        <v>249</v>
      </c>
      <c r="C634" t="s">
        <v>114</v>
      </c>
      <c r="D634" t="s">
        <v>39</v>
      </c>
      <c r="E634">
        <v>100</v>
      </c>
    </row>
    <row r="635" spans="1:5" x14ac:dyDescent="0.55000000000000004">
      <c r="A635">
        <v>80</v>
      </c>
      <c r="B635" t="s">
        <v>249</v>
      </c>
      <c r="C635" t="s">
        <v>114</v>
      </c>
      <c r="D635" t="s">
        <v>39</v>
      </c>
      <c r="E635">
        <v>90</v>
      </c>
    </row>
    <row r="636" spans="1:5" x14ac:dyDescent="0.55000000000000004">
      <c r="A636">
        <v>80</v>
      </c>
      <c r="B636" t="s">
        <v>249</v>
      </c>
      <c r="C636" t="s">
        <v>250</v>
      </c>
      <c r="E636" t="s">
        <v>273</v>
      </c>
    </row>
    <row r="637" spans="1:5" x14ac:dyDescent="0.55000000000000004">
      <c r="A637">
        <v>80</v>
      </c>
      <c r="B637" t="s">
        <v>249</v>
      </c>
      <c r="C637" t="s">
        <v>114</v>
      </c>
      <c r="D637" t="s">
        <v>39</v>
      </c>
      <c r="E637">
        <v>10</v>
      </c>
    </row>
    <row r="638" spans="1:5" x14ac:dyDescent="0.55000000000000004">
      <c r="A638">
        <v>80</v>
      </c>
      <c r="B638" t="s">
        <v>249</v>
      </c>
      <c r="C638" t="s">
        <v>250</v>
      </c>
      <c r="E638" t="s">
        <v>263</v>
      </c>
    </row>
    <row r="639" spans="1:5" x14ac:dyDescent="0.55000000000000004">
      <c r="A639">
        <v>80</v>
      </c>
      <c r="B639" t="s">
        <v>249</v>
      </c>
      <c r="C639" t="s">
        <v>115</v>
      </c>
      <c r="D639" t="s">
        <v>39</v>
      </c>
      <c r="E639">
        <v>10</v>
      </c>
    </row>
    <row r="640" spans="1:5" x14ac:dyDescent="0.55000000000000004">
      <c r="A640">
        <v>80</v>
      </c>
      <c r="B640" t="s">
        <v>249</v>
      </c>
      <c r="C640" t="s">
        <v>251</v>
      </c>
      <c r="E640" t="s">
        <v>262</v>
      </c>
    </row>
    <row r="641" spans="1:6" x14ac:dyDescent="0.55000000000000004">
      <c r="A641">
        <v>80</v>
      </c>
      <c r="B641" t="s">
        <v>249</v>
      </c>
      <c r="C641" t="s">
        <v>116</v>
      </c>
      <c r="D641" t="s">
        <v>40</v>
      </c>
      <c r="E641">
        <v>0</v>
      </c>
    </row>
    <row r="642" spans="1:6" x14ac:dyDescent="0.55000000000000004">
      <c r="A642">
        <v>80</v>
      </c>
      <c r="B642" t="s">
        <v>249</v>
      </c>
      <c r="C642" t="s">
        <v>252</v>
      </c>
    </row>
    <row r="643" spans="1:6" x14ac:dyDescent="0.55000000000000004">
      <c r="A643">
        <v>80</v>
      </c>
      <c r="B643" t="s">
        <v>249</v>
      </c>
      <c r="C643" t="s">
        <v>117</v>
      </c>
      <c r="D643" t="s">
        <v>39</v>
      </c>
      <c r="E643">
        <v>0</v>
      </c>
    </row>
    <row r="644" spans="1:6" x14ac:dyDescent="0.55000000000000004">
      <c r="A644">
        <v>80</v>
      </c>
      <c r="B644" t="s">
        <v>249</v>
      </c>
      <c r="C644" t="s">
        <v>21</v>
      </c>
    </row>
    <row r="645" spans="1:6" x14ac:dyDescent="0.55000000000000004">
      <c r="A645">
        <v>81</v>
      </c>
      <c r="B645" t="s">
        <v>101</v>
      </c>
      <c r="C645" t="s">
        <v>102</v>
      </c>
      <c r="D645" t="s">
        <v>103</v>
      </c>
      <c r="E645" s="1"/>
      <c r="F645" t="s">
        <v>132</v>
      </c>
    </row>
    <row r="646" spans="1:6" x14ac:dyDescent="0.55000000000000004">
      <c r="A646">
        <v>81</v>
      </c>
      <c r="B646" t="s">
        <v>101</v>
      </c>
      <c r="C646" s="12" t="s">
        <v>104</v>
      </c>
      <c r="D646" t="s">
        <v>40</v>
      </c>
      <c r="E646">
        <v>1</v>
      </c>
    </row>
    <row r="647" spans="1:6" x14ac:dyDescent="0.55000000000000004">
      <c r="A647">
        <v>81</v>
      </c>
      <c r="B647" t="s">
        <v>101</v>
      </c>
      <c r="C647" t="s">
        <v>8</v>
      </c>
      <c r="D647" t="s">
        <v>38</v>
      </c>
    </row>
    <row r="648" spans="1:6" x14ac:dyDescent="0.55000000000000004">
      <c r="A648">
        <v>81</v>
      </c>
      <c r="B648" t="s">
        <v>101</v>
      </c>
      <c r="C648" t="s">
        <v>214</v>
      </c>
      <c r="D648" t="s">
        <v>38</v>
      </c>
      <c r="E648">
        <v>1</v>
      </c>
    </row>
    <row r="649" spans="1:6" x14ac:dyDescent="0.55000000000000004">
      <c r="A649">
        <v>81</v>
      </c>
      <c r="B649" t="s">
        <v>101</v>
      </c>
      <c r="C649" t="s">
        <v>105</v>
      </c>
      <c r="D649" t="s">
        <v>106</v>
      </c>
      <c r="E649">
        <f>E648/10</f>
        <v>0.1</v>
      </c>
      <c r="F649" t="s">
        <v>107</v>
      </c>
    </row>
    <row r="650" spans="1:6" x14ac:dyDescent="0.55000000000000004">
      <c r="A650">
        <v>81</v>
      </c>
      <c r="B650" t="s">
        <v>101</v>
      </c>
      <c r="C650" s="2" t="s">
        <v>109</v>
      </c>
      <c r="D650" t="s">
        <v>39</v>
      </c>
      <c r="E650">
        <v>100</v>
      </c>
    </row>
    <row r="651" spans="1:6" x14ac:dyDescent="0.55000000000000004">
      <c r="A651">
        <v>81</v>
      </c>
      <c r="B651" t="s">
        <v>101</v>
      </c>
      <c r="C651" s="2" t="s">
        <v>248</v>
      </c>
      <c r="E651" t="s">
        <v>268</v>
      </c>
    </row>
    <row r="652" spans="1:6" x14ac:dyDescent="0.55000000000000004">
      <c r="A652">
        <v>81</v>
      </c>
      <c r="B652" t="s">
        <v>101</v>
      </c>
      <c r="C652" s="2" t="s">
        <v>108</v>
      </c>
      <c r="D652" t="s">
        <v>39</v>
      </c>
      <c r="E652">
        <v>100</v>
      </c>
    </row>
    <row r="653" spans="1:6" x14ac:dyDescent="0.55000000000000004">
      <c r="A653">
        <v>81</v>
      </c>
      <c r="B653" t="s">
        <v>101</v>
      </c>
      <c r="C653" t="s">
        <v>11</v>
      </c>
      <c r="D653" t="s">
        <v>39</v>
      </c>
      <c r="E653">
        <v>0</v>
      </c>
    </row>
    <row r="654" spans="1:6" x14ac:dyDescent="0.55000000000000004">
      <c r="A654">
        <v>81</v>
      </c>
      <c r="B654" t="s">
        <v>101</v>
      </c>
      <c r="C654" t="s">
        <v>12</v>
      </c>
      <c r="D654" t="s">
        <v>40</v>
      </c>
      <c r="E654">
        <v>0</v>
      </c>
    </row>
    <row r="655" spans="1:6" x14ac:dyDescent="0.55000000000000004">
      <c r="A655">
        <v>81</v>
      </c>
      <c r="B655" t="s">
        <v>101</v>
      </c>
      <c r="C655" t="s">
        <v>34</v>
      </c>
      <c r="D655" t="s">
        <v>39</v>
      </c>
      <c r="E655">
        <v>0</v>
      </c>
    </row>
    <row r="656" spans="1:6" x14ac:dyDescent="0.55000000000000004">
      <c r="A656">
        <v>81</v>
      </c>
      <c r="B656" t="s">
        <v>101</v>
      </c>
      <c r="C656" t="s">
        <v>35</v>
      </c>
      <c r="D656" t="s">
        <v>39</v>
      </c>
      <c r="E656">
        <v>0</v>
      </c>
    </row>
    <row r="657" spans="1:5" x14ac:dyDescent="0.55000000000000004">
      <c r="A657">
        <v>81</v>
      </c>
      <c r="B657" t="s">
        <v>101</v>
      </c>
      <c r="C657" t="s">
        <v>36</v>
      </c>
      <c r="D657" t="s">
        <v>39</v>
      </c>
      <c r="E657">
        <v>0</v>
      </c>
    </row>
    <row r="658" spans="1:5" x14ac:dyDescent="0.55000000000000004">
      <c r="A658">
        <v>81</v>
      </c>
      <c r="B658" t="s">
        <v>101</v>
      </c>
      <c r="C658" t="s">
        <v>37</v>
      </c>
      <c r="D658" t="s">
        <v>39</v>
      </c>
      <c r="E658">
        <v>10</v>
      </c>
    </row>
    <row r="659" spans="1:5" x14ac:dyDescent="0.55000000000000004">
      <c r="A659">
        <v>81</v>
      </c>
      <c r="B659" t="s">
        <v>101</v>
      </c>
      <c r="C659" t="s">
        <v>14</v>
      </c>
      <c r="D659" t="s">
        <v>39</v>
      </c>
      <c r="E659">
        <v>90</v>
      </c>
    </row>
    <row r="660" spans="1:5" x14ac:dyDescent="0.55000000000000004">
      <c r="A660">
        <v>81</v>
      </c>
      <c r="B660" t="s">
        <v>101</v>
      </c>
      <c r="C660" t="s">
        <v>13</v>
      </c>
      <c r="D660" t="s">
        <v>39</v>
      </c>
      <c r="E660">
        <v>0</v>
      </c>
    </row>
    <row r="661" spans="1:5" x14ac:dyDescent="0.55000000000000004">
      <c r="A661">
        <v>81</v>
      </c>
      <c r="B661" t="s">
        <v>101</v>
      </c>
      <c r="C661" t="s">
        <v>110</v>
      </c>
      <c r="D661" t="s">
        <v>39</v>
      </c>
      <c r="E661">
        <v>0</v>
      </c>
    </row>
    <row r="662" spans="1:5" x14ac:dyDescent="0.55000000000000004">
      <c r="A662">
        <v>81</v>
      </c>
      <c r="B662" t="s">
        <v>101</v>
      </c>
      <c r="C662" t="s">
        <v>223</v>
      </c>
      <c r="D662" t="s">
        <v>39</v>
      </c>
      <c r="E662">
        <v>0</v>
      </c>
    </row>
    <row r="663" spans="1:5" x14ac:dyDescent="0.55000000000000004">
      <c r="A663">
        <v>81</v>
      </c>
      <c r="B663" t="s">
        <v>101</v>
      </c>
      <c r="C663" t="s">
        <v>133</v>
      </c>
      <c r="D663" t="s">
        <v>118</v>
      </c>
    </row>
    <row r="664" spans="1:5" x14ac:dyDescent="0.55000000000000004">
      <c r="A664">
        <v>81</v>
      </c>
      <c r="B664" t="s">
        <v>111</v>
      </c>
      <c r="C664" t="s">
        <v>18</v>
      </c>
      <c r="D664" t="s">
        <v>42</v>
      </c>
      <c r="E664">
        <v>21</v>
      </c>
    </row>
    <row r="665" spans="1:5" x14ac:dyDescent="0.55000000000000004">
      <c r="A665">
        <v>81</v>
      </c>
      <c r="B665" t="s">
        <v>111</v>
      </c>
      <c r="C665" t="s">
        <v>15</v>
      </c>
      <c r="D665" t="s">
        <v>41</v>
      </c>
      <c r="E665">
        <v>9.36</v>
      </c>
    </row>
    <row r="666" spans="1:5" x14ac:dyDescent="0.55000000000000004">
      <c r="A666">
        <v>81</v>
      </c>
      <c r="B666" t="s">
        <v>111</v>
      </c>
      <c r="C666" t="s">
        <v>16</v>
      </c>
      <c r="D666" t="s">
        <v>39</v>
      </c>
      <c r="E666">
        <v>105</v>
      </c>
    </row>
    <row r="667" spans="1:5" x14ac:dyDescent="0.55000000000000004">
      <c r="A667">
        <v>81</v>
      </c>
      <c r="B667" t="s">
        <v>111</v>
      </c>
      <c r="C667" t="s">
        <v>112</v>
      </c>
      <c r="D667" t="s">
        <v>113</v>
      </c>
      <c r="E667">
        <v>142.69999999999999</v>
      </c>
    </row>
    <row r="668" spans="1:5" x14ac:dyDescent="0.55000000000000004">
      <c r="A668">
        <v>81</v>
      </c>
      <c r="B668" t="s">
        <v>111</v>
      </c>
      <c r="C668" t="s">
        <v>17</v>
      </c>
      <c r="E668">
        <v>8.65</v>
      </c>
    </row>
    <row r="669" spans="1:5" x14ac:dyDescent="0.55000000000000004">
      <c r="A669">
        <v>81</v>
      </c>
      <c r="B669" t="s">
        <v>249</v>
      </c>
      <c r="C669" t="s">
        <v>114</v>
      </c>
      <c r="D669" t="s">
        <v>39</v>
      </c>
      <c r="E669">
        <v>0</v>
      </c>
    </row>
    <row r="670" spans="1:5" x14ac:dyDescent="0.55000000000000004">
      <c r="A670">
        <v>81</v>
      </c>
      <c r="B670" t="s">
        <v>249</v>
      </c>
      <c r="C670" t="s">
        <v>250</v>
      </c>
    </row>
    <row r="671" spans="1:5" x14ac:dyDescent="0.55000000000000004">
      <c r="A671">
        <v>81</v>
      </c>
      <c r="B671" t="s">
        <v>249</v>
      </c>
      <c r="C671" t="s">
        <v>115</v>
      </c>
      <c r="D671" t="s">
        <v>39</v>
      </c>
      <c r="E671">
        <v>0</v>
      </c>
    </row>
    <row r="672" spans="1:5" x14ac:dyDescent="0.55000000000000004">
      <c r="A672">
        <v>81</v>
      </c>
      <c r="B672" t="s">
        <v>249</v>
      </c>
      <c r="C672" t="s">
        <v>251</v>
      </c>
    </row>
    <row r="673" spans="1:6" x14ac:dyDescent="0.55000000000000004">
      <c r="A673">
        <v>81</v>
      </c>
      <c r="B673" t="s">
        <v>249</v>
      </c>
      <c r="C673" t="s">
        <v>116</v>
      </c>
      <c r="D673" t="s">
        <v>40</v>
      </c>
      <c r="E673">
        <v>1</v>
      </c>
    </row>
    <row r="674" spans="1:6" x14ac:dyDescent="0.55000000000000004">
      <c r="A674">
        <v>81</v>
      </c>
      <c r="B674" t="s">
        <v>249</v>
      </c>
      <c r="C674" t="s">
        <v>252</v>
      </c>
      <c r="E674" t="s">
        <v>262</v>
      </c>
    </row>
    <row r="675" spans="1:6" x14ac:dyDescent="0.55000000000000004">
      <c r="A675">
        <v>81</v>
      </c>
      <c r="B675" t="s">
        <v>249</v>
      </c>
      <c r="C675" t="s">
        <v>117</v>
      </c>
      <c r="D675" t="s">
        <v>39</v>
      </c>
      <c r="E675">
        <v>20</v>
      </c>
    </row>
    <row r="676" spans="1:6" x14ac:dyDescent="0.55000000000000004">
      <c r="A676">
        <v>81</v>
      </c>
      <c r="B676" t="s">
        <v>249</v>
      </c>
      <c r="C676" t="s">
        <v>21</v>
      </c>
    </row>
    <row r="677" spans="1:6" x14ac:dyDescent="0.55000000000000004">
      <c r="A677">
        <v>82</v>
      </c>
      <c r="B677" t="s">
        <v>101</v>
      </c>
      <c r="C677" t="s">
        <v>102</v>
      </c>
      <c r="D677" t="s">
        <v>103</v>
      </c>
      <c r="E677" s="1"/>
      <c r="F677" t="s">
        <v>132</v>
      </c>
    </row>
    <row r="678" spans="1:6" x14ac:dyDescent="0.55000000000000004">
      <c r="A678">
        <v>82</v>
      </c>
      <c r="B678" t="s">
        <v>101</v>
      </c>
      <c r="C678" s="12" t="s">
        <v>104</v>
      </c>
      <c r="D678" t="s">
        <v>40</v>
      </c>
      <c r="E678">
        <v>1</v>
      </c>
    </row>
    <row r="679" spans="1:6" x14ac:dyDescent="0.55000000000000004">
      <c r="A679">
        <v>82</v>
      </c>
      <c r="B679" t="s">
        <v>101</v>
      </c>
      <c r="C679" t="s">
        <v>8</v>
      </c>
      <c r="D679" t="s">
        <v>38</v>
      </c>
    </row>
    <row r="680" spans="1:6" x14ac:dyDescent="0.55000000000000004">
      <c r="A680">
        <v>82</v>
      </c>
      <c r="B680" t="s">
        <v>101</v>
      </c>
      <c r="C680" t="s">
        <v>214</v>
      </c>
      <c r="D680" t="s">
        <v>38</v>
      </c>
      <c r="E680">
        <v>0.55000000000000004</v>
      </c>
    </row>
    <row r="681" spans="1:6" x14ac:dyDescent="0.55000000000000004">
      <c r="A681">
        <v>82</v>
      </c>
      <c r="B681" t="s">
        <v>101</v>
      </c>
      <c r="C681" t="s">
        <v>105</v>
      </c>
      <c r="D681" t="s">
        <v>106</v>
      </c>
      <c r="E681">
        <f>E680/10</f>
        <v>5.5000000000000007E-2</v>
      </c>
      <c r="F681" t="s">
        <v>107</v>
      </c>
    </row>
    <row r="682" spans="1:6" x14ac:dyDescent="0.55000000000000004">
      <c r="A682">
        <v>82</v>
      </c>
      <c r="B682" t="s">
        <v>101</v>
      </c>
      <c r="C682" s="2" t="s">
        <v>109</v>
      </c>
      <c r="D682" t="s">
        <v>39</v>
      </c>
      <c r="E682">
        <v>90</v>
      </c>
    </row>
    <row r="683" spans="1:6" x14ac:dyDescent="0.55000000000000004">
      <c r="A683">
        <v>82</v>
      </c>
      <c r="B683" t="s">
        <v>101</v>
      </c>
      <c r="C683" s="2" t="s">
        <v>248</v>
      </c>
      <c r="E683" t="s">
        <v>328</v>
      </c>
    </row>
    <row r="684" spans="1:6" x14ac:dyDescent="0.55000000000000004">
      <c r="A684">
        <v>82</v>
      </c>
      <c r="B684" t="s">
        <v>101</v>
      </c>
      <c r="C684" s="2" t="s">
        <v>108</v>
      </c>
      <c r="D684" t="s">
        <v>39</v>
      </c>
      <c r="E684">
        <v>0</v>
      </c>
    </row>
    <row r="685" spans="1:6" x14ac:dyDescent="0.55000000000000004">
      <c r="A685">
        <v>82</v>
      </c>
      <c r="B685" t="s">
        <v>101</v>
      </c>
      <c r="C685" t="s">
        <v>11</v>
      </c>
      <c r="D685" t="s">
        <v>39</v>
      </c>
      <c r="E685">
        <v>0</v>
      </c>
    </row>
    <row r="686" spans="1:6" x14ac:dyDescent="0.55000000000000004">
      <c r="A686">
        <v>82</v>
      </c>
      <c r="B686" t="s">
        <v>101</v>
      </c>
      <c r="C686" t="s">
        <v>12</v>
      </c>
      <c r="D686" t="s">
        <v>40</v>
      </c>
      <c r="E686">
        <v>0</v>
      </c>
    </row>
    <row r="687" spans="1:6" x14ac:dyDescent="0.55000000000000004">
      <c r="A687">
        <v>82</v>
      </c>
      <c r="B687" t="s">
        <v>101</v>
      </c>
      <c r="C687" t="s">
        <v>34</v>
      </c>
      <c r="D687" t="s">
        <v>39</v>
      </c>
      <c r="E687">
        <v>0</v>
      </c>
    </row>
    <row r="688" spans="1:6" x14ac:dyDescent="0.55000000000000004">
      <c r="A688">
        <v>82</v>
      </c>
      <c r="B688" t="s">
        <v>101</v>
      </c>
      <c r="C688" t="s">
        <v>35</v>
      </c>
      <c r="D688" t="s">
        <v>39</v>
      </c>
      <c r="E688">
        <v>0</v>
      </c>
    </row>
    <row r="689" spans="1:6" x14ac:dyDescent="0.55000000000000004">
      <c r="A689">
        <v>82</v>
      </c>
      <c r="B689" t="s">
        <v>101</v>
      </c>
      <c r="C689" t="s">
        <v>36</v>
      </c>
      <c r="D689" t="s">
        <v>39</v>
      </c>
      <c r="E689">
        <v>0</v>
      </c>
    </row>
    <row r="690" spans="1:6" x14ac:dyDescent="0.55000000000000004">
      <c r="A690">
        <v>82</v>
      </c>
      <c r="B690" t="s">
        <v>101</v>
      </c>
      <c r="C690" t="s">
        <v>37</v>
      </c>
      <c r="D690" t="s">
        <v>39</v>
      </c>
      <c r="E690">
        <v>5</v>
      </c>
    </row>
    <row r="691" spans="1:6" x14ac:dyDescent="0.55000000000000004">
      <c r="A691">
        <v>82</v>
      </c>
      <c r="B691" t="s">
        <v>101</v>
      </c>
      <c r="C691" t="s">
        <v>14</v>
      </c>
      <c r="D691" t="s">
        <v>39</v>
      </c>
      <c r="E691">
        <v>90</v>
      </c>
    </row>
    <row r="692" spans="1:6" x14ac:dyDescent="0.55000000000000004">
      <c r="A692">
        <v>82</v>
      </c>
      <c r="B692" t="s">
        <v>101</v>
      </c>
      <c r="C692" t="s">
        <v>13</v>
      </c>
      <c r="D692" t="s">
        <v>39</v>
      </c>
      <c r="E692">
        <v>0</v>
      </c>
    </row>
    <row r="693" spans="1:6" x14ac:dyDescent="0.55000000000000004">
      <c r="A693">
        <v>82</v>
      </c>
      <c r="B693" t="s">
        <v>101</v>
      </c>
      <c r="C693" t="s">
        <v>110</v>
      </c>
      <c r="D693" t="s">
        <v>39</v>
      </c>
      <c r="E693">
        <v>0</v>
      </c>
    </row>
    <row r="694" spans="1:6" x14ac:dyDescent="0.55000000000000004">
      <c r="A694">
        <v>82</v>
      </c>
      <c r="B694" t="s">
        <v>101</v>
      </c>
      <c r="C694" t="s">
        <v>223</v>
      </c>
      <c r="D694" t="s">
        <v>39</v>
      </c>
      <c r="E694">
        <v>5</v>
      </c>
      <c r="F694" t="s">
        <v>322</v>
      </c>
    </row>
    <row r="695" spans="1:6" x14ac:dyDescent="0.55000000000000004">
      <c r="A695">
        <v>82</v>
      </c>
      <c r="B695" t="s">
        <v>101</v>
      </c>
      <c r="C695" t="s">
        <v>133</v>
      </c>
      <c r="D695" t="s">
        <v>118</v>
      </c>
    </row>
    <row r="696" spans="1:6" x14ac:dyDescent="0.55000000000000004">
      <c r="A696">
        <v>82</v>
      </c>
      <c r="B696" t="s">
        <v>111</v>
      </c>
      <c r="C696" t="s">
        <v>18</v>
      </c>
      <c r="D696" t="s">
        <v>42</v>
      </c>
      <c r="E696">
        <v>21.2</v>
      </c>
    </row>
    <row r="697" spans="1:6" x14ac:dyDescent="0.55000000000000004">
      <c r="A697">
        <v>82</v>
      </c>
      <c r="B697" t="s">
        <v>111</v>
      </c>
      <c r="C697" t="s">
        <v>15</v>
      </c>
      <c r="D697" t="s">
        <v>41</v>
      </c>
      <c r="E697">
        <v>10.42</v>
      </c>
    </row>
    <row r="698" spans="1:6" x14ac:dyDescent="0.55000000000000004">
      <c r="A698">
        <v>82</v>
      </c>
      <c r="B698" t="s">
        <v>111</v>
      </c>
      <c r="C698" t="s">
        <v>16</v>
      </c>
      <c r="D698" t="s">
        <v>39</v>
      </c>
      <c r="E698">
        <v>117.5</v>
      </c>
    </row>
    <row r="699" spans="1:6" x14ac:dyDescent="0.55000000000000004">
      <c r="A699">
        <v>82</v>
      </c>
      <c r="B699" t="s">
        <v>111</v>
      </c>
      <c r="C699" t="s">
        <v>112</v>
      </c>
      <c r="D699" t="s">
        <v>113</v>
      </c>
      <c r="E699">
        <v>152.80000000000001</v>
      </c>
    </row>
    <row r="700" spans="1:6" x14ac:dyDescent="0.55000000000000004">
      <c r="A700">
        <v>82</v>
      </c>
      <c r="B700" t="s">
        <v>111</v>
      </c>
      <c r="C700" t="s">
        <v>17</v>
      </c>
      <c r="E700">
        <v>8.8000000000000007</v>
      </c>
    </row>
    <row r="701" spans="1:6" x14ac:dyDescent="0.55000000000000004">
      <c r="A701">
        <v>82</v>
      </c>
      <c r="B701" t="s">
        <v>249</v>
      </c>
      <c r="C701" t="s">
        <v>114</v>
      </c>
      <c r="D701" t="s">
        <v>39</v>
      </c>
      <c r="E701">
        <v>4</v>
      </c>
    </row>
    <row r="702" spans="1:6" x14ac:dyDescent="0.55000000000000004">
      <c r="A702">
        <v>82</v>
      </c>
      <c r="B702" t="s">
        <v>249</v>
      </c>
      <c r="C702" t="s">
        <v>250</v>
      </c>
      <c r="E702" t="s">
        <v>324</v>
      </c>
    </row>
    <row r="703" spans="1:6" x14ac:dyDescent="0.55000000000000004">
      <c r="A703">
        <v>82</v>
      </c>
      <c r="B703" t="s">
        <v>249</v>
      </c>
      <c r="C703" t="s">
        <v>115</v>
      </c>
      <c r="D703" t="s">
        <v>39</v>
      </c>
      <c r="E703">
        <v>0</v>
      </c>
    </row>
    <row r="704" spans="1:6" x14ac:dyDescent="0.55000000000000004">
      <c r="A704">
        <v>82</v>
      </c>
      <c r="B704" t="s">
        <v>249</v>
      </c>
      <c r="C704" t="s">
        <v>251</v>
      </c>
    </row>
    <row r="705" spans="1:6" x14ac:dyDescent="0.55000000000000004">
      <c r="A705">
        <v>82</v>
      </c>
      <c r="B705" t="s">
        <v>249</v>
      </c>
      <c r="C705" t="s">
        <v>116</v>
      </c>
      <c r="D705" t="s">
        <v>40</v>
      </c>
      <c r="E705">
        <v>0</v>
      </c>
    </row>
    <row r="706" spans="1:6" x14ac:dyDescent="0.55000000000000004">
      <c r="A706">
        <v>82</v>
      </c>
      <c r="B706" t="s">
        <v>249</v>
      </c>
      <c r="C706" t="s">
        <v>252</v>
      </c>
    </row>
    <row r="707" spans="1:6" x14ac:dyDescent="0.55000000000000004">
      <c r="A707">
        <v>82</v>
      </c>
      <c r="B707" t="s">
        <v>249</v>
      </c>
      <c r="C707" t="s">
        <v>117</v>
      </c>
      <c r="D707" t="s">
        <v>39</v>
      </c>
      <c r="E707">
        <v>10</v>
      </c>
    </row>
    <row r="708" spans="1:6" x14ac:dyDescent="0.55000000000000004">
      <c r="A708">
        <v>82</v>
      </c>
      <c r="B708" t="s">
        <v>249</v>
      </c>
      <c r="C708" t="s">
        <v>21</v>
      </c>
    </row>
    <row r="709" spans="1:6" x14ac:dyDescent="0.55000000000000004">
      <c r="A709">
        <v>83</v>
      </c>
      <c r="B709" t="s">
        <v>101</v>
      </c>
      <c r="C709" t="s">
        <v>102</v>
      </c>
      <c r="D709" t="s">
        <v>103</v>
      </c>
      <c r="E709" s="1"/>
      <c r="F709" t="s">
        <v>132</v>
      </c>
    </row>
    <row r="710" spans="1:6" x14ac:dyDescent="0.55000000000000004">
      <c r="A710">
        <v>83</v>
      </c>
      <c r="B710" t="s">
        <v>101</v>
      </c>
      <c r="C710" s="12" t="s">
        <v>104</v>
      </c>
      <c r="D710" t="s">
        <v>40</v>
      </c>
      <c r="E710">
        <v>1</v>
      </c>
    </row>
    <row r="711" spans="1:6" x14ac:dyDescent="0.55000000000000004">
      <c r="A711">
        <v>83</v>
      </c>
      <c r="B711" t="s">
        <v>101</v>
      </c>
      <c r="C711" t="s">
        <v>8</v>
      </c>
      <c r="D711" t="s">
        <v>38</v>
      </c>
    </row>
    <row r="712" spans="1:6" x14ac:dyDescent="0.55000000000000004">
      <c r="A712">
        <v>83</v>
      </c>
      <c r="B712" t="s">
        <v>101</v>
      </c>
      <c r="C712" t="s">
        <v>214</v>
      </c>
      <c r="D712" t="s">
        <v>38</v>
      </c>
      <c r="E712">
        <v>1.3</v>
      </c>
    </row>
    <row r="713" spans="1:6" x14ac:dyDescent="0.55000000000000004">
      <c r="A713">
        <v>83</v>
      </c>
      <c r="B713" t="s">
        <v>101</v>
      </c>
      <c r="C713" t="s">
        <v>105</v>
      </c>
      <c r="D713" t="s">
        <v>106</v>
      </c>
      <c r="E713">
        <f>E712/10</f>
        <v>0.13</v>
      </c>
      <c r="F713" t="s">
        <v>107</v>
      </c>
    </row>
    <row r="714" spans="1:6" x14ac:dyDescent="0.55000000000000004">
      <c r="A714">
        <v>83</v>
      </c>
      <c r="B714" t="s">
        <v>101</v>
      </c>
      <c r="C714" s="2" t="s">
        <v>109</v>
      </c>
      <c r="D714" t="s">
        <v>39</v>
      </c>
      <c r="E714">
        <v>20</v>
      </c>
    </row>
    <row r="715" spans="1:6" x14ac:dyDescent="0.55000000000000004">
      <c r="A715">
        <v>83</v>
      </c>
      <c r="B715" t="s">
        <v>101</v>
      </c>
      <c r="C715" s="2" t="s">
        <v>248</v>
      </c>
      <c r="E715" t="s">
        <v>268</v>
      </c>
    </row>
    <row r="716" spans="1:6" x14ac:dyDescent="0.55000000000000004">
      <c r="A716">
        <v>83</v>
      </c>
      <c r="B716" t="s">
        <v>101</v>
      </c>
      <c r="C716" s="2" t="s">
        <v>108</v>
      </c>
      <c r="D716" t="s">
        <v>39</v>
      </c>
      <c r="E716">
        <v>100</v>
      </c>
    </row>
    <row r="717" spans="1:6" x14ac:dyDescent="0.55000000000000004">
      <c r="A717">
        <v>83</v>
      </c>
      <c r="B717" t="s">
        <v>101</v>
      </c>
      <c r="C717" t="s">
        <v>11</v>
      </c>
      <c r="D717" t="s">
        <v>39</v>
      </c>
      <c r="E717">
        <v>0</v>
      </c>
    </row>
    <row r="718" spans="1:6" x14ac:dyDescent="0.55000000000000004">
      <c r="A718">
        <v>83</v>
      </c>
      <c r="B718" t="s">
        <v>101</v>
      </c>
      <c r="C718" t="s">
        <v>12</v>
      </c>
      <c r="D718" t="s">
        <v>40</v>
      </c>
      <c r="E718">
        <v>0</v>
      </c>
    </row>
    <row r="719" spans="1:6" x14ac:dyDescent="0.55000000000000004">
      <c r="A719">
        <v>83</v>
      </c>
      <c r="B719" t="s">
        <v>101</v>
      </c>
      <c r="C719" t="s">
        <v>34</v>
      </c>
      <c r="D719" t="s">
        <v>39</v>
      </c>
      <c r="E719">
        <v>0</v>
      </c>
    </row>
    <row r="720" spans="1:6" x14ac:dyDescent="0.55000000000000004">
      <c r="A720">
        <v>83</v>
      </c>
      <c r="B720" t="s">
        <v>101</v>
      </c>
      <c r="C720" t="s">
        <v>35</v>
      </c>
      <c r="D720" t="s">
        <v>39</v>
      </c>
      <c r="E720">
        <v>0</v>
      </c>
    </row>
    <row r="721" spans="1:5" x14ac:dyDescent="0.55000000000000004">
      <c r="A721">
        <v>83</v>
      </c>
      <c r="B721" t="s">
        <v>101</v>
      </c>
      <c r="C721" t="s">
        <v>36</v>
      </c>
      <c r="D721" t="s">
        <v>39</v>
      </c>
      <c r="E721">
        <v>30</v>
      </c>
    </row>
    <row r="722" spans="1:5" x14ac:dyDescent="0.55000000000000004">
      <c r="A722">
        <v>83</v>
      </c>
      <c r="B722" t="s">
        <v>101</v>
      </c>
      <c r="C722" t="s">
        <v>37</v>
      </c>
      <c r="D722" t="s">
        <v>39</v>
      </c>
      <c r="E722">
        <v>0</v>
      </c>
    </row>
    <row r="723" spans="1:5" x14ac:dyDescent="0.55000000000000004">
      <c r="A723">
        <v>83</v>
      </c>
      <c r="B723" t="s">
        <v>101</v>
      </c>
      <c r="C723" t="s">
        <v>14</v>
      </c>
      <c r="D723" t="s">
        <v>39</v>
      </c>
      <c r="E723">
        <v>70</v>
      </c>
    </row>
    <row r="724" spans="1:5" x14ac:dyDescent="0.55000000000000004">
      <c r="A724">
        <v>83</v>
      </c>
      <c r="B724" t="s">
        <v>101</v>
      </c>
      <c r="C724" t="s">
        <v>13</v>
      </c>
      <c r="D724" t="s">
        <v>39</v>
      </c>
      <c r="E724">
        <v>0</v>
      </c>
    </row>
    <row r="725" spans="1:5" x14ac:dyDescent="0.55000000000000004">
      <c r="A725">
        <v>83</v>
      </c>
      <c r="B725" t="s">
        <v>101</v>
      </c>
      <c r="C725" t="s">
        <v>110</v>
      </c>
      <c r="D725" t="s">
        <v>39</v>
      </c>
      <c r="E725">
        <v>0</v>
      </c>
    </row>
    <row r="726" spans="1:5" x14ac:dyDescent="0.55000000000000004">
      <c r="A726">
        <v>83</v>
      </c>
      <c r="B726" t="s">
        <v>101</v>
      </c>
      <c r="C726" t="s">
        <v>223</v>
      </c>
      <c r="D726" t="s">
        <v>39</v>
      </c>
      <c r="E726">
        <v>0</v>
      </c>
    </row>
    <row r="727" spans="1:5" x14ac:dyDescent="0.55000000000000004">
      <c r="A727">
        <v>83</v>
      </c>
      <c r="B727" t="s">
        <v>101</v>
      </c>
      <c r="C727" t="s">
        <v>133</v>
      </c>
      <c r="D727" t="s">
        <v>118</v>
      </c>
      <c r="E727">
        <v>0</v>
      </c>
    </row>
    <row r="728" spans="1:5" x14ac:dyDescent="0.55000000000000004">
      <c r="A728">
        <v>83</v>
      </c>
      <c r="B728" t="s">
        <v>111</v>
      </c>
      <c r="C728" t="s">
        <v>18</v>
      </c>
      <c r="D728" t="s">
        <v>42</v>
      </c>
      <c r="E728">
        <v>20.7</v>
      </c>
    </row>
    <row r="729" spans="1:5" x14ac:dyDescent="0.55000000000000004">
      <c r="A729">
        <v>83</v>
      </c>
      <c r="B729" t="s">
        <v>111</v>
      </c>
      <c r="C729" t="s">
        <v>15</v>
      </c>
      <c r="D729" t="s">
        <v>41</v>
      </c>
      <c r="E729">
        <v>9.61</v>
      </c>
    </row>
    <row r="730" spans="1:5" x14ac:dyDescent="0.55000000000000004">
      <c r="A730">
        <v>83</v>
      </c>
      <c r="B730" t="s">
        <v>111</v>
      </c>
      <c r="C730" t="s">
        <v>16</v>
      </c>
      <c r="D730" t="s">
        <v>39</v>
      </c>
      <c r="E730">
        <v>107.3</v>
      </c>
    </row>
    <row r="731" spans="1:5" x14ac:dyDescent="0.55000000000000004">
      <c r="A731">
        <v>83</v>
      </c>
      <c r="B731" t="s">
        <v>111</v>
      </c>
      <c r="C731" t="s">
        <v>112</v>
      </c>
      <c r="D731" t="s">
        <v>113</v>
      </c>
      <c r="E731">
        <v>144.5</v>
      </c>
    </row>
    <row r="732" spans="1:5" x14ac:dyDescent="0.55000000000000004">
      <c r="A732">
        <v>83</v>
      </c>
      <c r="B732" t="s">
        <v>111</v>
      </c>
      <c r="C732" t="s">
        <v>17</v>
      </c>
      <c r="E732">
        <v>8.86</v>
      </c>
    </row>
    <row r="733" spans="1:5" x14ac:dyDescent="0.55000000000000004">
      <c r="A733">
        <v>83</v>
      </c>
      <c r="B733" t="s">
        <v>249</v>
      </c>
      <c r="C733" t="s">
        <v>114</v>
      </c>
      <c r="D733" t="s">
        <v>39</v>
      </c>
      <c r="E733">
        <v>0</v>
      </c>
    </row>
    <row r="734" spans="1:5" x14ac:dyDescent="0.55000000000000004">
      <c r="A734">
        <v>83</v>
      </c>
      <c r="B734" t="s">
        <v>249</v>
      </c>
      <c r="C734" t="s">
        <v>250</v>
      </c>
    </row>
    <row r="735" spans="1:5" x14ac:dyDescent="0.55000000000000004">
      <c r="A735">
        <v>83</v>
      </c>
      <c r="B735" t="s">
        <v>249</v>
      </c>
      <c r="C735" t="s">
        <v>115</v>
      </c>
      <c r="D735" t="s">
        <v>39</v>
      </c>
      <c r="E735">
        <v>0</v>
      </c>
    </row>
    <row r="736" spans="1:5" x14ac:dyDescent="0.55000000000000004">
      <c r="A736">
        <v>83</v>
      </c>
      <c r="B736" t="s">
        <v>249</v>
      </c>
      <c r="C736" t="s">
        <v>251</v>
      </c>
    </row>
    <row r="737" spans="1:6" x14ac:dyDescent="0.55000000000000004">
      <c r="A737">
        <v>83</v>
      </c>
      <c r="B737" t="s">
        <v>249</v>
      </c>
      <c r="C737" t="s">
        <v>116</v>
      </c>
      <c r="D737" t="s">
        <v>40</v>
      </c>
      <c r="E737">
        <v>0</v>
      </c>
    </row>
    <row r="738" spans="1:6" x14ac:dyDescent="0.55000000000000004">
      <c r="A738">
        <v>83</v>
      </c>
      <c r="B738" t="s">
        <v>249</v>
      </c>
      <c r="C738" t="s">
        <v>252</v>
      </c>
    </row>
    <row r="739" spans="1:6" x14ac:dyDescent="0.55000000000000004">
      <c r="A739">
        <v>83</v>
      </c>
      <c r="B739" t="s">
        <v>249</v>
      </c>
      <c r="C739" t="s">
        <v>117</v>
      </c>
      <c r="D739" t="s">
        <v>39</v>
      </c>
      <c r="E739">
        <v>0</v>
      </c>
    </row>
    <row r="740" spans="1:6" x14ac:dyDescent="0.55000000000000004">
      <c r="A740">
        <v>83</v>
      </c>
      <c r="B740" t="s">
        <v>249</v>
      </c>
      <c r="C740" t="s">
        <v>21</v>
      </c>
    </row>
    <row r="741" spans="1:6" x14ac:dyDescent="0.55000000000000004">
      <c r="A741">
        <v>84</v>
      </c>
      <c r="B741" t="s">
        <v>101</v>
      </c>
      <c r="C741" t="s">
        <v>102</v>
      </c>
      <c r="D741" t="s">
        <v>103</v>
      </c>
      <c r="E741" s="1"/>
      <c r="F741" t="s">
        <v>132</v>
      </c>
    </row>
    <row r="742" spans="1:6" x14ac:dyDescent="0.55000000000000004">
      <c r="A742">
        <v>84</v>
      </c>
      <c r="B742" t="s">
        <v>101</v>
      </c>
      <c r="C742" s="12" t="s">
        <v>104</v>
      </c>
      <c r="D742" t="s">
        <v>40</v>
      </c>
      <c r="E742">
        <v>1</v>
      </c>
    </row>
    <row r="743" spans="1:6" x14ac:dyDescent="0.55000000000000004">
      <c r="A743">
        <v>84</v>
      </c>
      <c r="B743" t="s">
        <v>101</v>
      </c>
      <c r="C743" t="s">
        <v>8</v>
      </c>
      <c r="D743" t="s">
        <v>38</v>
      </c>
      <c r="E743">
        <v>3.5</v>
      </c>
      <c r="F743" t="s">
        <v>218</v>
      </c>
    </row>
    <row r="744" spans="1:6" x14ac:dyDescent="0.55000000000000004">
      <c r="A744">
        <v>84</v>
      </c>
      <c r="B744" t="s">
        <v>101</v>
      </c>
      <c r="C744" t="s">
        <v>214</v>
      </c>
      <c r="D744" t="s">
        <v>38</v>
      </c>
      <c r="E744">
        <v>0.65</v>
      </c>
    </row>
    <row r="745" spans="1:6" x14ac:dyDescent="0.55000000000000004">
      <c r="A745">
        <v>84</v>
      </c>
      <c r="B745" t="s">
        <v>101</v>
      </c>
      <c r="C745" t="s">
        <v>105</v>
      </c>
      <c r="D745" t="s">
        <v>106</v>
      </c>
      <c r="E745">
        <f>E744/10</f>
        <v>6.5000000000000002E-2</v>
      </c>
      <c r="F745" t="s">
        <v>107</v>
      </c>
    </row>
    <row r="746" spans="1:6" x14ac:dyDescent="0.55000000000000004">
      <c r="A746">
        <v>84</v>
      </c>
      <c r="B746" t="s">
        <v>101</v>
      </c>
      <c r="C746" s="2" t="s">
        <v>109</v>
      </c>
      <c r="D746" t="s">
        <v>39</v>
      </c>
      <c r="E746">
        <v>100</v>
      </c>
    </row>
    <row r="747" spans="1:6" x14ac:dyDescent="0.55000000000000004">
      <c r="A747">
        <v>84</v>
      </c>
      <c r="B747" t="s">
        <v>101</v>
      </c>
      <c r="C747" s="2" t="s">
        <v>248</v>
      </c>
      <c r="E747" t="s">
        <v>268</v>
      </c>
    </row>
    <row r="748" spans="1:6" x14ac:dyDescent="0.55000000000000004">
      <c r="A748">
        <v>84</v>
      </c>
      <c r="B748" t="s">
        <v>101</v>
      </c>
      <c r="C748" s="2" t="s">
        <v>108</v>
      </c>
      <c r="D748" t="s">
        <v>39</v>
      </c>
      <c r="E748">
        <v>100</v>
      </c>
    </row>
    <row r="749" spans="1:6" x14ac:dyDescent="0.55000000000000004">
      <c r="A749">
        <v>84</v>
      </c>
      <c r="B749" t="s">
        <v>101</v>
      </c>
      <c r="C749" t="s">
        <v>11</v>
      </c>
      <c r="D749" t="s">
        <v>39</v>
      </c>
      <c r="E749">
        <v>0</v>
      </c>
    </row>
    <row r="750" spans="1:6" x14ac:dyDescent="0.55000000000000004">
      <c r="A750">
        <v>84</v>
      </c>
      <c r="B750" t="s">
        <v>101</v>
      </c>
      <c r="C750" t="s">
        <v>12</v>
      </c>
      <c r="D750" t="s">
        <v>40</v>
      </c>
      <c r="E750">
        <v>0</v>
      </c>
    </row>
    <row r="751" spans="1:6" x14ac:dyDescent="0.55000000000000004">
      <c r="A751">
        <v>84</v>
      </c>
      <c r="B751" t="s">
        <v>101</v>
      </c>
      <c r="C751" t="s">
        <v>34</v>
      </c>
      <c r="D751" t="s">
        <v>39</v>
      </c>
      <c r="E751">
        <v>0</v>
      </c>
    </row>
    <row r="752" spans="1:6" x14ac:dyDescent="0.55000000000000004">
      <c r="A752">
        <v>84</v>
      </c>
      <c r="B752" t="s">
        <v>101</v>
      </c>
      <c r="C752" t="s">
        <v>35</v>
      </c>
      <c r="D752" t="s">
        <v>39</v>
      </c>
      <c r="E752">
        <v>0</v>
      </c>
    </row>
    <row r="753" spans="1:5" x14ac:dyDescent="0.55000000000000004">
      <c r="A753">
        <v>84</v>
      </c>
      <c r="B753" t="s">
        <v>101</v>
      </c>
      <c r="C753" t="s">
        <v>36</v>
      </c>
      <c r="D753" t="s">
        <v>39</v>
      </c>
      <c r="E753">
        <v>10</v>
      </c>
    </row>
    <row r="754" spans="1:5" x14ac:dyDescent="0.55000000000000004">
      <c r="A754">
        <v>84</v>
      </c>
      <c r="B754" t="s">
        <v>101</v>
      </c>
      <c r="C754" t="s">
        <v>37</v>
      </c>
      <c r="D754" t="s">
        <v>39</v>
      </c>
      <c r="E754">
        <v>0</v>
      </c>
    </row>
    <row r="755" spans="1:5" x14ac:dyDescent="0.55000000000000004">
      <c r="A755">
        <v>84</v>
      </c>
      <c r="B755" t="s">
        <v>101</v>
      </c>
      <c r="C755" t="s">
        <v>14</v>
      </c>
      <c r="D755" t="s">
        <v>39</v>
      </c>
      <c r="E755">
        <v>90</v>
      </c>
    </row>
    <row r="756" spans="1:5" x14ac:dyDescent="0.55000000000000004">
      <c r="A756">
        <v>84</v>
      </c>
      <c r="B756" t="s">
        <v>101</v>
      </c>
      <c r="C756" t="s">
        <v>13</v>
      </c>
      <c r="D756" t="s">
        <v>39</v>
      </c>
      <c r="E756">
        <v>0</v>
      </c>
    </row>
    <row r="757" spans="1:5" x14ac:dyDescent="0.55000000000000004">
      <c r="A757">
        <v>84</v>
      </c>
      <c r="B757" t="s">
        <v>101</v>
      </c>
      <c r="C757" t="s">
        <v>110</v>
      </c>
      <c r="D757" t="s">
        <v>39</v>
      </c>
      <c r="E757">
        <v>0</v>
      </c>
    </row>
    <row r="758" spans="1:5" x14ac:dyDescent="0.55000000000000004">
      <c r="A758">
        <v>84</v>
      </c>
      <c r="B758" t="s">
        <v>101</v>
      </c>
      <c r="C758" t="s">
        <v>223</v>
      </c>
      <c r="D758" t="s">
        <v>39</v>
      </c>
      <c r="E758">
        <v>0</v>
      </c>
    </row>
    <row r="759" spans="1:5" x14ac:dyDescent="0.55000000000000004">
      <c r="A759">
        <v>84</v>
      </c>
      <c r="B759" t="s">
        <v>101</v>
      </c>
      <c r="C759" t="s">
        <v>133</v>
      </c>
      <c r="D759" t="s">
        <v>118</v>
      </c>
    </row>
    <row r="760" spans="1:5" x14ac:dyDescent="0.55000000000000004">
      <c r="A760">
        <v>84</v>
      </c>
      <c r="B760" t="s">
        <v>111</v>
      </c>
      <c r="C760" t="s">
        <v>18</v>
      </c>
      <c r="D760" t="s">
        <v>42</v>
      </c>
      <c r="E760">
        <v>22.6</v>
      </c>
    </row>
    <row r="761" spans="1:5" x14ac:dyDescent="0.55000000000000004">
      <c r="A761">
        <v>84</v>
      </c>
      <c r="B761" t="s">
        <v>111</v>
      </c>
      <c r="C761" t="s">
        <v>15</v>
      </c>
      <c r="D761" t="s">
        <v>41</v>
      </c>
      <c r="E761">
        <v>10.64</v>
      </c>
    </row>
    <row r="762" spans="1:5" x14ac:dyDescent="0.55000000000000004">
      <c r="A762">
        <v>84</v>
      </c>
      <c r="B762" t="s">
        <v>111</v>
      </c>
      <c r="C762" t="s">
        <v>16</v>
      </c>
      <c r="D762" t="s">
        <v>39</v>
      </c>
      <c r="E762">
        <v>123.3</v>
      </c>
    </row>
    <row r="763" spans="1:5" x14ac:dyDescent="0.55000000000000004">
      <c r="A763">
        <v>84</v>
      </c>
      <c r="B763" t="s">
        <v>111</v>
      </c>
      <c r="C763" t="s">
        <v>112</v>
      </c>
      <c r="D763" t="s">
        <v>113</v>
      </c>
      <c r="E763">
        <v>150.4</v>
      </c>
    </row>
    <row r="764" spans="1:5" x14ac:dyDescent="0.55000000000000004">
      <c r="A764">
        <v>84</v>
      </c>
      <c r="B764" t="s">
        <v>111</v>
      </c>
      <c r="C764" t="s">
        <v>17</v>
      </c>
      <c r="E764">
        <v>9.02</v>
      </c>
    </row>
    <row r="765" spans="1:5" x14ac:dyDescent="0.55000000000000004">
      <c r="A765">
        <v>84</v>
      </c>
      <c r="B765" t="s">
        <v>249</v>
      </c>
      <c r="C765" t="s">
        <v>114</v>
      </c>
      <c r="D765" t="s">
        <v>39</v>
      </c>
      <c r="E765">
        <v>0</v>
      </c>
    </row>
    <row r="766" spans="1:5" x14ac:dyDescent="0.55000000000000004">
      <c r="A766">
        <v>84</v>
      </c>
      <c r="B766" t="s">
        <v>249</v>
      </c>
      <c r="C766" t="s">
        <v>250</v>
      </c>
    </row>
    <row r="767" spans="1:5" x14ac:dyDescent="0.55000000000000004">
      <c r="A767">
        <v>84</v>
      </c>
      <c r="B767" t="s">
        <v>249</v>
      </c>
      <c r="C767" t="s">
        <v>115</v>
      </c>
      <c r="D767" t="s">
        <v>39</v>
      </c>
      <c r="E767">
        <v>0</v>
      </c>
    </row>
    <row r="768" spans="1:5" x14ac:dyDescent="0.55000000000000004">
      <c r="A768">
        <v>84</v>
      </c>
      <c r="B768" t="s">
        <v>249</v>
      </c>
      <c r="C768" t="s">
        <v>251</v>
      </c>
    </row>
    <row r="769" spans="1:6" x14ac:dyDescent="0.55000000000000004">
      <c r="A769">
        <v>84</v>
      </c>
      <c r="B769" t="s">
        <v>249</v>
      </c>
      <c r="C769" t="s">
        <v>116</v>
      </c>
      <c r="D769" t="s">
        <v>40</v>
      </c>
      <c r="E769">
        <v>0</v>
      </c>
    </row>
    <row r="770" spans="1:6" x14ac:dyDescent="0.55000000000000004">
      <c r="A770">
        <v>84</v>
      </c>
      <c r="B770" t="s">
        <v>249</v>
      </c>
      <c r="C770" t="s">
        <v>252</v>
      </c>
    </row>
    <row r="771" spans="1:6" x14ac:dyDescent="0.55000000000000004">
      <c r="A771">
        <v>84</v>
      </c>
      <c r="B771" t="s">
        <v>249</v>
      </c>
      <c r="C771" t="s">
        <v>117</v>
      </c>
      <c r="D771" t="s">
        <v>39</v>
      </c>
      <c r="E771">
        <v>3</v>
      </c>
    </row>
    <row r="772" spans="1:6" x14ac:dyDescent="0.55000000000000004">
      <c r="A772">
        <v>84</v>
      </c>
      <c r="B772" t="s">
        <v>249</v>
      </c>
      <c r="C772" t="s">
        <v>21</v>
      </c>
    </row>
    <row r="773" spans="1:6" x14ac:dyDescent="0.55000000000000004">
      <c r="A773">
        <v>85</v>
      </c>
      <c r="B773" t="s">
        <v>101</v>
      </c>
      <c r="C773" t="s">
        <v>102</v>
      </c>
      <c r="D773" t="s">
        <v>103</v>
      </c>
      <c r="E773" s="1"/>
      <c r="F773" t="s">
        <v>132</v>
      </c>
    </row>
    <row r="774" spans="1:6" x14ac:dyDescent="0.55000000000000004">
      <c r="A774">
        <v>85</v>
      </c>
      <c r="B774" t="s">
        <v>101</v>
      </c>
      <c r="C774" s="12" t="s">
        <v>104</v>
      </c>
      <c r="D774" t="s">
        <v>40</v>
      </c>
      <c r="E774">
        <v>1</v>
      </c>
    </row>
    <row r="775" spans="1:6" x14ac:dyDescent="0.55000000000000004">
      <c r="A775">
        <v>85</v>
      </c>
      <c r="B775" t="s">
        <v>101</v>
      </c>
      <c r="C775" t="s">
        <v>8</v>
      </c>
      <c r="D775" t="s">
        <v>38</v>
      </c>
    </row>
    <row r="776" spans="1:6" x14ac:dyDescent="0.55000000000000004">
      <c r="A776">
        <v>85</v>
      </c>
      <c r="B776" t="s">
        <v>101</v>
      </c>
      <c r="C776" t="s">
        <v>214</v>
      </c>
      <c r="D776" t="s">
        <v>38</v>
      </c>
      <c r="E776">
        <v>0.9</v>
      </c>
    </row>
    <row r="777" spans="1:6" x14ac:dyDescent="0.55000000000000004">
      <c r="A777">
        <v>85</v>
      </c>
      <c r="B777" t="s">
        <v>101</v>
      </c>
      <c r="C777" t="s">
        <v>105</v>
      </c>
      <c r="D777" t="s">
        <v>106</v>
      </c>
      <c r="E777">
        <f>E776/10</f>
        <v>0.09</v>
      </c>
      <c r="F777" t="s">
        <v>107</v>
      </c>
    </row>
    <row r="778" spans="1:6" x14ac:dyDescent="0.55000000000000004">
      <c r="A778">
        <v>85</v>
      </c>
      <c r="B778" t="s">
        <v>101</v>
      </c>
      <c r="C778" s="2" t="s">
        <v>109</v>
      </c>
      <c r="D778" t="s">
        <v>39</v>
      </c>
      <c r="E778">
        <v>100</v>
      </c>
    </row>
    <row r="779" spans="1:6" x14ac:dyDescent="0.55000000000000004">
      <c r="A779">
        <v>85</v>
      </c>
      <c r="B779" t="s">
        <v>101</v>
      </c>
      <c r="C779" s="2" t="s">
        <v>248</v>
      </c>
    </row>
    <row r="780" spans="1:6" x14ac:dyDescent="0.55000000000000004">
      <c r="A780">
        <v>85</v>
      </c>
      <c r="B780" t="s">
        <v>101</v>
      </c>
      <c r="C780" s="2" t="s">
        <v>108</v>
      </c>
      <c r="D780" t="s">
        <v>39</v>
      </c>
      <c r="E780">
        <v>100</v>
      </c>
    </row>
    <row r="781" spans="1:6" x14ac:dyDescent="0.55000000000000004">
      <c r="A781">
        <v>85</v>
      </c>
      <c r="B781" t="s">
        <v>101</v>
      </c>
      <c r="C781" t="s">
        <v>11</v>
      </c>
      <c r="D781" t="s">
        <v>39</v>
      </c>
      <c r="E781">
        <v>20</v>
      </c>
    </row>
    <row r="782" spans="1:6" x14ac:dyDescent="0.55000000000000004">
      <c r="A782">
        <v>85</v>
      </c>
      <c r="B782" t="s">
        <v>101</v>
      </c>
      <c r="C782" t="s">
        <v>12</v>
      </c>
      <c r="D782" t="s">
        <v>40</v>
      </c>
      <c r="E782">
        <v>0</v>
      </c>
    </row>
    <row r="783" spans="1:6" x14ac:dyDescent="0.55000000000000004">
      <c r="A783">
        <v>85</v>
      </c>
      <c r="B783" t="s">
        <v>101</v>
      </c>
      <c r="C783" t="s">
        <v>34</v>
      </c>
      <c r="D783" t="s">
        <v>39</v>
      </c>
      <c r="E783">
        <v>0</v>
      </c>
    </row>
    <row r="784" spans="1:6" x14ac:dyDescent="0.55000000000000004">
      <c r="A784">
        <v>85</v>
      </c>
      <c r="B784" t="s">
        <v>101</v>
      </c>
      <c r="C784" t="s">
        <v>35</v>
      </c>
      <c r="D784" t="s">
        <v>39</v>
      </c>
      <c r="E784">
        <v>0</v>
      </c>
    </row>
    <row r="785" spans="1:5" x14ac:dyDescent="0.55000000000000004">
      <c r="A785">
        <v>85</v>
      </c>
      <c r="B785" t="s">
        <v>101</v>
      </c>
      <c r="C785" t="s">
        <v>36</v>
      </c>
      <c r="D785" t="s">
        <v>39</v>
      </c>
      <c r="E785">
        <v>0</v>
      </c>
    </row>
    <row r="786" spans="1:5" x14ac:dyDescent="0.55000000000000004">
      <c r="A786">
        <v>85</v>
      </c>
      <c r="B786" t="s">
        <v>101</v>
      </c>
      <c r="C786" t="s">
        <v>37</v>
      </c>
      <c r="D786" t="s">
        <v>39</v>
      </c>
      <c r="E786">
        <v>10</v>
      </c>
    </row>
    <row r="787" spans="1:5" x14ac:dyDescent="0.55000000000000004">
      <c r="A787">
        <v>85</v>
      </c>
      <c r="B787" t="s">
        <v>101</v>
      </c>
      <c r="C787" t="s">
        <v>14</v>
      </c>
      <c r="D787" t="s">
        <v>39</v>
      </c>
      <c r="E787">
        <v>90</v>
      </c>
    </row>
    <row r="788" spans="1:5" x14ac:dyDescent="0.55000000000000004">
      <c r="A788">
        <v>85</v>
      </c>
      <c r="B788" t="s">
        <v>101</v>
      </c>
      <c r="C788" t="s">
        <v>13</v>
      </c>
      <c r="D788" t="s">
        <v>39</v>
      </c>
      <c r="E788">
        <v>0</v>
      </c>
    </row>
    <row r="789" spans="1:5" x14ac:dyDescent="0.55000000000000004">
      <c r="A789">
        <v>85</v>
      </c>
      <c r="B789" t="s">
        <v>101</v>
      </c>
      <c r="C789" t="s">
        <v>110</v>
      </c>
      <c r="D789" t="s">
        <v>39</v>
      </c>
      <c r="E789">
        <v>0</v>
      </c>
    </row>
    <row r="790" spans="1:5" x14ac:dyDescent="0.55000000000000004">
      <c r="A790">
        <v>85</v>
      </c>
      <c r="B790" t="s">
        <v>101</v>
      </c>
      <c r="C790" t="s">
        <v>223</v>
      </c>
      <c r="D790" t="s">
        <v>39</v>
      </c>
      <c r="E790">
        <v>0</v>
      </c>
    </row>
    <row r="791" spans="1:5" x14ac:dyDescent="0.55000000000000004">
      <c r="A791">
        <v>85</v>
      </c>
      <c r="B791" t="s">
        <v>101</v>
      </c>
      <c r="C791" t="s">
        <v>133</v>
      </c>
      <c r="D791" t="s">
        <v>118</v>
      </c>
    </row>
    <row r="792" spans="1:5" x14ac:dyDescent="0.55000000000000004">
      <c r="A792">
        <v>85</v>
      </c>
      <c r="B792" t="s">
        <v>111</v>
      </c>
      <c r="C792" t="s">
        <v>18</v>
      </c>
      <c r="D792" t="s">
        <v>42</v>
      </c>
      <c r="E792">
        <v>21.2</v>
      </c>
    </row>
    <row r="793" spans="1:5" x14ac:dyDescent="0.55000000000000004">
      <c r="A793">
        <v>85</v>
      </c>
      <c r="B793" t="s">
        <v>111</v>
      </c>
      <c r="C793" t="s">
        <v>15</v>
      </c>
      <c r="D793" t="s">
        <v>41</v>
      </c>
      <c r="E793">
        <v>9.1999999999999993</v>
      </c>
    </row>
    <row r="794" spans="1:5" x14ac:dyDescent="0.55000000000000004">
      <c r="A794">
        <v>85</v>
      </c>
      <c r="B794" t="s">
        <v>111</v>
      </c>
      <c r="C794" t="s">
        <v>16</v>
      </c>
      <c r="D794" t="s">
        <v>39</v>
      </c>
      <c r="E794">
        <v>103.8</v>
      </c>
    </row>
    <row r="795" spans="1:5" x14ac:dyDescent="0.55000000000000004">
      <c r="A795">
        <v>85</v>
      </c>
      <c r="B795" t="s">
        <v>111</v>
      </c>
      <c r="C795" t="s">
        <v>112</v>
      </c>
      <c r="D795" t="s">
        <v>113</v>
      </c>
      <c r="E795">
        <v>423.8</v>
      </c>
    </row>
    <row r="796" spans="1:5" x14ac:dyDescent="0.55000000000000004">
      <c r="A796">
        <v>85</v>
      </c>
      <c r="B796" t="s">
        <v>111</v>
      </c>
      <c r="C796" t="s">
        <v>17</v>
      </c>
      <c r="E796">
        <v>8.56</v>
      </c>
    </row>
    <row r="797" spans="1:5" x14ac:dyDescent="0.55000000000000004">
      <c r="A797">
        <v>85</v>
      </c>
      <c r="B797" t="s">
        <v>249</v>
      </c>
      <c r="C797" t="s">
        <v>114</v>
      </c>
      <c r="D797" t="s">
        <v>39</v>
      </c>
      <c r="E797">
        <v>0</v>
      </c>
    </row>
    <row r="798" spans="1:5" x14ac:dyDescent="0.55000000000000004">
      <c r="A798">
        <v>85</v>
      </c>
      <c r="B798" t="s">
        <v>249</v>
      </c>
      <c r="C798" t="s">
        <v>250</v>
      </c>
    </row>
    <row r="799" spans="1:5" x14ac:dyDescent="0.55000000000000004">
      <c r="A799">
        <v>85</v>
      </c>
      <c r="B799" t="s">
        <v>249</v>
      </c>
      <c r="C799" t="s">
        <v>115</v>
      </c>
      <c r="D799" t="s">
        <v>39</v>
      </c>
      <c r="E799">
        <v>0</v>
      </c>
    </row>
    <row r="800" spans="1:5" x14ac:dyDescent="0.55000000000000004">
      <c r="A800">
        <v>85</v>
      </c>
      <c r="B800" t="s">
        <v>249</v>
      </c>
      <c r="C800" t="s">
        <v>251</v>
      </c>
    </row>
    <row r="801" spans="1:6" x14ac:dyDescent="0.55000000000000004">
      <c r="A801">
        <v>85</v>
      </c>
      <c r="B801" t="s">
        <v>249</v>
      </c>
      <c r="C801" t="s">
        <v>116</v>
      </c>
      <c r="D801" t="s">
        <v>40</v>
      </c>
      <c r="E801">
        <v>0</v>
      </c>
    </row>
    <row r="802" spans="1:6" x14ac:dyDescent="0.55000000000000004">
      <c r="A802">
        <v>85</v>
      </c>
      <c r="B802" t="s">
        <v>249</v>
      </c>
      <c r="C802" t="s">
        <v>252</v>
      </c>
    </row>
    <row r="803" spans="1:6" x14ac:dyDescent="0.55000000000000004">
      <c r="A803">
        <v>85</v>
      </c>
      <c r="B803" t="s">
        <v>249</v>
      </c>
      <c r="C803" t="s">
        <v>117</v>
      </c>
      <c r="D803" t="s">
        <v>39</v>
      </c>
      <c r="E803">
        <v>20</v>
      </c>
    </row>
    <row r="804" spans="1:6" x14ac:dyDescent="0.55000000000000004">
      <c r="A804">
        <v>85</v>
      </c>
      <c r="B804" t="s">
        <v>249</v>
      </c>
      <c r="C804" t="s">
        <v>21</v>
      </c>
    </row>
    <row r="805" spans="1:6" x14ac:dyDescent="0.55000000000000004">
      <c r="A805">
        <v>86</v>
      </c>
      <c r="B805" t="s">
        <v>101</v>
      </c>
      <c r="C805" t="s">
        <v>102</v>
      </c>
      <c r="D805" t="s">
        <v>103</v>
      </c>
      <c r="E805" s="1"/>
      <c r="F805" t="s">
        <v>132</v>
      </c>
    </row>
    <row r="806" spans="1:6" x14ac:dyDescent="0.55000000000000004">
      <c r="A806">
        <v>86</v>
      </c>
      <c r="B806" t="s">
        <v>101</v>
      </c>
      <c r="C806" s="12" t="s">
        <v>104</v>
      </c>
      <c r="D806" t="s">
        <v>40</v>
      </c>
      <c r="E806">
        <v>1</v>
      </c>
    </row>
    <row r="807" spans="1:6" x14ac:dyDescent="0.55000000000000004">
      <c r="A807">
        <v>86</v>
      </c>
      <c r="B807" t="s">
        <v>101</v>
      </c>
      <c r="C807" t="s">
        <v>8</v>
      </c>
      <c r="D807" t="s">
        <v>38</v>
      </c>
      <c r="E807">
        <v>4</v>
      </c>
      <c r="F807" t="s">
        <v>218</v>
      </c>
    </row>
    <row r="808" spans="1:6" x14ac:dyDescent="0.55000000000000004">
      <c r="A808">
        <v>86</v>
      </c>
      <c r="B808" t="s">
        <v>101</v>
      </c>
      <c r="C808" t="s">
        <v>214</v>
      </c>
      <c r="D808" t="s">
        <v>38</v>
      </c>
      <c r="E808">
        <v>0.79</v>
      </c>
    </row>
    <row r="809" spans="1:6" x14ac:dyDescent="0.55000000000000004">
      <c r="A809">
        <v>86</v>
      </c>
      <c r="B809" t="s">
        <v>101</v>
      </c>
      <c r="C809" t="s">
        <v>105</v>
      </c>
      <c r="D809" t="s">
        <v>106</v>
      </c>
      <c r="E809">
        <f>E808/10</f>
        <v>7.9000000000000001E-2</v>
      </c>
      <c r="F809" t="s">
        <v>107</v>
      </c>
    </row>
    <row r="810" spans="1:6" x14ac:dyDescent="0.55000000000000004">
      <c r="A810">
        <v>86</v>
      </c>
      <c r="B810" t="s">
        <v>101</v>
      </c>
      <c r="C810" s="2" t="s">
        <v>109</v>
      </c>
      <c r="D810" t="s">
        <v>39</v>
      </c>
      <c r="E810">
        <v>10</v>
      </c>
    </row>
    <row r="811" spans="1:6" x14ac:dyDescent="0.55000000000000004">
      <c r="A811">
        <v>86</v>
      </c>
      <c r="B811" t="s">
        <v>101</v>
      </c>
      <c r="C811" s="2" t="s">
        <v>248</v>
      </c>
      <c r="E811" t="s">
        <v>261</v>
      </c>
    </row>
    <row r="812" spans="1:6" x14ac:dyDescent="0.55000000000000004">
      <c r="A812">
        <v>86</v>
      </c>
      <c r="B812" t="s">
        <v>101</v>
      </c>
      <c r="C812" s="2" t="s">
        <v>108</v>
      </c>
      <c r="D812" t="s">
        <v>39</v>
      </c>
      <c r="E812">
        <v>0</v>
      </c>
    </row>
    <row r="813" spans="1:6" x14ac:dyDescent="0.55000000000000004">
      <c r="A813">
        <v>86</v>
      </c>
      <c r="B813" t="s">
        <v>101</v>
      </c>
      <c r="C813" t="s">
        <v>11</v>
      </c>
      <c r="D813" t="s">
        <v>39</v>
      </c>
      <c r="E813">
        <v>0</v>
      </c>
    </row>
    <row r="814" spans="1:6" x14ac:dyDescent="0.55000000000000004">
      <c r="A814">
        <v>86</v>
      </c>
      <c r="B814" t="s">
        <v>101</v>
      </c>
      <c r="C814" t="s">
        <v>12</v>
      </c>
      <c r="D814" t="s">
        <v>40</v>
      </c>
      <c r="E814">
        <v>0</v>
      </c>
    </row>
    <row r="815" spans="1:6" x14ac:dyDescent="0.55000000000000004">
      <c r="A815">
        <v>86</v>
      </c>
      <c r="B815" t="s">
        <v>101</v>
      </c>
      <c r="C815" t="s">
        <v>34</v>
      </c>
      <c r="D815" t="s">
        <v>39</v>
      </c>
      <c r="E815">
        <v>0</v>
      </c>
    </row>
    <row r="816" spans="1:6" x14ac:dyDescent="0.55000000000000004">
      <c r="A816">
        <v>86</v>
      </c>
      <c r="B816" t="s">
        <v>101</v>
      </c>
      <c r="C816" t="s">
        <v>35</v>
      </c>
      <c r="D816" t="s">
        <v>39</v>
      </c>
      <c r="E816">
        <v>0</v>
      </c>
    </row>
    <row r="817" spans="1:5" x14ac:dyDescent="0.55000000000000004">
      <c r="A817">
        <v>86</v>
      </c>
      <c r="B817" t="s">
        <v>101</v>
      </c>
      <c r="C817" t="s">
        <v>36</v>
      </c>
      <c r="D817" t="s">
        <v>39</v>
      </c>
      <c r="E817">
        <v>0</v>
      </c>
    </row>
    <row r="818" spans="1:5" x14ac:dyDescent="0.55000000000000004">
      <c r="A818">
        <v>86</v>
      </c>
      <c r="B818" t="s">
        <v>101</v>
      </c>
      <c r="C818" t="s">
        <v>37</v>
      </c>
      <c r="D818" t="s">
        <v>39</v>
      </c>
      <c r="E818">
        <v>0</v>
      </c>
    </row>
    <row r="819" spans="1:5" x14ac:dyDescent="0.55000000000000004">
      <c r="A819">
        <v>86</v>
      </c>
      <c r="B819" t="s">
        <v>101</v>
      </c>
      <c r="C819" t="s">
        <v>14</v>
      </c>
      <c r="D819" t="s">
        <v>39</v>
      </c>
      <c r="E819">
        <v>0</v>
      </c>
    </row>
    <row r="820" spans="1:5" x14ac:dyDescent="0.55000000000000004">
      <c r="A820">
        <v>86</v>
      </c>
      <c r="B820" t="s">
        <v>101</v>
      </c>
      <c r="C820" t="s">
        <v>13</v>
      </c>
      <c r="D820" t="s">
        <v>39</v>
      </c>
      <c r="E820">
        <v>0</v>
      </c>
    </row>
    <row r="821" spans="1:5" x14ac:dyDescent="0.55000000000000004">
      <c r="A821">
        <v>86</v>
      </c>
      <c r="B821" t="s">
        <v>101</v>
      </c>
      <c r="C821" t="s">
        <v>110</v>
      </c>
      <c r="D821" t="s">
        <v>39</v>
      </c>
      <c r="E821">
        <v>100</v>
      </c>
    </row>
    <row r="822" spans="1:5" x14ac:dyDescent="0.55000000000000004">
      <c r="A822">
        <v>86</v>
      </c>
      <c r="B822" t="s">
        <v>101</v>
      </c>
      <c r="C822" t="s">
        <v>223</v>
      </c>
      <c r="D822" t="s">
        <v>39</v>
      </c>
      <c r="E822">
        <v>0</v>
      </c>
    </row>
    <row r="823" spans="1:5" x14ac:dyDescent="0.55000000000000004">
      <c r="A823">
        <v>86</v>
      </c>
      <c r="B823" t="s">
        <v>101</v>
      </c>
      <c r="C823" t="s">
        <v>133</v>
      </c>
      <c r="D823" t="s">
        <v>118</v>
      </c>
    </row>
    <row r="824" spans="1:5" x14ac:dyDescent="0.55000000000000004">
      <c r="A824">
        <v>86</v>
      </c>
      <c r="B824" t="s">
        <v>111</v>
      </c>
      <c r="C824" t="s">
        <v>18</v>
      </c>
      <c r="D824" t="s">
        <v>42</v>
      </c>
      <c r="E824">
        <v>21.9</v>
      </c>
    </row>
    <row r="825" spans="1:5" x14ac:dyDescent="0.55000000000000004">
      <c r="A825">
        <v>86</v>
      </c>
      <c r="B825" t="s">
        <v>111</v>
      </c>
      <c r="C825" t="s">
        <v>15</v>
      </c>
      <c r="D825" t="s">
        <v>41</v>
      </c>
      <c r="E825">
        <v>11.12</v>
      </c>
    </row>
    <row r="826" spans="1:5" x14ac:dyDescent="0.55000000000000004">
      <c r="A826">
        <v>86</v>
      </c>
      <c r="B826" t="s">
        <v>111</v>
      </c>
      <c r="C826" t="s">
        <v>16</v>
      </c>
      <c r="D826" t="s">
        <v>39</v>
      </c>
      <c r="E826">
        <v>127</v>
      </c>
    </row>
    <row r="827" spans="1:5" x14ac:dyDescent="0.55000000000000004">
      <c r="A827">
        <v>86</v>
      </c>
      <c r="B827" t="s">
        <v>111</v>
      </c>
      <c r="C827" t="s">
        <v>112</v>
      </c>
      <c r="D827" t="s">
        <v>113</v>
      </c>
      <c r="E827">
        <v>427.3</v>
      </c>
    </row>
    <row r="828" spans="1:5" x14ac:dyDescent="0.55000000000000004">
      <c r="A828">
        <v>86</v>
      </c>
      <c r="B828" t="s">
        <v>111</v>
      </c>
      <c r="C828" t="s">
        <v>17</v>
      </c>
      <c r="E828">
        <v>8.91</v>
      </c>
    </row>
    <row r="829" spans="1:5" x14ac:dyDescent="0.55000000000000004">
      <c r="A829">
        <v>86</v>
      </c>
      <c r="B829" t="s">
        <v>249</v>
      </c>
      <c r="C829" t="s">
        <v>114</v>
      </c>
      <c r="D829" t="s">
        <v>39</v>
      </c>
      <c r="E829">
        <v>30</v>
      </c>
    </row>
    <row r="830" spans="1:5" x14ac:dyDescent="0.55000000000000004">
      <c r="A830">
        <v>86</v>
      </c>
      <c r="B830" t="s">
        <v>249</v>
      </c>
      <c r="C830" t="s">
        <v>114</v>
      </c>
      <c r="D830" t="s">
        <v>39</v>
      </c>
      <c r="E830">
        <v>25</v>
      </c>
    </row>
    <row r="831" spans="1:5" x14ac:dyDescent="0.55000000000000004">
      <c r="A831">
        <v>86</v>
      </c>
      <c r="B831" t="s">
        <v>249</v>
      </c>
      <c r="C831" t="s">
        <v>250</v>
      </c>
      <c r="E831" t="s">
        <v>264</v>
      </c>
    </row>
    <row r="832" spans="1:5" x14ac:dyDescent="0.55000000000000004">
      <c r="A832">
        <v>86</v>
      </c>
      <c r="B832" t="s">
        <v>249</v>
      </c>
      <c r="C832" t="s">
        <v>114</v>
      </c>
      <c r="D832" t="s">
        <v>39</v>
      </c>
      <c r="E832">
        <v>5</v>
      </c>
    </row>
    <row r="833" spans="1:6" x14ac:dyDescent="0.55000000000000004">
      <c r="A833">
        <v>86</v>
      </c>
      <c r="B833" t="s">
        <v>249</v>
      </c>
      <c r="C833" t="s">
        <v>250</v>
      </c>
      <c r="E833" t="s">
        <v>263</v>
      </c>
    </row>
    <row r="834" spans="1:6" x14ac:dyDescent="0.55000000000000004">
      <c r="A834">
        <v>86</v>
      </c>
      <c r="B834" t="s">
        <v>249</v>
      </c>
      <c r="C834" t="s">
        <v>115</v>
      </c>
      <c r="D834" t="s">
        <v>39</v>
      </c>
      <c r="E834">
        <v>100</v>
      </c>
    </row>
    <row r="835" spans="1:6" x14ac:dyDescent="0.55000000000000004">
      <c r="A835">
        <v>86</v>
      </c>
      <c r="B835" t="s">
        <v>249</v>
      </c>
      <c r="C835" t="s">
        <v>251</v>
      </c>
      <c r="E835" t="s">
        <v>262</v>
      </c>
    </row>
    <row r="836" spans="1:6" x14ac:dyDescent="0.55000000000000004">
      <c r="A836">
        <v>86</v>
      </c>
      <c r="B836" t="s">
        <v>249</v>
      </c>
      <c r="C836" t="s">
        <v>116</v>
      </c>
      <c r="D836" t="s">
        <v>40</v>
      </c>
      <c r="E836">
        <v>0</v>
      </c>
    </row>
    <row r="837" spans="1:6" x14ac:dyDescent="0.55000000000000004">
      <c r="A837">
        <v>86</v>
      </c>
      <c r="B837" t="s">
        <v>249</v>
      </c>
      <c r="C837" t="s">
        <v>252</v>
      </c>
    </row>
    <row r="838" spans="1:6" x14ac:dyDescent="0.55000000000000004">
      <c r="A838">
        <v>86</v>
      </c>
      <c r="B838" t="s">
        <v>249</v>
      </c>
      <c r="C838" t="s">
        <v>117</v>
      </c>
      <c r="D838" t="s">
        <v>39</v>
      </c>
      <c r="E838">
        <v>5</v>
      </c>
    </row>
    <row r="839" spans="1:6" x14ac:dyDescent="0.55000000000000004">
      <c r="A839">
        <v>86</v>
      </c>
      <c r="B839" t="s">
        <v>249</v>
      </c>
      <c r="C839" t="s">
        <v>21</v>
      </c>
    </row>
    <row r="840" spans="1:6" x14ac:dyDescent="0.55000000000000004">
      <c r="A840">
        <v>87</v>
      </c>
      <c r="B840" t="s">
        <v>101</v>
      </c>
      <c r="C840" t="s">
        <v>102</v>
      </c>
      <c r="D840" t="s">
        <v>103</v>
      </c>
      <c r="E840" s="1"/>
      <c r="F840" t="s">
        <v>132</v>
      </c>
    </row>
    <row r="841" spans="1:6" x14ac:dyDescent="0.55000000000000004">
      <c r="A841">
        <v>87</v>
      </c>
      <c r="B841" t="s">
        <v>101</v>
      </c>
      <c r="C841" s="12" t="s">
        <v>104</v>
      </c>
      <c r="D841" t="s">
        <v>40</v>
      </c>
      <c r="E841">
        <v>1</v>
      </c>
    </row>
    <row r="842" spans="1:6" x14ac:dyDescent="0.55000000000000004">
      <c r="A842">
        <v>87</v>
      </c>
      <c r="B842" t="s">
        <v>101</v>
      </c>
      <c r="C842" t="s">
        <v>8</v>
      </c>
      <c r="D842" t="s">
        <v>38</v>
      </c>
      <c r="E842">
        <v>3.3</v>
      </c>
      <c r="F842" t="s">
        <v>218</v>
      </c>
    </row>
    <row r="843" spans="1:6" x14ac:dyDescent="0.55000000000000004">
      <c r="A843">
        <v>87</v>
      </c>
      <c r="B843" t="s">
        <v>101</v>
      </c>
      <c r="C843" t="s">
        <v>214</v>
      </c>
      <c r="D843" t="s">
        <v>38</v>
      </c>
      <c r="E843">
        <v>1.05</v>
      </c>
    </row>
    <row r="844" spans="1:6" x14ac:dyDescent="0.55000000000000004">
      <c r="A844">
        <v>87</v>
      </c>
      <c r="B844" t="s">
        <v>101</v>
      </c>
      <c r="C844" t="s">
        <v>105</v>
      </c>
      <c r="D844" t="s">
        <v>106</v>
      </c>
      <c r="E844">
        <f>E843/10</f>
        <v>0.10500000000000001</v>
      </c>
      <c r="F844" t="s">
        <v>107</v>
      </c>
    </row>
    <row r="845" spans="1:6" x14ac:dyDescent="0.55000000000000004">
      <c r="A845">
        <v>87</v>
      </c>
      <c r="B845" t="s">
        <v>101</v>
      </c>
      <c r="C845" s="2" t="s">
        <v>109</v>
      </c>
      <c r="D845" t="s">
        <v>39</v>
      </c>
      <c r="E845">
        <v>100</v>
      </c>
    </row>
    <row r="846" spans="1:6" x14ac:dyDescent="0.55000000000000004">
      <c r="A846">
        <v>87</v>
      </c>
      <c r="B846" t="s">
        <v>101</v>
      </c>
      <c r="C846" s="2" t="s">
        <v>248</v>
      </c>
      <c r="E846" t="s">
        <v>266</v>
      </c>
    </row>
    <row r="847" spans="1:6" x14ac:dyDescent="0.55000000000000004">
      <c r="A847">
        <v>87</v>
      </c>
      <c r="B847" t="s">
        <v>101</v>
      </c>
      <c r="C847" s="2" t="s">
        <v>108</v>
      </c>
      <c r="D847" t="s">
        <v>39</v>
      </c>
      <c r="E847">
        <v>0</v>
      </c>
    </row>
    <row r="848" spans="1:6" x14ac:dyDescent="0.55000000000000004">
      <c r="A848">
        <v>87</v>
      </c>
      <c r="B848" t="s">
        <v>101</v>
      </c>
      <c r="C848" t="s">
        <v>11</v>
      </c>
      <c r="D848" t="s">
        <v>39</v>
      </c>
      <c r="E848">
        <v>0</v>
      </c>
    </row>
    <row r="849" spans="1:5" x14ac:dyDescent="0.55000000000000004">
      <c r="A849">
        <v>87</v>
      </c>
      <c r="B849" t="s">
        <v>101</v>
      </c>
      <c r="C849" t="s">
        <v>12</v>
      </c>
      <c r="D849" t="s">
        <v>40</v>
      </c>
      <c r="E849">
        <v>0</v>
      </c>
    </row>
    <row r="850" spans="1:5" x14ac:dyDescent="0.55000000000000004">
      <c r="A850">
        <v>87</v>
      </c>
      <c r="B850" t="s">
        <v>101</v>
      </c>
      <c r="C850" t="s">
        <v>34</v>
      </c>
      <c r="D850" t="s">
        <v>39</v>
      </c>
      <c r="E850">
        <v>0</v>
      </c>
    </row>
    <row r="851" spans="1:5" x14ac:dyDescent="0.55000000000000004">
      <c r="A851">
        <v>87</v>
      </c>
      <c r="B851" t="s">
        <v>101</v>
      </c>
      <c r="C851" t="s">
        <v>35</v>
      </c>
      <c r="D851" t="s">
        <v>39</v>
      </c>
      <c r="E851">
        <v>0</v>
      </c>
    </row>
    <row r="852" spans="1:5" x14ac:dyDescent="0.55000000000000004">
      <c r="A852">
        <v>87</v>
      </c>
      <c r="B852" t="s">
        <v>101</v>
      </c>
      <c r="C852" t="s">
        <v>36</v>
      </c>
      <c r="D852" t="s">
        <v>39</v>
      </c>
      <c r="E852">
        <v>0</v>
      </c>
    </row>
    <row r="853" spans="1:5" x14ac:dyDescent="0.55000000000000004">
      <c r="A853">
        <v>87</v>
      </c>
      <c r="B853" t="s">
        <v>101</v>
      </c>
      <c r="C853" t="s">
        <v>37</v>
      </c>
      <c r="D853" t="s">
        <v>39</v>
      </c>
      <c r="E853">
        <v>0</v>
      </c>
    </row>
    <row r="854" spans="1:5" x14ac:dyDescent="0.55000000000000004">
      <c r="A854">
        <v>87</v>
      </c>
      <c r="B854" t="s">
        <v>101</v>
      </c>
      <c r="C854" t="s">
        <v>14</v>
      </c>
      <c r="D854" t="s">
        <v>39</v>
      </c>
      <c r="E854">
        <v>80</v>
      </c>
    </row>
    <row r="855" spans="1:5" x14ac:dyDescent="0.55000000000000004">
      <c r="A855">
        <v>87</v>
      </c>
      <c r="B855" t="s">
        <v>101</v>
      </c>
      <c r="C855" t="s">
        <v>13</v>
      </c>
      <c r="D855" t="s">
        <v>39</v>
      </c>
      <c r="E855">
        <v>0</v>
      </c>
    </row>
    <row r="856" spans="1:5" x14ac:dyDescent="0.55000000000000004">
      <c r="A856">
        <v>87</v>
      </c>
      <c r="B856" t="s">
        <v>101</v>
      </c>
      <c r="C856" t="s">
        <v>110</v>
      </c>
      <c r="D856" t="s">
        <v>39</v>
      </c>
      <c r="E856">
        <v>20</v>
      </c>
    </row>
    <row r="857" spans="1:5" x14ac:dyDescent="0.55000000000000004">
      <c r="A857">
        <v>87</v>
      </c>
      <c r="B857" t="s">
        <v>101</v>
      </c>
      <c r="C857" t="s">
        <v>223</v>
      </c>
      <c r="D857" t="s">
        <v>39</v>
      </c>
      <c r="E857">
        <v>0</v>
      </c>
    </row>
    <row r="858" spans="1:5" x14ac:dyDescent="0.55000000000000004">
      <c r="A858">
        <v>87</v>
      </c>
      <c r="B858" t="s">
        <v>101</v>
      </c>
      <c r="C858" t="s">
        <v>133</v>
      </c>
      <c r="D858" t="s">
        <v>118</v>
      </c>
    </row>
    <row r="859" spans="1:5" x14ac:dyDescent="0.55000000000000004">
      <c r="A859">
        <v>87</v>
      </c>
      <c r="B859" t="s">
        <v>111</v>
      </c>
      <c r="C859" t="s">
        <v>18</v>
      </c>
      <c r="D859" t="s">
        <v>42</v>
      </c>
      <c r="E859">
        <v>21.3</v>
      </c>
    </row>
    <row r="860" spans="1:5" x14ac:dyDescent="0.55000000000000004">
      <c r="A860">
        <v>87</v>
      </c>
      <c r="B860" t="s">
        <v>111</v>
      </c>
      <c r="C860" t="s">
        <v>15</v>
      </c>
      <c r="D860" t="s">
        <v>41</v>
      </c>
      <c r="E860">
        <v>8.93</v>
      </c>
    </row>
    <row r="861" spans="1:5" x14ac:dyDescent="0.55000000000000004">
      <c r="A861">
        <v>87</v>
      </c>
      <c r="B861" t="s">
        <v>111</v>
      </c>
      <c r="C861" t="s">
        <v>16</v>
      </c>
      <c r="D861" t="s">
        <v>39</v>
      </c>
      <c r="E861">
        <v>100.6</v>
      </c>
    </row>
    <row r="862" spans="1:5" x14ac:dyDescent="0.55000000000000004">
      <c r="A862">
        <v>87</v>
      </c>
      <c r="B862" t="s">
        <v>111</v>
      </c>
      <c r="C862" t="s">
        <v>112</v>
      </c>
      <c r="D862" t="s">
        <v>113</v>
      </c>
      <c r="E862">
        <v>423.4</v>
      </c>
    </row>
    <row r="863" spans="1:5" x14ac:dyDescent="0.55000000000000004">
      <c r="A863">
        <v>87</v>
      </c>
      <c r="B863" t="s">
        <v>111</v>
      </c>
      <c r="C863" t="s">
        <v>17</v>
      </c>
      <c r="E863">
        <v>8.49</v>
      </c>
    </row>
    <row r="864" spans="1:5" x14ac:dyDescent="0.55000000000000004">
      <c r="A864">
        <v>87</v>
      </c>
      <c r="B864" t="s">
        <v>249</v>
      </c>
      <c r="C864" t="s">
        <v>114</v>
      </c>
      <c r="D864" t="s">
        <v>39</v>
      </c>
      <c r="E864">
        <v>0</v>
      </c>
    </row>
    <row r="865" spans="1:6" x14ac:dyDescent="0.55000000000000004">
      <c r="A865">
        <v>87</v>
      </c>
      <c r="B865" t="s">
        <v>249</v>
      </c>
      <c r="C865" t="s">
        <v>250</v>
      </c>
    </row>
    <row r="866" spans="1:6" x14ac:dyDescent="0.55000000000000004">
      <c r="A866">
        <v>87</v>
      </c>
      <c r="B866" t="s">
        <v>249</v>
      </c>
      <c r="C866" t="s">
        <v>115</v>
      </c>
      <c r="D866" t="s">
        <v>39</v>
      </c>
      <c r="E866">
        <v>10</v>
      </c>
    </row>
    <row r="867" spans="1:6" x14ac:dyDescent="0.55000000000000004">
      <c r="A867">
        <v>87</v>
      </c>
      <c r="B867" t="s">
        <v>249</v>
      </c>
      <c r="C867" t="s">
        <v>251</v>
      </c>
      <c r="E867" t="s">
        <v>262</v>
      </c>
    </row>
    <row r="868" spans="1:6" x14ac:dyDescent="0.55000000000000004">
      <c r="A868">
        <v>87</v>
      </c>
      <c r="B868" t="s">
        <v>249</v>
      </c>
      <c r="C868" t="s">
        <v>116</v>
      </c>
      <c r="D868" t="s">
        <v>40</v>
      </c>
      <c r="E868">
        <v>1</v>
      </c>
    </row>
    <row r="869" spans="1:6" x14ac:dyDescent="0.55000000000000004">
      <c r="A869">
        <v>87</v>
      </c>
      <c r="B869" t="s">
        <v>249</v>
      </c>
      <c r="C869" t="s">
        <v>252</v>
      </c>
      <c r="E869" t="s">
        <v>267</v>
      </c>
    </row>
    <row r="870" spans="1:6" x14ac:dyDescent="0.55000000000000004">
      <c r="A870">
        <v>87</v>
      </c>
      <c r="B870" t="s">
        <v>249</v>
      </c>
      <c r="C870" t="s">
        <v>117</v>
      </c>
      <c r="D870" t="s">
        <v>39</v>
      </c>
      <c r="E870">
        <v>3</v>
      </c>
    </row>
    <row r="871" spans="1:6" x14ac:dyDescent="0.55000000000000004">
      <c r="A871">
        <v>87</v>
      </c>
      <c r="B871" t="s">
        <v>249</v>
      </c>
      <c r="C871" t="s">
        <v>21</v>
      </c>
    </row>
    <row r="872" spans="1:6" x14ac:dyDescent="0.55000000000000004">
      <c r="A872">
        <v>88</v>
      </c>
      <c r="B872" t="s">
        <v>101</v>
      </c>
      <c r="C872" t="s">
        <v>102</v>
      </c>
      <c r="D872" t="s">
        <v>103</v>
      </c>
      <c r="E872" s="1"/>
      <c r="F872" t="s">
        <v>132</v>
      </c>
    </row>
    <row r="873" spans="1:6" x14ac:dyDescent="0.55000000000000004">
      <c r="A873">
        <v>88</v>
      </c>
      <c r="B873" t="s">
        <v>101</v>
      </c>
      <c r="C873" s="12" t="s">
        <v>104</v>
      </c>
      <c r="D873" t="s">
        <v>40</v>
      </c>
      <c r="E873">
        <v>0</v>
      </c>
    </row>
    <row r="874" spans="1:6" x14ac:dyDescent="0.55000000000000004">
      <c r="A874">
        <v>88</v>
      </c>
      <c r="B874" t="s">
        <v>101</v>
      </c>
      <c r="C874" t="s">
        <v>8</v>
      </c>
      <c r="D874" t="s">
        <v>38</v>
      </c>
    </row>
    <row r="875" spans="1:6" x14ac:dyDescent="0.55000000000000004">
      <c r="A875">
        <v>88</v>
      </c>
      <c r="B875" t="s">
        <v>101</v>
      </c>
      <c r="C875" t="s">
        <v>214</v>
      </c>
      <c r="D875" t="s">
        <v>38</v>
      </c>
      <c r="E875">
        <v>1</v>
      </c>
    </row>
    <row r="876" spans="1:6" x14ac:dyDescent="0.55000000000000004">
      <c r="A876">
        <v>88</v>
      </c>
      <c r="B876" t="s">
        <v>101</v>
      </c>
      <c r="C876" t="s">
        <v>105</v>
      </c>
      <c r="D876" t="s">
        <v>106</v>
      </c>
      <c r="E876">
        <f>E875/10</f>
        <v>0.1</v>
      </c>
      <c r="F876" t="s">
        <v>107</v>
      </c>
    </row>
    <row r="877" spans="1:6" x14ac:dyDescent="0.55000000000000004">
      <c r="A877">
        <v>88</v>
      </c>
      <c r="B877" t="s">
        <v>101</v>
      </c>
      <c r="C877" s="2" t="s">
        <v>109</v>
      </c>
      <c r="D877" t="s">
        <v>39</v>
      </c>
      <c r="E877">
        <v>0</v>
      </c>
    </row>
    <row r="878" spans="1:6" x14ac:dyDescent="0.55000000000000004">
      <c r="A878">
        <v>88</v>
      </c>
      <c r="B878" t="s">
        <v>101</v>
      </c>
      <c r="C878" s="2" t="s">
        <v>248</v>
      </c>
    </row>
    <row r="879" spans="1:6" x14ac:dyDescent="0.55000000000000004">
      <c r="A879">
        <v>88</v>
      </c>
      <c r="B879" t="s">
        <v>101</v>
      </c>
      <c r="C879" s="2" t="s">
        <v>108</v>
      </c>
      <c r="D879" t="s">
        <v>39</v>
      </c>
      <c r="E879">
        <v>0</v>
      </c>
    </row>
    <row r="880" spans="1:6" x14ac:dyDescent="0.55000000000000004">
      <c r="A880">
        <v>88</v>
      </c>
      <c r="B880" t="s">
        <v>101</v>
      </c>
      <c r="C880" t="s">
        <v>11</v>
      </c>
      <c r="D880" t="s">
        <v>39</v>
      </c>
      <c r="E880">
        <v>100</v>
      </c>
    </row>
    <row r="881" spans="1:5" x14ac:dyDescent="0.55000000000000004">
      <c r="A881">
        <v>88</v>
      </c>
      <c r="B881" t="s">
        <v>101</v>
      </c>
      <c r="C881" t="s">
        <v>12</v>
      </c>
      <c r="D881" t="s">
        <v>40</v>
      </c>
      <c r="E881">
        <v>0</v>
      </c>
    </row>
    <row r="882" spans="1:5" x14ac:dyDescent="0.55000000000000004">
      <c r="A882">
        <v>88</v>
      </c>
      <c r="B882" t="s">
        <v>101</v>
      </c>
      <c r="C882" t="s">
        <v>34</v>
      </c>
      <c r="D882" t="s">
        <v>39</v>
      </c>
      <c r="E882">
        <v>0</v>
      </c>
    </row>
    <row r="883" spans="1:5" x14ac:dyDescent="0.55000000000000004">
      <c r="A883">
        <v>88</v>
      </c>
      <c r="B883" t="s">
        <v>101</v>
      </c>
      <c r="C883" t="s">
        <v>35</v>
      </c>
      <c r="D883" t="s">
        <v>39</v>
      </c>
      <c r="E883">
        <v>0</v>
      </c>
    </row>
    <row r="884" spans="1:5" x14ac:dyDescent="0.55000000000000004">
      <c r="A884">
        <v>88</v>
      </c>
      <c r="B884" t="s">
        <v>101</v>
      </c>
      <c r="C884" t="s">
        <v>36</v>
      </c>
      <c r="D884" t="s">
        <v>39</v>
      </c>
      <c r="E884">
        <v>0</v>
      </c>
    </row>
    <row r="885" spans="1:5" x14ac:dyDescent="0.55000000000000004">
      <c r="A885">
        <v>88</v>
      </c>
      <c r="B885" t="s">
        <v>101</v>
      </c>
      <c r="C885" t="s">
        <v>37</v>
      </c>
      <c r="D885" t="s">
        <v>39</v>
      </c>
      <c r="E885">
        <v>0</v>
      </c>
    </row>
    <row r="886" spans="1:5" x14ac:dyDescent="0.55000000000000004">
      <c r="A886">
        <v>88</v>
      </c>
      <c r="B886" t="s">
        <v>101</v>
      </c>
      <c r="C886" t="s">
        <v>14</v>
      </c>
      <c r="D886" t="s">
        <v>39</v>
      </c>
      <c r="E886">
        <v>100</v>
      </c>
    </row>
    <row r="887" spans="1:5" x14ac:dyDescent="0.55000000000000004">
      <c r="A887">
        <v>88</v>
      </c>
      <c r="B887" t="s">
        <v>101</v>
      </c>
      <c r="C887" t="s">
        <v>13</v>
      </c>
      <c r="D887" t="s">
        <v>39</v>
      </c>
      <c r="E887">
        <v>0</v>
      </c>
    </row>
    <row r="888" spans="1:5" x14ac:dyDescent="0.55000000000000004">
      <c r="A888">
        <v>88</v>
      </c>
      <c r="B888" t="s">
        <v>101</v>
      </c>
      <c r="C888" t="s">
        <v>110</v>
      </c>
      <c r="D888" t="s">
        <v>39</v>
      </c>
      <c r="E888">
        <v>0</v>
      </c>
    </row>
    <row r="889" spans="1:5" x14ac:dyDescent="0.55000000000000004">
      <c r="A889">
        <v>88</v>
      </c>
      <c r="B889" t="s">
        <v>101</v>
      </c>
      <c r="C889" t="s">
        <v>223</v>
      </c>
      <c r="D889" t="s">
        <v>39</v>
      </c>
      <c r="E889">
        <v>0</v>
      </c>
    </row>
    <row r="890" spans="1:5" x14ac:dyDescent="0.55000000000000004">
      <c r="A890">
        <v>88</v>
      </c>
      <c r="B890" t="s">
        <v>101</v>
      </c>
      <c r="C890" t="s">
        <v>133</v>
      </c>
      <c r="D890" t="s">
        <v>118</v>
      </c>
    </row>
    <row r="891" spans="1:5" x14ac:dyDescent="0.55000000000000004">
      <c r="A891">
        <v>88</v>
      </c>
      <c r="B891" t="s">
        <v>111</v>
      </c>
      <c r="C891" t="s">
        <v>18</v>
      </c>
      <c r="D891" t="s">
        <v>42</v>
      </c>
      <c r="E891">
        <v>22.5</v>
      </c>
    </row>
    <row r="892" spans="1:5" x14ac:dyDescent="0.55000000000000004">
      <c r="A892">
        <v>88</v>
      </c>
      <c r="B892" t="s">
        <v>111</v>
      </c>
      <c r="C892" t="s">
        <v>15</v>
      </c>
      <c r="D892" t="s">
        <v>41</v>
      </c>
      <c r="E892">
        <v>9.42</v>
      </c>
    </row>
    <row r="893" spans="1:5" x14ac:dyDescent="0.55000000000000004">
      <c r="A893">
        <v>88</v>
      </c>
      <c r="B893" t="s">
        <v>111</v>
      </c>
      <c r="C893" t="s">
        <v>16</v>
      </c>
      <c r="D893" t="s">
        <v>39</v>
      </c>
      <c r="E893">
        <v>109.2</v>
      </c>
    </row>
    <row r="894" spans="1:5" x14ac:dyDescent="0.55000000000000004">
      <c r="A894">
        <v>88</v>
      </c>
      <c r="B894" t="s">
        <v>111</v>
      </c>
      <c r="C894" t="s">
        <v>112</v>
      </c>
      <c r="D894" t="s">
        <v>113</v>
      </c>
      <c r="E894">
        <v>431.8</v>
      </c>
    </row>
    <row r="895" spans="1:5" x14ac:dyDescent="0.55000000000000004">
      <c r="A895">
        <v>88</v>
      </c>
      <c r="B895" t="s">
        <v>111</v>
      </c>
      <c r="C895" t="s">
        <v>17</v>
      </c>
      <c r="E895">
        <v>8.75</v>
      </c>
    </row>
    <row r="896" spans="1:5" x14ac:dyDescent="0.55000000000000004">
      <c r="A896">
        <v>88</v>
      </c>
      <c r="B896" t="s">
        <v>249</v>
      </c>
      <c r="C896" t="s">
        <v>114</v>
      </c>
      <c r="D896" t="s">
        <v>39</v>
      </c>
      <c r="E896">
        <v>0</v>
      </c>
    </row>
    <row r="897" spans="1:6" x14ac:dyDescent="0.55000000000000004">
      <c r="A897">
        <v>88</v>
      </c>
      <c r="B897" t="s">
        <v>249</v>
      </c>
      <c r="C897" t="s">
        <v>250</v>
      </c>
    </row>
    <row r="898" spans="1:6" x14ac:dyDescent="0.55000000000000004">
      <c r="A898">
        <v>88</v>
      </c>
      <c r="B898" t="s">
        <v>249</v>
      </c>
      <c r="C898" t="s">
        <v>115</v>
      </c>
      <c r="D898" t="s">
        <v>39</v>
      </c>
      <c r="E898">
        <v>10</v>
      </c>
    </row>
    <row r="899" spans="1:6" x14ac:dyDescent="0.55000000000000004">
      <c r="A899">
        <v>88</v>
      </c>
      <c r="B899" t="s">
        <v>249</v>
      </c>
      <c r="C899" t="s">
        <v>251</v>
      </c>
      <c r="E899" t="s">
        <v>262</v>
      </c>
    </row>
    <row r="900" spans="1:6" x14ac:dyDescent="0.55000000000000004">
      <c r="A900">
        <v>88</v>
      </c>
      <c r="B900" t="s">
        <v>249</v>
      </c>
      <c r="C900" t="s">
        <v>116</v>
      </c>
      <c r="D900" t="s">
        <v>40</v>
      </c>
      <c r="E900">
        <v>0</v>
      </c>
    </row>
    <row r="901" spans="1:6" x14ac:dyDescent="0.55000000000000004">
      <c r="A901">
        <v>88</v>
      </c>
      <c r="B901" t="s">
        <v>249</v>
      </c>
      <c r="C901" t="s">
        <v>252</v>
      </c>
    </row>
    <row r="902" spans="1:6" x14ac:dyDescent="0.55000000000000004">
      <c r="A902">
        <v>88</v>
      </c>
      <c r="B902" t="s">
        <v>249</v>
      </c>
      <c r="C902" t="s">
        <v>117</v>
      </c>
      <c r="D902" t="s">
        <v>39</v>
      </c>
      <c r="E902">
        <v>10</v>
      </c>
    </row>
    <row r="903" spans="1:6" x14ac:dyDescent="0.55000000000000004">
      <c r="A903">
        <v>88</v>
      </c>
      <c r="B903" t="s">
        <v>249</v>
      </c>
      <c r="C903" t="s">
        <v>21</v>
      </c>
    </row>
    <row r="904" spans="1:6" x14ac:dyDescent="0.55000000000000004">
      <c r="A904">
        <v>89</v>
      </c>
      <c r="B904" t="s">
        <v>101</v>
      </c>
      <c r="C904" t="s">
        <v>102</v>
      </c>
      <c r="D904" t="s">
        <v>103</v>
      </c>
      <c r="E904" s="1"/>
      <c r="F904" t="s">
        <v>132</v>
      </c>
    </row>
    <row r="905" spans="1:6" x14ac:dyDescent="0.55000000000000004">
      <c r="A905">
        <v>89</v>
      </c>
      <c r="B905" t="s">
        <v>101</v>
      </c>
      <c r="C905" s="12" t="s">
        <v>104</v>
      </c>
      <c r="D905" t="s">
        <v>40</v>
      </c>
      <c r="E905">
        <v>1</v>
      </c>
    </row>
    <row r="906" spans="1:6" x14ac:dyDescent="0.55000000000000004">
      <c r="A906">
        <v>89</v>
      </c>
      <c r="B906" t="s">
        <v>101</v>
      </c>
      <c r="C906" t="s">
        <v>8</v>
      </c>
      <c r="D906" t="s">
        <v>38</v>
      </c>
    </row>
    <row r="907" spans="1:6" x14ac:dyDescent="0.55000000000000004">
      <c r="A907">
        <v>89</v>
      </c>
      <c r="B907" t="s">
        <v>101</v>
      </c>
      <c r="C907" t="s">
        <v>214</v>
      </c>
      <c r="D907" t="s">
        <v>38</v>
      </c>
      <c r="E907">
        <v>1.1000000000000001</v>
      </c>
    </row>
    <row r="908" spans="1:6" x14ac:dyDescent="0.55000000000000004">
      <c r="A908">
        <v>89</v>
      </c>
      <c r="B908" t="s">
        <v>101</v>
      </c>
      <c r="C908" t="s">
        <v>105</v>
      </c>
      <c r="D908" t="s">
        <v>106</v>
      </c>
      <c r="E908">
        <f>E907/10</f>
        <v>0.11000000000000001</v>
      </c>
      <c r="F908" t="s">
        <v>107</v>
      </c>
    </row>
    <row r="909" spans="1:6" x14ac:dyDescent="0.55000000000000004">
      <c r="A909">
        <v>89</v>
      </c>
      <c r="B909" t="s">
        <v>101</v>
      </c>
      <c r="C909" s="2" t="s">
        <v>109</v>
      </c>
      <c r="D909" t="s">
        <v>39</v>
      </c>
      <c r="E909">
        <v>100</v>
      </c>
    </row>
    <row r="910" spans="1:6" x14ac:dyDescent="0.55000000000000004">
      <c r="A910">
        <v>89</v>
      </c>
      <c r="B910" t="s">
        <v>101</v>
      </c>
      <c r="C910" s="2" t="s">
        <v>248</v>
      </c>
      <c r="E910" t="s">
        <v>268</v>
      </c>
    </row>
    <row r="911" spans="1:6" x14ac:dyDescent="0.55000000000000004">
      <c r="A911">
        <v>89</v>
      </c>
      <c r="B911" t="s">
        <v>101</v>
      </c>
      <c r="C911" s="2" t="s">
        <v>108</v>
      </c>
      <c r="D911" t="s">
        <v>39</v>
      </c>
      <c r="E911">
        <v>0</v>
      </c>
    </row>
    <row r="912" spans="1:6" x14ac:dyDescent="0.55000000000000004">
      <c r="A912">
        <v>89</v>
      </c>
      <c r="B912" t="s">
        <v>101</v>
      </c>
      <c r="C912" t="s">
        <v>11</v>
      </c>
      <c r="D912" t="s">
        <v>39</v>
      </c>
      <c r="E912">
        <v>0</v>
      </c>
    </row>
    <row r="913" spans="1:5" x14ac:dyDescent="0.55000000000000004">
      <c r="A913">
        <v>89</v>
      </c>
      <c r="B913" t="s">
        <v>101</v>
      </c>
      <c r="C913" t="s">
        <v>12</v>
      </c>
      <c r="D913" t="s">
        <v>40</v>
      </c>
      <c r="E913">
        <v>0</v>
      </c>
    </row>
    <row r="914" spans="1:5" x14ac:dyDescent="0.55000000000000004">
      <c r="A914">
        <v>89</v>
      </c>
      <c r="B914" t="s">
        <v>101</v>
      </c>
      <c r="C914" t="s">
        <v>34</v>
      </c>
      <c r="D914" t="s">
        <v>39</v>
      </c>
      <c r="E914">
        <v>0</v>
      </c>
    </row>
    <row r="915" spans="1:5" x14ac:dyDescent="0.55000000000000004">
      <c r="A915">
        <v>89</v>
      </c>
      <c r="B915" t="s">
        <v>101</v>
      </c>
      <c r="C915" t="s">
        <v>35</v>
      </c>
      <c r="D915" t="s">
        <v>39</v>
      </c>
      <c r="E915">
        <v>0</v>
      </c>
    </row>
    <row r="916" spans="1:5" x14ac:dyDescent="0.55000000000000004">
      <c r="A916">
        <v>89</v>
      </c>
      <c r="B916" t="s">
        <v>101</v>
      </c>
      <c r="C916" t="s">
        <v>36</v>
      </c>
      <c r="D916" t="s">
        <v>39</v>
      </c>
      <c r="E916">
        <v>0</v>
      </c>
    </row>
    <row r="917" spans="1:5" x14ac:dyDescent="0.55000000000000004">
      <c r="A917">
        <v>89</v>
      </c>
      <c r="B917" t="s">
        <v>101</v>
      </c>
      <c r="C917" t="s">
        <v>37</v>
      </c>
      <c r="D917" t="s">
        <v>39</v>
      </c>
      <c r="E917">
        <v>0</v>
      </c>
    </row>
    <row r="918" spans="1:5" x14ac:dyDescent="0.55000000000000004">
      <c r="A918">
        <v>89</v>
      </c>
      <c r="B918" t="s">
        <v>101</v>
      </c>
      <c r="C918" t="s">
        <v>14</v>
      </c>
      <c r="D918" t="s">
        <v>39</v>
      </c>
      <c r="E918">
        <v>0</v>
      </c>
    </row>
    <row r="919" spans="1:5" x14ac:dyDescent="0.55000000000000004">
      <c r="A919">
        <v>89</v>
      </c>
      <c r="B919" t="s">
        <v>101</v>
      </c>
      <c r="C919" t="s">
        <v>13</v>
      </c>
      <c r="D919" t="s">
        <v>39</v>
      </c>
      <c r="E919">
        <v>0</v>
      </c>
    </row>
    <row r="920" spans="1:5" x14ac:dyDescent="0.55000000000000004">
      <c r="A920">
        <v>89</v>
      </c>
      <c r="B920" t="s">
        <v>101</v>
      </c>
      <c r="C920" t="s">
        <v>110</v>
      </c>
      <c r="D920" t="s">
        <v>39</v>
      </c>
      <c r="E920">
        <v>100</v>
      </c>
    </row>
    <row r="921" spans="1:5" x14ac:dyDescent="0.55000000000000004">
      <c r="A921">
        <v>89</v>
      </c>
      <c r="B921" t="s">
        <v>101</v>
      </c>
      <c r="C921" t="s">
        <v>223</v>
      </c>
      <c r="D921" t="s">
        <v>39</v>
      </c>
      <c r="E921">
        <v>0</v>
      </c>
    </row>
    <row r="922" spans="1:5" x14ac:dyDescent="0.55000000000000004">
      <c r="A922">
        <v>89</v>
      </c>
      <c r="B922" t="s">
        <v>101</v>
      </c>
      <c r="C922" t="s">
        <v>133</v>
      </c>
      <c r="D922" t="s">
        <v>118</v>
      </c>
    </row>
    <row r="923" spans="1:5" x14ac:dyDescent="0.55000000000000004">
      <c r="A923">
        <v>89</v>
      </c>
      <c r="B923" t="s">
        <v>111</v>
      </c>
      <c r="C923" t="s">
        <v>18</v>
      </c>
      <c r="D923" t="s">
        <v>42</v>
      </c>
      <c r="E923">
        <v>22</v>
      </c>
    </row>
    <row r="924" spans="1:5" x14ac:dyDescent="0.55000000000000004">
      <c r="A924">
        <v>89</v>
      </c>
      <c r="B924" t="s">
        <v>111</v>
      </c>
      <c r="C924" t="s">
        <v>15</v>
      </c>
      <c r="D924" t="s">
        <v>41</v>
      </c>
      <c r="E924">
        <v>10.92</v>
      </c>
    </row>
    <row r="925" spans="1:5" x14ac:dyDescent="0.55000000000000004">
      <c r="A925">
        <v>89</v>
      </c>
      <c r="B925" t="s">
        <v>111</v>
      </c>
      <c r="C925" t="s">
        <v>16</v>
      </c>
      <c r="D925" t="s">
        <v>39</v>
      </c>
      <c r="E925">
        <v>124.9</v>
      </c>
    </row>
    <row r="926" spans="1:5" x14ac:dyDescent="0.55000000000000004">
      <c r="A926">
        <v>89</v>
      </c>
      <c r="B926" t="s">
        <v>111</v>
      </c>
      <c r="C926" t="s">
        <v>112</v>
      </c>
      <c r="D926" t="s">
        <v>113</v>
      </c>
      <c r="E926">
        <v>427.3</v>
      </c>
    </row>
    <row r="927" spans="1:5" x14ac:dyDescent="0.55000000000000004">
      <c r="A927">
        <v>89</v>
      </c>
      <c r="B927" t="s">
        <v>111</v>
      </c>
      <c r="C927" t="s">
        <v>17</v>
      </c>
      <c r="E927">
        <v>8.91</v>
      </c>
    </row>
    <row r="928" spans="1:5" x14ac:dyDescent="0.55000000000000004">
      <c r="A928">
        <v>89</v>
      </c>
      <c r="B928" t="s">
        <v>249</v>
      </c>
      <c r="C928" t="s">
        <v>114</v>
      </c>
      <c r="D928" t="s">
        <v>39</v>
      </c>
      <c r="E928">
        <v>35</v>
      </c>
    </row>
    <row r="929" spans="1:6" x14ac:dyDescent="0.55000000000000004">
      <c r="A929">
        <v>89</v>
      </c>
      <c r="B929" t="s">
        <v>249</v>
      </c>
      <c r="C929" t="s">
        <v>250</v>
      </c>
      <c r="E929" t="s">
        <v>263</v>
      </c>
    </row>
    <row r="930" spans="1:6" x14ac:dyDescent="0.55000000000000004">
      <c r="A930">
        <v>89</v>
      </c>
      <c r="B930" t="s">
        <v>249</v>
      </c>
      <c r="C930" t="s">
        <v>115</v>
      </c>
      <c r="D930" t="s">
        <v>39</v>
      </c>
      <c r="E930">
        <v>97</v>
      </c>
    </row>
    <row r="931" spans="1:6" x14ac:dyDescent="0.55000000000000004">
      <c r="A931">
        <v>89</v>
      </c>
      <c r="B931" t="s">
        <v>249</v>
      </c>
      <c r="C931" t="s">
        <v>115</v>
      </c>
      <c r="D931" t="s">
        <v>39</v>
      </c>
      <c r="E931">
        <v>5</v>
      </c>
    </row>
    <row r="932" spans="1:6" x14ac:dyDescent="0.55000000000000004">
      <c r="A932">
        <v>89</v>
      </c>
      <c r="B932" t="s">
        <v>249</v>
      </c>
      <c r="C932" t="s">
        <v>251</v>
      </c>
      <c r="E932" t="s">
        <v>269</v>
      </c>
    </row>
    <row r="933" spans="1:6" x14ac:dyDescent="0.55000000000000004">
      <c r="A933">
        <v>89</v>
      </c>
      <c r="B933" t="s">
        <v>249</v>
      </c>
      <c r="C933" t="s">
        <v>115</v>
      </c>
      <c r="D933" t="s">
        <v>39</v>
      </c>
      <c r="E933">
        <v>2</v>
      </c>
    </row>
    <row r="934" spans="1:6" x14ac:dyDescent="0.55000000000000004">
      <c r="A934">
        <v>89</v>
      </c>
      <c r="B934" t="s">
        <v>249</v>
      </c>
      <c r="C934" t="s">
        <v>251</v>
      </c>
      <c r="E934" t="s">
        <v>271</v>
      </c>
    </row>
    <row r="935" spans="1:6" x14ac:dyDescent="0.55000000000000004">
      <c r="A935">
        <v>89</v>
      </c>
      <c r="B935" t="s">
        <v>249</v>
      </c>
      <c r="C935" t="s">
        <v>115</v>
      </c>
      <c r="D935" t="s">
        <v>39</v>
      </c>
      <c r="E935">
        <v>90</v>
      </c>
    </row>
    <row r="936" spans="1:6" x14ac:dyDescent="0.55000000000000004">
      <c r="A936">
        <v>89</v>
      </c>
      <c r="B936" t="s">
        <v>249</v>
      </c>
      <c r="C936" t="s">
        <v>251</v>
      </c>
      <c r="E936" t="s">
        <v>262</v>
      </c>
    </row>
    <row r="937" spans="1:6" x14ac:dyDescent="0.55000000000000004">
      <c r="A937">
        <v>89</v>
      </c>
      <c r="B937" t="s">
        <v>249</v>
      </c>
      <c r="C937" t="s">
        <v>116</v>
      </c>
      <c r="D937" t="s">
        <v>40</v>
      </c>
      <c r="E937">
        <v>1</v>
      </c>
    </row>
    <row r="938" spans="1:6" x14ac:dyDescent="0.55000000000000004">
      <c r="A938">
        <v>89</v>
      </c>
      <c r="B938" t="s">
        <v>249</v>
      </c>
      <c r="C938" t="s">
        <v>252</v>
      </c>
      <c r="E938" t="s">
        <v>262</v>
      </c>
    </row>
    <row r="939" spans="1:6" x14ac:dyDescent="0.55000000000000004">
      <c r="A939">
        <v>89</v>
      </c>
      <c r="B939" t="s">
        <v>249</v>
      </c>
      <c r="C939" t="s">
        <v>117</v>
      </c>
      <c r="D939" t="s">
        <v>39</v>
      </c>
      <c r="E939">
        <v>3</v>
      </c>
    </row>
    <row r="940" spans="1:6" x14ac:dyDescent="0.55000000000000004">
      <c r="A940">
        <v>89</v>
      </c>
      <c r="B940" t="s">
        <v>249</v>
      </c>
      <c r="C940" t="s">
        <v>21</v>
      </c>
    </row>
    <row r="941" spans="1:6" x14ac:dyDescent="0.55000000000000004">
      <c r="A941">
        <v>90</v>
      </c>
      <c r="B941" t="s">
        <v>101</v>
      </c>
      <c r="C941" t="s">
        <v>102</v>
      </c>
      <c r="D941" t="s">
        <v>103</v>
      </c>
      <c r="E941" s="1"/>
      <c r="F941" t="s">
        <v>132</v>
      </c>
    </row>
    <row r="942" spans="1:6" x14ac:dyDescent="0.55000000000000004">
      <c r="A942">
        <v>90</v>
      </c>
      <c r="B942" t="s">
        <v>101</v>
      </c>
      <c r="C942" s="12" t="s">
        <v>104</v>
      </c>
      <c r="D942" t="s">
        <v>40</v>
      </c>
      <c r="E942">
        <v>1</v>
      </c>
    </row>
    <row r="943" spans="1:6" x14ac:dyDescent="0.55000000000000004">
      <c r="A943">
        <v>90</v>
      </c>
      <c r="B943" t="s">
        <v>101</v>
      </c>
      <c r="C943" t="s">
        <v>8</v>
      </c>
      <c r="D943" t="s">
        <v>38</v>
      </c>
    </row>
    <row r="944" spans="1:6" x14ac:dyDescent="0.55000000000000004">
      <c r="A944">
        <v>90</v>
      </c>
      <c r="B944" t="s">
        <v>101</v>
      </c>
      <c r="C944" t="s">
        <v>214</v>
      </c>
      <c r="D944" t="s">
        <v>38</v>
      </c>
      <c r="E944">
        <v>1</v>
      </c>
    </row>
    <row r="945" spans="1:6" x14ac:dyDescent="0.55000000000000004">
      <c r="A945">
        <v>90</v>
      </c>
      <c r="B945" t="s">
        <v>101</v>
      </c>
      <c r="C945" t="s">
        <v>105</v>
      </c>
      <c r="D945" t="s">
        <v>106</v>
      </c>
      <c r="E945">
        <f>E944/10</f>
        <v>0.1</v>
      </c>
      <c r="F945" t="s">
        <v>107</v>
      </c>
    </row>
    <row r="946" spans="1:6" x14ac:dyDescent="0.55000000000000004">
      <c r="A946">
        <v>90</v>
      </c>
      <c r="B946" t="s">
        <v>101</v>
      </c>
      <c r="C946" s="2" t="s">
        <v>109</v>
      </c>
      <c r="D946" t="s">
        <v>39</v>
      </c>
      <c r="E946">
        <v>100</v>
      </c>
    </row>
    <row r="947" spans="1:6" x14ac:dyDescent="0.55000000000000004">
      <c r="A947">
        <v>90</v>
      </c>
      <c r="B947" t="s">
        <v>101</v>
      </c>
      <c r="C947" s="2" t="s">
        <v>248</v>
      </c>
      <c r="E947" t="s">
        <v>268</v>
      </c>
    </row>
    <row r="948" spans="1:6" x14ac:dyDescent="0.55000000000000004">
      <c r="A948">
        <v>90</v>
      </c>
      <c r="B948" t="s">
        <v>101</v>
      </c>
      <c r="C948" s="2" t="s">
        <v>108</v>
      </c>
      <c r="D948" t="s">
        <v>39</v>
      </c>
      <c r="E948">
        <v>0</v>
      </c>
    </row>
    <row r="949" spans="1:6" x14ac:dyDescent="0.55000000000000004">
      <c r="A949">
        <v>90</v>
      </c>
      <c r="B949" t="s">
        <v>101</v>
      </c>
      <c r="C949" t="s">
        <v>11</v>
      </c>
      <c r="D949" t="s">
        <v>39</v>
      </c>
      <c r="E949">
        <v>0</v>
      </c>
    </row>
    <row r="950" spans="1:6" x14ac:dyDescent="0.55000000000000004">
      <c r="A950">
        <v>90</v>
      </c>
      <c r="B950" t="s">
        <v>101</v>
      </c>
      <c r="C950" t="s">
        <v>12</v>
      </c>
      <c r="D950" t="s">
        <v>40</v>
      </c>
      <c r="E950">
        <v>0</v>
      </c>
    </row>
    <row r="951" spans="1:6" x14ac:dyDescent="0.55000000000000004">
      <c r="A951">
        <v>90</v>
      </c>
      <c r="B951" t="s">
        <v>101</v>
      </c>
      <c r="C951" t="s">
        <v>34</v>
      </c>
      <c r="D951" t="s">
        <v>39</v>
      </c>
      <c r="E951">
        <v>0</v>
      </c>
    </row>
    <row r="952" spans="1:6" x14ac:dyDescent="0.55000000000000004">
      <c r="A952">
        <v>90</v>
      </c>
      <c r="B952" t="s">
        <v>101</v>
      </c>
      <c r="C952" t="s">
        <v>35</v>
      </c>
      <c r="D952" t="s">
        <v>39</v>
      </c>
      <c r="E952">
        <v>0</v>
      </c>
    </row>
    <row r="953" spans="1:6" x14ac:dyDescent="0.55000000000000004">
      <c r="A953">
        <v>90</v>
      </c>
      <c r="B953" t="s">
        <v>101</v>
      </c>
      <c r="C953" t="s">
        <v>36</v>
      </c>
      <c r="D953" t="s">
        <v>39</v>
      </c>
      <c r="E953">
        <v>0</v>
      </c>
    </row>
    <row r="954" spans="1:6" x14ac:dyDescent="0.55000000000000004">
      <c r="A954">
        <v>90</v>
      </c>
      <c r="B954" t="s">
        <v>101</v>
      </c>
      <c r="C954" t="s">
        <v>37</v>
      </c>
      <c r="D954" t="s">
        <v>39</v>
      </c>
      <c r="E954">
        <v>0</v>
      </c>
    </row>
    <row r="955" spans="1:6" x14ac:dyDescent="0.55000000000000004">
      <c r="A955">
        <v>90</v>
      </c>
      <c r="B955" t="s">
        <v>101</v>
      </c>
      <c r="C955" t="s">
        <v>14</v>
      </c>
      <c r="D955" t="s">
        <v>39</v>
      </c>
      <c r="E955">
        <v>0</v>
      </c>
    </row>
    <row r="956" spans="1:6" x14ac:dyDescent="0.55000000000000004">
      <c r="A956">
        <v>90</v>
      </c>
      <c r="B956" t="s">
        <v>101</v>
      </c>
      <c r="C956" t="s">
        <v>13</v>
      </c>
      <c r="D956" t="s">
        <v>39</v>
      </c>
      <c r="E956">
        <v>0</v>
      </c>
    </row>
    <row r="957" spans="1:6" x14ac:dyDescent="0.55000000000000004">
      <c r="A957">
        <v>90</v>
      </c>
      <c r="B957" t="s">
        <v>101</v>
      </c>
      <c r="C957" t="s">
        <v>110</v>
      </c>
      <c r="D957" t="s">
        <v>39</v>
      </c>
      <c r="E957">
        <v>100</v>
      </c>
    </row>
    <row r="958" spans="1:6" x14ac:dyDescent="0.55000000000000004">
      <c r="A958">
        <v>90</v>
      </c>
      <c r="B958" t="s">
        <v>101</v>
      </c>
      <c r="C958" t="s">
        <v>223</v>
      </c>
      <c r="D958" t="s">
        <v>39</v>
      </c>
      <c r="E958">
        <v>0</v>
      </c>
    </row>
    <row r="959" spans="1:6" x14ac:dyDescent="0.55000000000000004">
      <c r="A959">
        <v>90</v>
      </c>
      <c r="B959" t="s">
        <v>101</v>
      </c>
      <c r="C959" t="s">
        <v>133</v>
      </c>
      <c r="D959" t="s">
        <v>118</v>
      </c>
    </row>
    <row r="960" spans="1:6" x14ac:dyDescent="0.55000000000000004">
      <c r="A960">
        <v>90</v>
      </c>
      <c r="B960" t="s">
        <v>111</v>
      </c>
      <c r="C960" t="s">
        <v>18</v>
      </c>
      <c r="D960" t="s">
        <v>42</v>
      </c>
      <c r="E960">
        <v>21.6</v>
      </c>
    </row>
    <row r="961" spans="1:5" x14ac:dyDescent="0.55000000000000004">
      <c r="A961">
        <v>90</v>
      </c>
      <c r="B961" t="s">
        <v>111</v>
      </c>
      <c r="C961" t="s">
        <v>15</v>
      </c>
      <c r="D961" t="s">
        <v>41</v>
      </c>
      <c r="E961">
        <v>11.06</v>
      </c>
    </row>
    <row r="962" spans="1:5" x14ac:dyDescent="0.55000000000000004">
      <c r="A962">
        <v>90</v>
      </c>
      <c r="B962" t="s">
        <v>111</v>
      </c>
      <c r="C962" t="s">
        <v>16</v>
      </c>
      <c r="D962" t="s">
        <v>39</v>
      </c>
      <c r="E962">
        <v>125.9</v>
      </c>
    </row>
    <row r="963" spans="1:5" x14ac:dyDescent="0.55000000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</row>
    <row r="964" spans="1:5" x14ac:dyDescent="0.55000000000000004">
      <c r="A964">
        <v>90</v>
      </c>
      <c r="B964" t="s">
        <v>111</v>
      </c>
      <c r="C964" t="s">
        <v>17</v>
      </c>
      <c r="E964">
        <v>8.9</v>
      </c>
    </row>
    <row r="965" spans="1:5" x14ac:dyDescent="0.55000000000000004">
      <c r="A965">
        <v>90</v>
      </c>
      <c r="B965" t="s">
        <v>249</v>
      </c>
      <c r="C965" t="s">
        <v>114</v>
      </c>
      <c r="D965" t="s">
        <v>39</v>
      </c>
      <c r="E965">
        <v>0</v>
      </c>
    </row>
    <row r="966" spans="1:5" x14ac:dyDescent="0.55000000000000004">
      <c r="A966">
        <v>90</v>
      </c>
      <c r="B966" t="s">
        <v>249</v>
      </c>
      <c r="C966" t="s">
        <v>250</v>
      </c>
    </row>
    <row r="967" spans="1:5" x14ac:dyDescent="0.55000000000000004">
      <c r="A967">
        <v>90</v>
      </c>
      <c r="B967" t="s">
        <v>249</v>
      </c>
      <c r="C967" t="s">
        <v>115</v>
      </c>
      <c r="D967" t="s">
        <v>39</v>
      </c>
      <c r="E967">
        <v>95</v>
      </c>
    </row>
    <row r="968" spans="1:5" x14ac:dyDescent="0.55000000000000004">
      <c r="A968">
        <v>90</v>
      </c>
      <c r="B968" t="s">
        <v>249</v>
      </c>
      <c r="C968" t="s">
        <v>115</v>
      </c>
      <c r="D968" t="s">
        <v>39</v>
      </c>
      <c r="E968">
        <v>20</v>
      </c>
    </row>
    <row r="969" spans="1:5" x14ac:dyDescent="0.55000000000000004">
      <c r="A969">
        <v>90</v>
      </c>
      <c r="B969" t="s">
        <v>249</v>
      </c>
      <c r="C969" t="s">
        <v>251</v>
      </c>
      <c r="E969" t="s">
        <v>267</v>
      </c>
    </row>
    <row r="970" spans="1:5" x14ac:dyDescent="0.55000000000000004">
      <c r="A970">
        <v>90</v>
      </c>
      <c r="B970" t="s">
        <v>249</v>
      </c>
      <c r="C970" t="s">
        <v>115</v>
      </c>
      <c r="D970" t="s">
        <v>39</v>
      </c>
      <c r="E970">
        <v>5</v>
      </c>
    </row>
    <row r="971" spans="1:5" x14ac:dyDescent="0.55000000000000004">
      <c r="A971">
        <v>90</v>
      </c>
      <c r="B971" t="s">
        <v>249</v>
      </c>
      <c r="C971" t="s">
        <v>251</v>
      </c>
      <c r="E971" t="s">
        <v>270</v>
      </c>
    </row>
    <row r="972" spans="1:5" x14ac:dyDescent="0.55000000000000004">
      <c r="A972">
        <v>90</v>
      </c>
      <c r="B972" t="s">
        <v>249</v>
      </c>
      <c r="C972" t="s">
        <v>115</v>
      </c>
      <c r="D972" t="s">
        <v>39</v>
      </c>
      <c r="E972">
        <v>70</v>
      </c>
    </row>
    <row r="973" spans="1:5" x14ac:dyDescent="0.55000000000000004">
      <c r="A973">
        <v>90</v>
      </c>
      <c r="B973" t="s">
        <v>249</v>
      </c>
      <c r="C973" t="s">
        <v>251</v>
      </c>
      <c r="E973" t="s">
        <v>262</v>
      </c>
    </row>
    <row r="974" spans="1:5" x14ac:dyDescent="0.55000000000000004">
      <c r="A974">
        <v>90</v>
      </c>
      <c r="B974" t="s">
        <v>249</v>
      </c>
      <c r="C974" t="s">
        <v>116</v>
      </c>
      <c r="D974" t="s">
        <v>40</v>
      </c>
      <c r="E974">
        <v>0</v>
      </c>
    </row>
    <row r="975" spans="1:5" x14ac:dyDescent="0.55000000000000004">
      <c r="A975">
        <v>90</v>
      </c>
      <c r="B975" t="s">
        <v>249</v>
      </c>
      <c r="C975" t="s">
        <v>252</v>
      </c>
    </row>
    <row r="976" spans="1:5" x14ac:dyDescent="0.55000000000000004">
      <c r="A976">
        <v>90</v>
      </c>
      <c r="B976" t="s">
        <v>249</v>
      </c>
      <c r="C976" t="s">
        <v>117</v>
      </c>
      <c r="D976" t="s">
        <v>39</v>
      </c>
      <c r="E976">
        <v>10</v>
      </c>
    </row>
    <row r="977" spans="1:6" x14ac:dyDescent="0.55000000000000004">
      <c r="A977">
        <v>90</v>
      </c>
      <c r="B977" t="s">
        <v>249</v>
      </c>
      <c r="C977" t="s">
        <v>21</v>
      </c>
    </row>
    <row r="978" spans="1:6" x14ac:dyDescent="0.55000000000000004">
      <c r="A978">
        <v>91</v>
      </c>
      <c r="B978" t="s">
        <v>101</v>
      </c>
      <c r="C978" t="s">
        <v>102</v>
      </c>
      <c r="D978" t="s">
        <v>103</v>
      </c>
      <c r="E978" s="1"/>
      <c r="F978" t="s">
        <v>132</v>
      </c>
    </row>
    <row r="979" spans="1:6" x14ac:dyDescent="0.55000000000000004">
      <c r="A979">
        <v>91</v>
      </c>
      <c r="B979" t="s">
        <v>101</v>
      </c>
      <c r="C979" s="12" t="s">
        <v>104</v>
      </c>
      <c r="D979" t="s">
        <v>40</v>
      </c>
      <c r="E979">
        <v>1</v>
      </c>
    </row>
    <row r="980" spans="1:6" x14ac:dyDescent="0.55000000000000004">
      <c r="A980">
        <v>91</v>
      </c>
      <c r="B980" t="s">
        <v>101</v>
      </c>
      <c r="C980" t="s">
        <v>8</v>
      </c>
      <c r="D980" t="s">
        <v>38</v>
      </c>
    </row>
    <row r="981" spans="1:6" x14ac:dyDescent="0.55000000000000004">
      <c r="A981">
        <v>91</v>
      </c>
      <c r="B981" t="s">
        <v>101</v>
      </c>
      <c r="C981" t="s">
        <v>214</v>
      </c>
      <c r="D981" t="s">
        <v>38</v>
      </c>
      <c r="E981">
        <v>1.02</v>
      </c>
    </row>
    <row r="982" spans="1:6" x14ac:dyDescent="0.55000000000000004">
      <c r="A982">
        <v>91</v>
      </c>
      <c r="B982" t="s">
        <v>101</v>
      </c>
      <c r="C982" t="s">
        <v>105</v>
      </c>
      <c r="D982" t="s">
        <v>106</v>
      </c>
      <c r="E982">
        <f>E981/10</f>
        <v>0.10200000000000001</v>
      </c>
      <c r="F982" t="s">
        <v>107</v>
      </c>
    </row>
    <row r="983" spans="1:6" x14ac:dyDescent="0.55000000000000004">
      <c r="A983">
        <v>91</v>
      </c>
      <c r="B983" t="s">
        <v>101</v>
      </c>
      <c r="C983" s="2" t="s">
        <v>109</v>
      </c>
      <c r="D983" t="s">
        <v>39</v>
      </c>
      <c r="E983">
        <v>0</v>
      </c>
    </row>
    <row r="984" spans="1:6" x14ac:dyDescent="0.55000000000000004">
      <c r="A984">
        <v>91</v>
      </c>
      <c r="B984" t="s">
        <v>101</v>
      </c>
      <c r="C984" s="2" t="s">
        <v>248</v>
      </c>
    </row>
    <row r="985" spans="1:6" x14ac:dyDescent="0.55000000000000004">
      <c r="A985">
        <v>91</v>
      </c>
      <c r="B985" t="s">
        <v>101</v>
      </c>
      <c r="C985" s="2" t="s">
        <v>108</v>
      </c>
      <c r="D985" t="s">
        <v>39</v>
      </c>
      <c r="E985">
        <v>0</v>
      </c>
    </row>
    <row r="986" spans="1:6" x14ac:dyDescent="0.55000000000000004">
      <c r="A986">
        <v>91</v>
      </c>
      <c r="B986" t="s">
        <v>101</v>
      </c>
      <c r="C986" t="s">
        <v>11</v>
      </c>
      <c r="D986" t="s">
        <v>39</v>
      </c>
      <c r="E986">
        <v>100</v>
      </c>
    </row>
    <row r="987" spans="1:6" x14ac:dyDescent="0.55000000000000004">
      <c r="A987">
        <v>91</v>
      </c>
      <c r="B987" t="s">
        <v>101</v>
      </c>
      <c r="C987" t="s">
        <v>12</v>
      </c>
      <c r="D987" t="s">
        <v>40</v>
      </c>
      <c r="E987">
        <v>0</v>
      </c>
    </row>
    <row r="988" spans="1:6" x14ac:dyDescent="0.55000000000000004">
      <c r="A988">
        <v>91</v>
      </c>
      <c r="B988" t="s">
        <v>101</v>
      </c>
      <c r="C988" t="s">
        <v>34</v>
      </c>
      <c r="D988" t="s">
        <v>39</v>
      </c>
      <c r="E988">
        <v>0</v>
      </c>
    </row>
    <row r="989" spans="1:6" x14ac:dyDescent="0.55000000000000004">
      <c r="A989">
        <v>91</v>
      </c>
      <c r="B989" t="s">
        <v>101</v>
      </c>
      <c r="C989" t="s">
        <v>35</v>
      </c>
      <c r="D989" t="s">
        <v>39</v>
      </c>
      <c r="E989">
        <v>0</v>
      </c>
    </row>
    <row r="990" spans="1:6" x14ac:dyDescent="0.55000000000000004">
      <c r="A990">
        <v>91</v>
      </c>
      <c r="B990" t="s">
        <v>101</v>
      </c>
      <c r="C990" t="s">
        <v>36</v>
      </c>
      <c r="D990" t="s">
        <v>39</v>
      </c>
      <c r="E990">
        <v>20</v>
      </c>
    </row>
    <row r="991" spans="1:6" x14ac:dyDescent="0.55000000000000004">
      <c r="A991">
        <v>91</v>
      </c>
      <c r="B991" t="s">
        <v>101</v>
      </c>
      <c r="C991" t="s">
        <v>37</v>
      </c>
      <c r="D991" t="s">
        <v>39</v>
      </c>
      <c r="E991">
        <v>70</v>
      </c>
    </row>
    <row r="992" spans="1:6" x14ac:dyDescent="0.55000000000000004">
      <c r="A992">
        <v>91</v>
      </c>
      <c r="B992" t="s">
        <v>101</v>
      </c>
      <c r="C992" t="s">
        <v>14</v>
      </c>
      <c r="D992" t="s">
        <v>39</v>
      </c>
      <c r="E992">
        <v>10</v>
      </c>
    </row>
    <row r="993" spans="1:5" x14ac:dyDescent="0.55000000000000004">
      <c r="A993">
        <v>91</v>
      </c>
      <c r="B993" t="s">
        <v>101</v>
      </c>
      <c r="C993" t="s">
        <v>13</v>
      </c>
      <c r="D993" t="s">
        <v>39</v>
      </c>
      <c r="E993">
        <v>0</v>
      </c>
    </row>
    <row r="994" spans="1:5" x14ac:dyDescent="0.55000000000000004">
      <c r="A994">
        <v>91</v>
      </c>
      <c r="B994" t="s">
        <v>101</v>
      </c>
      <c r="C994" t="s">
        <v>110</v>
      </c>
      <c r="D994" t="s">
        <v>39</v>
      </c>
      <c r="E994">
        <v>0</v>
      </c>
    </row>
    <row r="995" spans="1:5" x14ac:dyDescent="0.55000000000000004">
      <c r="A995">
        <v>91</v>
      </c>
      <c r="B995" t="s">
        <v>101</v>
      </c>
      <c r="C995" t="s">
        <v>223</v>
      </c>
      <c r="D995" t="s">
        <v>39</v>
      </c>
      <c r="E995">
        <v>0</v>
      </c>
    </row>
    <row r="996" spans="1:5" x14ac:dyDescent="0.55000000000000004">
      <c r="A996">
        <v>91</v>
      </c>
      <c r="B996" t="s">
        <v>101</v>
      </c>
      <c r="C996" t="s">
        <v>133</v>
      </c>
      <c r="D996" t="s">
        <v>118</v>
      </c>
    </row>
    <row r="997" spans="1:5" x14ac:dyDescent="0.55000000000000004">
      <c r="A997">
        <v>91</v>
      </c>
      <c r="B997" t="s">
        <v>111</v>
      </c>
      <c r="C997" t="s">
        <v>18</v>
      </c>
      <c r="D997" t="s">
        <v>42</v>
      </c>
      <c r="E997">
        <v>22.6</v>
      </c>
    </row>
    <row r="998" spans="1:5" x14ac:dyDescent="0.55000000000000004">
      <c r="A998">
        <v>91</v>
      </c>
      <c r="B998" t="s">
        <v>111</v>
      </c>
      <c r="C998" t="s">
        <v>15</v>
      </c>
      <c r="D998" t="s">
        <v>41</v>
      </c>
      <c r="E998">
        <v>11.08</v>
      </c>
    </row>
    <row r="999" spans="1:5" x14ac:dyDescent="0.55000000000000004">
      <c r="A999">
        <v>91</v>
      </c>
      <c r="B999" t="s">
        <v>111</v>
      </c>
      <c r="C999" t="s">
        <v>16</v>
      </c>
      <c r="D999" t="s">
        <v>39</v>
      </c>
      <c r="E999">
        <v>128.30000000000001</v>
      </c>
    </row>
    <row r="1000" spans="1:5" x14ac:dyDescent="0.55000000000000004">
      <c r="A1000">
        <v>91</v>
      </c>
      <c r="B1000" t="s">
        <v>111</v>
      </c>
      <c r="C1000" t="s">
        <v>112</v>
      </c>
      <c r="D1000" t="s">
        <v>113</v>
      </c>
      <c r="E1000">
        <v>441.3</v>
      </c>
    </row>
    <row r="1001" spans="1:5" x14ac:dyDescent="0.55000000000000004">
      <c r="A1001">
        <v>91</v>
      </c>
      <c r="B1001" t="s">
        <v>111</v>
      </c>
      <c r="C1001" t="s">
        <v>17</v>
      </c>
      <c r="E1001">
        <v>8.9499999999999993</v>
      </c>
    </row>
    <row r="1002" spans="1:5" x14ac:dyDescent="0.55000000000000004">
      <c r="A1002">
        <v>91</v>
      </c>
      <c r="B1002" t="s">
        <v>249</v>
      </c>
      <c r="C1002" t="s">
        <v>114</v>
      </c>
      <c r="D1002" t="s">
        <v>39</v>
      </c>
      <c r="E1002">
        <v>0</v>
      </c>
    </row>
    <row r="1003" spans="1:5" x14ac:dyDescent="0.55000000000000004">
      <c r="A1003">
        <v>91</v>
      </c>
      <c r="B1003" t="s">
        <v>249</v>
      </c>
      <c r="C1003" t="s">
        <v>250</v>
      </c>
    </row>
    <row r="1004" spans="1:5" x14ac:dyDescent="0.55000000000000004">
      <c r="A1004">
        <v>91</v>
      </c>
      <c r="B1004" t="s">
        <v>249</v>
      </c>
      <c r="C1004" t="s">
        <v>115</v>
      </c>
      <c r="D1004" t="s">
        <v>39</v>
      </c>
      <c r="E1004">
        <v>10</v>
      </c>
    </row>
    <row r="1005" spans="1:5" x14ac:dyDescent="0.55000000000000004">
      <c r="A1005">
        <v>91</v>
      </c>
      <c r="B1005" t="s">
        <v>249</v>
      </c>
      <c r="C1005" t="s">
        <v>251</v>
      </c>
      <c r="E1005" t="s">
        <v>262</v>
      </c>
    </row>
    <row r="1006" spans="1:5" x14ac:dyDescent="0.55000000000000004">
      <c r="A1006">
        <v>91</v>
      </c>
      <c r="B1006" t="s">
        <v>249</v>
      </c>
      <c r="C1006" t="s">
        <v>116</v>
      </c>
      <c r="D1006" t="s">
        <v>40</v>
      </c>
      <c r="E1006">
        <v>0</v>
      </c>
    </row>
    <row r="1007" spans="1:5" x14ac:dyDescent="0.55000000000000004">
      <c r="A1007">
        <v>91</v>
      </c>
      <c r="B1007" t="s">
        <v>249</v>
      </c>
      <c r="C1007" t="s">
        <v>252</v>
      </c>
    </row>
    <row r="1008" spans="1:5" x14ac:dyDescent="0.55000000000000004">
      <c r="A1008">
        <v>91</v>
      </c>
      <c r="B1008" t="s">
        <v>249</v>
      </c>
      <c r="C1008" t="s">
        <v>117</v>
      </c>
      <c r="D1008" t="s">
        <v>39</v>
      </c>
      <c r="E1008">
        <v>20</v>
      </c>
    </row>
    <row r="1009" spans="1:6" x14ac:dyDescent="0.55000000000000004">
      <c r="A1009">
        <v>91</v>
      </c>
      <c r="B1009" t="s">
        <v>249</v>
      </c>
      <c r="C1009" t="s">
        <v>21</v>
      </c>
    </row>
    <row r="1010" spans="1:6" x14ac:dyDescent="0.55000000000000004">
      <c r="A1010">
        <v>92</v>
      </c>
      <c r="B1010" t="s">
        <v>101</v>
      </c>
      <c r="C1010" t="s">
        <v>102</v>
      </c>
      <c r="D1010" t="s">
        <v>103</v>
      </c>
      <c r="E1010" s="1"/>
      <c r="F1010" t="s">
        <v>132</v>
      </c>
    </row>
    <row r="1011" spans="1:6" x14ac:dyDescent="0.55000000000000004">
      <c r="A1011">
        <v>92</v>
      </c>
      <c r="B1011" t="s">
        <v>101</v>
      </c>
      <c r="C1011" s="12" t="s">
        <v>104</v>
      </c>
      <c r="D1011" t="s">
        <v>40</v>
      </c>
      <c r="E1011">
        <v>1</v>
      </c>
    </row>
    <row r="1012" spans="1:6" x14ac:dyDescent="0.55000000000000004">
      <c r="A1012">
        <v>92</v>
      </c>
      <c r="B1012" t="s">
        <v>101</v>
      </c>
      <c r="C1012" t="s">
        <v>8</v>
      </c>
      <c r="D1012" t="s">
        <v>38</v>
      </c>
    </row>
    <row r="1013" spans="1:6" x14ac:dyDescent="0.55000000000000004">
      <c r="A1013">
        <v>92</v>
      </c>
      <c r="B1013" t="s">
        <v>101</v>
      </c>
      <c r="C1013" t="s">
        <v>214</v>
      </c>
      <c r="D1013" t="s">
        <v>38</v>
      </c>
      <c r="E1013">
        <v>1.3</v>
      </c>
    </row>
    <row r="1014" spans="1:6" x14ac:dyDescent="0.55000000000000004">
      <c r="A1014">
        <v>92</v>
      </c>
      <c r="B1014" t="s">
        <v>101</v>
      </c>
      <c r="C1014" t="s">
        <v>105</v>
      </c>
      <c r="D1014" t="s">
        <v>106</v>
      </c>
      <c r="E1014">
        <f>E1013/10</f>
        <v>0.13</v>
      </c>
      <c r="F1014" t="s">
        <v>107</v>
      </c>
    </row>
    <row r="1015" spans="1:6" x14ac:dyDescent="0.55000000000000004">
      <c r="A1015">
        <v>92</v>
      </c>
      <c r="B1015" t="s">
        <v>101</v>
      </c>
      <c r="C1015" s="2" t="s">
        <v>109</v>
      </c>
      <c r="D1015" t="s">
        <v>39</v>
      </c>
      <c r="E1015">
        <v>100</v>
      </c>
    </row>
    <row r="1016" spans="1:6" x14ac:dyDescent="0.55000000000000004">
      <c r="A1016">
        <v>92</v>
      </c>
      <c r="B1016" t="s">
        <v>101</v>
      </c>
      <c r="C1016" s="2" t="s">
        <v>248</v>
      </c>
      <c r="E1016" t="s">
        <v>268</v>
      </c>
    </row>
    <row r="1017" spans="1:6" x14ac:dyDescent="0.55000000000000004">
      <c r="A1017">
        <v>92</v>
      </c>
      <c r="B1017" t="s">
        <v>101</v>
      </c>
      <c r="C1017" s="2" t="s">
        <v>108</v>
      </c>
      <c r="D1017" t="s">
        <v>39</v>
      </c>
      <c r="E1017">
        <v>100</v>
      </c>
    </row>
    <row r="1018" spans="1:6" x14ac:dyDescent="0.55000000000000004">
      <c r="A1018">
        <v>92</v>
      </c>
      <c r="B1018" t="s">
        <v>101</v>
      </c>
      <c r="C1018" t="s">
        <v>11</v>
      </c>
      <c r="D1018" t="s">
        <v>39</v>
      </c>
      <c r="E1018">
        <v>0</v>
      </c>
    </row>
    <row r="1019" spans="1:6" x14ac:dyDescent="0.55000000000000004">
      <c r="A1019">
        <v>92</v>
      </c>
      <c r="B1019" t="s">
        <v>101</v>
      </c>
      <c r="C1019" t="s">
        <v>12</v>
      </c>
      <c r="D1019" t="s">
        <v>40</v>
      </c>
      <c r="E1019">
        <v>0</v>
      </c>
    </row>
    <row r="1020" spans="1:6" x14ac:dyDescent="0.55000000000000004">
      <c r="A1020">
        <v>92</v>
      </c>
      <c r="B1020" t="s">
        <v>101</v>
      </c>
      <c r="C1020" t="s">
        <v>34</v>
      </c>
      <c r="D1020" t="s">
        <v>39</v>
      </c>
      <c r="E1020">
        <v>0</v>
      </c>
    </row>
    <row r="1021" spans="1:6" x14ac:dyDescent="0.55000000000000004">
      <c r="A1021">
        <v>92</v>
      </c>
      <c r="B1021" t="s">
        <v>101</v>
      </c>
      <c r="C1021" t="s">
        <v>35</v>
      </c>
      <c r="D1021" t="s">
        <v>39</v>
      </c>
      <c r="E1021">
        <v>0</v>
      </c>
    </row>
    <row r="1022" spans="1:6" x14ac:dyDescent="0.55000000000000004">
      <c r="A1022">
        <v>92</v>
      </c>
      <c r="B1022" t="s">
        <v>101</v>
      </c>
      <c r="C1022" t="s">
        <v>36</v>
      </c>
      <c r="D1022" t="s">
        <v>39</v>
      </c>
      <c r="E1022">
        <v>0</v>
      </c>
    </row>
    <row r="1023" spans="1:6" x14ac:dyDescent="0.55000000000000004">
      <c r="A1023">
        <v>92</v>
      </c>
      <c r="B1023" t="s">
        <v>101</v>
      </c>
      <c r="C1023" t="s">
        <v>37</v>
      </c>
      <c r="D1023" t="s">
        <v>39</v>
      </c>
      <c r="E1023">
        <v>0</v>
      </c>
    </row>
    <row r="1024" spans="1:6" x14ac:dyDescent="0.55000000000000004">
      <c r="A1024">
        <v>92</v>
      </c>
      <c r="B1024" t="s">
        <v>101</v>
      </c>
      <c r="C1024" t="s">
        <v>14</v>
      </c>
      <c r="D1024" t="s">
        <v>39</v>
      </c>
      <c r="E1024">
        <v>5</v>
      </c>
    </row>
    <row r="1025" spans="1:5" x14ac:dyDescent="0.55000000000000004">
      <c r="A1025">
        <v>92</v>
      </c>
      <c r="B1025" t="s">
        <v>101</v>
      </c>
      <c r="C1025" t="s">
        <v>13</v>
      </c>
      <c r="D1025" t="s">
        <v>39</v>
      </c>
      <c r="E1025">
        <v>0</v>
      </c>
    </row>
    <row r="1026" spans="1:5" x14ac:dyDescent="0.55000000000000004">
      <c r="A1026">
        <v>92</v>
      </c>
      <c r="B1026" t="s">
        <v>101</v>
      </c>
      <c r="C1026" t="s">
        <v>110</v>
      </c>
      <c r="D1026" t="s">
        <v>39</v>
      </c>
      <c r="E1026">
        <v>95</v>
      </c>
    </row>
    <row r="1027" spans="1:5" x14ac:dyDescent="0.55000000000000004">
      <c r="A1027">
        <v>92</v>
      </c>
      <c r="B1027" t="s">
        <v>101</v>
      </c>
      <c r="C1027" t="s">
        <v>223</v>
      </c>
      <c r="D1027" t="s">
        <v>39</v>
      </c>
      <c r="E1027">
        <v>0</v>
      </c>
    </row>
    <row r="1028" spans="1:5" x14ac:dyDescent="0.55000000000000004">
      <c r="A1028">
        <v>92</v>
      </c>
      <c r="B1028" t="s">
        <v>101</v>
      </c>
      <c r="C1028" t="s">
        <v>133</v>
      </c>
      <c r="D1028" t="s">
        <v>118</v>
      </c>
    </row>
    <row r="1029" spans="1:5" x14ac:dyDescent="0.55000000000000004">
      <c r="A1029">
        <v>92</v>
      </c>
      <c r="B1029" t="s">
        <v>111</v>
      </c>
      <c r="C1029" t="s">
        <v>18</v>
      </c>
      <c r="D1029" t="s">
        <v>42</v>
      </c>
      <c r="E1029">
        <v>22.8</v>
      </c>
    </row>
    <row r="1030" spans="1:5" x14ac:dyDescent="0.55000000000000004">
      <c r="A1030">
        <v>92</v>
      </c>
      <c r="B1030" t="s">
        <v>111</v>
      </c>
      <c r="C1030" t="s">
        <v>15</v>
      </c>
      <c r="D1030" t="s">
        <v>41</v>
      </c>
      <c r="E1030">
        <v>11.79</v>
      </c>
    </row>
    <row r="1031" spans="1:5" x14ac:dyDescent="0.55000000000000004">
      <c r="A1031">
        <v>92</v>
      </c>
      <c r="B1031" t="s">
        <v>111</v>
      </c>
      <c r="C1031" t="s">
        <v>16</v>
      </c>
      <c r="D1031" t="s">
        <v>39</v>
      </c>
      <c r="E1031">
        <v>137.6</v>
      </c>
    </row>
    <row r="1032" spans="1:5" x14ac:dyDescent="0.55000000000000004">
      <c r="A1032">
        <v>92</v>
      </c>
      <c r="B1032" t="s">
        <v>111</v>
      </c>
      <c r="C1032" t="s">
        <v>112</v>
      </c>
      <c r="D1032" t="s">
        <v>113</v>
      </c>
      <c r="E1032">
        <v>434.4</v>
      </c>
    </row>
    <row r="1033" spans="1:5" x14ac:dyDescent="0.55000000000000004">
      <c r="A1033">
        <v>92</v>
      </c>
      <c r="B1033" t="s">
        <v>111</v>
      </c>
      <c r="C1033" t="s">
        <v>17</v>
      </c>
      <c r="E1033">
        <v>9.2100000000000009</v>
      </c>
    </row>
    <row r="1034" spans="1:5" x14ac:dyDescent="0.55000000000000004">
      <c r="A1034">
        <v>92</v>
      </c>
      <c r="B1034" t="s">
        <v>249</v>
      </c>
      <c r="C1034" t="s">
        <v>114</v>
      </c>
      <c r="D1034" t="s">
        <v>39</v>
      </c>
      <c r="E1034">
        <v>5</v>
      </c>
    </row>
    <row r="1035" spans="1:5" x14ac:dyDescent="0.55000000000000004">
      <c r="A1035">
        <v>92</v>
      </c>
      <c r="B1035" t="s">
        <v>249</v>
      </c>
      <c r="C1035" t="s">
        <v>250</v>
      </c>
      <c r="E1035" t="s">
        <v>263</v>
      </c>
    </row>
    <row r="1036" spans="1:5" x14ac:dyDescent="0.55000000000000004">
      <c r="A1036">
        <v>92</v>
      </c>
      <c r="B1036" t="s">
        <v>249</v>
      </c>
      <c r="C1036" t="s">
        <v>115</v>
      </c>
      <c r="D1036" t="s">
        <v>39</v>
      </c>
      <c r="E1036">
        <v>100</v>
      </c>
    </row>
    <row r="1037" spans="1:5" x14ac:dyDescent="0.55000000000000004">
      <c r="A1037">
        <v>92</v>
      </c>
      <c r="B1037" t="s">
        <v>249</v>
      </c>
      <c r="C1037" t="s">
        <v>251</v>
      </c>
      <c r="E1037" t="s">
        <v>262</v>
      </c>
    </row>
    <row r="1038" spans="1:5" x14ac:dyDescent="0.55000000000000004">
      <c r="A1038">
        <v>92</v>
      </c>
      <c r="B1038" t="s">
        <v>249</v>
      </c>
      <c r="C1038" t="s">
        <v>116</v>
      </c>
      <c r="D1038" t="s">
        <v>40</v>
      </c>
      <c r="E1038">
        <v>1</v>
      </c>
    </row>
    <row r="1039" spans="1:5" x14ac:dyDescent="0.55000000000000004">
      <c r="A1039">
        <v>92</v>
      </c>
      <c r="B1039" t="s">
        <v>249</v>
      </c>
      <c r="C1039" t="s">
        <v>252</v>
      </c>
      <c r="E1039" t="s">
        <v>262</v>
      </c>
    </row>
    <row r="1040" spans="1:5" x14ac:dyDescent="0.55000000000000004">
      <c r="A1040">
        <v>92</v>
      </c>
      <c r="B1040" t="s">
        <v>249</v>
      </c>
      <c r="C1040" t="s">
        <v>117</v>
      </c>
      <c r="D1040" t="s">
        <v>39</v>
      </c>
      <c r="E1040">
        <v>10</v>
      </c>
    </row>
    <row r="1041" spans="1:6" x14ac:dyDescent="0.55000000000000004">
      <c r="A1041">
        <v>92</v>
      </c>
      <c r="B1041" t="s">
        <v>249</v>
      </c>
      <c r="C1041" t="s">
        <v>21</v>
      </c>
    </row>
    <row r="1042" spans="1:6" x14ac:dyDescent="0.55000000000000004">
      <c r="A1042">
        <v>93</v>
      </c>
      <c r="B1042" t="s">
        <v>101</v>
      </c>
      <c r="C1042" t="s">
        <v>102</v>
      </c>
      <c r="D1042" t="s">
        <v>103</v>
      </c>
      <c r="E1042" s="1"/>
      <c r="F1042" t="s">
        <v>132</v>
      </c>
    </row>
    <row r="1043" spans="1:6" x14ac:dyDescent="0.55000000000000004">
      <c r="A1043">
        <v>93</v>
      </c>
      <c r="B1043" t="s">
        <v>101</v>
      </c>
      <c r="C1043" s="12" t="s">
        <v>104</v>
      </c>
      <c r="D1043" t="s">
        <v>40</v>
      </c>
      <c r="E1043">
        <v>1</v>
      </c>
    </row>
    <row r="1044" spans="1:6" x14ac:dyDescent="0.55000000000000004">
      <c r="A1044">
        <v>93</v>
      </c>
      <c r="B1044" t="s">
        <v>101</v>
      </c>
      <c r="C1044" t="s">
        <v>8</v>
      </c>
      <c r="D1044" t="s">
        <v>38</v>
      </c>
    </row>
    <row r="1045" spans="1:6" x14ac:dyDescent="0.55000000000000004">
      <c r="A1045">
        <v>93</v>
      </c>
      <c r="B1045" t="s">
        <v>101</v>
      </c>
      <c r="C1045" t="s">
        <v>214</v>
      </c>
      <c r="D1045" t="s">
        <v>38</v>
      </c>
      <c r="E1045">
        <v>1</v>
      </c>
    </row>
    <row r="1046" spans="1:6" x14ac:dyDescent="0.55000000000000004">
      <c r="A1046">
        <v>93</v>
      </c>
      <c r="B1046" t="s">
        <v>101</v>
      </c>
      <c r="C1046" t="s">
        <v>105</v>
      </c>
      <c r="D1046" t="s">
        <v>106</v>
      </c>
      <c r="E1046">
        <f>E1045/10</f>
        <v>0.1</v>
      </c>
      <c r="F1046" t="s">
        <v>107</v>
      </c>
    </row>
    <row r="1047" spans="1:6" x14ac:dyDescent="0.55000000000000004">
      <c r="A1047">
        <v>93</v>
      </c>
      <c r="B1047" t="s">
        <v>101</v>
      </c>
      <c r="C1047" s="2" t="s">
        <v>109</v>
      </c>
      <c r="D1047" t="s">
        <v>39</v>
      </c>
      <c r="E1047">
        <v>100</v>
      </c>
    </row>
    <row r="1048" spans="1:6" x14ac:dyDescent="0.55000000000000004">
      <c r="A1048">
        <v>93</v>
      </c>
      <c r="B1048" t="s">
        <v>101</v>
      </c>
      <c r="C1048" s="2" t="s">
        <v>248</v>
      </c>
      <c r="E1048" t="s">
        <v>272</v>
      </c>
    </row>
    <row r="1049" spans="1:6" x14ac:dyDescent="0.55000000000000004">
      <c r="A1049">
        <v>93</v>
      </c>
      <c r="B1049" t="s">
        <v>101</v>
      </c>
      <c r="C1049" s="2" t="s">
        <v>108</v>
      </c>
      <c r="D1049" t="s">
        <v>39</v>
      </c>
      <c r="E1049">
        <v>0</v>
      </c>
    </row>
    <row r="1050" spans="1:6" x14ac:dyDescent="0.55000000000000004">
      <c r="A1050">
        <v>93</v>
      </c>
      <c r="B1050" t="s">
        <v>101</v>
      </c>
      <c r="C1050" t="s">
        <v>11</v>
      </c>
      <c r="D1050" t="s">
        <v>39</v>
      </c>
      <c r="E1050">
        <v>0</v>
      </c>
    </row>
    <row r="1051" spans="1:6" x14ac:dyDescent="0.55000000000000004">
      <c r="A1051">
        <v>93</v>
      </c>
      <c r="B1051" t="s">
        <v>101</v>
      </c>
      <c r="C1051" t="s">
        <v>12</v>
      </c>
      <c r="D1051" t="s">
        <v>40</v>
      </c>
      <c r="E1051">
        <v>0</v>
      </c>
    </row>
    <row r="1052" spans="1:6" x14ac:dyDescent="0.55000000000000004">
      <c r="A1052">
        <v>93</v>
      </c>
      <c r="B1052" t="s">
        <v>101</v>
      </c>
      <c r="C1052" t="s">
        <v>34</v>
      </c>
      <c r="D1052" t="s">
        <v>39</v>
      </c>
      <c r="E1052">
        <v>0</v>
      </c>
    </row>
    <row r="1053" spans="1:6" x14ac:dyDescent="0.55000000000000004">
      <c r="A1053">
        <v>93</v>
      </c>
      <c r="B1053" t="s">
        <v>101</v>
      </c>
      <c r="C1053" t="s">
        <v>35</v>
      </c>
      <c r="D1053" t="s">
        <v>39</v>
      </c>
      <c r="E1053">
        <v>0</v>
      </c>
    </row>
    <row r="1054" spans="1:6" x14ac:dyDescent="0.55000000000000004">
      <c r="A1054">
        <v>93</v>
      </c>
      <c r="B1054" t="s">
        <v>101</v>
      </c>
      <c r="C1054" t="s">
        <v>36</v>
      </c>
      <c r="D1054" t="s">
        <v>39</v>
      </c>
      <c r="E1054">
        <v>0</v>
      </c>
    </row>
    <row r="1055" spans="1:6" x14ac:dyDescent="0.55000000000000004">
      <c r="A1055">
        <v>93</v>
      </c>
      <c r="B1055" t="s">
        <v>101</v>
      </c>
      <c r="C1055" t="s">
        <v>37</v>
      </c>
      <c r="D1055" t="s">
        <v>39</v>
      </c>
      <c r="E1055">
        <v>0</v>
      </c>
    </row>
    <row r="1056" spans="1:6" x14ac:dyDescent="0.55000000000000004">
      <c r="A1056">
        <v>93</v>
      </c>
      <c r="B1056" t="s">
        <v>101</v>
      </c>
      <c r="C1056" t="s">
        <v>14</v>
      </c>
      <c r="D1056" t="s">
        <v>39</v>
      </c>
      <c r="E1056">
        <v>0</v>
      </c>
    </row>
    <row r="1057" spans="1:5" x14ac:dyDescent="0.55000000000000004">
      <c r="A1057">
        <v>93</v>
      </c>
      <c r="B1057" t="s">
        <v>101</v>
      </c>
      <c r="C1057" t="s">
        <v>13</v>
      </c>
      <c r="D1057" t="s">
        <v>39</v>
      </c>
      <c r="E1057">
        <v>0</v>
      </c>
    </row>
    <row r="1058" spans="1:5" x14ac:dyDescent="0.55000000000000004">
      <c r="A1058">
        <v>93</v>
      </c>
      <c r="B1058" t="s">
        <v>101</v>
      </c>
      <c r="C1058" t="s">
        <v>110</v>
      </c>
      <c r="D1058" t="s">
        <v>39</v>
      </c>
      <c r="E1058">
        <v>100</v>
      </c>
    </row>
    <row r="1059" spans="1:5" x14ac:dyDescent="0.55000000000000004">
      <c r="A1059">
        <v>93</v>
      </c>
      <c r="B1059" t="s">
        <v>101</v>
      </c>
      <c r="C1059" t="s">
        <v>223</v>
      </c>
      <c r="D1059" t="s">
        <v>39</v>
      </c>
      <c r="E1059">
        <v>0</v>
      </c>
    </row>
    <row r="1060" spans="1:5" x14ac:dyDescent="0.55000000000000004">
      <c r="A1060">
        <v>93</v>
      </c>
      <c r="B1060" t="s">
        <v>101</v>
      </c>
      <c r="C1060" t="s">
        <v>133</v>
      </c>
      <c r="D1060" t="s">
        <v>118</v>
      </c>
    </row>
    <row r="1061" spans="1:5" x14ac:dyDescent="0.55000000000000004">
      <c r="A1061">
        <v>93</v>
      </c>
      <c r="B1061" t="s">
        <v>111</v>
      </c>
      <c r="C1061" t="s">
        <v>18</v>
      </c>
      <c r="D1061" t="s">
        <v>42</v>
      </c>
      <c r="E1061">
        <v>21.6</v>
      </c>
    </row>
    <row r="1062" spans="1:5" x14ac:dyDescent="0.55000000000000004">
      <c r="A1062">
        <v>93</v>
      </c>
      <c r="B1062" t="s">
        <v>111</v>
      </c>
      <c r="C1062" t="s">
        <v>15</v>
      </c>
      <c r="D1062" t="s">
        <v>41</v>
      </c>
      <c r="E1062">
        <v>10.61</v>
      </c>
    </row>
    <row r="1063" spans="1:5" x14ac:dyDescent="0.55000000000000004">
      <c r="A1063">
        <v>93</v>
      </c>
      <c r="B1063" t="s">
        <v>111</v>
      </c>
      <c r="C1063" t="s">
        <v>16</v>
      </c>
      <c r="D1063" t="s">
        <v>39</v>
      </c>
      <c r="E1063">
        <v>120.4</v>
      </c>
    </row>
    <row r="1064" spans="1:5" x14ac:dyDescent="0.55000000000000004">
      <c r="A1064">
        <v>93</v>
      </c>
      <c r="B1064" t="s">
        <v>111</v>
      </c>
      <c r="C1064" t="s">
        <v>112</v>
      </c>
      <c r="D1064" t="s">
        <v>113</v>
      </c>
      <c r="E1064">
        <v>424.8</v>
      </c>
    </row>
    <row r="1065" spans="1:5" x14ac:dyDescent="0.55000000000000004">
      <c r="A1065">
        <v>93</v>
      </c>
      <c r="B1065" t="s">
        <v>111</v>
      </c>
      <c r="C1065" t="s">
        <v>17</v>
      </c>
      <c r="E1065">
        <v>9.02</v>
      </c>
    </row>
    <row r="1066" spans="1:5" x14ac:dyDescent="0.55000000000000004">
      <c r="A1066">
        <v>93</v>
      </c>
      <c r="B1066" t="s">
        <v>249</v>
      </c>
      <c r="C1066" t="s">
        <v>114</v>
      </c>
      <c r="D1066" t="s">
        <v>39</v>
      </c>
      <c r="E1066">
        <v>35</v>
      </c>
    </row>
    <row r="1067" spans="1:5" x14ac:dyDescent="0.55000000000000004">
      <c r="A1067">
        <v>93</v>
      </c>
      <c r="B1067" t="s">
        <v>249</v>
      </c>
      <c r="C1067" t="s">
        <v>114</v>
      </c>
      <c r="D1067" t="s">
        <v>39</v>
      </c>
      <c r="E1067">
        <v>30</v>
      </c>
    </row>
    <row r="1068" spans="1:5" x14ac:dyDescent="0.55000000000000004">
      <c r="A1068">
        <v>93</v>
      </c>
      <c r="B1068" t="s">
        <v>249</v>
      </c>
      <c r="C1068" t="s">
        <v>250</v>
      </c>
      <c r="E1068" t="s">
        <v>273</v>
      </c>
    </row>
    <row r="1069" spans="1:5" x14ac:dyDescent="0.55000000000000004">
      <c r="A1069">
        <v>93</v>
      </c>
      <c r="B1069" t="s">
        <v>249</v>
      </c>
      <c r="C1069" t="s">
        <v>114</v>
      </c>
      <c r="D1069" t="s">
        <v>39</v>
      </c>
      <c r="E1069">
        <v>5</v>
      </c>
    </row>
    <row r="1070" spans="1:5" x14ac:dyDescent="0.55000000000000004">
      <c r="A1070">
        <v>93</v>
      </c>
      <c r="B1070" t="s">
        <v>249</v>
      </c>
      <c r="C1070" t="s">
        <v>250</v>
      </c>
      <c r="E1070" t="s">
        <v>263</v>
      </c>
    </row>
    <row r="1071" spans="1:5" x14ac:dyDescent="0.55000000000000004">
      <c r="A1071">
        <v>93</v>
      </c>
      <c r="B1071" t="s">
        <v>249</v>
      </c>
      <c r="C1071" t="s">
        <v>115</v>
      </c>
      <c r="D1071" t="s">
        <v>39</v>
      </c>
      <c r="E1071">
        <v>100</v>
      </c>
    </row>
    <row r="1072" spans="1:5" x14ac:dyDescent="0.55000000000000004">
      <c r="A1072">
        <v>93</v>
      </c>
      <c r="B1072" t="s">
        <v>249</v>
      </c>
      <c r="C1072" t="s">
        <v>251</v>
      </c>
      <c r="E1072" t="s">
        <v>262</v>
      </c>
    </row>
    <row r="1073" spans="1:6" x14ac:dyDescent="0.55000000000000004">
      <c r="A1073">
        <v>93</v>
      </c>
      <c r="B1073" t="s">
        <v>249</v>
      </c>
      <c r="C1073" t="s">
        <v>116</v>
      </c>
      <c r="D1073" t="s">
        <v>40</v>
      </c>
      <c r="E1073">
        <v>1</v>
      </c>
    </row>
    <row r="1074" spans="1:6" x14ac:dyDescent="0.55000000000000004">
      <c r="A1074">
        <v>93</v>
      </c>
      <c r="B1074" t="s">
        <v>249</v>
      </c>
      <c r="C1074" t="s">
        <v>252</v>
      </c>
      <c r="E1074" t="s">
        <v>274</v>
      </c>
    </row>
    <row r="1075" spans="1:6" x14ac:dyDescent="0.55000000000000004">
      <c r="A1075">
        <v>93</v>
      </c>
      <c r="B1075" t="s">
        <v>249</v>
      </c>
      <c r="C1075" t="s">
        <v>117</v>
      </c>
      <c r="D1075" t="s">
        <v>39</v>
      </c>
      <c r="E1075">
        <v>25</v>
      </c>
    </row>
    <row r="1076" spans="1:6" x14ac:dyDescent="0.55000000000000004">
      <c r="A1076">
        <v>93</v>
      </c>
      <c r="B1076" t="s">
        <v>249</v>
      </c>
      <c r="C1076" t="s">
        <v>21</v>
      </c>
    </row>
    <row r="1077" spans="1:6" x14ac:dyDescent="0.55000000000000004">
      <c r="A1077">
        <v>94</v>
      </c>
      <c r="B1077" t="s">
        <v>101</v>
      </c>
      <c r="C1077" t="s">
        <v>102</v>
      </c>
      <c r="D1077" t="s">
        <v>103</v>
      </c>
      <c r="E1077" s="1"/>
      <c r="F1077" t="s">
        <v>132</v>
      </c>
    </row>
    <row r="1078" spans="1:6" x14ac:dyDescent="0.55000000000000004">
      <c r="A1078">
        <v>94</v>
      </c>
      <c r="B1078" t="s">
        <v>101</v>
      </c>
      <c r="C1078" s="12" t="s">
        <v>104</v>
      </c>
      <c r="D1078" t="s">
        <v>40</v>
      </c>
      <c r="E1078">
        <v>1</v>
      </c>
    </row>
    <row r="1079" spans="1:6" x14ac:dyDescent="0.55000000000000004">
      <c r="A1079">
        <v>94</v>
      </c>
      <c r="B1079" t="s">
        <v>101</v>
      </c>
      <c r="C1079" t="s">
        <v>8</v>
      </c>
      <c r="D1079" t="s">
        <v>38</v>
      </c>
    </row>
    <row r="1080" spans="1:6" x14ac:dyDescent="0.55000000000000004">
      <c r="A1080">
        <v>94</v>
      </c>
      <c r="B1080" t="s">
        <v>101</v>
      </c>
      <c r="C1080" t="s">
        <v>214</v>
      </c>
      <c r="D1080" t="s">
        <v>38</v>
      </c>
      <c r="E1080">
        <v>1.46</v>
      </c>
    </row>
    <row r="1081" spans="1:6" x14ac:dyDescent="0.55000000000000004">
      <c r="A1081">
        <v>94</v>
      </c>
      <c r="B1081" t="s">
        <v>101</v>
      </c>
      <c r="C1081" t="s">
        <v>105</v>
      </c>
      <c r="D1081" t="s">
        <v>106</v>
      </c>
      <c r="E1081">
        <f>E1080/10</f>
        <v>0.14599999999999999</v>
      </c>
      <c r="F1081" t="s">
        <v>107</v>
      </c>
    </row>
    <row r="1082" spans="1:6" x14ac:dyDescent="0.55000000000000004">
      <c r="A1082">
        <v>94</v>
      </c>
      <c r="B1082" t="s">
        <v>101</v>
      </c>
      <c r="C1082" s="2" t="s">
        <v>109</v>
      </c>
      <c r="D1082" t="s">
        <v>39</v>
      </c>
      <c r="E1082">
        <v>100</v>
      </c>
    </row>
    <row r="1083" spans="1:6" x14ac:dyDescent="0.55000000000000004">
      <c r="A1083">
        <v>94</v>
      </c>
      <c r="B1083" t="s">
        <v>101</v>
      </c>
      <c r="C1083" s="2" t="s">
        <v>248</v>
      </c>
      <c r="E1083" t="s">
        <v>268</v>
      </c>
    </row>
    <row r="1084" spans="1:6" x14ac:dyDescent="0.55000000000000004">
      <c r="A1084">
        <v>94</v>
      </c>
      <c r="B1084" t="s">
        <v>101</v>
      </c>
      <c r="C1084" s="2" t="s">
        <v>108</v>
      </c>
      <c r="D1084" t="s">
        <v>39</v>
      </c>
      <c r="E1084">
        <v>30</v>
      </c>
    </row>
    <row r="1085" spans="1:6" x14ac:dyDescent="0.55000000000000004">
      <c r="A1085">
        <v>94</v>
      </c>
      <c r="B1085" t="s">
        <v>101</v>
      </c>
      <c r="C1085" t="s">
        <v>11</v>
      </c>
      <c r="D1085" t="s">
        <v>39</v>
      </c>
      <c r="E1085">
        <v>0</v>
      </c>
    </row>
    <row r="1086" spans="1:6" x14ac:dyDescent="0.55000000000000004">
      <c r="A1086">
        <v>94</v>
      </c>
      <c r="B1086" t="s">
        <v>101</v>
      </c>
      <c r="C1086" t="s">
        <v>12</v>
      </c>
      <c r="D1086" t="s">
        <v>40</v>
      </c>
      <c r="E1086">
        <v>0</v>
      </c>
    </row>
    <row r="1087" spans="1:6" x14ac:dyDescent="0.55000000000000004">
      <c r="A1087">
        <v>94</v>
      </c>
      <c r="B1087" t="s">
        <v>101</v>
      </c>
      <c r="C1087" t="s">
        <v>34</v>
      </c>
      <c r="D1087" t="s">
        <v>39</v>
      </c>
      <c r="E1087">
        <v>0</v>
      </c>
    </row>
    <row r="1088" spans="1:6" x14ac:dyDescent="0.55000000000000004">
      <c r="A1088">
        <v>94</v>
      </c>
      <c r="B1088" t="s">
        <v>101</v>
      </c>
      <c r="C1088" t="s">
        <v>35</v>
      </c>
      <c r="D1088" t="s">
        <v>39</v>
      </c>
      <c r="E1088">
        <v>0</v>
      </c>
    </row>
    <row r="1089" spans="1:5" x14ac:dyDescent="0.55000000000000004">
      <c r="A1089">
        <v>94</v>
      </c>
      <c r="B1089" t="s">
        <v>101</v>
      </c>
      <c r="C1089" t="s">
        <v>36</v>
      </c>
      <c r="D1089" t="s">
        <v>39</v>
      </c>
      <c r="E1089">
        <v>0</v>
      </c>
    </row>
    <row r="1090" spans="1:5" x14ac:dyDescent="0.55000000000000004">
      <c r="A1090">
        <v>94</v>
      </c>
      <c r="B1090" t="s">
        <v>101</v>
      </c>
      <c r="C1090" t="s">
        <v>37</v>
      </c>
      <c r="D1090" t="s">
        <v>39</v>
      </c>
      <c r="E1090">
        <v>0</v>
      </c>
    </row>
    <row r="1091" spans="1:5" x14ac:dyDescent="0.55000000000000004">
      <c r="A1091">
        <v>94</v>
      </c>
      <c r="B1091" t="s">
        <v>101</v>
      </c>
      <c r="C1091" t="s">
        <v>14</v>
      </c>
      <c r="D1091" t="s">
        <v>39</v>
      </c>
      <c r="E1091">
        <v>10</v>
      </c>
    </row>
    <row r="1092" spans="1:5" x14ac:dyDescent="0.55000000000000004">
      <c r="A1092">
        <v>94</v>
      </c>
      <c r="B1092" t="s">
        <v>101</v>
      </c>
      <c r="C1092" t="s">
        <v>13</v>
      </c>
      <c r="D1092" t="s">
        <v>39</v>
      </c>
      <c r="E1092">
        <v>0</v>
      </c>
    </row>
    <row r="1093" spans="1:5" x14ac:dyDescent="0.55000000000000004">
      <c r="A1093">
        <v>94</v>
      </c>
      <c r="B1093" t="s">
        <v>101</v>
      </c>
      <c r="C1093" t="s">
        <v>110</v>
      </c>
      <c r="D1093" t="s">
        <v>39</v>
      </c>
      <c r="E1093">
        <v>90</v>
      </c>
    </row>
    <row r="1094" spans="1:5" x14ac:dyDescent="0.55000000000000004">
      <c r="A1094">
        <v>94</v>
      </c>
      <c r="B1094" t="s">
        <v>101</v>
      </c>
      <c r="C1094" t="s">
        <v>223</v>
      </c>
      <c r="D1094" t="s">
        <v>39</v>
      </c>
      <c r="E1094">
        <v>0</v>
      </c>
    </row>
    <row r="1095" spans="1:5" x14ac:dyDescent="0.55000000000000004">
      <c r="A1095">
        <v>94</v>
      </c>
      <c r="B1095" t="s">
        <v>101</v>
      </c>
      <c r="C1095" t="s">
        <v>133</v>
      </c>
      <c r="D1095" t="s">
        <v>118</v>
      </c>
    </row>
    <row r="1096" spans="1:5" x14ac:dyDescent="0.55000000000000004">
      <c r="A1096">
        <v>94</v>
      </c>
      <c r="B1096" t="s">
        <v>111</v>
      </c>
      <c r="C1096" t="s">
        <v>18</v>
      </c>
      <c r="D1096" t="s">
        <v>42</v>
      </c>
      <c r="E1096">
        <v>22.7</v>
      </c>
    </row>
    <row r="1097" spans="1:5" x14ac:dyDescent="0.55000000000000004">
      <c r="A1097">
        <v>94</v>
      </c>
      <c r="B1097" t="s">
        <v>111</v>
      </c>
      <c r="C1097" t="s">
        <v>15</v>
      </c>
      <c r="D1097" t="s">
        <v>41</v>
      </c>
      <c r="E1097">
        <v>11.73</v>
      </c>
    </row>
    <row r="1098" spans="1:5" x14ac:dyDescent="0.55000000000000004">
      <c r="A1098">
        <v>94</v>
      </c>
      <c r="B1098" t="s">
        <v>111</v>
      </c>
      <c r="C1098" t="s">
        <v>16</v>
      </c>
      <c r="D1098" t="s">
        <v>39</v>
      </c>
      <c r="E1098">
        <v>135.6</v>
      </c>
    </row>
    <row r="1099" spans="1:5" x14ac:dyDescent="0.55000000000000004">
      <c r="A1099">
        <v>94</v>
      </c>
      <c r="B1099" t="s">
        <v>111</v>
      </c>
      <c r="C1099" t="s">
        <v>112</v>
      </c>
      <c r="D1099" t="s">
        <v>113</v>
      </c>
      <c r="E1099">
        <v>434.3</v>
      </c>
    </row>
    <row r="1100" spans="1:5" x14ac:dyDescent="0.55000000000000004">
      <c r="A1100">
        <v>94</v>
      </c>
      <c r="B1100" t="s">
        <v>111</v>
      </c>
      <c r="C1100" t="s">
        <v>17</v>
      </c>
      <c r="E1100">
        <v>9.1199999999999992</v>
      </c>
    </row>
    <row r="1101" spans="1:5" x14ac:dyDescent="0.55000000000000004">
      <c r="A1101">
        <v>94</v>
      </c>
      <c r="B1101" t="s">
        <v>249</v>
      </c>
      <c r="C1101" t="s">
        <v>114</v>
      </c>
      <c r="D1101" t="s">
        <v>39</v>
      </c>
      <c r="E1101">
        <v>0</v>
      </c>
    </row>
    <row r="1102" spans="1:5" x14ac:dyDescent="0.55000000000000004">
      <c r="A1102">
        <v>94</v>
      </c>
      <c r="B1102" t="s">
        <v>249</v>
      </c>
      <c r="C1102" t="s">
        <v>250</v>
      </c>
    </row>
    <row r="1103" spans="1:5" x14ac:dyDescent="0.55000000000000004">
      <c r="A1103">
        <v>94</v>
      </c>
      <c r="B1103" t="s">
        <v>249</v>
      </c>
      <c r="C1103" t="s">
        <v>115</v>
      </c>
      <c r="D1103" t="s">
        <v>39</v>
      </c>
      <c r="E1103">
        <v>95</v>
      </c>
    </row>
    <row r="1104" spans="1:5" x14ac:dyDescent="0.55000000000000004">
      <c r="A1104">
        <v>94</v>
      </c>
      <c r="B1104" t="s">
        <v>249</v>
      </c>
      <c r="C1104" t="s">
        <v>251</v>
      </c>
      <c r="E1104" t="s">
        <v>262</v>
      </c>
    </row>
    <row r="1105" spans="1:6" x14ac:dyDescent="0.55000000000000004">
      <c r="A1105">
        <v>94</v>
      </c>
      <c r="B1105" t="s">
        <v>249</v>
      </c>
      <c r="C1105" t="s">
        <v>116</v>
      </c>
      <c r="D1105" t="s">
        <v>40</v>
      </c>
      <c r="E1105">
        <v>0</v>
      </c>
    </row>
    <row r="1106" spans="1:6" x14ac:dyDescent="0.55000000000000004">
      <c r="A1106">
        <v>94</v>
      </c>
      <c r="B1106" t="s">
        <v>249</v>
      </c>
      <c r="C1106" t="s">
        <v>252</v>
      </c>
    </row>
    <row r="1107" spans="1:6" x14ac:dyDescent="0.55000000000000004">
      <c r="A1107">
        <v>94</v>
      </c>
      <c r="B1107" t="s">
        <v>249</v>
      </c>
      <c r="C1107" t="s">
        <v>117</v>
      </c>
      <c r="D1107" t="s">
        <v>39</v>
      </c>
      <c r="E1107">
        <v>30</v>
      </c>
    </row>
    <row r="1108" spans="1:6" x14ac:dyDescent="0.55000000000000004">
      <c r="A1108">
        <v>94</v>
      </c>
      <c r="B1108" t="s">
        <v>249</v>
      </c>
      <c r="C1108" t="s">
        <v>21</v>
      </c>
    </row>
    <row r="1109" spans="1:6" x14ac:dyDescent="0.55000000000000004">
      <c r="A1109">
        <v>95</v>
      </c>
      <c r="B1109" t="s">
        <v>101</v>
      </c>
      <c r="C1109" t="s">
        <v>102</v>
      </c>
      <c r="D1109" t="s">
        <v>103</v>
      </c>
      <c r="E1109" s="1"/>
      <c r="F1109" t="s">
        <v>132</v>
      </c>
    </row>
    <row r="1110" spans="1:6" x14ac:dyDescent="0.55000000000000004">
      <c r="A1110">
        <v>95</v>
      </c>
      <c r="B1110" t="s">
        <v>101</v>
      </c>
      <c r="C1110" s="12" t="s">
        <v>104</v>
      </c>
      <c r="D1110" t="s">
        <v>40</v>
      </c>
      <c r="E1110">
        <v>0</v>
      </c>
    </row>
    <row r="1111" spans="1:6" x14ac:dyDescent="0.55000000000000004">
      <c r="A1111">
        <v>95</v>
      </c>
      <c r="B1111" t="s">
        <v>101</v>
      </c>
      <c r="C1111" t="s">
        <v>8</v>
      </c>
      <c r="D1111" t="s">
        <v>38</v>
      </c>
    </row>
    <row r="1112" spans="1:6" x14ac:dyDescent="0.55000000000000004">
      <c r="A1112">
        <v>95</v>
      </c>
      <c r="B1112" t="s">
        <v>101</v>
      </c>
      <c r="C1112" t="s">
        <v>214</v>
      </c>
      <c r="D1112" t="s">
        <v>38</v>
      </c>
      <c r="E1112">
        <v>2</v>
      </c>
    </row>
    <row r="1113" spans="1:6" x14ac:dyDescent="0.55000000000000004">
      <c r="A1113">
        <v>95</v>
      </c>
      <c r="B1113" t="s">
        <v>101</v>
      </c>
      <c r="C1113" t="s">
        <v>105</v>
      </c>
      <c r="D1113" t="s">
        <v>106</v>
      </c>
      <c r="E1113">
        <f>E1112/10</f>
        <v>0.2</v>
      </c>
      <c r="F1113" t="s">
        <v>107</v>
      </c>
    </row>
    <row r="1114" spans="1:6" x14ac:dyDescent="0.55000000000000004">
      <c r="A1114">
        <v>95</v>
      </c>
      <c r="B1114" t="s">
        <v>101</v>
      </c>
      <c r="C1114" s="2" t="s">
        <v>109</v>
      </c>
      <c r="D1114" t="s">
        <v>39</v>
      </c>
      <c r="E1114">
        <v>100</v>
      </c>
    </row>
    <row r="1115" spans="1:6" x14ac:dyDescent="0.55000000000000004">
      <c r="A1115">
        <v>95</v>
      </c>
      <c r="B1115" t="s">
        <v>101</v>
      </c>
      <c r="C1115" s="2" t="s">
        <v>248</v>
      </c>
      <c r="E1115" t="s">
        <v>268</v>
      </c>
    </row>
    <row r="1116" spans="1:6" x14ac:dyDescent="0.55000000000000004">
      <c r="A1116">
        <v>95</v>
      </c>
      <c r="B1116" t="s">
        <v>101</v>
      </c>
      <c r="C1116" s="2" t="s">
        <v>108</v>
      </c>
      <c r="D1116" t="s">
        <v>39</v>
      </c>
      <c r="E1116">
        <v>100</v>
      </c>
    </row>
    <row r="1117" spans="1:6" x14ac:dyDescent="0.55000000000000004">
      <c r="A1117">
        <v>95</v>
      </c>
      <c r="B1117" t="s">
        <v>101</v>
      </c>
      <c r="C1117" t="s">
        <v>11</v>
      </c>
      <c r="D1117" t="s">
        <v>39</v>
      </c>
      <c r="E1117">
        <v>100</v>
      </c>
    </row>
    <row r="1118" spans="1:6" x14ac:dyDescent="0.55000000000000004">
      <c r="A1118">
        <v>95</v>
      </c>
      <c r="B1118" t="s">
        <v>101</v>
      </c>
      <c r="C1118" t="s">
        <v>12</v>
      </c>
      <c r="D1118" t="s">
        <v>40</v>
      </c>
      <c r="E1118">
        <v>0</v>
      </c>
    </row>
    <row r="1119" spans="1:6" x14ac:dyDescent="0.55000000000000004">
      <c r="A1119">
        <v>95</v>
      </c>
      <c r="B1119" t="s">
        <v>101</v>
      </c>
      <c r="C1119" t="s">
        <v>34</v>
      </c>
      <c r="D1119" t="s">
        <v>39</v>
      </c>
      <c r="E1119">
        <v>0</v>
      </c>
    </row>
    <row r="1120" spans="1:6" x14ac:dyDescent="0.55000000000000004">
      <c r="A1120">
        <v>95</v>
      </c>
      <c r="B1120" t="s">
        <v>101</v>
      </c>
      <c r="C1120" t="s">
        <v>35</v>
      </c>
      <c r="D1120" t="s">
        <v>39</v>
      </c>
      <c r="E1120">
        <v>40</v>
      </c>
    </row>
    <row r="1121" spans="1:5" x14ac:dyDescent="0.55000000000000004">
      <c r="A1121">
        <v>95</v>
      </c>
      <c r="B1121" t="s">
        <v>101</v>
      </c>
      <c r="C1121" t="s">
        <v>36</v>
      </c>
      <c r="D1121" t="s">
        <v>39</v>
      </c>
      <c r="E1121">
        <v>0</v>
      </c>
    </row>
    <row r="1122" spans="1:5" x14ac:dyDescent="0.55000000000000004">
      <c r="A1122">
        <v>95</v>
      </c>
      <c r="B1122" t="s">
        <v>101</v>
      </c>
      <c r="C1122" t="s">
        <v>37</v>
      </c>
      <c r="D1122" t="s">
        <v>39</v>
      </c>
      <c r="E1122">
        <v>30</v>
      </c>
    </row>
    <row r="1123" spans="1:5" x14ac:dyDescent="0.55000000000000004">
      <c r="A1123">
        <v>95</v>
      </c>
      <c r="B1123" t="s">
        <v>101</v>
      </c>
      <c r="C1123" t="s">
        <v>14</v>
      </c>
      <c r="D1123" t="s">
        <v>39</v>
      </c>
      <c r="E1123">
        <v>30</v>
      </c>
    </row>
    <row r="1124" spans="1:5" x14ac:dyDescent="0.55000000000000004">
      <c r="A1124">
        <v>95</v>
      </c>
      <c r="B1124" t="s">
        <v>101</v>
      </c>
      <c r="C1124" t="s">
        <v>13</v>
      </c>
      <c r="D1124" t="s">
        <v>39</v>
      </c>
      <c r="E1124">
        <v>0</v>
      </c>
    </row>
    <row r="1125" spans="1:5" x14ac:dyDescent="0.55000000000000004">
      <c r="A1125">
        <v>95</v>
      </c>
      <c r="B1125" t="s">
        <v>101</v>
      </c>
      <c r="C1125" t="s">
        <v>110</v>
      </c>
      <c r="D1125" t="s">
        <v>39</v>
      </c>
      <c r="E1125">
        <v>0</v>
      </c>
    </row>
    <row r="1126" spans="1:5" x14ac:dyDescent="0.55000000000000004">
      <c r="A1126">
        <v>95</v>
      </c>
      <c r="B1126" t="s">
        <v>101</v>
      </c>
      <c r="C1126" t="s">
        <v>223</v>
      </c>
      <c r="D1126" t="s">
        <v>39</v>
      </c>
      <c r="E1126">
        <v>0</v>
      </c>
    </row>
    <row r="1127" spans="1:5" x14ac:dyDescent="0.55000000000000004">
      <c r="A1127">
        <v>95</v>
      </c>
      <c r="B1127" t="s">
        <v>101</v>
      </c>
      <c r="C1127" t="s">
        <v>133</v>
      </c>
      <c r="D1127" t="s">
        <v>118</v>
      </c>
    </row>
    <row r="1128" spans="1:5" x14ac:dyDescent="0.55000000000000004">
      <c r="A1128">
        <v>95</v>
      </c>
      <c r="B1128" t="s">
        <v>111</v>
      </c>
      <c r="C1128" t="s">
        <v>18</v>
      </c>
      <c r="D1128" t="s">
        <v>42</v>
      </c>
      <c r="E1128">
        <v>23</v>
      </c>
    </row>
    <row r="1129" spans="1:5" x14ac:dyDescent="0.55000000000000004">
      <c r="A1129">
        <v>95</v>
      </c>
      <c r="B1129" t="s">
        <v>111</v>
      </c>
      <c r="C1129" t="s">
        <v>15</v>
      </c>
      <c r="D1129" t="s">
        <v>41</v>
      </c>
      <c r="E1129">
        <v>9.64</v>
      </c>
    </row>
    <row r="1130" spans="1:5" x14ac:dyDescent="0.55000000000000004">
      <c r="A1130">
        <v>95</v>
      </c>
      <c r="B1130" t="s">
        <v>111</v>
      </c>
      <c r="C1130" t="s">
        <v>16</v>
      </c>
      <c r="D1130" t="s">
        <v>39</v>
      </c>
      <c r="E1130">
        <v>111.9</v>
      </c>
    </row>
    <row r="1131" spans="1:5" x14ac:dyDescent="0.55000000000000004">
      <c r="A1131">
        <v>95</v>
      </c>
      <c r="B1131" t="s">
        <v>111</v>
      </c>
      <c r="C1131" t="s">
        <v>112</v>
      </c>
      <c r="D1131" t="s">
        <v>113</v>
      </c>
      <c r="E1131">
        <v>443</v>
      </c>
    </row>
    <row r="1132" spans="1:5" x14ac:dyDescent="0.55000000000000004">
      <c r="A1132">
        <v>95</v>
      </c>
      <c r="B1132" t="s">
        <v>111</v>
      </c>
      <c r="C1132" t="s">
        <v>17</v>
      </c>
      <c r="E1132">
        <v>8.69</v>
      </c>
    </row>
    <row r="1133" spans="1:5" x14ac:dyDescent="0.55000000000000004">
      <c r="A1133">
        <v>95</v>
      </c>
      <c r="B1133" t="s">
        <v>249</v>
      </c>
      <c r="C1133" t="s">
        <v>114</v>
      </c>
      <c r="D1133" t="s">
        <v>39</v>
      </c>
      <c r="E1133">
        <v>0</v>
      </c>
    </row>
    <row r="1134" spans="1:5" x14ac:dyDescent="0.55000000000000004">
      <c r="A1134">
        <v>95</v>
      </c>
      <c r="B1134" t="s">
        <v>249</v>
      </c>
      <c r="C1134" t="s">
        <v>250</v>
      </c>
    </row>
    <row r="1135" spans="1:5" x14ac:dyDescent="0.55000000000000004">
      <c r="A1135">
        <v>95</v>
      </c>
      <c r="B1135" t="s">
        <v>249</v>
      </c>
      <c r="C1135" t="s">
        <v>115</v>
      </c>
      <c r="D1135" t="s">
        <v>39</v>
      </c>
      <c r="E1135">
        <v>0</v>
      </c>
    </row>
    <row r="1136" spans="1:5" x14ac:dyDescent="0.55000000000000004">
      <c r="A1136">
        <v>95</v>
      </c>
      <c r="B1136" t="s">
        <v>249</v>
      </c>
      <c r="C1136" t="s">
        <v>251</v>
      </c>
    </row>
    <row r="1137" spans="1:6" x14ac:dyDescent="0.55000000000000004">
      <c r="A1137">
        <v>95</v>
      </c>
      <c r="B1137" t="s">
        <v>249</v>
      </c>
      <c r="C1137" t="s">
        <v>116</v>
      </c>
      <c r="D1137" t="s">
        <v>40</v>
      </c>
      <c r="E1137">
        <v>0</v>
      </c>
    </row>
    <row r="1138" spans="1:6" x14ac:dyDescent="0.55000000000000004">
      <c r="A1138">
        <v>95</v>
      </c>
      <c r="B1138" t="s">
        <v>249</v>
      </c>
      <c r="C1138" t="s">
        <v>252</v>
      </c>
    </row>
    <row r="1139" spans="1:6" x14ac:dyDescent="0.55000000000000004">
      <c r="A1139">
        <v>95</v>
      </c>
      <c r="B1139" t="s">
        <v>249</v>
      </c>
      <c r="C1139" t="s">
        <v>117</v>
      </c>
      <c r="D1139" t="s">
        <v>39</v>
      </c>
      <c r="E1139">
        <v>40</v>
      </c>
    </row>
    <row r="1140" spans="1:6" x14ac:dyDescent="0.55000000000000004">
      <c r="A1140">
        <v>95</v>
      </c>
      <c r="B1140" t="s">
        <v>249</v>
      </c>
      <c r="C1140" t="s">
        <v>21</v>
      </c>
    </row>
    <row r="1141" spans="1:6" x14ac:dyDescent="0.55000000000000004">
      <c r="A1141">
        <v>96</v>
      </c>
      <c r="B1141" t="s">
        <v>101</v>
      </c>
      <c r="C1141" t="s">
        <v>102</v>
      </c>
      <c r="D1141" t="s">
        <v>103</v>
      </c>
      <c r="E1141" s="1"/>
      <c r="F1141" t="s">
        <v>132</v>
      </c>
    </row>
    <row r="1142" spans="1:6" x14ac:dyDescent="0.55000000000000004">
      <c r="A1142">
        <v>96</v>
      </c>
      <c r="B1142" t="s">
        <v>101</v>
      </c>
      <c r="C1142" s="12" t="s">
        <v>104</v>
      </c>
      <c r="D1142" t="s">
        <v>40</v>
      </c>
      <c r="E1142">
        <v>1</v>
      </c>
    </row>
    <row r="1143" spans="1:6" x14ac:dyDescent="0.55000000000000004">
      <c r="A1143">
        <v>96</v>
      </c>
      <c r="B1143" t="s">
        <v>101</v>
      </c>
      <c r="C1143" t="s">
        <v>8</v>
      </c>
      <c r="D1143" t="s">
        <v>38</v>
      </c>
      <c r="E1143">
        <v>2.9</v>
      </c>
    </row>
    <row r="1144" spans="1:6" x14ac:dyDescent="0.55000000000000004">
      <c r="A1144">
        <v>96</v>
      </c>
      <c r="B1144" t="s">
        <v>101</v>
      </c>
      <c r="C1144" t="s">
        <v>214</v>
      </c>
      <c r="D1144" t="s">
        <v>38</v>
      </c>
      <c r="E1144">
        <v>1.05</v>
      </c>
    </row>
    <row r="1145" spans="1:6" x14ac:dyDescent="0.55000000000000004">
      <c r="A1145">
        <v>96</v>
      </c>
      <c r="B1145" t="s">
        <v>101</v>
      </c>
      <c r="C1145" t="s">
        <v>105</v>
      </c>
      <c r="D1145" t="s">
        <v>106</v>
      </c>
      <c r="E1145">
        <f>E1144/10</f>
        <v>0.10500000000000001</v>
      </c>
      <c r="F1145" t="s">
        <v>107</v>
      </c>
    </row>
    <row r="1146" spans="1:6" x14ac:dyDescent="0.55000000000000004">
      <c r="A1146">
        <v>96</v>
      </c>
      <c r="B1146" t="s">
        <v>101</v>
      </c>
      <c r="C1146" s="2" t="s">
        <v>109</v>
      </c>
      <c r="D1146" t="s">
        <v>39</v>
      </c>
      <c r="E1146">
        <v>0</v>
      </c>
    </row>
    <row r="1147" spans="1:6" x14ac:dyDescent="0.55000000000000004">
      <c r="A1147">
        <v>96</v>
      </c>
      <c r="B1147" t="s">
        <v>101</v>
      </c>
      <c r="C1147" s="2" t="s">
        <v>248</v>
      </c>
      <c r="E1147" t="s">
        <v>268</v>
      </c>
    </row>
    <row r="1148" spans="1:6" x14ac:dyDescent="0.55000000000000004">
      <c r="A1148">
        <v>96</v>
      </c>
      <c r="B1148" t="s">
        <v>101</v>
      </c>
      <c r="C1148" s="2" t="s">
        <v>108</v>
      </c>
      <c r="D1148" t="s">
        <v>39</v>
      </c>
      <c r="E1148">
        <v>100</v>
      </c>
    </row>
    <row r="1149" spans="1:6" x14ac:dyDescent="0.55000000000000004">
      <c r="A1149">
        <v>96</v>
      </c>
      <c r="B1149" t="s">
        <v>101</v>
      </c>
      <c r="C1149" t="s">
        <v>11</v>
      </c>
      <c r="D1149" t="s">
        <v>39</v>
      </c>
      <c r="E1149">
        <v>0</v>
      </c>
    </row>
    <row r="1150" spans="1:6" x14ac:dyDescent="0.55000000000000004">
      <c r="A1150">
        <v>96</v>
      </c>
      <c r="B1150" t="s">
        <v>101</v>
      </c>
      <c r="C1150" t="s">
        <v>12</v>
      </c>
      <c r="D1150" t="s">
        <v>40</v>
      </c>
      <c r="E1150">
        <v>0</v>
      </c>
    </row>
    <row r="1151" spans="1:6" x14ac:dyDescent="0.55000000000000004">
      <c r="A1151">
        <v>96</v>
      </c>
      <c r="B1151" t="s">
        <v>101</v>
      </c>
      <c r="C1151" t="s">
        <v>34</v>
      </c>
      <c r="D1151" t="s">
        <v>39</v>
      </c>
      <c r="E1151">
        <v>0</v>
      </c>
    </row>
    <row r="1152" spans="1:6" x14ac:dyDescent="0.55000000000000004">
      <c r="A1152">
        <v>96</v>
      </c>
      <c r="B1152" t="s">
        <v>101</v>
      </c>
      <c r="C1152" t="s">
        <v>35</v>
      </c>
      <c r="D1152" t="s">
        <v>39</v>
      </c>
      <c r="E1152">
        <v>0</v>
      </c>
    </row>
    <row r="1153" spans="1:5" x14ac:dyDescent="0.55000000000000004">
      <c r="A1153">
        <v>96</v>
      </c>
      <c r="B1153" t="s">
        <v>101</v>
      </c>
      <c r="C1153" t="s">
        <v>36</v>
      </c>
      <c r="D1153" t="s">
        <v>39</v>
      </c>
      <c r="E1153">
        <v>0</v>
      </c>
    </row>
    <row r="1154" spans="1:5" x14ac:dyDescent="0.55000000000000004">
      <c r="A1154">
        <v>96</v>
      </c>
      <c r="B1154" t="s">
        <v>101</v>
      </c>
      <c r="C1154" t="s">
        <v>37</v>
      </c>
      <c r="D1154" t="s">
        <v>39</v>
      </c>
      <c r="E1154">
        <v>0</v>
      </c>
    </row>
    <row r="1155" spans="1:5" x14ac:dyDescent="0.55000000000000004">
      <c r="A1155">
        <v>96</v>
      </c>
      <c r="B1155" t="s">
        <v>101</v>
      </c>
      <c r="C1155" t="s">
        <v>14</v>
      </c>
      <c r="D1155" t="s">
        <v>39</v>
      </c>
      <c r="E1155">
        <v>100</v>
      </c>
    </row>
    <row r="1156" spans="1:5" x14ac:dyDescent="0.55000000000000004">
      <c r="A1156">
        <v>96</v>
      </c>
      <c r="B1156" t="s">
        <v>101</v>
      </c>
      <c r="C1156" t="s">
        <v>13</v>
      </c>
      <c r="D1156" t="s">
        <v>39</v>
      </c>
      <c r="E1156">
        <v>0</v>
      </c>
    </row>
    <row r="1157" spans="1:5" x14ac:dyDescent="0.55000000000000004">
      <c r="A1157">
        <v>96</v>
      </c>
      <c r="B1157" t="s">
        <v>101</v>
      </c>
      <c r="C1157" t="s">
        <v>110</v>
      </c>
      <c r="D1157" t="s">
        <v>39</v>
      </c>
      <c r="E1157">
        <v>0</v>
      </c>
    </row>
    <row r="1158" spans="1:5" x14ac:dyDescent="0.55000000000000004">
      <c r="A1158">
        <v>96</v>
      </c>
      <c r="B1158" t="s">
        <v>101</v>
      </c>
      <c r="C1158" t="s">
        <v>223</v>
      </c>
      <c r="D1158" t="s">
        <v>39</v>
      </c>
      <c r="E1158">
        <v>0</v>
      </c>
    </row>
    <row r="1159" spans="1:5" x14ac:dyDescent="0.55000000000000004">
      <c r="A1159">
        <v>96</v>
      </c>
      <c r="B1159" t="s">
        <v>101</v>
      </c>
      <c r="C1159" t="s">
        <v>133</v>
      </c>
      <c r="D1159" t="s">
        <v>118</v>
      </c>
    </row>
    <row r="1160" spans="1:5" x14ac:dyDescent="0.55000000000000004">
      <c r="A1160">
        <v>96</v>
      </c>
      <c r="B1160" t="s">
        <v>111</v>
      </c>
      <c r="C1160" t="s">
        <v>18</v>
      </c>
      <c r="D1160" t="s">
        <v>42</v>
      </c>
      <c r="E1160">
        <v>22.1</v>
      </c>
    </row>
    <row r="1161" spans="1:5" x14ac:dyDescent="0.55000000000000004">
      <c r="A1161">
        <v>96</v>
      </c>
      <c r="B1161" t="s">
        <v>111</v>
      </c>
      <c r="C1161" t="s">
        <v>15</v>
      </c>
      <c r="D1161" t="s">
        <v>41</v>
      </c>
      <c r="E1161">
        <v>8.85</v>
      </c>
    </row>
    <row r="1162" spans="1:5" x14ac:dyDescent="0.55000000000000004">
      <c r="A1162">
        <v>96</v>
      </c>
      <c r="B1162" t="s">
        <v>111</v>
      </c>
      <c r="C1162" t="s">
        <v>16</v>
      </c>
      <c r="D1162" t="s">
        <v>39</v>
      </c>
      <c r="E1162">
        <v>101.7</v>
      </c>
    </row>
    <row r="1163" spans="1:5" x14ac:dyDescent="0.55000000000000004">
      <c r="A1163">
        <v>96</v>
      </c>
      <c r="B1163" t="s">
        <v>111</v>
      </c>
      <c r="C1163" t="s">
        <v>112</v>
      </c>
      <c r="D1163" t="s">
        <v>113</v>
      </c>
      <c r="E1163">
        <v>434.7</v>
      </c>
    </row>
    <row r="1164" spans="1:5" x14ac:dyDescent="0.55000000000000004">
      <c r="A1164">
        <v>96</v>
      </c>
      <c r="B1164" t="s">
        <v>111</v>
      </c>
      <c r="C1164" t="s">
        <v>17</v>
      </c>
      <c r="E1164">
        <v>8.4600000000000009</v>
      </c>
    </row>
    <row r="1165" spans="1:5" x14ac:dyDescent="0.55000000000000004">
      <c r="A1165">
        <v>96</v>
      </c>
      <c r="B1165" t="s">
        <v>249</v>
      </c>
      <c r="C1165" t="s">
        <v>114</v>
      </c>
      <c r="D1165" t="s">
        <v>39</v>
      </c>
      <c r="E1165">
        <v>0</v>
      </c>
    </row>
    <row r="1166" spans="1:5" x14ac:dyDescent="0.55000000000000004">
      <c r="A1166">
        <v>96</v>
      </c>
      <c r="B1166" t="s">
        <v>249</v>
      </c>
      <c r="C1166" t="s">
        <v>250</v>
      </c>
    </row>
    <row r="1167" spans="1:5" x14ac:dyDescent="0.55000000000000004">
      <c r="A1167">
        <v>96</v>
      </c>
      <c r="B1167" t="s">
        <v>249</v>
      </c>
      <c r="C1167" t="s">
        <v>115</v>
      </c>
      <c r="D1167" t="s">
        <v>39</v>
      </c>
      <c r="E1167">
        <v>0</v>
      </c>
    </row>
    <row r="1168" spans="1:5" x14ac:dyDescent="0.55000000000000004">
      <c r="A1168">
        <v>96</v>
      </c>
      <c r="B1168" t="s">
        <v>249</v>
      </c>
      <c r="C1168" t="s">
        <v>251</v>
      </c>
    </row>
    <row r="1169" spans="1:6" x14ac:dyDescent="0.55000000000000004">
      <c r="A1169">
        <v>96</v>
      </c>
      <c r="B1169" t="s">
        <v>249</v>
      </c>
      <c r="C1169" t="s">
        <v>116</v>
      </c>
      <c r="D1169" t="s">
        <v>40</v>
      </c>
      <c r="E1169">
        <v>0</v>
      </c>
    </row>
    <row r="1170" spans="1:6" x14ac:dyDescent="0.55000000000000004">
      <c r="A1170">
        <v>96</v>
      </c>
      <c r="B1170" t="s">
        <v>249</v>
      </c>
      <c r="C1170" t="s">
        <v>252</v>
      </c>
    </row>
    <row r="1171" spans="1:6" x14ac:dyDescent="0.55000000000000004">
      <c r="A1171">
        <v>96</v>
      </c>
      <c r="B1171" t="s">
        <v>249</v>
      </c>
      <c r="C1171" t="s">
        <v>117</v>
      </c>
      <c r="D1171" t="s">
        <v>39</v>
      </c>
      <c r="E1171">
        <v>3</v>
      </c>
    </row>
    <row r="1172" spans="1:6" x14ac:dyDescent="0.55000000000000004">
      <c r="A1172">
        <v>96</v>
      </c>
      <c r="B1172" t="s">
        <v>249</v>
      </c>
      <c r="C1172" t="s">
        <v>21</v>
      </c>
    </row>
    <row r="1173" spans="1:6" x14ac:dyDescent="0.55000000000000004">
      <c r="A1173">
        <v>97</v>
      </c>
      <c r="B1173" t="s">
        <v>101</v>
      </c>
      <c r="C1173" t="s">
        <v>102</v>
      </c>
      <c r="D1173" t="s">
        <v>103</v>
      </c>
      <c r="E1173" s="1"/>
      <c r="F1173" t="s">
        <v>132</v>
      </c>
    </row>
    <row r="1174" spans="1:6" x14ac:dyDescent="0.55000000000000004">
      <c r="A1174">
        <v>97</v>
      </c>
      <c r="B1174" t="s">
        <v>101</v>
      </c>
      <c r="C1174" s="12" t="s">
        <v>104</v>
      </c>
      <c r="D1174" t="s">
        <v>40</v>
      </c>
      <c r="E1174">
        <v>1</v>
      </c>
    </row>
    <row r="1175" spans="1:6" x14ac:dyDescent="0.55000000000000004">
      <c r="A1175">
        <v>97</v>
      </c>
      <c r="B1175" t="s">
        <v>101</v>
      </c>
      <c r="C1175" t="s">
        <v>8</v>
      </c>
      <c r="D1175" t="s">
        <v>38</v>
      </c>
    </row>
    <row r="1176" spans="1:6" x14ac:dyDescent="0.55000000000000004">
      <c r="A1176">
        <v>97</v>
      </c>
      <c r="B1176" t="s">
        <v>101</v>
      </c>
      <c r="C1176" t="s">
        <v>214</v>
      </c>
      <c r="D1176" t="s">
        <v>38</v>
      </c>
      <c r="E1176">
        <v>1.6</v>
      </c>
    </row>
    <row r="1177" spans="1:6" x14ac:dyDescent="0.55000000000000004">
      <c r="A1177">
        <v>97</v>
      </c>
      <c r="B1177" t="s">
        <v>101</v>
      </c>
      <c r="C1177" t="s">
        <v>105</v>
      </c>
      <c r="D1177" t="s">
        <v>106</v>
      </c>
      <c r="E1177">
        <f>E1176/10</f>
        <v>0.16</v>
      </c>
      <c r="F1177" t="s">
        <v>107</v>
      </c>
    </row>
    <row r="1178" spans="1:6" x14ac:dyDescent="0.55000000000000004">
      <c r="A1178">
        <v>97</v>
      </c>
      <c r="B1178" t="s">
        <v>101</v>
      </c>
      <c r="C1178" s="2" t="s">
        <v>109</v>
      </c>
      <c r="D1178" t="s">
        <v>39</v>
      </c>
      <c r="E1178">
        <v>100</v>
      </c>
    </row>
    <row r="1179" spans="1:6" x14ac:dyDescent="0.55000000000000004">
      <c r="A1179">
        <v>97</v>
      </c>
      <c r="B1179" t="s">
        <v>101</v>
      </c>
      <c r="C1179" s="2" t="s">
        <v>248</v>
      </c>
    </row>
    <row r="1180" spans="1:6" x14ac:dyDescent="0.55000000000000004">
      <c r="A1180">
        <v>97</v>
      </c>
      <c r="B1180" t="s">
        <v>101</v>
      </c>
      <c r="C1180" s="2" t="s">
        <v>108</v>
      </c>
      <c r="D1180" t="s">
        <v>39</v>
      </c>
      <c r="E1180">
        <v>100</v>
      </c>
    </row>
    <row r="1181" spans="1:6" x14ac:dyDescent="0.55000000000000004">
      <c r="A1181">
        <v>97</v>
      </c>
      <c r="B1181" t="s">
        <v>101</v>
      </c>
      <c r="C1181" t="s">
        <v>11</v>
      </c>
      <c r="D1181" t="s">
        <v>39</v>
      </c>
      <c r="E1181">
        <v>0</v>
      </c>
    </row>
    <row r="1182" spans="1:6" x14ac:dyDescent="0.55000000000000004">
      <c r="A1182">
        <v>97</v>
      </c>
      <c r="B1182" t="s">
        <v>101</v>
      </c>
      <c r="C1182" t="s">
        <v>12</v>
      </c>
      <c r="D1182" t="s">
        <v>40</v>
      </c>
      <c r="E1182">
        <v>0</v>
      </c>
    </row>
    <row r="1183" spans="1:6" x14ac:dyDescent="0.55000000000000004">
      <c r="A1183">
        <v>97</v>
      </c>
      <c r="B1183" t="s">
        <v>101</v>
      </c>
      <c r="C1183" t="s">
        <v>34</v>
      </c>
      <c r="D1183" t="s">
        <v>39</v>
      </c>
      <c r="E1183">
        <v>0</v>
      </c>
    </row>
    <row r="1184" spans="1:6" x14ac:dyDescent="0.55000000000000004">
      <c r="A1184">
        <v>97</v>
      </c>
      <c r="B1184" t="s">
        <v>101</v>
      </c>
      <c r="C1184" t="s">
        <v>35</v>
      </c>
      <c r="D1184" t="s">
        <v>39</v>
      </c>
      <c r="E1184">
        <v>0</v>
      </c>
    </row>
    <row r="1185" spans="1:5" x14ac:dyDescent="0.55000000000000004">
      <c r="A1185">
        <v>97</v>
      </c>
      <c r="B1185" t="s">
        <v>101</v>
      </c>
      <c r="C1185" t="s">
        <v>36</v>
      </c>
      <c r="D1185" t="s">
        <v>39</v>
      </c>
      <c r="E1185">
        <v>0</v>
      </c>
    </row>
    <row r="1186" spans="1:5" x14ac:dyDescent="0.55000000000000004">
      <c r="A1186">
        <v>97</v>
      </c>
      <c r="B1186" t="s">
        <v>101</v>
      </c>
      <c r="C1186" t="s">
        <v>37</v>
      </c>
      <c r="D1186" t="s">
        <v>39</v>
      </c>
      <c r="E1186">
        <v>10</v>
      </c>
    </row>
    <row r="1187" spans="1:5" x14ac:dyDescent="0.55000000000000004">
      <c r="A1187">
        <v>97</v>
      </c>
      <c r="B1187" t="s">
        <v>101</v>
      </c>
      <c r="C1187" t="s">
        <v>14</v>
      </c>
      <c r="D1187" t="s">
        <v>39</v>
      </c>
      <c r="E1187">
        <v>80</v>
      </c>
    </row>
    <row r="1188" spans="1:5" x14ac:dyDescent="0.55000000000000004">
      <c r="A1188">
        <v>97</v>
      </c>
      <c r="B1188" t="s">
        <v>101</v>
      </c>
      <c r="C1188" t="s">
        <v>13</v>
      </c>
      <c r="D1188" t="s">
        <v>39</v>
      </c>
      <c r="E1188">
        <v>0</v>
      </c>
    </row>
    <row r="1189" spans="1:5" x14ac:dyDescent="0.55000000000000004">
      <c r="A1189">
        <v>97</v>
      </c>
      <c r="B1189" t="s">
        <v>101</v>
      </c>
      <c r="C1189" t="s">
        <v>110</v>
      </c>
      <c r="D1189" t="s">
        <v>39</v>
      </c>
      <c r="E1189">
        <v>10</v>
      </c>
    </row>
    <row r="1190" spans="1:5" x14ac:dyDescent="0.55000000000000004">
      <c r="A1190">
        <v>97</v>
      </c>
      <c r="B1190" t="s">
        <v>101</v>
      </c>
      <c r="C1190" t="s">
        <v>223</v>
      </c>
      <c r="D1190" t="s">
        <v>39</v>
      </c>
      <c r="E1190">
        <v>0</v>
      </c>
    </row>
    <row r="1191" spans="1:5" x14ac:dyDescent="0.55000000000000004">
      <c r="A1191">
        <v>97</v>
      </c>
      <c r="B1191" t="s">
        <v>101</v>
      </c>
      <c r="C1191" t="s">
        <v>133</v>
      </c>
      <c r="D1191" t="s">
        <v>118</v>
      </c>
    </row>
    <row r="1192" spans="1:5" x14ac:dyDescent="0.55000000000000004">
      <c r="A1192">
        <v>97</v>
      </c>
      <c r="B1192" t="s">
        <v>111</v>
      </c>
      <c r="C1192" t="s">
        <v>18</v>
      </c>
      <c r="D1192" t="s">
        <v>42</v>
      </c>
      <c r="E1192">
        <v>16.5</v>
      </c>
    </row>
    <row r="1193" spans="1:5" x14ac:dyDescent="0.55000000000000004">
      <c r="A1193">
        <v>97</v>
      </c>
      <c r="B1193" t="s">
        <v>111</v>
      </c>
      <c r="C1193" t="s">
        <v>15</v>
      </c>
      <c r="D1193" t="s">
        <v>41</v>
      </c>
      <c r="E1193">
        <v>9.9700000000000006</v>
      </c>
    </row>
    <row r="1194" spans="1:5" x14ac:dyDescent="0.55000000000000004">
      <c r="A1194">
        <v>97</v>
      </c>
      <c r="B1194" t="s">
        <v>111</v>
      </c>
      <c r="C1194" t="s">
        <v>16</v>
      </c>
      <c r="D1194" t="s">
        <v>39</v>
      </c>
      <c r="E1194">
        <v>102</v>
      </c>
    </row>
    <row r="1195" spans="1:5" x14ac:dyDescent="0.55000000000000004">
      <c r="A1195">
        <v>97</v>
      </c>
      <c r="B1195" t="s">
        <v>111</v>
      </c>
      <c r="C1195" t="s">
        <v>112</v>
      </c>
      <c r="D1195" t="s">
        <v>113</v>
      </c>
      <c r="E1195">
        <v>132.80000000000001</v>
      </c>
    </row>
    <row r="1196" spans="1:5" x14ac:dyDescent="0.55000000000000004">
      <c r="A1196">
        <v>97</v>
      </c>
      <c r="B1196" t="s">
        <v>111</v>
      </c>
      <c r="C1196" t="s">
        <v>17</v>
      </c>
      <c r="E1196">
        <v>8</v>
      </c>
    </row>
    <row r="1197" spans="1:5" x14ac:dyDescent="0.55000000000000004">
      <c r="A1197">
        <v>97</v>
      </c>
      <c r="B1197" t="s">
        <v>249</v>
      </c>
      <c r="C1197" t="s">
        <v>114</v>
      </c>
      <c r="D1197" t="s">
        <v>39</v>
      </c>
      <c r="E1197">
        <v>0</v>
      </c>
    </row>
    <row r="1198" spans="1:5" x14ac:dyDescent="0.55000000000000004">
      <c r="A1198">
        <v>97</v>
      </c>
      <c r="B1198" t="s">
        <v>249</v>
      </c>
      <c r="C1198" t="s">
        <v>250</v>
      </c>
    </row>
    <row r="1199" spans="1:5" x14ac:dyDescent="0.55000000000000004">
      <c r="A1199">
        <v>97</v>
      </c>
      <c r="B1199" t="s">
        <v>249</v>
      </c>
      <c r="C1199" t="s">
        <v>115</v>
      </c>
      <c r="D1199" t="s">
        <v>39</v>
      </c>
      <c r="E1199">
        <v>80</v>
      </c>
    </row>
    <row r="1200" spans="1:5" x14ac:dyDescent="0.55000000000000004">
      <c r="A1200">
        <v>97</v>
      </c>
      <c r="B1200" t="s">
        <v>249</v>
      </c>
      <c r="C1200" t="s">
        <v>251</v>
      </c>
    </row>
    <row r="1201" spans="1:6" x14ac:dyDescent="0.55000000000000004">
      <c r="A1201">
        <v>97</v>
      </c>
      <c r="B1201" t="s">
        <v>249</v>
      </c>
      <c r="C1201" t="s">
        <v>116</v>
      </c>
      <c r="D1201" t="s">
        <v>40</v>
      </c>
      <c r="E1201">
        <v>1</v>
      </c>
    </row>
    <row r="1202" spans="1:6" x14ac:dyDescent="0.55000000000000004">
      <c r="A1202">
        <v>97</v>
      </c>
      <c r="B1202" t="s">
        <v>249</v>
      </c>
      <c r="C1202" t="s">
        <v>252</v>
      </c>
    </row>
    <row r="1203" spans="1:6" x14ac:dyDescent="0.55000000000000004">
      <c r="A1203">
        <v>97</v>
      </c>
      <c r="B1203" t="s">
        <v>249</v>
      </c>
      <c r="C1203" t="s">
        <v>117</v>
      </c>
      <c r="D1203" t="s">
        <v>39</v>
      </c>
      <c r="E1203">
        <v>30</v>
      </c>
    </row>
    <row r="1204" spans="1:6" x14ac:dyDescent="0.55000000000000004">
      <c r="A1204">
        <v>97</v>
      </c>
      <c r="B1204" t="s">
        <v>249</v>
      </c>
      <c r="C1204" t="s">
        <v>21</v>
      </c>
    </row>
    <row r="1205" spans="1:6" x14ac:dyDescent="0.55000000000000004">
      <c r="A1205">
        <v>98</v>
      </c>
      <c r="B1205" t="s">
        <v>101</v>
      </c>
      <c r="C1205" t="s">
        <v>102</v>
      </c>
      <c r="D1205" t="s">
        <v>103</v>
      </c>
      <c r="E1205" s="1"/>
      <c r="F1205" t="s">
        <v>132</v>
      </c>
    </row>
    <row r="1206" spans="1:6" x14ac:dyDescent="0.55000000000000004">
      <c r="A1206">
        <v>98</v>
      </c>
      <c r="B1206" t="s">
        <v>101</v>
      </c>
      <c r="C1206" s="12" t="s">
        <v>104</v>
      </c>
      <c r="D1206" t="s">
        <v>40</v>
      </c>
      <c r="E1206">
        <v>1</v>
      </c>
    </row>
    <row r="1207" spans="1:6" x14ac:dyDescent="0.55000000000000004">
      <c r="A1207">
        <v>98</v>
      </c>
      <c r="B1207" t="s">
        <v>101</v>
      </c>
      <c r="C1207" t="s">
        <v>8</v>
      </c>
      <c r="D1207" t="s">
        <v>38</v>
      </c>
    </row>
    <row r="1208" spans="1:6" x14ac:dyDescent="0.55000000000000004">
      <c r="A1208">
        <v>98</v>
      </c>
      <c r="B1208" t="s">
        <v>101</v>
      </c>
      <c r="C1208" t="s">
        <v>214</v>
      </c>
      <c r="D1208" t="s">
        <v>38</v>
      </c>
      <c r="E1208">
        <v>2.8</v>
      </c>
    </row>
    <row r="1209" spans="1:6" x14ac:dyDescent="0.55000000000000004">
      <c r="A1209">
        <v>98</v>
      </c>
      <c r="B1209" t="s">
        <v>101</v>
      </c>
      <c r="C1209" t="s">
        <v>105</v>
      </c>
      <c r="D1209" t="s">
        <v>106</v>
      </c>
      <c r="E1209">
        <f>E1208/10</f>
        <v>0.27999999999999997</v>
      </c>
      <c r="F1209" t="s">
        <v>107</v>
      </c>
    </row>
    <row r="1210" spans="1:6" x14ac:dyDescent="0.55000000000000004">
      <c r="A1210">
        <v>98</v>
      </c>
      <c r="B1210" t="s">
        <v>101</v>
      </c>
      <c r="C1210" s="2" t="s">
        <v>109</v>
      </c>
      <c r="D1210" t="s">
        <v>39</v>
      </c>
      <c r="E1210">
        <v>100</v>
      </c>
    </row>
    <row r="1211" spans="1:6" x14ac:dyDescent="0.55000000000000004">
      <c r="A1211">
        <v>98</v>
      </c>
      <c r="B1211" t="s">
        <v>101</v>
      </c>
      <c r="C1211" s="2" t="s">
        <v>248</v>
      </c>
    </row>
    <row r="1212" spans="1:6" x14ac:dyDescent="0.55000000000000004">
      <c r="A1212">
        <v>98</v>
      </c>
      <c r="B1212" t="s">
        <v>101</v>
      </c>
      <c r="C1212" s="2" t="s">
        <v>108</v>
      </c>
      <c r="D1212" t="s">
        <v>39</v>
      </c>
      <c r="E1212">
        <v>80</v>
      </c>
    </row>
    <row r="1213" spans="1:6" x14ac:dyDescent="0.55000000000000004">
      <c r="A1213">
        <v>98</v>
      </c>
      <c r="B1213" t="s">
        <v>101</v>
      </c>
      <c r="C1213" t="s">
        <v>11</v>
      </c>
      <c r="D1213" t="s">
        <v>39</v>
      </c>
      <c r="E1213">
        <v>0</v>
      </c>
    </row>
    <row r="1214" spans="1:6" x14ac:dyDescent="0.55000000000000004">
      <c r="A1214">
        <v>98</v>
      </c>
      <c r="B1214" t="s">
        <v>101</v>
      </c>
      <c r="C1214" t="s">
        <v>12</v>
      </c>
      <c r="D1214" t="s">
        <v>40</v>
      </c>
      <c r="E1214">
        <v>0</v>
      </c>
    </row>
    <row r="1215" spans="1:6" x14ac:dyDescent="0.55000000000000004">
      <c r="A1215">
        <v>98</v>
      </c>
      <c r="B1215" t="s">
        <v>101</v>
      </c>
      <c r="C1215" t="s">
        <v>34</v>
      </c>
      <c r="D1215" t="s">
        <v>39</v>
      </c>
      <c r="E1215">
        <v>0</v>
      </c>
    </row>
    <row r="1216" spans="1:6" x14ac:dyDescent="0.55000000000000004">
      <c r="A1216">
        <v>98</v>
      </c>
      <c r="B1216" t="s">
        <v>101</v>
      </c>
      <c r="C1216" t="s">
        <v>35</v>
      </c>
      <c r="D1216" t="s">
        <v>39</v>
      </c>
      <c r="E1216">
        <v>50</v>
      </c>
    </row>
    <row r="1217" spans="1:5" x14ac:dyDescent="0.55000000000000004">
      <c r="A1217">
        <v>98</v>
      </c>
      <c r="B1217" t="s">
        <v>101</v>
      </c>
      <c r="C1217" t="s">
        <v>36</v>
      </c>
      <c r="D1217" t="s">
        <v>39</v>
      </c>
      <c r="E1217">
        <v>0</v>
      </c>
    </row>
    <row r="1218" spans="1:5" x14ac:dyDescent="0.55000000000000004">
      <c r="A1218">
        <v>98</v>
      </c>
      <c r="B1218" t="s">
        <v>101</v>
      </c>
      <c r="C1218" t="s">
        <v>37</v>
      </c>
      <c r="D1218" t="s">
        <v>39</v>
      </c>
      <c r="E1218">
        <v>0</v>
      </c>
    </row>
    <row r="1219" spans="1:5" x14ac:dyDescent="0.55000000000000004">
      <c r="A1219">
        <v>98</v>
      </c>
      <c r="B1219" t="s">
        <v>101</v>
      </c>
      <c r="C1219" t="s">
        <v>14</v>
      </c>
      <c r="D1219" t="s">
        <v>39</v>
      </c>
      <c r="E1219">
        <v>50</v>
      </c>
    </row>
    <row r="1220" spans="1:5" x14ac:dyDescent="0.55000000000000004">
      <c r="A1220">
        <v>98</v>
      </c>
      <c r="B1220" t="s">
        <v>101</v>
      </c>
      <c r="C1220" t="s">
        <v>13</v>
      </c>
      <c r="D1220" t="s">
        <v>39</v>
      </c>
      <c r="E1220">
        <v>0</v>
      </c>
    </row>
    <row r="1221" spans="1:5" x14ac:dyDescent="0.55000000000000004">
      <c r="A1221">
        <v>98</v>
      </c>
      <c r="B1221" t="s">
        <v>101</v>
      </c>
      <c r="C1221" t="s">
        <v>110</v>
      </c>
      <c r="D1221" t="s">
        <v>39</v>
      </c>
      <c r="E1221">
        <v>0</v>
      </c>
    </row>
    <row r="1222" spans="1:5" x14ac:dyDescent="0.55000000000000004">
      <c r="A1222">
        <v>98</v>
      </c>
      <c r="B1222" t="s">
        <v>101</v>
      </c>
      <c r="C1222" t="s">
        <v>223</v>
      </c>
      <c r="D1222" t="s">
        <v>39</v>
      </c>
      <c r="E1222">
        <v>0</v>
      </c>
    </row>
    <row r="1223" spans="1:5" x14ac:dyDescent="0.55000000000000004">
      <c r="A1223">
        <v>98</v>
      </c>
      <c r="B1223" t="s">
        <v>101</v>
      </c>
      <c r="C1223" t="s">
        <v>133</v>
      </c>
      <c r="D1223" t="s">
        <v>118</v>
      </c>
    </row>
    <row r="1224" spans="1:5" x14ac:dyDescent="0.55000000000000004">
      <c r="A1224">
        <v>98</v>
      </c>
      <c r="B1224" t="s">
        <v>111</v>
      </c>
      <c r="C1224" t="s">
        <v>18</v>
      </c>
      <c r="D1224" t="s">
        <v>42</v>
      </c>
      <c r="E1224">
        <v>16.8</v>
      </c>
    </row>
    <row r="1225" spans="1:5" x14ac:dyDescent="0.55000000000000004">
      <c r="A1225">
        <v>98</v>
      </c>
      <c r="B1225" t="s">
        <v>111</v>
      </c>
      <c r="C1225" t="s">
        <v>15</v>
      </c>
      <c r="D1225" t="s">
        <v>41</v>
      </c>
      <c r="E1225">
        <v>9.81</v>
      </c>
    </row>
    <row r="1226" spans="1:5" x14ac:dyDescent="0.55000000000000004">
      <c r="A1226">
        <v>98</v>
      </c>
      <c r="B1226" t="s">
        <v>111</v>
      </c>
      <c r="C1226" t="s">
        <v>16</v>
      </c>
      <c r="D1226" t="s">
        <v>39</v>
      </c>
      <c r="E1226">
        <v>101.1</v>
      </c>
    </row>
    <row r="1227" spans="1:5" x14ac:dyDescent="0.55000000000000004">
      <c r="A1227">
        <v>98</v>
      </c>
      <c r="B1227" t="s">
        <v>111</v>
      </c>
      <c r="C1227" t="s">
        <v>112</v>
      </c>
      <c r="D1227" t="s">
        <v>113</v>
      </c>
      <c r="E1227">
        <v>134.5</v>
      </c>
    </row>
    <row r="1228" spans="1:5" x14ac:dyDescent="0.55000000000000004">
      <c r="A1228">
        <v>98</v>
      </c>
      <c r="B1228" t="s">
        <v>111</v>
      </c>
      <c r="C1228" t="s">
        <v>17</v>
      </c>
      <c r="E1228">
        <v>7.95</v>
      </c>
    </row>
    <row r="1229" spans="1:5" x14ac:dyDescent="0.55000000000000004">
      <c r="A1229">
        <v>98</v>
      </c>
      <c r="B1229" t="s">
        <v>249</v>
      </c>
      <c r="C1229" t="s">
        <v>114</v>
      </c>
      <c r="D1229" t="s">
        <v>39</v>
      </c>
      <c r="E1229">
        <v>0</v>
      </c>
    </row>
    <row r="1230" spans="1:5" x14ac:dyDescent="0.55000000000000004">
      <c r="A1230">
        <v>98</v>
      </c>
      <c r="B1230" t="s">
        <v>249</v>
      </c>
      <c r="C1230" t="s">
        <v>250</v>
      </c>
    </row>
    <row r="1231" spans="1:5" x14ac:dyDescent="0.55000000000000004">
      <c r="A1231">
        <v>98</v>
      </c>
      <c r="B1231" t="s">
        <v>249</v>
      </c>
      <c r="C1231" t="s">
        <v>115</v>
      </c>
      <c r="D1231" t="s">
        <v>39</v>
      </c>
      <c r="E1231">
        <v>5</v>
      </c>
    </row>
    <row r="1232" spans="1:5" x14ac:dyDescent="0.55000000000000004">
      <c r="A1232">
        <v>98</v>
      </c>
      <c r="B1232" t="s">
        <v>249</v>
      </c>
      <c r="C1232" t="s">
        <v>251</v>
      </c>
    </row>
    <row r="1233" spans="1:6" x14ac:dyDescent="0.55000000000000004">
      <c r="A1233">
        <v>98</v>
      </c>
      <c r="B1233" t="s">
        <v>249</v>
      </c>
      <c r="C1233" t="s">
        <v>116</v>
      </c>
      <c r="D1233" t="s">
        <v>40</v>
      </c>
      <c r="E1233">
        <v>1</v>
      </c>
    </row>
    <row r="1234" spans="1:6" x14ac:dyDescent="0.55000000000000004">
      <c r="A1234">
        <v>98</v>
      </c>
      <c r="B1234" t="s">
        <v>249</v>
      </c>
      <c r="C1234" t="s">
        <v>252</v>
      </c>
    </row>
    <row r="1235" spans="1:6" x14ac:dyDescent="0.55000000000000004">
      <c r="A1235">
        <v>98</v>
      </c>
      <c r="B1235" t="s">
        <v>249</v>
      </c>
      <c r="C1235" t="s">
        <v>117</v>
      </c>
      <c r="D1235" t="s">
        <v>39</v>
      </c>
      <c r="E1235">
        <v>10</v>
      </c>
    </row>
    <row r="1236" spans="1:6" x14ac:dyDescent="0.55000000000000004">
      <c r="A1236">
        <v>98</v>
      </c>
      <c r="B1236" t="s">
        <v>249</v>
      </c>
      <c r="C1236" t="s">
        <v>21</v>
      </c>
    </row>
    <row r="1237" spans="1:6" x14ac:dyDescent="0.55000000000000004">
      <c r="A1237">
        <v>99</v>
      </c>
      <c r="B1237" t="s">
        <v>101</v>
      </c>
      <c r="C1237" t="s">
        <v>102</v>
      </c>
      <c r="D1237" t="s">
        <v>103</v>
      </c>
      <c r="E1237" s="1"/>
      <c r="F1237" t="s">
        <v>132</v>
      </c>
    </row>
    <row r="1238" spans="1:6" x14ac:dyDescent="0.55000000000000004">
      <c r="A1238">
        <v>99</v>
      </c>
      <c r="B1238" t="s">
        <v>101</v>
      </c>
      <c r="C1238" s="12" t="s">
        <v>104</v>
      </c>
      <c r="D1238" t="s">
        <v>40</v>
      </c>
      <c r="E1238">
        <v>1</v>
      </c>
    </row>
    <row r="1239" spans="1:6" x14ac:dyDescent="0.55000000000000004">
      <c r="A1239">
        <v>99</v>
      </c>
      <c r="B1239" t="s">
        <v>101</v>
      </c>
      <c r="C1239" t="s">
        <v>8</v>
      </c>
      <c r="D1239" t="s">
        <v>38</v>
      </c>
      <c r="E1239">
        <v>7.6</v>
      </c>
      <c r="F1239" t="s">
        <v>218</v>
      </c>
    </row>
    <row r="1240" spans="1:6" x14ac:dyDescent="0.55000000000000004">
      <c r="A1240">
        <v>99</v>
      </c>
      <c r="B1240" t="s">
        <v>101</v>
      </c>
      <c r="C1240" t="s">
        <v>214</v>
      </c>
      <c r="D1240" t="s">
        <v>38</v>
      </c>
      <c r="E1240">
        <v>0.65</v>
      </c>
    </row>
    <row r="1241" spans="1:6" x14ac:dyDescent="0.55000000000000004">
      <c r="A1241">
        <v>99</v>
      </c>
      <c r="B1241" t="s">
        <v>101</v>
      </c>
      <c r="C1241" t="s">
        <v>105</v>
      </c>
      <c r="D1241" t="s">
        <v>106</v>
      </c>
      <c r="E1241">
        <f>E1240/10</f>
        <v>6.5000000000000002E-2</v>
      </c>
      <c r="F1241" t="s">
        <v>107</v>
      </c>
    </row>
    <row r="1242" spans="1:6" x14ac:dyDescent="0.55000000000000004">
      <c r="A1242">
        <v>99</v>
      </c>
      <c r="B1242" t="s">
        <v>101</v>
      </c>
      <c r="C1242" s="2" t="s">
        <v>109</v>
      </c>
      <c r="D1242" t="s">
        <v>39</v>
      </c>
      <c r="E1242">
        <v>30</v>
      </c>
      <c r="F1242" t="s">
        <v>234</v>
      </c>
    </row>
    <row r="1243" spans="1:6" x14ac:dyDescent="0.55000000000000004">
      <c r="A1243">
        <v>99</v>
      </c>
      <c r="B1243" t="s">
        <v>101</v>
      </c>
      <c r="C1243" s="2" t="s">
        <v>248</v>
      </c>
    </row>
    <row r="1244" spans="1:6" x14ac:dyDescent="0.55000000000000004">
      <c r="A1244">
        <v>99</v>
      </c>
      <c r="B1244" t="s">
        <v>101</v>
      </c>
      <c r="C1244" s="2" t="s">
        <v>108</v>
      </c>
      <c r="D1244" t="s">
        <v>39</v>
      </c>
      <c r="E1244">
        <v>100</v>
      </c>
      <c r="F1244" t="s">
        <v>234</v>
      </c>
    </row>
    <row r="1245" spans="1:6" x14ac:dyDescent="0.55000000000000004">
      <c r="A1245">
        <v>99</v>
      </c>
      <c r="B1245" t="s">
        <v>101</v>
      </c>
      <c r="C1245" t="s">
        <v>11</v>
      </c>
      <c r="D1245" t="s">
        <v>39</v>
      </c>
      <c r="E1245">
        <v>0</v>
      </c>
    </row>
    <row r="1246" spans="1:6" x14ac:dyDescent="0.55000000000000004">
      <c r="A1246">
        <v>99</v>
      </c>
      <c r="B1246" t="s">
        <v>101</v>
      </c>
      <c r="C1246" t="s">
        <v>12</v>
      </c>
      <c r="D1246" t="s">
        <v>40</v>
      </c>
      <c r="E1246">
        <v>0</v>
      </c>
    </row>
    <row r="1247" spans="1:6" x14ac:dyDescent="0.55000000000000004">
      <c r="A1247">
        <v>99</v>
      </c>
      <c r="B1247" t="s">
        <v>101</v>
      </c>
      <c r="C1247" t="s">
        <v>34</v>
      </c>
      <c r="D1247" t="s">
        <v>39</v>
      </c>
      <c r="E1247">
        <v>0</v>
      </c>
    </row>
    <row r="1248" spans="1:6" x14ac:dyDescent="0.55000000000000004">
      <c r="A1248">
        <v>99</v>
      </c>
      <c r="B1248" t="s">
        <v>101</v>
      </c>
      <c r="C1248" t="s">
        <v>35</v>
      </c>
      <c r="D1248" t="s">
        <v>39</v>
      </c>
      <c r="E1248">
        <v>0</v>
      </c>
    </row>
    <row r="1249" spans="1:5" x14ac:dyDescent="0.55000000000000004">
      <c r="A1249">
        <v>99</v>
      </c>
      <c r="B1249" t="s">
        <v>101</v>
      </c>
      <c r="C1249" t="s">
        <v>36</v>
      </c>
      <c r="D1249" t="s">
        <v>39</v>
      </c>
      <c r="E1249">
        <v>0</v>
      </c>
    </row>
    <row r="1250" spans="1:5" x14ac:dyDescent="0.55000000000000004">
      <c r="A1250">
        <v>99</v>
      </c>
      <c r="B1250" t="s">
        <v>101</v>
      </c>
      <c r="C1250" t="s">
        <v>37</v>
      </c>
      <c r="D1250" t="s">
        <v>39</v>
      </c>
      <c r="E1250">
        <v>0</v>
      </c>
    </row>
    <row r="1251" spans="1:5" x14ac:dyDescent="0.55000000000000004">
      <c r="A1251">
        <v>99</v>
      </c>
      <c r="B1251" t="s">
        <v>101</v>
      </c>
      <c r="C1251" t="s">
        <v>14</v>
      </c>
      <c r="D1251" t="s">
        <v>39</v>
      </c>
      <c r="E1251">
        <v>100</v>
      </c>
    </row>
    <row r="1252" spans="1:5" x14ac:dyDescent="0.55000000000000004">
      <c r="A1252">
        <v>99</v>
      </c>
      <c r="B1252" t="s">
        <v>101</v>
      </c>
      <c r="C1252" t="s">
        <v>13</v>
      </c>
      <c r="D1252" t="s">
        <v>39</v>
      </c>
      <c r="E1252">
        <v>0</v>
      </c>
    </row>
    <row r="1253" spans="1:5" x14ac:dyDescent="0.55000000000000004">
      <c r="A1253">
        <v>99</v>
      </c>
      <c r="B1253" t="s">
        <v>101</v>
      </c>
      <c r="C1253" t="s">
        <v>110</v>
      </c>
      <c r="D1253" t="s">
        <v>39</v>
      </c>
      <c r="E1253">
        <v>0</v>
      </c>
    </row>
    <row r="1254" spans="1:5" x14ac:dyDescent="0.55000000000000004">
      <c r="A1254">
        <v>99</v>
      </c>
      <c r="B1254" t="s">
        <v>101</v>
      </c>
      <c r="C1254" t="s">
        <v>223</v>
      </c>
      <c r="D1254" t="s">
        <v>39</v>
      </c>
      <c r="E1254">
        <v>0</v>
      </c>
    </row>
    <row r="1255" spans="1:5" x14ac:dyDescent="0.55000000000000004">
      <c r="A1255">
        <v>99</v>
      </c>
      <c r="B1255" t="s">
        <v>101</v>
      </c>
      <c r="C1255" t="s">
        <v>133</v>
      </c>
      <c r="D1255" t="s">
        <v>118</v>
      </c>
    </row>
    <row r="1256" spans="1:5" x14ac:dyDescent="0.55000000000000004">
      <c r="A1256">
        <v>99</v>
      </c>
      <c r="B1256" t="s">
        <v>111</v>
      </c>
      <c r="C1256" t="s">
        <v>18</v>
      </c>
      <c r="D1256" t="s">
        <v>42</v>
      </c>
      <c r="E1256">
        <v>16.3</v>
      </c>
    </row>
    <row r="1257" spans="1:5" x14ac:dyDescent="0.55000000000000004">
      <c r="A1257">
        <v>99</v>
      </c>
      <c r="B1257" t="s">
        <v>111</v>
      </c>
      <c r="C1257" t="s">
        <v>15</v>
      </c>
      <c r="D1257" t="s">
        <v>41</v>
      </c>
      <c r="E1257">
        <v>9.7100000000000009</v>
      </c>
    </row>
    <row r="1258" spans="1:5" x14ac:dyDescent="0.55000000000000004">
      <c r="A1258">
        <v>99</v>
      </c>
      <c r="B1258" t="s">
        <v>111</v>
      </c>
      <c r="C1258" t="s">
        <v>16</v>
      </c>
      <c r="D1258" t="s">
        <v>39</v>
      </c>
      <c r="E1258">
        <v>99.1</v>
      </c>
    </row>
    <row r="1259" spans="1:5" x14ac:dyDescent="0.55000000000000004">
      <c r="A1259">
        <v>99</v>
      </c>
      <c r="B1259" t="s">
        <v>111</v>
      </c>
      <c r="C1259" t="s">
        <v>112</v>
      </c>
      <c r="D1259" t="s">
        <v>113</v>
      </c>
      <c r="E1259">
        <v>132.5</v>
      </c>
    </row>
    <row r="1260" spans="1:5" x14ac:dyDescent="0.55000000000000004">
      <c r="A1260">
        <v>99</v>
      </c>
      <c r="B1260" t="s">
        <v>111</v>
      </c>
      <c r="C1260" t="s">
        <v>17</v>
      </c>
      <c r="E1260">
        <v>8.56</v>
      </c>
    </row>
    <row r="1261" spans="1:5" x14ac:dyDescent="0.55000000000000004">
      <c r="A1261">
        <v>99</v>
      </c>
      <c r="B1261" t="s">
        <v>249</v>
      </c>
      <c r="C1261" t="s">
        <v>114</v>
      </c>
      <c r="D1261" t="s">
        <v>39</v>
      </c>
      <c r="E1261">
        <v>0</v>
      </c>
    </row>
    <row r="1262" spans="1:5" x14ac:dyDescent="0.55000000000000004">
      <c r="A1262">
        <v>99</v>
      </c>
      <c r="B1262" t="s">
        <v>249</v>
      </c>
      <c r="C1262" t="s">
        <v>250</v>
      </c>
    </row>
    <row r="1263" spans="1:5" x14ac:dyDescent="0.55000000000000004">
      <c r="A1263">
        <v>99</v>
      </c>
      <c r="B1263" t="s">
        <v>249</v>
      </c>
      <c r="C1263" t="s">
        <v>115</v>
      </c>
      <c r="D1263" t="s">
        <v>39</v>
      </c>
      <c r="E1263">
        <v>0</v>
      </c>
    </row>
    <row r="1264" spans="1:5" x14ac:dyDescent="0.55000000000000004">
      <c r="A1264">
        <v>99</v>
      </c>
      <c r="B1264" t="s">
        <v>249</v>
      </c>
      <c r="C1264" t="s">
        <v>251</v>
      </c>
    </row>
    <row r="1265" spans="1:6" x14ac:dyDescent="0.55000000000000004">
      <c r="A1265">
        <v>99</v>
      </c>
      <c r="B1265" t="s">
        <v>249</v>
      </c>
      <c r="C1265" t="s">
        <v>116</v>
      </c>
      <c r="D1265" t="s">
        <v>40</v>
      </c>
      <c r="E1265">
        <v>0</v>
      </c>
    </row>
    <row r="1266" spans="1:6" x14ac:dyDescent="0.55000000000000004">
      <c r="A1266">
        <v>99</v>
      </c>
      <c r="B1266" t="s">
        <v>249</v>
      </c>
      <c r="C1266" t="s">
        <v>252</v>
      </c>
    </row>
    <row r="1267" spans="1:6" x14ac:dyDescent="0.55000000000000004">
      <c r="A1267">
        <v>99</v>
      </c>
      <c r="B1267" t="s">
        <v>249</v>
      </c>
      <c r="C1267" t="s">
        <v>117</v>
      </c>
      <c r="D1267" t="s">
        <v>39</v>
      </c>
      <c r="E1267">
        <v>5</v>
      </c>
    </row>
    <row r="1268" spans="1:6" x14ac:dyDescent="0.55000000000000004">
      <c r="A1268">
        <v>99</v>
      </c>
      <c r="B1268" t="s">
        <v>249</v>
      </c>
      <c r="C1268" t="s">
        <v>21</v>
      </c>
    </row>
    <row r="1269" spans="1:6" x14ac:dyDescent="0.55000000000000004">
      <c r="A1269">
        <v>100</v>
      </c>
      <c r="B1269" t="s">
        <v>101</v>
      </c>
      <c r="C1269" t="s">
        <v>102</v>
      </c>
      <c r="D1269" t="s">
        <v>103</v>
      </c>
      <c r="E1269" s="1"/>
      <c r="F1269" t="s">
        <v>132</v>
      </c>
    </row>
    <row r="1270" spans="1:6" x14ac:dyDescent="0.55000000000000004">
      <c r="A1270">
        <v>100</v>
      </c>
      <c r="B1270" t="s">
        <v>101</v>
      </c>
      <c r="C1270" s="12" t="s">
        <v>104</v>
      </c>
      <c r="D1270" t="s">
        <v>40</v>
      </c>
      <c r="E1270">
        <v>1</v>
      </c>
    </row>
    <row r="1271" spans="1:6" x14ac:dyDescent="0.55000000000000004">
      <c r="A1271">
        <v>100</v>
      </c>
      <c r="B1271" t="s">
        <v>101</v>
      </c>
      <c r="C1271" t="s">
        <v>8</v>
      </c>
      <c r="D1271" t="s">
        <v>38</v>
      </c>
    </row>
    <row r="1272" spans="1:6" x14ac:dyDescent="0.55000000000000004">
      <c r="A1272">
        <v>100</v>
      </c>
      <c r="B1272" t="s">
        <v>101</v>
      </c>
      <c r="C1272" t="s">
        <v>214</v>
      </c>
      <c r="D1272" t="s">
        <v>38</v>
      </c>
      <c r="E1272">
        <v>2</v>
      </c>
    </row>
    <row r="1273" spans="1:6" x14ac:dyDescent="0.55000000000000004">
      <c r="A1273">
        <v>100</v>
      </c>
      <c r="B1273" t="s">
        <v>101</v>
      </c>
      <c r="C1273" t="s">
        <v>105</v>
      </c>
      <c r="D1273" t="s">
        <v>106</v>
      </c>
      <c r="E1273">
        <f>E1272/10</f>
        <v>0.2</v>
      </c>
      <c r="F1273" t="s">
        <v>107</v>
      </c>
    </row>
    <row r="1274" spans="1:6" x14ac:dyDescent="0.55000000000000004">
      <c r="A1274">
        <v>100</v>
      </c>
      <c r="B1274" t="s">
        <v>101</v>
      </c>
      <c r="C1274" s="2" t="s">
        <v>109</v>
      </c>
      <c r="D1274" t="s">
        <v>39</v>
      </c>
      <c r="E1274">
        <v>100</v>
      </c>
    </row>
    <row r="1275" spans="1:6" x14ac:dyDescent="0.55000000000000004">
      <c r="A1275">
        <v>100</v>
      </c>
      <c r="B1275" t="s">
        <v>101</v>
      </c>
      <c r="C1275" s="2" t="s">
        <v>248</v>
      </c>
    </row>
    <row r="1276" spans="1:6" x14ac:dyDescent="0.55000000000000004">
      <c r="A1276">
        <v>100</v>
      </c>
      <c r="B1276" t="s">
        <v>101</v>
      </c>
      <c r="C1276" s="2" t="s">
        <v>108</v>
      </c>
      <c r="D1276" t="s">
        <v>39</v>
      </c>
      <c r="E1276">
        <v>100</v>
      </c>
    </row>
    <row r="1277" spans="1:6" x14ac:dyDescent="0.55000000000000004">
      <c r="A1277">
        <v>100</v>
      </c>
      <c r="B1277" t="s">
        <v>101</v>
      </c>
      <c r="C1277" t="s">
        <v>11</v>
      </c>
      <c r="D1277" t="s">
        <v>39</v>
      </c>
      <c r="E1277">
        <v>0</v>
      </c>
    </row>
    <row r="1278" spans="1:6" x14ac:dyDescent="0.55000000000000004">
      <c r="A1278">
        <v>100</v>
      </c>
      <c r="B1278" t="s">
        <v>101</v>
      </c>
      <c r="C1278" t="s">
        <v>12</v>
      </c>
      <c r="D1278" t="s">
        <v>40</v>
      </c>
      <c r="E1278">
        <v>0</v>
      </c>
    </row>
    <row r="1279" spans="1:6" x14ac:dyDescent="0.55000000000000004">
      <c r="A1279">
        <v>100</v>
      </c>
      <c r="B1279" t="s">
        <v>101</v>
      </c>
      <c r="C1279" t="s">
        <v>34</v>
      </c>
      <c r="D1279" t="s">
        <v>39</v>
      </c>
      <c r="E1279">
        <v>0</v>
      </c>
    </row>
    <row r="1280" spans="1:6" x14ac:dyDescent="0.55000000000000004">
      <c r="A1280">
        <v>100</v>
      </c>
      <c r="B1280" t="s">
        <v>101</v>
      </c>
      <c r="C1280" t="s">
        <v>35</v>
      </c>
      <c r="D1280" t="s">
        <v>39</v>
      </c>
      <c r="E1280">
        <v>0</v>
      </c>
    </row>
    <row r="1281" spans="1:5" x14ac:dyDescent="0.55000000000000004">
      <c r="A1281">
        <v>100</v>
      </c>
      <c r="B1281" t="s">
        <v>101</v>
      </c>
      <c r="C1281" t="s">
        <v>36</v>
      </c>
      <c r="D1281" t="s">
        <v>39</v>
      </c>
      <c r="E1281">
        <v>0</v>
      </c>
    </row>
    <row r="1282" spans="1:5" x14ac:dyDescent="0.55000000000000004">
      <c r="A1282">
        <v>100</v>
      </c>
      <c r="B1282" t="s">
        <v>101</v>
      </c>
      <c r="C1282" t="s">
        <v>37</v>
      </c>
      <c r="D1282" t="s">
        <v>39</v>
      </c>
      <c r="E1282">
        <v>0</v>
      </c>
    </row>
    <row r="1283" spans="1:5" x14ac:dyDescent="0.55000000000000004">
      <c r="A1283">
        <v>100</v>
      </c>
      <c r="B1283" t="s">
        <v>101</v>
      </c>
      <c r="C1283" t="s">
        <v>14</v>
      </c>
      <c r="D1283" t="s">
        <v>39</v>
      </c>
      <c r="E1283">
        <v>0</v>
      </c>
    </row>
    <row r="1284" spans="1:5" x14ac:dyDescent="0.55000000000000004">
      <c r="A1284">
        <v>100</v>
      </c>
      <c r="B1284" t="s">
        <v>101</v>
      </c>
      <c r="C1284" t="s">
        <v>13</v>
      </c>
      <c r="D1284" t="s">
        <v>39</v>
      </c>
      <c r="E1284">
        <v>0</v>
      </c>
    </row>
    <row r="1285" spans="1:5" x14ac:dyDescent="0.55000000000000004">
      <c r="A1285">
        <v>100</v>
      </c>
      <c r="B1285" t="s">
        <v>101</v>
      </c>
      <c r="C1285" t="s">
        <v>110</v>
      </c>
      <c r="D1285" t="s">
        <v>39</v>
      </c>
      <c r="E1285">
        <v>100</v>
      </c>
    </row>
    <row r="1286" spans="1:5" x14ac:dyDescent="0.55000000000000004">
      <c r="A1286">
        <v>100</v>
      </c>
      <c r="B1286" t="s">
        <v>101</v>
      </c>
      <c r="C1286" t="s">
        <v>223</v>
      </c>
      <c r="D1286" t="s">
        <v>39</v>
      </c>
      <c r="E1286">
        <v>0</v>
      </c>
    </row>
    <row r="1287" spans="1:5" x14ac:dyDescent="0.55000000000000004">
      <c r="A1287">
        <v>100</v>
      </c>
      <c r="B1287" t="s">
        <v>101</v>
      </c>
      <c r="C1287" t="s">
        <v>133</v>
      </c>
      <c r="D1287" t="s">
        <v>118</v>
      </c>
    </row>
    <row r="1288" spans="1:5" x14ac:dyDescent="0.55000000000000004">
      <c r="A1288">
        <v>100</v>
      </c>
      <c r="B1288" t="s">
        <v>111</v>
      </c>
      <c r="C1288" t="s">
        <v>18</v>
      </c>
      <c r="D1288" t="s">
        <v>42</v>
      </c>
      <c r="E1288">
        <v>17.7</v>
      </c>
    </row>
    <row r="1289" spans="1:5" x14ac:dyDescent="0.55000000000000004">
      <c r="A1289">
        <v>100</v>
      </c>
      <c r="B1289" t="s">
        <v>111</v>
      </c>
      <c r="C1289" t="s">
        <v>15</v>
      </c>
      <c r="D1289" t="s">
        <v>41</v>
      </c>
      <c r="E1289">
        <v>8.66</v>
      </c>
    </row>
    <row r="1290" spans="1:5" x14ac:dyDescent="0.55000000000000004">
      <c r="A1290">
        <v>100</v>
      </c>
      <c r="B1290" t="s">
        <v>111</v>
      </c>
      <c r="C1290" t="s">
        <v>16</v>
      </c>
      <c r="D1290" t="s">
        <v>39</v>
      </c>
      <c r="E1290">
        <v>91.3</v>
      </c>
    </row>
    <row r="1291" spans="1:5" x14ac:dyDescent="0.55000000000000004">
      <c r="A1291">
        <v>100</v>
      </c>
      <c r="B1291" t="s">
        <v>111</v>
      </c>
      <c r="C1291" t="s">
        <v>112</v>
      </c>
      <c r="D1291" t="s">
        <v>113</v>
      </c>
      <c r="E1291">
        <v>142.30000000000001</v>
      </c>
    </row>
    <row r="1292" spans="1:5" x14ac:dyDescent="0.55000000000000004">
      <c r="A1292">
        <v>100</v>
      </c>
      <c r="B1292" t="s">
        <v>111</v>
      </c>
      <c r="C1292" t="s">
        <v>17</v>
      </c>
      <c r="E1292">
        <v>7.4</v>
      </c>
    </row>
    <row r="1293" spans="1:5" x14ac:dyDescent="0.55000000000000004">
      <c r="A1293">
        <v>100</v>
      </c>
      <c r="B1293" t="s">
        <v>249</v>
      </c>
      <c r="C1293" t="s">
        <v>114</v>
      </c>
      <c r="D1293" t="s">
        <v>39</v>
      </c>
      <c r="E1293">
        <v>80</v>
      </c>
    </row>
    <row r="1294" spans="1:5" x14ac:dyDescent="0.55000000000000004">
      <c r="A1294">
        <v>100</v>
      </c>
      <c r="B1294" t="s">
        <v>249</v>
      </c>
      <c r="C1294" t="s">
        <v>250</v>
      </c>
    </row>
    <row r="1295" spans="1:5" x14ac:dyDescent="0.55000000000000004">
      <c r="A1295">
        <v>100</v>
      </c>
      <c r="B1295" t="s">
        <v>249</v>
      </c>
      <c r="C1295" t="s">
        <v>115</v>
      </c>
      <c r="D1295" t="s">
        <v>39</v>
      </c>
      <c r="E1295">
        <v>20</v>
      </c>
    </row>
    <row r="1296" spans="1:5" x14ac:dyDescent="0.55000000000000004">
      <c r="A1296">
        <v>100</v>
      </c>
      <c r="B1296" t="s">
        <v>249</v>
      </c>
      <c r="C1296" t="s">
        <v>251</v>
      </c>
    </row>
    <row r="1297" spans="1:6" x14ac:dyDescent="0.55000000000000004">
      <c r="A1297">
        <v>100</v>
      </c>
      <c r="B1297" t="s">
        <v>249</v>
      </c>
      <c r="C1297" t="s">
        <v>116</v>
      </c>
      <c r="D1297" t="s">
        <v>40</v>
      </c>
      <c r="E1297">
        <v>1</v>
      </c>
    </row>
    <row r="1298" spans="1:6" x14ac:dyDescent="0.55000000000000004">
      <c r="A1298">
        <v>100</v>
      </c>
      <c r="B1298" t="s">
        <v>249</v>
      </c>
      <c r="C1298" t="s">
        <v>252</v>
      </c>
    </row>
    <row r="1299" spans="1:6" x14ac:dyDescent="0.55000000000000004">
      <c r="A1299">
        <v>100</v>
      </c>
      <c r="B1299" t="s">
        <v>249</v>
      </c>
      <c r="C1299" t="s">
        <v>117</v>
      </c>
      <c r="D1299" t="s">
        <v>39</v>
      </c>
      <c r="E1299">
        <v>10</v>
      </c>
    </row>
    <row r="1300" spans="1:6" x14ac:dyDescent="0.55000000000000004">
      <c r="A1300">
        <v>100</v>
      </c>
      <c r="B1300" t="s">
        <v>249</v>
      </c>
      <c r="C1300" t="s">
        <v>21</v>
      </c>
    </row>
    <row r="1301" spans="1:6" x14ac:dyDescent="0.55000000000000004">
      <c r="A1301">
        <v>101</v>
      </c>
      <c r="B1301" t="s">
        <v>101</v>
      </c>
      <c r="C1301" t="s">
        <v>102</v>
      </c>
      <c r="D1301" t="s">
        <v>103</v>
      </c>
      <c r="E1301" s="1"/>
      <c r="F1301" t="s">
        <v>132</v>
      </c>
    </row>
    <row r="1302" spans="1:6" x14ac:dyDescent="0.55000000000000004">
      <c r="A1302">
        <v>101</v>
      </c>
      <c r="B1302" t="s">
        <v>101</v>
      </c>
      <c r="C1302" s="12" t="s">
        <v>104</v>
      </c>
      <c r="D1302" t="s">
        <v>40</v>
      </c>
      <c r="E1302">
        <v>1</v>
      </c>
    </row>
    <row r="1303" spans="1:6" x14ac:dyDescent="0.55000000000000004">
      <c r="A1303">
        <v>101</v>
      </c>
      <c r="B1303" t="s">
        <v>101</v>
      </c>
      <c r="C1303" t="s">
        <v>8</v>
      </c>
      <c r="D1303" t="s">
        <v>38</v>
      </c>
      <c r="E1303">
        <v>7.6</v>
      </c>
      <c r="F1303" t="s">
        <v>218</v>
      </c>
    </row>
    <row r="1304" spans="1:6" x14ac:dyDescent="0.55000000000000004">
      <c r="A1304">
        <v>101</v>
      </c>
      <c r="B1304" t="s">
        <v>101</v>
      </c>
      <c r="C1304" t="s">
        <v>214</v>
      </c>
      <c r="D1304" t="s">
        <v>38</v>
      </c>
      <c r="E1304">
        <v>0.6</v>
      </c>
    </row>
    <row r="1305" spans="1:6" x14ac:dyDescent="0.55000000000000004">
      <c r="A1305">
        <v>101</v>
      </c>
      <c r="B1305" t="s">
        <v>101</v>
      </c>
      <c r="C1305" t="s">
        <v>105</v>
      </c>
      <c r="D1305" t="s">
        <v>106</v>
      </c>
      <c r="E1305">
        <f>E1304/10</f>
        <v>0.06</v>
      </c>
      <c r="F1305" t="s">
        <v>107</v>
      </c>
    </row>
    <row r="1306" spans="1:6" x14ac:dyDescent="0.55000000000000004">
      <c r="A1306">
        <v>101</v>
      </c>
      <c r="B1306" t="s">
        <v>101</v>
      </c>
      <c r="C1306" s="2" t="s">
        <v>109</v>
      </c>
      <c r="D1306" t="s">
        <v>39</v>
      </c>
      <c r="E1306">
        <v>80</v>
      </c>
    </row>
    <row r="1307" spans="1:6" x14ac:dyDescent="0.55000000000000004">
      <c r="A1307">
        <v>101</v>
      </c>
      <c r="B1307" t="s">
        <v>101</v>
      </c>
      <c r="C1307" s="2" t="s">
        <v>248</v>
      </c>
    </row>
    <row r="1308" spans="1:6" x14ac:dyDescent="0.55000000000000004">
      <c r="A1308">
        <v>101</v>
      </c>
      <c r="B1308" t="s">
        <v>101</v>
      </c>
      <c r="C1308" s="2" t="s">
        <v>108</v>
      </c>
      <c r="D1308" t="s">
        <v>39</v>
      </c>
      <c r="E1308">
        <v>30</v>
      </c>
    </row>
    <row r="1309" spans="1:6" x14ac:dyDescent="0.55000000000000004">
      <c r="A1309">
        <v>101</v>
      </c>
      <c r="B1309" t="s">
        <v>101</v>
      </c>
      <c r="C1309" t="s">
        <v>11</v>
      </c>
      <c r="D1309" t="s">
        <v>39</v>
      </c>
      <c r="E1309">
        <v>0</v>
      </c>
    </row>
    <row r="1310" spans="1:6" x14ac:dyDescent="0.55000000000000004">
      <c r="A1310">
        <v>101</v>
      </c>
      <c r="B1310" t="s">
        <v>101</v>
      </c>
      <c r="C1310" t="s">
        <v>12</v>
      </c>
      <c r="D1310" t="s">
        <v>40</v>
      </c>
      <c r="E1310">
        <v>0</v>
      </c>
    </row>
    <row r="1311" spans="1:6" x14ac:dyDescent="0.55000000000000004">
      <c r="A1311">
        <v>101</v>
      </c>
      <c r="B1311" t="s">
        <v>101</v>
      </c>
      <c r="C1311" t="s">
        <v>34</v>
      </c>
      <c r="D1311" t="s">
        <v>39</v>
      </c>
      <c r="E1311">
        <v>0</v>
      </c>
    </row>
    <row r="1312" spans="1:6" x14ac:dyDescent="0.55000000000000004">
      <c r="A1312">
        <v>101</v>
      </c>
      <c r="B1312" t="s">
        <v>101</v>
      </c>
      <c r="C1312" t="s">
        <v>35</v>
      </c>
      <c r="D1312" t="s">
        <v>39</v>
      </c>
      <c r="E1312">
        <v>0</v>
      </c>
    </row>
    <row r="1313" spans="1:5" x14ac:dyDescent="0.55000000000000004">
      <c r="A1313">
        <v>101</v>
      </c>
      <c r="B1313" t="s">
        <v>101</v>
      </c>
      <c r="C1313" t="s">
        <v>36</v>
      </c>
      <c r="D1313" t="s">
        <v>39</v>
      </c>
      <c r="E1313">
        <v>0</v>
      </c>
    </row>
    <row r="1314" spans="1:5" x14ac:dyDescent="0.55000000000000004">
      <c r="A1314">
        <v>101</v>
      </c>
      <c r="B1314" t="s">
        <v>101</v>
      </c>
      <c r="C1314" t="s">
        <v>37</v>
      </c>
      <c r="D1314" t="s">
        <v>39</v>
      </c>
      <c r="E1314">
        <v>0</v>
      </c>
    </row>
    <row r="1315" spans="1:5" x14ac:dyDescent="0.55000000000000004">
      <c r="A1315">
        <v>101</v>
      </c>
      <c r="B1315" t="s">
        <v>101</v>
      </c>
      <c r="C1315" t="s">
        <v>14</v>
      </c>
      <c r="D1315" t="s">
        <v>39</v>
      </c>
      <c r="E1315">
        <v>20</v>
      </c>
    </row>
    <row r="1316" spans="1:5" x14ac:dyDescent="0.55000000000000004">
      <c r="A1316">
        <v>101</v>
      </c>
      <c r="B1316" t="s">
        <v>101</v>
      </c>
      <c r="C1316" t="s">
        <v>13</v>
      </c>
      <c r="D1316" t="s">
        <v>39</v>
      </c>
      <c r="E1316">
        <v>0</v>
      </c>
    </row>
    <row r="1317" spans="1:5" x14ac:dyDescent="0.55000000000000004">
      <c r="A1317">
        <v>101</v>
      </c>
      <c r="B1317" t="s">
        <v>101</v>
      </c>
      <c r="C1317" t="s">
        <v>110</v>
      </c>
      <c r="D1317" t="s">
        <v>39</v>
      </c>
      <c r="E1317">
        <v>80</v>
      </c>
    </row>
    <row r="1318" spans="1:5" x14ac:dyDescent="0.55000000000000004">
      <c r="A1318">
        <v>101</v>
      </c>
      <c r="B1318" t="s">
        <v>101</v>
      </c>
      <c r="C1318" t="s">
        <v>223</v>
      </c>
      <c r="D1318" t="s">
        <v>39</v>
      </c>
      <c r="E1318">
        <v>0</v>
      </c>
    </row>
    <row r="1319" spans="1:5" x14ac:dyDescent="0.55000000000000004">
      <c r="A1319">
        <v>101</v>
      </c>
      <c r="B1319" t="s">
        <v>101</v>
      </c>
      <c r="C1319" t="s">
        <v>133</v>
      </c>
      <c r="D1319" t="s">
        <v>118</v>
      </c>
    </row>
    <row r="1320" spans="1:5" x14ac:dyDescent="0.55000000000000004">
      <c r="A1320">
        <v>101</v>
      </c>
      <c r="B1320" t="s">
        <v>111</v>
      </c>
      <c r="C1320" t="s">
        <v>18</v>
      </c>
      <c r="D1320" t="s">
        <v>42</v>
      </c>
      <c r="E1320">
        <v>16.899999999999999</v>
      </c>
    </row>
    <row r="1321" spans="1:5" x14ac:dyDescent="0.55000000000000004">
      <c r="A1321">
        <v>101</v>
      </c>
      <c r="B1321" t="s">
        <v>111</v>
      </c>
      <c r="C1321" t="s">
        <v>15</v>
      </c>
      <c r="D1321" t="s">
        <v>41</v>
      </c>
      <c r="E1321">
        <v>9.4</v>
      </c>
    </row>
    <row r="1322" spans="1:5" x14ac:dyDescent="0.55000000000000004">
      <c r="A1322">
        <v>101</v>
      </c>
      <c r="B1322" t="s">
        <v>111</v>
      </c>
      <c r="C1322" t="s">
        <v>16</v>
      </c>
      <c r="D1322" t="s">
        <v>39</v>
      </c>
      <c r="E1322">
        <v>97.1</v>
      </c>
    </row>
    <row r="1323" spans="1:5" x14ac:dyDescent="0.55000000000000004">
      <c r="A1323">
        <v>101</v>
      </c>
      <c r="B1323" t="s">
        <v>111</v>
      </c>
      <c r="C1323" t="s">
        <v>112</v>
      </c>
      <c r="D1323" t="s">
        <v>113</v>
      </c>
      <c r="E1323">
        <v>135.80000000000001</v>
      </c>
    </row>
    <row r="1324" spans="1:5" x14ac:dyDescent="0.55000000000000004">
      <c r="A1324">
        <v>101</v>
      </c>
      <c r="B1324" t="s">
        <v>111</v>
      </c>
      <c r="C1324" t="s">
        <v>17</v>
      </c>
      <c r="E1324">
        <v>7.75</v>
      </c>
    </row>
    <row r="1325" spans="1:5" x14ac:dyDescent="0.55000000000000004">
      <c r="A1325">
        <v>101</v>
      </c>
      <c r="B1325" t="s">
        <v>249</v>
      </c>
      <c r="C1325" t="s">
        <v>114</v>
      </c>
      <c r="D1325" t="s">
        <v>39</v>
      </c>
      <c r="E1325">
        <v>40</v>
      </c>
    </row>
    <row r="1326" spans="1:5" x14ac:dyDescent="0.55000000000000004">
      <c r="A1326">
        <v>101</v>
      </c>
      <c r="B1326" t="s">
        <v>249</v>
      </c>
      <c r="C1326" t="s">
        <v>250</v>
      </c>
    </row>
    <row r="1327" spans="1:5" x14ac:dyDescent="0.55000000000000004">
      <c r="A1327">
        <v>101</v>
      </c>
      <c r="B1327" t="s">
        <v>249</v>
      </c>
      <c r="C1327" t="s">
        <v>115</v>
      </c>
      <c r="D1327" t="s">
        <v>39</v>
      </c>
      <c r="E1327">
        <v>10</v>
      </c>
    </row>
    <row r="1328" spans="1:5" x14ac:dyDescent="0.55000000000000004">
      <c r="A1328">
        <v>101</v>
      </c>
      <c r="B1328" t="s">
        <v>249</v>
      </c>
      <c r="C1328" t="s">
        <v>251</v>
      </c>
    </row>
    <row r="1329" spans="1:6" x14ac:dyDescent="0.55000000000000004">
      <c r="A1329">
        <v>101</v>
      </c>
      <c r="B1329" t="s">
        <v>249</v>
      </c>
      <c r="C1329" t="s">
        <v>116</v>
      </c>
      <c r="D1329" t="s">
        <v>40</v>
      </c>
      <c r="E1329">
        <v>1</v>
      </c>
    </row>
    <row r="1330" spans="1:6" x14ac:dyDescent="0.55000000000000004">
      <c r="A1330">
        <v>101</v>
      </c>
      <c r="B1330" t="s">
        <v>249</v>
      </c>
      <c r="C1330" t="s">
        <v>252</v>
      </c>
    </row>
    <row r="1331" spans="1:6" x14ac:dyDescent="0.55000000000000004">
      <c r="A1331">
        <v>101</v>
      </c>
      <c r="B1331" t="s">
        <v>249</v>
      </c>
      <c r="C1331" t="s">
        <v>117</v>
      </c>
      <c r="D1331" t="s">
        <v>39</v>
      </c>
      <c r="E1331">
        <v>20</v>
      </c>
      <c r="F1331" t="s">
        <v>235</v>
      </c>
    </row>
    <row r="1332" spans="1:6" x14ac:dyDescent="0.55000000000000004">
      <c r="A1332">
        <v>101</v>
      </c>
      <c r="B1332" t="s">
        <v>249</v>
      </c>
      <c r="C1332" t="s">
        <v>21</v>
      </c>
    </row>
    <row r="1333" spans="1:6" x14ac:dyDescent="0.55000000000000004">
      <c r="A1333">
        <v>102</v>
      </c>
      <c r="B1333" t="s">
        <v>101</v>
      </c>
      <c r="C1333" t="s">
        <v>102</v>
      </c>
      <c r="D1333" t="s">
        <v>103</v>
      </c>
      <c r="E1333" s="1"/>
      <c r="F1333" t="s">
        <v>132</v>
      </c>
    </row>
    <row r="1334" spans="1:6" x14ac:dyDescent="0.55000000000000004">
      <c r="A1334">
        <v>102</v>
      </c>
      <c r="B1334" t="s">
        <v>101</v>
      </c>
      <c r="C1334" s="12" t="s">
        <v>104</v>
      </c>
      <c r="D1334" t="s">
        <v>40</v>
      </c>
      <c r="E1334">
        <v>1</v>
      </c>
    </row>
    <row r="1335" spans="1:6" x14ac:dyDescent="0.55000000000000004">
      <c r="A1335">
        <v>102</v>
      </c>
      <c r="B1335" t="s">
        <v>101</v>
      </c>
      <c r="C1335" t="s">
        <v>8</v>
      </c>
      <c r="D1335" t="s">
        <v>38</v>
      </c>
    </row>
    <row r="1336" spans="1:6" x14ac:dyDescent="0.55000000000000004">
      <c r="A1336">
        <v>102</v>
      </c>
      <c r="B1336" t="s">
        <v>101</v>
      </c>
      <c r="C1336" t="s">
        <v>214</v>
      </c>
      <c r="D1336" t="s">
        <v>38</v>
      </c>
      <c r="E1336">
        <v>2.9</v>
      </c>
    </row>
    <row r="1337" spans="1:6" x14ac:dyDescent="0.55000000000000004">
      <c r="A1337">
        <v>102</v>
      </c>
      <c r="B1337" t="s">
        <v>101</v>
      </c>
      <c r="C1337" t="s">
        <v>105</v>
      </c>
      <c r="D1337" t="s">
        <v>106</v>
      </c>
      <c r="E1337">
        <f>E1336/10</f>
        <v>0.28999999999999998</v>
      </c>
      <c r="F1337" t="s">
        <v>107</v>
      </c>
    </row>
    <row r="1338" spans="1:6" x14ac:dyDescent="0.55000000000000004">
      <c r="A1338">
        <v>102</v>
      </c>
      <c r="B1338" t="s">
        <v>101</v>
      </c>
      <c r="C1338" s="2" t="s">
        <v>109</v>
      </c>
      <c r="D1338" t="s">
        <v>39</v>
      </c>
      <c r="E1338">
        <v>100</v>
      </c>
    </row>
    <row r="1339" spans="1:6" x14ac:dyDescent="0.55000000000000004">
      <c r="A1339">
        <v>102</v>
      </c>
      <c r="B1339" t="s">
        <v>101</v>
      </c>
      <c r="C1339" s="2" t="s">
        <v>248</v>
      </c>
    </row>
    <row r="1340" spans="1:6" x14ac:dyDescent="0.55000000000000004">
      <c r="A1340">
        <v>102</v>
      </c>
      <c r="B1340" t="s">
        <v>101</v>
      </c>
      <c r="C1340" s="2" t="s">
        <v>108</v>
      </c>
      <c r="D1340" t="s">
        <v>39</v>
      </c>
      <c r="E1340">
        <v>100</v>
      </c>
    </row>
    <row r="1341" spans="1:6" x14ac:dyDescent="0.55000000000000004">
      <c r="A1341">
        <v>102</v>
      </c>
      <c r="B1341" t="s">
        <v>101</v>
      </c>
      <c r="C1341" t="s">
        <v>11</v>
      </c>
      <c r="D1341" t="s">
        <v>39</v>
      </c>
      <c r="E1341">
        <v>0</v>
      </c>
    </row>
    <row r="1342" spans="1:6" x14ac:dyDescent="0.55000000000000004">
      <c r="A1342">
        <v>102</v>
      </c>
      <c r="B1342" t="s">
        <v>101</v>
      </c>
      <c r="C1342" t="s">
        <v>12</v>
      </c>
      <c r="D1342" t="s">
        <v>40</v>
      </c>
      <c r="E1342">
        <v>0</v>
      </c>
    </row>
    <row r="1343" spans="1:6" x14ac:dyDescent="0.55000000000000004">
      <c r="A1343">
        <v>102</v>
      </c>
      <c r="B1343" t="s">
        <v>101</v>
      </c>
      <c r="C1343" t="s">
        <v>34</v>
      </c>
      <c r="D1343" t="s">
        <v>39</v>
      </c>
      <c r="E1343">
        <v>0</v>
      </c>
    </row>
    <row r="1344" spans="1:6" x14ac:dyDescent="0.55000000000000004">
      <c r="A1344">
        <v>102</v>
      </c>
      <c r="B1344" t="s">
        <v>101</v>
      </c>
      <c r="C1344" t="s">
        <v>35</v>
      </c>
      <c r="D1344" t="s">
        <v>39</v>
      </c>
      <c r="E1344">
        <v>80</v>
      </c>
    </row>
    <row r="1345" spans="1:5" x14ac:dyDescent="0.55000000000000004">
      <c r="A1345">
        <v>102</v>
      </c>
      <c r="B1345" t="s">
        <v>101</v>
      </c>
      <c r="C1345" t="s">
        <v>36</v>
      </c>
      <c r="D1345" t="s">
        <v>39</v>
      </c>
      <c r="E1345">
        <v>0</v>
      </c>
    </row>
    <row r="1346" spans="1:5" x14ac:dyDescent="0.55000000000000004">
      <c r="A1346">
        <v>102</v>
      </c>
      <c r="B1346" t="s">
        <v>101</v>
      </c>
      <c r="C1346" t="s">
        <v>37</v>
      </c>
      <c r="D1346" t="s">
        <v>39</v>
      </c>
      <c r="E1346">
        <v>0</v>
      </c>
    </row>
    <row r="1347" spans="1:5" x14ac:dyDescent="0.55000000000000004">
      <c r="A1347">
        <v>102</v>
      </c>
      <c r="B1347" t="s">
        <v>101</v>
      </c>
      <c r="C1347" t="s">
        <v>14</v>
      </c>
      <c r="D1347" t="s">
        <v>39</v>
      </c>
      <c r="E1347">
        <v>20</v>
      </c>
    </row>
    <row r="1348" spans="1:5" x14ac:dyDescent="0.55000000000000004">
      <c r="A1348">
        <v>102</v>
      </c>
      <c r="B1348" t="s">
        <v>101</v>
      </c>
      <c r="C1348" t="s">
        <v>13</v>
      </c>
      <c r="D1348" t="s">
        <v>39</v>
      </c>
      <c r="E1348">
        <v>0</v>
      </c>
    </row>
    <row r="1349" spans="1:5" x14ac:dyDescent="0.55000000000000004">
      <c r="A1349">
        <v>102</v>
      </c>
      <c r="B1349" t="s">
        <v>101</v>
      </c>
      <c r="C1349" t="s">
        <v>110</v>
      </c>
      <c r="D1349" t="s">
        <v>39</v>
      </c>
      <c r="E1349">
        <v>0</v>
      </c>
    </row>
    <row r="1350" spans="1:5" x14ac:dyDescent="0.55000000000000004">
      <c r="A1350">
        <v>102</v>
      </c>
      <c r="B1350" t="s">
        <v>101</v>
      </c>
      <c r="C1350" t="s">
        <v>223</v>
      </c>
      <c r="D1350" t="s">
        <v>39</v>
      </c>
      <c r="E1350">
        <v>0</v>
      </c>
    </row>
    <row r="1351" spans="1:5" x14ac:dyDescent="0.55000000000000004">
      <c r="A1351">
        <v>102</v>
      </c>
      <c r="B1351" t="s">
        <v>101</v>
      </c>
      <c r="C1351" t="s">
        <v>133</v>
      </c>
      <c r="D1351" t="s">
        <v>118</v>
      </c>
    </row>
    <row r="1352" spans="1:5" x14ac:dyDescent="0.55000000000000004">
      <c r="A1352">
        <v>102</v>
      </c>
      <c r="B1352" t="s">
        <v>111</v>
      </c>
      <c r="C1352" t="s">
        <v>18</v>
      </c>
      <c r="D1352" t="s">
        <v>42</v>
      </c>
      <c r="E1352">
        <v>16.600000000000001</v>
      </c>
    </row>
    <row r="1353" spans="1:5" x14ac:dyDescent="0.55000000000000004">
      <c r="A1353">
        <v>102</v>
      </c>
      <c r="B1353" t="s">
        <v>111</v>
      </c>
      <c r="C1353" t="s">
        <v>15</v>
      </c>
      <c r="D1353" t="s">
        <v>41</v>
      </c>
      <c r="E1353">
        <v>9.59</v>
      </c>
    </row>
    <row r="1354" spans="1:5" x14ac:dyDescent="0.55000000000000004">
      <c r="A1354">
        <v>102</v>
      </c>
      <c r="B1354" t="s">
        <v>111</v>
      </c>
      <c r="C1354" t="s">
        <v>16</v>
      </c>
      <c r="D1354" t="s">
        <v>39</v>
      </c>
      <c r="E1354">
        <v>98.4</v>
      </c>
    </row>
    <row r="1355" spans="1:5" x14ac:dyDescent="0.55000000000000004">
      <c r="A1355">
        <v>102</v>
      </c>
      <c r="B1355" t="s">
        <v>111</v>
      </c>
      <c r="C1355" t="s">
        <v>112</v>
      </c>
      <c r="D1355" t="s">
        <v>113</v>
      </c>
      <c r="E1355">
        <v>133</v>
      </c>
    </row>
    <row r="1356" spans="1:5" x14ac:dyDescent="0.55000000000000004">
      <c r="A1356">
        <v>102</v>
      </c>
      <c r="B1356" t="s">
        <v>111</v>
      </c>
      <c r="C1356" t="s">
        <v>17</v>
      </c>
      <c r="E1356">
        <v>7.82</v>
      </c>
    </row>
    <row r="1357" spans="1:5" x14ac:dyDescent="0.55000000000000004">
      <c r="A1357">
        <v>102</v>
      </c>
      <c r="B1357" t="s">
        <v>249</v>
      </c>
      <c r="C1357" t="s">
        <v>114</v>
      </c>
      <c r="D1357" t="s">
        <v>39</v>
      </c>
      <c r="E1357">
        <v>0</v>
      </c>
    </row>
    <row r="1358" spans="1:5" x14ac:dyDescent="0.55000000000000004">
      <c r="A1358">
        <v>102</v>
      </c>
      <c r="B1358" t="s">
        <v>249</v>
      </c>
      <c r="C1358" t="s">
        <v>250</v>
      </c>
    </row>
    <row r="1359" spans="1:5" x14ac:dyDescent="0.55000000000000004">
      <c r="A1359">
        <v>102</v>
      </c>
      <c r="B1359" t="s">
        <v>249</v>
      </c>
      <c r="C1359" t="s">
        <v>115</v>
      </c>
      <c r="D1359" t="s">
        <v>39</v>
      </c>
      <c r="E1359">
        <v>10</v>
      </c>
    </row>
    <row r="1360" spans="1:5" x14ac:dyDescent="0.55000000000000004">
      <c r="A1360">
        <v>102</v>
      </c>
      <c r="B1360" t="s">
        <v>249</v>
      </c>
      <c r="C1360" t="s">
        <v>251</v>
      </c>
    </row>
    <row r="1361" spans="1:6" x14ac:dyDescent="0.55000000000000004">
      <c r="A1361">
        <v>102</v>
      </c>
      <c r="B1361" t="s">
        <v>249</v>
      </c>
      <c r="C1361" t="s">
        <v>116</v>
      </c>
      <c r="D1361" t="s">
        <v>40</v>
      </c>
      <c r="E1361">
        <v>0</v>
      </c>
    </row>
    <row r="1362" spans="1:6" x14ac:dyDescent="0.55000000000000004">
      <c r="A1362">
        <v>102</v>
      </c>
      <c r="B1362" t="s">
        <v>249</v>
      </c>
      <c r="C1362" t="s">
        <v>252</v>
      </c>
    </row>
    <row r="1363" spans="1:6" x14ac:dyDescent="0.55000000000000004">
      <c r="A1363">
        <v>102</v>
      </c>
      <c r="B1363" t="s">
        <v>249</v>
      </c>
      <c r="C1363" t="s">
        <v>117</v>
      </c>
      <c r="D1363" t="s">
        <v>39</v>
      </c>
      <c r="E1363">
        <v>10</v>
      </c>
    </row>
    <row r="1364" spans="1:6" x14ac:dyDescent="0.55000000000000004">
      <c r="A1364">
        <v>102</v>
      </c>
      <c r="B1364" t="s">
        <v>249</v>
      </c>
      <c r="C1364" t="s">
        <v>21</v>
      </c>
    </row>
    <row r="1365" spans="1:6" x14ac:dyDescent="0.55000000000000004">
      <c r="A1365">
        <v>103</v>
      </c>
      <c r="B1365" t="s">
        <v>101</v>
      </c>
      <c r="C1365" t="s">
        <v>102</v>
      </c>
      <c r="D1365" t="s">
        <v>103</v>
      </c>
      <c r="E1365" s="1"/>
      <c r="F1365" t="s">
        <v>132</v>
      </c>
    </row>
    <row r="1366" spans="1:6" x14ac:dyDescent="0.55000000000000004">
      <c r="A1366">
        <v>103</v>
      </c>
      <c r="B1366" t="s">
        <v>101</v>
      </c>
      <c r="C1366" s="12" t="s">
        <v>104</v>
      </c>
      <c r="D1366" t="s">
        <v>40</v>
      </c>
      <c r="E1366">
        <v>1</v>
      </c>
    </row>
    <row r="1367" spans="1:6" x14ac:dyDescent="0.55000000000000004">
      <c r="A1367">
        <v>103</v>
      </c>
      <c r="B1367" t="s">
        <v>101</v>
      </c>
      <c r="C1367" t="s">
        <v>8</v>
      </c>
      <c r="D1367" t="s">
        <v>38</v>
      </c>
    </row>
    <row r="1368" spans="1:6" x14ac:dyDescent="0.55000000000000004">
      <c r="A1368">
        <v>103</v>
      </c>
      <c r="B1368" t="s">
        <v>101</v>
      </c>
      <c r="C1368" t="s">
        <v>214</v>
      </c>
      <c r="D1368" t="s">
        <v>38</v>
      </c>
      <c r="E1368">
        <v>1.7</v>
      </c>
    </row>
    <row r="1369" spans="1:6" x14ac:dyDescent="0.55000000000000004">
      <c r="A1369">
        <v>103</v>
      </c>
      <c r="B1369" t="s">
        <v>101</v>
      </c>
      <c r="C1369" t="s">
        <v>105</v>
      </c>
      <c r="D1369" t="s">
        <v>106</v>
      </c>
      <c r="E1369">
        <f>E1368/10</f>
        <v>0.16999999999999998</v>
      </c>
      <c r="F1369" t="s">
        <v>107</v>
      </c>
    </row>
    <row r="1370" spans="1:6" x14ac:dyDescent="0.55000000000000004">
      <c r="A1370">
        <v>103</v>
      </c>
      <c r="B1370" t="s">
        <v>101</v>
      </c>
      <c r="C1370" s="2" t="s">
        <v>109</v>
      </c>
      <c r="D1370" t="s">
        <v>39</v>
      </c>
      <c r="E1370">
        <v>0</v>
      </c>
    </row>
    <row r="1371" spans="1:6" x14ac:dyDescent="0.55000000000000004">
      <c r="A1371">
        <v>103</v>
      </c>
      <c r="B1371" t="s">
        <v>101</v>
      </c>
      <c r="C1371" s="2" t="s">
        <v>248</v>
      </c>
    </row>
    <row r="1372" spans="1:6" x14ac:dyDescent="0.55000000000000004">
      <c r="A1372">
        <v>103</v>
      </c>
      <c r="B1372" t="s">
        <v>101</v>
      </c>
      <c r="C1372" s="2" t="s">
        <v>108</v>
      </c>
      <c r="D1372" t="s">
        <v>39</v>
      </c>
      <c r="E1372">
        <v>0</v>
      </c>
    </row>
    <row r="1373" spans="1:6" x14ac:dyDescent="0.55000000000000004">
      <c r="A1373">
        <v>103</v>
      </c>
      <c r="B1373" t="s">
        <v>101</v>
      </c>
      <c r="C1373" t="s">
        <v>11</v>
      </c>
      <c r="D1373" t="s">
        <v>39</v>
      </c>
      <c r="E1373">
        <v>0</v>
      </c>
    </row>
    <row r="1374" spans="1:6" x14ac:dyDescent="0.55000000000000004">
      <c r="A1374">
        <v>103</v>
      </c>
      <c r="B1374" t="s">
        <v>101</v>
      </c>
      <c r="C1374" t="s">
        <v>12</v>
      </c>
      <c r="D1374" t="s">
        <v>40</v>
      </c>
      <c r="E1374">
        <v>0</v>
      </c>
    </row>
    <row r="1375" spans="1:6" x14ac:dyDescent="0.55000000000000004">
      <c r="A1375">
        <v>103</v>
      </c>
      <c r="B1375" t="s">
        <v>101</v>
      </c>
      <c r="C1375" t="s">
        <v>34</v>
      </c>
      <c r="D1375" t="s">
        <v>39</v>
      </c>
      <c r="E1375">
        <v>0</v>
      </c>
    </row>
    <row r="1376" spans="1:6" x14ac:dyDescent="0.55000000000000004">
      <c r="A1376">
        <v>103</v>
      </c>
      <c r="B1376" t="s">
        <v>101</v>
      </c>
      <c r="C1376" t="s">
        <v>35</v>
      </c>
      <c r="D1376" t="s">
        <v>39</v>
      </c>
      <c r="E1376">
        <v>5</v>
      </c>
    </row>
    <row r="1377" spans="1:6" x14ac:dyDescent="0.55000000000000004">
      <c r="A1377">
        <v>103</v>
      </c>
      <c r="B1377" t="s">
        <v>101</v>
      </c>
      <c r="C1377" t="s">
        <v>36</v>
      </c>
      <c r="D1377" t="s">
        <v>39</v>
      </c>
      <c r="E1377">
        <v>0</v>
      </c>
    </row>
    <row r="1378" spans="1:6" x14ac:dyDescent="0.55000000000000004">
      <c r="A1378">
        <v>103</v>
      </c>
      <c r="B1378" t="s">
        <v>101</v>
      </c>
      <c r="C1378" t="s">
        <v>37</v>
      </c>
      <c r="D1378" t="s">
        <v>39</v>
      </c>
      <c r="E1378">
        <v>45</v>
      </c>
      <c r="F1378" t="s">
        <v>236</v>
      </c>
    </row>
    <row r="1379" spans="1:6" x14ac:dyDescent="0.55000000000000004">
      <c r="A1379">
        <v>103</v>
      </c>
      <c r="B1379" t="s">
        <v>101</v>
      </c>
      <c r="C1379" t="s">
        <v>14</v>
      </c>
      <c r="D1379" t="s">
        <v>39</v>
      </c>
      <c r="E1379">
        <v>50</v>
      </c>
    </row>
    <row r="1380" spans="1:6" x14ac:dyDescent="0.55000000000000004">
      <c r="A1380">
        <v>103</v>
      </c>
      <c r="B1380" t="s">
        <v>101</v>
      </c>
      <c r="C1380" t="s">
        <v>13</v>
      </c>
      <c r="D1380" t="s">
        <v>39</v>
      </c>
      <c r="E1380">
        <v>0</v>
      </c>
    </row>
    <row r="1381" spans="1:6" x14ac:dyDescent="0.55000000000000004">
      <c r="A1381">
        <v>103</v>
      </c>
      <c r="B1381" t="s">
        <v>101</v>
      </c>
      <c r="C1381" t="s">
        <v>110</v>
      </c>
      <c r="D1381" t="s">
        <v>39</v>
      </c>
      <c r="E1381">
        <v>0</v>
      </c>
    </row>
    <row r="1382" spans="1:6" x14ac:dyDescent="0.55000000000000004">
      <c r="A1382">
        <v>103</v>
      </c>
      <c r="B1382" t="s">
        <v>101</v>
      </c>
      <c r="C1382" t="s">
        <v>223</v>
      </c>
      <c r="D1382" t="s">
        <v>39</v>
      </c>
      <c r="E1382">
        <v>0</v>
      </c>
    </row>
    <row r="1383" spans="1:6" x14ac:dyDescent="0.55000000000000004">
      <c r="A1383">
        <v>103</v>
      </c>
      <c r="B1383" t="s">
        <v>101</v>
      </c>
      <c r="C1383" t="s">
        <v>133</v>
      </c>
      <c r="D1383" t="s">
        <v>118</v>
      </c>
    </row>
    <row r="1384" spans="1:6" x14ac:dyDescent="0.55000000000000004">
      <c r="A1384">
        <v>103</v>
      </c>
      <c r="B1384" t="s">
        <v>111</v>
      </c>
      <c r="C1384" t="s">
        <v>18</v>
      </c>
      <c r="D1384" t="s">
        <v>42</v>
      </c>
      <c r="E1384">
        <v>17</v>
      </c>
    </row>
    <row r="1385" spans="1:6" x14ac:dyDescent="0.55000000000000004">
      <c r="A1385">
        <v>103</v>
      </c>
      <c r="B1385" t="s">
        <v>111</v>
      </c>
      <c r="C1385" t="s">
        <v>15</v>
      </c>
      <c r="D1385" t="s">
        <v>41</v>
      </c>
      <c r="E1385">
        <v>9.91</v>
      </c>
    </row>
    <row r="1386" spans="1:6" x14ac:dyDescent="0.55000000000000004">
      <c r="A1386">
        <v>103</v>
      </c>
      <c r="B1386" t="s">
        <v>111</v>
      </c>
      <c r="C1386" t="s">
        <v>16</v>
      </c>
      <c r="D1386" t="s">
        <v>39</v>
      </c>
      <c r="E1386">
        <v>102.5</v>
      </c>
    </row>
    <row r="1387" spans="1:6" x14ac:dyDescent="0.55000000000000004">
      <c r="A1387">
        <v>103</v>
      </c>
      <c r="B1387" t="s">
        <v>111</v>
      </c>
      <c r="C1387" t="s">
        <v>112</v>
      </c>
      <c r="D1387" t="s">
        <v>113</v>
      </c>
      <c r="E1387">
        <v>130.4</v>
      </c>
    </row>
    <row r="1388" spans="1:6" x14ac:dyDescent="0.55000000000000004">
      <c r="A1388">
        <v>103</v>
      </c>
      <c r="B1388" t="s">
        <v>111</v>
      </c>
      <c r="C1388" t="s">
        <v>17</v>
      </c>
      <c r="E1388">
        <v>7.61</v>
      </c>
    </row>
    <row r="1389" spans="1:6" x14ac:dyDescent="0.55000000000000004">
      <c r="A1389">
        <v>103</v>
      </c>
      <c r="B1389" t="s">
        <v>249</v>
      </c>
      <c r="C1389" t="s">
        <v>114</v>
      </c>
      <c r="D1389" t="s">
        <v>39</v>
      </c>
      <c r="E1389">
        <v>0</v>
      </c>
    </row>
    <row r="1390" spans="1:6" x14ac:dyDescent="0.55000000000000004">
      <c r="A1390">
        <v>103</v>
      </c>
      <c r="B1390" t="s">
        <v>249</v>
      </c>
      <c r="C1390" t="s">
        <v>250</v>
      </c>
    </row>
    <row r="1391" spans="1:6" x14ac:dyDescent="0.55000000000000004">
      <c r="A1391">
        <v>103</v>
      </c>
      <c r="B1391" t="s">
        <v>249</v>
      </c>
      <c r="C1391" t="s">
        <v>115</v>
      </c>
      <c r="D1391" t="s">
        <v>39</v>
      </c>
      <c r="E1391">
        <v>0</v>
      </c>
    </row>
    <row r="1392" spans="1:6" x14ac:dyDescent="0.55000000000000004">
      <c r="A1392">
        <v>103</v>
      </c>
      <c r="B1392" t="s">
        <v>249</v>
      </c>
      <c r="C1392" t="s">
        <v>251</v>
      </c>
    </row>
    <row r="1393" spans="1:6" x14ac:dyDescent="0.55000000000000004">
      <c r="A1393">
        <v>103</v>
      </c>
      <c r="B1393" t="s">
        <v>249</v>
      </c>
      <c r="C1393" t="s">
        <v>116</v>
      </c>
      <c r="D1393" t="s">
        <v>40</v>
      </c>
      <c r="E1393">
        <v>0</v>
      </c>
    </row>
    <row r="1394" spans="1:6" x14ac:dyDescent="0.55000000000000004">
      <c r="A1394">
        <v>103</v>
      </c>
      <c r="B1394" t="s">
        <v>249</v>
      </c>
      <c r="C1394" t="s">
        <v>252</v>
      </c>
    </row>
    <row r="1395" spans="1:6" x14ac:dyDescent="0.55000000000000004">
      <c r="A1395">
        <v>103</v>
      </c>
      <c r="B1395" t="s">
        <v>249</v>
      </c>
      <c r="C1395" t="s">
        <v>117</v>
      </c>
      <c r="D1395" t="s">
        <v>39</v>
      </c>
      <c r="E1395">
        <v>3</v>
      </c>
    </row>
    <row r="1396" spans="1:6" x14ac:dyDescent="0.55000000000000004">
      <c r="A1396">
        <v>103</v>
      </c>
      <c r="B1396" t="s">
        <v>249</v>
      </c>
      <c r="C1396" t="s">
        <v>21</v>
      </c>
    </row>
    <row r="1397" spans="1:6" x14ac:dyDescent="0.55000000000000004">
      <c r="A1397">
        <v>104</v>
      </c>
      <c r="B1397" t="s">
        <v>101</v>
      </c>
      <c r="C1397" t="s">
        <v>102</v>
      </c>
      <c r="D1397" t="s">
        <v>103</v>
      </c>
      <c r="E1397" s="1"/>
      <c r="F1397" t="s">
        <v>132</v>
      </c>
    </row>
    <row r="1398" spans="1:6" x14ac:dyDescent="0.55000000000000004">
      <c r="A1398">
        <v>104</v>
      </c>
      <c r="B1398" t="s">
        <v>101</v>
      </c>
      <c r="C1398" s="12" t="s">
        <v>104</v>
      </c>
      <c r="D1398" t="s">
        <v>40</v>
      </c>
      <c r="E1398">
        <v>1</v>
      </c>
    </row>
    <row r="1399" spans="1:6" x14ac:dyDescent="0.55000000000000004">
      <c r="A1399">
        <v>104</v>
      </c>
      <c r="B1399" t="s">
        <v>101</v>
      </c>
      <c r="C1399" t="s">
        <v>8</v>
      </c>
      <c r="D1399" t="s">
        <v>38</v>
      </c>
    </row>
    <row r="1400" spans="1:6" x14ac:dyDescent="0.55000000000000004">
      <c r="A1400">
        <v>104</v>
      </c>
      <c r="B1400" t="s">
        <v>101</v>
      </c>
      <c r="C1400" t="s">
        <v>214</v>
      </c>
      <c r="D1400" t="s">
        <v>38</v>
      </c>
      <c r="E1400">
        <v>3</v>
      </c>
    </row>
    <row r="1401" spans="1:6" x14ac:dyDescent="0.55000000000000004">
      <c r="A1401">
        <v>104</v>
      </c>
      <c r="B1401" t="s">
        <v>101</v>
      </c>
      <c r="C1401" t="s">
        <v>105</v>
      </c>
      <c r="D1401" t="s">
        <v>106</v>
      </c>
      <c r="E1401">
        <f>E1400/10</f>
        <v>0.3</v>
      </c>
      <c r="F1401" t="s">
        <v>107</v>
      </c>
    </row>
    <row r="1402" spans="1:6" x14ac:dyDescent="0.55000000000000004">
      <c r="A1402">
        <v>104</v>
      </c>
      <c r="B1402" t="s">
        <v>101</v>
      </c>
      <c r="C1402" s="2" t="s">
        <v>109</v>
      </c>
      <c r="D1402" t="s">
        <v>39</v>
      </c>
      <c r="E1402">
        <v>100</v>
      </c>
    </row>
    <row r="1403" spans="1:6" x14ac:dyDescent="0.55000000000000004">
      <c r="A1403">
        <v>104</v>
      </c>
      <c r="B1403" t="s">
        <v>101</v>
      </c>
      <c r="C1403" s="2" t="s">
        <v>248</v>
      </c>
    </row>
    <row r="1404" spans="1:6" x14ac:dyDescent="0.55000000000000004">
      <c r="A1404">
        <v>104</v>
      </c>
      <c r="B1404" t="s">
        <v>101</v>
      </c>
      <c r="C1404" s="2" t="s">
        <v>108</v>
      </c>
      <c r="D1404" t="s">
        <v>39</v>
      </c>
      <c r="E1404">
        <v>20</v>
      </c>
    </row>
    <row r="1405" spans="1:6" x14ac:dyDescent="0.55000000000000004">
      <c r="A1405">
        <v>104</v>
      </c>
      <c r="B1405" t="s">
        <v>101</v>
      </c>
      <c r="C1405" t="s">
        <v>11</v>
      </c>
      <c r="D1405" t="s">
        <v>39</v>
      </c>
      <c r="E1405">
        <v>0</v>
      </c>
    </row>
    <row r="1406" spans="1:6" x14ac:dyDescent="0.55000000000000004">
      <c r="A1406">
        <v>104</v>
      </c>
      <c r="B1406" t="s">
        <v>101</v>
      </c>
      <c r="C1406" t="s">
        <v>12</v>
      </c>
      <c r="D1406" t="s">
        <v>40</v>
      </c>
      <c r="E1406">
        <v>0</v>
      </c>
    </row>
    <row r="1407" spans="1:6" x14ac:dyDescent="0.55000000000000004">
      <c r="A1407">
        <v>104</v>
      </c>
      <c r="B1407" t="s">
        <v>101</v>
      </c>
      <c r="C1407" t="s">
        <v>34</v>
      </c>
      <c r="D1407" t="s">
        <v>39</v>
      </c>
      <c r="E1407">
        <v>0</v>
      </c>
    </row>
    <row r="1408" spans="1:6" x14ac:dyDescent="0.55000000000000004">
      <c r="A1408">
        <v>104</v>
      </c>
      <c r="B1408" t="s">
        <v>101</v>
      </c>
      <c r="C1408" t="s">
        <v>35</v>
      </c>
      <c r="D1408" t="s">
        <v>39</v>
      </c>
      <c r="E1408">
        <v>0</v>
      </c>
    </row>
    <row r="1409" spans="1:5" x14ac:dyDescent="0.55000000000000004">
      <c r="A1409">
        <v>104</v>
      </c>
      <c r="B1409" t="s">
        <v>101</v>
      </c>
      <c r="C1409" t="s">
        <v>36</v>
      </c>
      <c r="D1409" t="s">
        <v>39</v>
      </c>
      <c r="E1409">
        <v>0</v>
      </c>
    </row>
    <row r="1410" spans="1:5" x14ac:dyDescent="0.55000000000000004">
      <c r="A1410">
        <v>104</v>
      </c>
      <c r="B1410" t="s">
        <v>101</v>
      </c>
      <c r="C1410" t="s">
        <v>37</v>
      </c>
      <c r="D1410" t="s">
        <v>39</v>
      </c>
      <c r="E1410">
        <v>0</v>
      </c>
    </row>
    <row r="1411" spans="1:5" x14ac:dyDescent="0.55000000000000004">
      <c r="A1411">
        <v>104</v>
      </c>
      <c r="B1411" t="s">
        <v>101</v>
      </c>
      <c r="C1411" t="s">
        <v>14</v>
      </c>
      <c r="D1411" t="s">
        <v>39</v>
      </c>
      <c r="E1411">
        <v>0</v>
      </c>
    </row>
    <row r="1412" spans="1:5" x14ac:dyDescent="0.55000000000000004">
      <c r="A1412">
        <v>104</v>
      </c>
      <c r="B1412" t="s">
        <v>101</v>
      </c>
      <c r="C1412" t="s">
        <v>13</v>
      </c>
      <c r="D1412" t="s">
        <v>39</v>
      </c>
      <c r="E1412">
        <v>0</v>
      </c>
    </row>
    <row r="1413" spans="1:5" x14ac:dyDescent="0.55000000000000004">
      <c r="A1413">
        <v>104</v>
      </c>
      <c r="B1413" t="s">
        <v>101</v>
      </c>
      <c r="C1413" t="s">
        <v>110</v>
      </c>
      <c r="D1413" t="s">
        <v>39</v>
      </c>
      <c r="E1413">
        <v>100</v>
      </c>
    </row>
    <row r="1414" spans="1:5" x14ac:dyDescent="0.55000000000000004">
      <c r="A1414">
        <v>104</v>
      </c>
      <c r="B1414" t="s">
        <v>101</v>
      </c>
      <c r="C1414" t="s">
        <v>223</v>
      </c>
      <c r="D1414" t="s">
        <v>39</v>
      </c>
      <c r="E1414">
        <v>0</v>
      </c>
    </row>
    <row r="1415" spans="1:5" x14ac:dyDescent="0.55000000000000004">
      <c r="A1415">
        <v>104</v>
      </c>
      <c r="B1415" t="s">
        <v>101</v>
      </c>
      <c r="C1415" t="s">
        <v>133</v>
      </c>
      <c r="D1415" t="s">
        <v>118</v>
      </c>
    </row>
    <row r="1416" spans="1:5" x14ac:dyDescent="0.55000000000000004">
      <c r="A1416">
        <v>104</v>
      </c>
      <c r="B1416" t="s">
        <v>111</v>
      </c>
      <c r="C1416" t="s">
        <v>18</v>
      </c>
      <c r="D1416" t="s">
        <v>42</v>
      </c>
      <c r="E1416">
        <v>18.100000000000001</v>
      </c>
    </row>
    <row r="1417" spans="1:5" x14ac:dyDescent="0.55000000000000004">
      <c r="A1417">
        <v>104</v>
      </c>
      <c r="B1417" t="s">
        <v>111</v>
      </c>
      <c r="C1417" t="s">
        <v>15</v>
      </c>
      <c r="D1417" t="s">
        <v>41</v>
      </c>
      <c r="E1417">
        <v>9.61</v>
      </c>
    </row>
    <row r="1418" spans="1:5" x14ac:dyDescent="0.55000000000000004">
      <c r="A1418">
        <v>104</v>
      </c>
      <c r="B1418" t="s">
        <v>111</v>
      </c>
      <c r="C1418" t="s">
        <v>16</v>
      </c>
      <c r="D1418" t="s">
        <v>39</v>
      </c>
      <c r="E1418">
        <v>101.8</v>
      </c>
    </row>
    <row r="1419" spans="1:5" x14ac:dyDescent="0.55000000000000004">
      <c r="A1419">
        <v>104</v>
      </c>
      <c r="B1419" t="s">
        <v>111</v>
      </c>
      <c r="C1419" t="s">
        <v>112</v>
      </c>
      <c r="D1419" t="s">
        <v>113</v>
      </c>
      <c r="E1419">
        <v>138.30000000000001</v>
      </c>
    </row>
    <row r="1420" spans="1:5" x14ac:dyDescent="0.55000000000000004">
      <c r="A1420">
        <v>104</v>
      </c>
      <c r="B1420" t="s">
        <v>111</v>
      </c>
      <c r="C1420" t="s">
        <v>17</v>
      </c>
      <c r="E1420">
        <v>8.2100000000000009</v>
      </c>
    </row>
    <row r="1421" spans="1:5" x14ac:dyDescent="0.55000000000000004">
      <c r="A1421">
        <v>104</v>
      </c>
      <c r="B1421" t="s">
        <v>249</v>
      </c>
      <c r="C1421" t="s">
        <v>114</v>
      </c>
      <c r="D1421" t="s">
        <v>39</v>
      </c>
      <c r="E1421">
        <v>5</v>
      </c>
    </row>
    <row r="1422" spans="1:5" x14ac:dyDescent="0.55000000000000004">
      <c r="A1422">
        <v>104</v>
      </c>
      <c r="B1422" t="s">
        <v>249</v>
      </c>
      <c r="C1422" t="s">
        <v>250</v>
      </c>
    </row>
    <row r="1423" spans="1:5" x14ac:dyDescent="0.55000000000000004">
      <c r="A1423">
        <v>104</v>
      </c>
      <c r="B1423" t="s">
        <v>249</v>
      </c>
      <c r="C1423" t="s">
        <v>115</v>
      </c>
      <c r="D1423" t="s">
        <v>39</v>
      </c>
      <c r="E1423">
        <v>85</v>
      </c>
    </row>
    <row r="1424" spans="1:5" x14ac:dyDescent="0.55000000000000004">
      <c r="A1424">
        <v>104</v>
      </c>
      <c r="B1424" t="s">
        <v>249</v>
      </c>
      <c r="C1424" t="s">
        <v>251</v>
      </c>
    </row>
    <row r="1425" spans="1:6" x14ac:dyDescent="0.55000000000000004">
      <c r="A1425">
        <v>104</v>
      </c>
      <c r="B1425" t="s">
        <v>249</v>
      </c>
      <c r="C1425" t="s">
        <v>116</v>
      </c>
      <c r="D1425" t="s">
        <v>40</v>
      </c>
      <c r="E1425">
        <v>1</v>
      </c>
    </row>
    <row r="1426" spans="1:6" x14ac:dyDescent="0.55000000000000004">
      <c r="A1426">
        <v>104</v>
      </c>
      <c r="B1426" t="s">
        <v>249</v>
      </c>
      <c r="C1426" t="s">
        <v>252</v>
      </c>
    </row>
    <row r="1427" spans="1:6" x14ac:dyDescent="0.55000000000000004">
      <c r="A1427">
        <v>104</v>
      </c>
      <c r="B1427" t="s">
        <v>249</v>
      </c>
      <c r="C1427" t="s">
        <v>117</v>
      </c>
      <c r="D1427" t="s">
        <v>39</v>
      </c>
      <c r="E1427">
        <v>10</v>
      </c>
    </row>
    <row r="1428" spans="1:6" x14ac:dyDescent="0.55000000000000004">
      <c r="A1428">
        <v>104</v>
      </c>
      <c r="B1428" t="s">
        <v>249</v>
      </c>
      <c r="C1428" t="s">
        <v>21</v>
      </c>
    </row>
    <row r="1429" spans="1:6" x14ac:dyDescent="0.55000000000000004">
      <c r="A1429">
        <v>105</v>
      </c>
      <c r="B1429" t="s">
        <v>101</v>
      </c>
      <c r="C1429" t="s">
        <v>102</v>
      </c>
      <c r="D1429" t="s">
        <v>103</v>
      </c>
      <c r="E1429" s="1"/>
      <c r="F1429" t="s">
        <v>132</v>
      </c>
    </row>
    <row r="1430" spans="1:6" x14ac:dyDescent="0.55000000000000004">
      <c r="A1430">
        <v>105</v>
      </c>
      <c r="B1430" t="s">
        <v>101</v>
      </c>
      <c r="C1430" s="12" t="s">
        <v>104</v>
      </c>
      <c r="D1430" t="s">
        <v>40</v>
      </c>
      <c r="E1430">
        <v>1</v>
      </c>
    </row>
    <row r="1431" spans="1:6" x14ac:dyDescent="0.55000000000000004">
      <c r="A1431">
        <v>105</v>
      </c>
      <c r="B1431" t="s">
        <v>101</v>
      </c>
      <c r="C1431" t="s">
        <v>8</v>
      </c>
      <c r="D1431" t="s">
        <v>38</v>
      </c>
    </row>
    <row r="1432" spans="1:6" x14ac:dyDescent="0.55000000000000004">
      <c r="A1432">
        <v>105</v>
      </c>
      <c r="B1432" t="s">
        <v>101</v>
      </c>
      <c r="C1432" t="s">
        <v>214</v>
      </c>
      <c r="D1432" t="s">
        <v>38</v>
      </c>
      <c r="E1432">
        <v>2</v>
      </c>
    </row>
    <row r="1433" spans="1:6" x14ac:dyDescent="0.55000000000000004">
      <c r="A1433">
        <v>105</v>
      </c>
      <c r="B1433" t="s">
        <v>101</v>
      </c>
      <c r="C1433" t="s">
        <v>105</v>
      </c>
      <c r="D1433" t="s">
        <v>106</v>
      </c>
      <c r="E1433">
        <f>E1432/10</f>
        <v>0.2</v>
      </c>
      <c r="F1433" t="s">
        <v>107</v>
      </c>
    </row>
    <row r="1434" spans="1:6" x14ac:dyDescent="0.55000000000000004">
      <c r="A1434">
        <v>105</v>
      </c>
      <c r="B1434" t="s">
        <v>101</v>
      </c>
      <c r="C1434" s="2" t="s">
        <v>109</v>
      </c>
      <c r="D1434" t="s">
        <v>39</v>
      </c>
      <c r="E1434">
        <v>100</v>
      </c>
    </row>
    <row r="1435" spans="1:6" x14ac:dyDescent="0.55000000000000004">
      <c r="A1435">
        <v>105</v>
      </c>
      <c r="B1435" t="s">
        <v>101</v>
      </c>
      <c r="C1435" s="2" t="s">
        <v>248</v>
      </c>
    </row>
    <row r="1436" spans="1:6" x14ac:dyDescent="0.55000000000000004">
      <c r="A1436">
        <v>105</v>
      </c>
      <c r="B1436" t="s">
        <v>101</v>
      </c>
      <c r="C1436" s="2" t="s">
        <v>108</v>
      </c>
      <c r="D1436" t="s">
        <v>39</v>
      </c>
      <c r="E1436">
        <v>100</v>
      </c>
    </row>
    <row r="1437" spans="1:6" x14ac:dyDescent="0.55000000000000004">
      <c r="A1437">
        <v>105</v>
      </c>
      <c r="B1437" t="s">
        <v>101</v>
      </c>
      <c r="C1437" t="s">
        <v>11</v>
      </c>
      <c r="D1437" t="s">
        <v>39</v>
      </c>
      <c r="E1437">
        <v>0</v>
      </c>
    </row>
    <row r="1438" spans="1:6" x14ac:dyDescent="0.55000000000000004">
      <c r="A1438">
        <v>105</v>
      </c>
      <c r="B1438" t="s">
        <v>101</v>
      </c>
      <c r="C1438" t="s">
        <v>12</v>
      </c>
      <c r="D1438" t="s">
        <v>40</v>
      </c>
      <c r="E1438">
        <v>0</v>
      </c>
    </row>
    <row r="1439" spans="1:6" x14ac:dyDescent="0.55000000000000004">
      <c r="A1439">
        <v>105</v>
      </c>
      <c r="B1439" t="s">
        <v>101</v>
      </c>
      <c r="C1439" t="s">
        <v>34</v>
      </c>
      <c r="D1439" t="s">
        <v>39</v>
      </c>
      <c r="E1439">
        <v>0</v>
      </c>
    </row>
    <row r="1440" spans="1:6" x14ac:dyDescent="0.55000000000000004">
      <c r="A1440">
        <v>105</v>
      </c>
      <c r="B1440" t="s">
        <v>101</v>
      </c>
      <c r="C1440" t="s">
        <v>35</v>
      </c>
      <c r="D1440" t="s">
        <v>39</v>
      </c>
      <c r="E1440">
        <v>60</v>
      </c>
    </row>
    <row r="1441" spans="1:5" x14ac:dyDescent="0.55000000000000004">
      <c r="A1441">
        <v>105</v>
      </c>
      <c r="B1441" t="s">
        <v>101</v>
      </c>
      <c r="C1441" t="s">
        <v>36</v>
      </c>
      <c r="D1441" t="s">
        <v>39</v>
      </c>
      <c r="E1441">
        <v>0</v>
      </c>
    </row>
    <row r="1442" spans="1:5" x14ac:dyDescent="0.55000000000000004">
      <c r="A1442">
        <v>105</v>
      </c>
      <c r="B1442" t="s">
        <v>101</v>
      </c>
      <c r="C1442" t="s">
        <v>37</v>
      </c>
      <c r="D1442" t="s">
        <v>39</v>
      </c>
      <c r="E1442">
        <v>0</v>
      </c>
    </row>
    <row r="1443" spans="1:5" x14ac:dyDescent="0.55000000000000004">
      <c r="A1443">
        <v>105</v>
      </c>
      <c r="B1443" t="s">
        <v>101</v>
      </c>
      <c r="C1443" t="s">
        <v>14</v>
      </c>
      <c r="D1443" t="s">
        <v>39</v>
      </c>
      <c r="E1443">
        <v>40</v>
      </c>
    </row>
    <row r="1444" spans="1:5" x14ac:dyDescent="0.55000000000000004">
      <c r="A1444">
        <v>105</v>
      </c>
      <c r="B1444" t="s">
        <v>101</v>
      </c>
      <c r="C1444" t="s">
        <v>13</v>
      </c>
      <c r="D1444" t="s">
        <v>39</v>
      </c>
      <c r="E1444">
        <v>0</v>
      </c>
    </row>
    <row r="1445" spans="1:5" x14ac:dyDescent="0.55000000000000004">
      <c r="A1445">
        <v>105</v>
      </c>
      <c r="B1445" t="s">
        <v>101</v>
      </c>
      <c r="C1445" t="s">
        <v>110</v>
      </c>
      <c r="D1445" t="s">
        <v>39</v>
      </c>
      <c r="E1445">
        <v>0</v>
      </c>
    </row>
    <row r="1446" spans="1:5" x14ac:dyDescent="0.55000000000000004">
      <c r="A1446">
        <v>105</v>
      </c>
      <c r="B1446" t="s">
        <v>101</v>
      </c>
      <c r="C1446" t="s">
        <v>223</v>
      </c>
      <c r="D1446" t="s">
        <v>39</v>
      </c>
      <c r="E1446">
        <v>0</v>
      </c>
    </row>
    <row r="1447" spans="1:5" x14ac:dyDescent="0.55000000000000004">
      <c r="A1447">
        <v>105</v>
      </c>
      <c r="B1447" t="s">
        <v>101</v>
      </c>
      <c r="C1447" t="s">
        <v>133</v>
      </c>
      <c r="D1447" t="s">
        <v>118</v>
      </c>
    </row>
    <row r="1448" spans="1:5" x14ac:dyDescent="0.55000000000000004">
      <c r="A1448">
        <v>105</v>
      </c>
      <c r="B1448" t="s">
        <v>111</v>
      </c>
      <c r="C1448" t="s">
        <v>18</v>
      </c>
      <c r="D1448" t="s">
        <v>42</v>
      </c>
      <c r="E1448">
        <v>16.600000000000001</v>
      </c>
    </row>
    <row r="1449" spans="1:5" x14ac:dyDescent="0.55000000000000004">
      <c r="A1449">
        <v>105</v>
      </c>
      <c r="B1449" t="s">
        <v>111</v>
      </c>
      <c r="C1449" t="s">
        <v>15</v>
      </c>
      <c r="D1449" t="s">
        <v>41</v>
      </c>
      <c r="E1449">
        <v>9.9</v>
      </c>
    </row>
    <row r="1450" spans="1:5" x14ac:dyDescent="0.55000000000000004">
      <c r="A1450">
        <v>105</v>
      </c>
      <c r="B1450" t="s">
        <v>111</v>
      </c>
      <c r="C1450" t="s">
        <v>16</v>
      </c>
      <c r="D1450" t="s">
        <v>39</v>
      </c>
      <c r="E1450">
        <v>101.5</v>
      </c>
    </row>
    <row r="1451" spans="1:5" x14ac:dyDescent="0.55000000000000004">
      <c r="A1451">
        <v>105</v>
      </c>
      <c r="B1451" t="s">
        <v>111</v>
      </c>
      <c r="C1451" t="s">
        <v>112</v>
      </c>
      <c r="D1451" t="s">
        <v>113</v>
      </c>
      <c r="E1451">
        <v>133.30000000000001</v>
      </c>
    </row>
    <row r="1452" spans="1:5" x14ac:dyDescent="0.55000000000000004">
      <c r="A1452">
        <v>105</v>
      </c>
      <c r="B1452" t="s">
        <v>111</v>
      </c>
      <c r="C1452" t="s">
        <v>17</v>
      </c>
      <c r="E1452">
        <v>8.02</v>
      </c>
    </row>
    <row r="1453" spans="1:5" x14ac:dyDescent="0.55000000000000004">
      <c r="A1453">
        <v>105</v>
      </c>
      <c r="B1453" t="s">
        <v>249</v>
      </c>
      <c r="C1453" t="s">
        <v>114</v>
      </c>
      <c r="D1453" t="s">
        <v>39</v>
      </c>
      <c r="E1453">
        <v>0</v>
      </c>
    </row>
    <row r="1454" spans="1:5" x14ac:dyDescent="0.55000000000000004">
      <c r="A1454">
        <v>105</v>
      </c>
      <c r="B1454" t="s">
        <v>249</v>
      </c>
      <c r="C1454" t="s">
        <v>250</v>
      </c>
    </row>
    <row r="1455" spans="1:5" x14ac:dyDescent="0.55000000000000004">
      <c r="A1455">
        <v>105</v>
      </c>
      <c r="B1455" t="s">
        <v>249</v>
      </c>
      <c r="C1455" t="s">
        <v>115</v>
      </c>
      <c r="D1455" t="s">
        <v>39</v>
      </c>
      <c r="E1455">
        <v>0</v>
      </c>
    </row>
    <row r="1456" spans="1:5" x14ac:dyDescent="0.55000000000000004">
      <c r="A1456">
        <v>105</v>
      </c>
      <c r="B1456" t="s">
        <v>249</v>
      </c>
      <c r="C1456" t="s">
        <v>251</v>
      </c>
    </row>
    <row r="1457" spans="1:6" x14ac:dyDescent="0.55000000000000004">
      <c r="A1457">
        <v>105</v>
      </c>
      <c r="B1457" t="s">
        <v>249</v>
      </c>
      <c r="C1457" t="s">
        <v>116</v>
      </c>
      <c r="D1457" t="s">
        <v>40</v>
      </c>
      <c r="E1457">
        <v>0</v>
      </c>
    </row>
    <row r="1458" spans="1:6" x14ac:dyDescent="0.55000000000000004">
      <c r="A1458">
        <v>105</v>
      </c>
      <c r="B1458" t="s">
        <v>249</v>
      </c>
      <c r="C1458" t="s">
        <v>252</v>
      </c>
    </row>
    <row r="1459" spans="1:6" x14ac:dyDescent="0.55000000000000004">
      <c r="A1459">
        <v>105</v>
      </c>
      <c r="B1459" t="s">
        <v>249</v>
      </c>
      <c r="C1459" t="s">
        <v>117</v>
      </c>
      <c r="D1459" t="s">
        <v>39</v>
      </c>
      <c r="E1459">
        <v>20</v>
      </c>
    </row>
    <row r="1460" spans="1:6" x14ac:dyDescent="0.55000000000000004">
      <c r="A1460">
        <v>105</v>
      </c>
      <c r="B1460" t="s">
        <v>249</v>
      </c>
      <c r="C1460" t="s">
        <v>21</v>
      </c>
    </row>
    <row r="1461" spans="1:6" x14ac:dyDescent="0.55000000000000004">
      <c r="A1461">
        <v>106</v>
      </c>
      <c r="B1461" t="s">
        <v>101</v>
      </c>
      <c r="C1461" t="s">
        <v>102</v>
      </c>
      <c r="D1461" t="s">
        <v>103</v>
      </c>
      <c r="E1461" s="1"/>
      <c r="F1461" t="s">
        <v>132</v>
      </c>
    </row>
    <row r="1462" spans="1:6" x14ac:dyDescent="0.55000000000000004">
      <c r="A1462">
        <v>106</v>
      </c>
      <c r="B1462" t="s">
        <v>101</v>
      </c>
      <c r="C1462" s="12" t="s">
        <v>104</v>
      </c>
      <c r="D1462" t="s">
        <v>40</v>
      </c>
      <c r="E1462">
        <v>1</v>
      </c>
    </row>
    <row r="1463" spans="1:6" x14ac:dyDescent="0.55000000000000004">
      <c r="A1463">
        <v>106</v>
      </c>
      <c r="B1463" t="s">
        <v>101</v>
      </c>
      <c r="C1463" t="s">
        <v>8</v>
      </c>
      <c r="D1463" t="s">
        <v>38</v>
      </c>
    </row>
    <row r="1464" spans="1:6" x14ac:dyDescent="0.55000000000000004">
      <c r="A1464">
        <v>106</v>
      </c>
      <c r="B1464" t="s">
        <v>101</v>
      </c>
      <c r="C1464" t="s">
        <v>214</v>
      </c>
      <c r="D1464" t="s">
        <v>38</v>
      </c>
      <c r="E1464">
        <v>1</v>
      </c>
    </row>
    <row r="1465" spans="1:6" x14ac:dyDescent="0.55000000000000004">
      <c r="A1465">
        <v>106</v>
      </c>
      <c r="B1465" t="s">
        <v>101</v>
      </c>
      <c r="C1465" t="s">
        <v>105</v>
      </c>
      <c r="D1465" t="s">
        <v>106</v>
      </c>
      <c r="E1465">
        <f>E1464/10</f>
        <v>0.1</v>
      </c>
      <c r="F1465" t="s">
        <v>107</v>
      </c>
    </row>
    <row r="1466" spans="1:6" x14ac:dyDescent="0.55000000000000004">
      <c r="A1466">
        <v>106</v>
      </c>
      <c r="B1466" t="s">
        <v>101</v>
      </c>
      <c r="C1466" s="2" t="s">
        <v>109</v>
      </c>
      <c r="D1466" t="s">
        <v>39</v>
      </c>
      <c r="E1466">
        <v>50</v>
      </c>
    </row>
    <row r="1467" spans="1:6" x14ac:dyDescent="0.55000000000000004">
      <c r="A1467">
        <v>106</v>
      </c>
      <c r="B1467" t="s">
        <v>101</v>
      </c>
      <c r="C1467" s="2" t="s">
        <v>248</v>
      </c>
    </row>
    <row r="1468" spans="1:6" x14ac:dyDescent="0.55000000000000004">
      <c r="A1468">
        <v>106</v>
      </c>
      <c r="B1468" t="s">
        <v>101</v>
      </c>
      <c r="C1468" s="2" t="s">
        <v>108</v>
      </c>
      <c r="D1468" t="s">
        <v>39</v>
      </c>
      <c r="E1468">
        <v>0</v>
      </c>
    </row>
    <row r="1469" spans="1:6" x14ac:dyDescent="0.55000000000000004">
      <c r="A1469">
        <v>106</v>
      </c>
      <c r="B1469" t="s">
        <v>101</v>
      </c>
      <c r="C1469" t="s">
        <v>11</v>
      </c>
      <c r="D1469" t="s">
        <v>39</v>
      </c>
      <c r="E1469">
        <v>0</v>
      </c>
    </row>
    <row r="1470" spans="1:6" x14ac:dyDescent="0.55000000000000004">
      <c r="A1470">
        <v>106</v>
      </c>
      <c r="B1470" t="s">
        <v>101</v>
      </c>
      <c r="C1470" t="s">
        <v>12</v>
      </c>
      <c r="D1470" t="s">
        <v>40</v>
      </c>
      <c r="E1470">
        <v>0</v>
      </c>
    </row>
    <row r="1471" spans="1:6" x14ac:dyDescent="0.55000000000000004">
      <c r="A1471">
        <v>106</v>
      </c>
      <c r="B1471" t="s">
        <v>101</v>
      </c>
      <c r="C1471" t="s">
        <v>34</v>
      </c>
      <c r="D1471" t="s">
        <v>39</v>
      </c>
      <c r="E1471">
        <v>0</v>
      </c>
    </row>
    <row r="1472" spans="1:6" x14ac:dyDescent="0.55000000000000004">
      <c r="A1472">
        <v>106</v>
      </c>
      <c r="B1472" t="s">
        <v>101</v>
      </c>
      <c r="C1472" t="s">
        <v>35</v>
      </c>
      <c r="D1472" t="s">
        <v>39</v>
      </c>
      <c r="E1472">
        <v>0</v>
      </c>
    </row>
    <row r="1473" spans="1:5" x14ac:dyDescent="0.55000000000000004">
      <c r="A1473">
        <v>106</v>
      </c>
      <c r="B1473" t="s">
        <v>101</v>
      </c>
      <c r="C1473" t="s">
        <v>36</v>
      </c>
      <c r="D1473" t="s">
        <v>39</v>
      </c>
      <c r="E1473">
        <v>0</v>
      </c>
    </row>
    <row r="1474" spans="1:5" x14ac:dyDescent="0.55000000000000004">
      <c r="A1474">
        <v>106</v>
      </c>
      <c r="B1474" t="s">
        <v>101</v>
      </c>
      <c r="C1474" t="s">
        <v>37</v>
      </c>
      <c r="D1474" t="s">
        <v>39</v>
      </c>
      <c r="E1474">
        <v>5</v>
      </c>
    </row>
    <row r="1475" spans="1:5" x14ac:dyDescent="0.55000000000000004">
      <c r="A1475">
        <v>106</v>
      </c>
      <c r="B1475" t="s">
        <v>101</v>
      </c>
      <c r="C1475" t="s">
        <v>14</v>
      </c>
      <c r="D1475" t="s">
        <v>39</v>
      </c>
      <c r="E1475">
        <v>95</v>
      </c>
    </row>
    <row r="1476" spans="1:5" x14ac:dyDescent="0.55000000000000004">
      <c r="A1476">
        <v>106</v>
      </c>
      <c r="B1476" t="s">
        <v>101</v>
      </c>
      <c r="C1476" t="s">
        <v>13</v>
      </c>
      <c r="D1476" t="s">
        <v>39</v>
      </c>
      <c r="E1476">
        <v>0</v>
      </c>
    </row>
    <row r="1477" spans="1:5" x14ac:dyDescent="0.55000000000000004">
      <c r="A1477">
        <v>106</v>
      </c>
      <c r="B1477" t="s">
        <v>101</v>
      </c>
      <c r="C1477" t="s">
        <v>110</v>
      </c>
      <c r="D1477" t="s">
        <v>39</v>
      </c>
      <c r="E1477">
        <v>0</v>
      </c>
    </row>
    <row r="1478" spans="1:5" x14ac:dyDescent="0.55000000000000004">
      <c r="A1478">
        <v>106</v>
      </c>
      <c r="B1478" t="s">
        <v>101</v>
      </c>
      <c r="C1478" t="s">
        <v>223</v>
      </c>
      <c r="D1478" t="s">
        <v>39</v>
      </c>
      <c r="E1478">
        <v>0</v>
      </c>
    </row>
    <row r="1479" spans="1:5" x14ac:dyDescent="0.55000000000000004">
      <c r="A1479">
        <v>106</v>
      </c>
      <c r="B1479" t="s">
        <v>101</v>
      </c>
      <c r="C1479" t="s">
        <v>133</v>
      </c>
      <c r="D1479" t="s">
        <v>118</v>
      </c>
    </row>
    <row r="1480" spans="1:5" x14ac:dyDescent="0.55000000000000004">
      <c r="A1480">
        <v>106</v>
      </c>
      <c r="B1480" t="s">
        <v>111</v>
      </c>
      <c r="C1480" t="s">
        <v>18</v>
      </c>
      <c r="D1480" t="s">
        <v>42</v>
      </c>
      <c r="E1480">
        <v>16.8</v>
      </c>
    </row>
    <row r="1481" spans="1:5" x14ac:dyDescent="0.55000000000000004">
      <c r="A1481">
        <v>106</v>
      </c>
      <c r="B1481" t="s">
        <v>111</v>
      </c>
      <c r="C1481" t="s">
        <v>15</v>
      </c>
      <c r="D1481" t="s">
        <v>41</v>
      </c>
      <c r="E1481">
        <v>10.06</v>
      </c>
    </row>
    <row r="1482" spans="1:5" x14ac:dyDescent="0.55000000000000004">
      <c r="A1482">
        <v>106</v>
      </c>
      <c r="B1482" t="s">
        <v>111</v>
      </c>
      <c r="C1482" t="s">
        <v>16</v>
      </c>
      <c r="D1482" t="s">
        <v>39</v>
      </c>
      <c r="E1482">
        <v>103.6</v>
      </c>
    </row>
    <row r="1483" spans="1:5" x14ac:dyDescent="0.55000000000000004">
      <c r="A1483">
        <v>106</v>
      </c>
      <c r="B1483" t="s">
        <v>111</v>
      </c>
      <c r="C1483" t="s">
        <v>112</v>
      </c>
      <c r="D1483" t="s">
        <v>113</v>
      </c>
      <c r="E1483">
        <v>131.30000000000001</v>
      </c>
    </row>
    <row r="1484" spans="1:5" x14ac:dyDescent="0.55000000000000004">
      <c r="A1484">
        <v>106</v>
      </c>
      <c r="B1484" t="s">
        <v>111</v>
      </c>
      <c r="C1484" t="s">
        <v>17</v>
      </c>
      <c r="E1484">
        <v>7.98</v>
      </c>
    </row>
    <row r="1485" spans="1:5" x14ac:dyDescent="0.55000000000000004">
      <c r="A1485">
        <v>106</v>
      </c>
      <c r="B1485" t="s">
        <v>249</v>
      </c>
      <c r="C1485" t="s">
        <v>114</v>
      </c>
      <c r="D1485" t="s">
        <v>39</v>
      </c>
      <c r="E1485">
        <v>0</v>
      </c>
    </row>
    <row r="1486" spans="1:5" x14ac:dyDescent="0.55000000000000004">
      <c r="A1486">
        <v>106</v>
      </c>
      <c r="B1486" t="s">
        <v>249</v>
      </c>
      <c r="C1486" t="s">
        <v>250</v>
      </c>
    </row>
    <row r="1487" spans="1:5" x14ac:dyDescent="0.55000000000000004">
      <c r="A1487">
        <v>106</v>
      </c>
      <c r="B1487" t="s">
        <v>249</v>
      </c>
      <c r="C1487" t="s">
        <v>115</v>
      </c>
      <c r="D1487" t="s">
        <v>39</v>
      </c>
      <c r="E1487">
        <v>10</v>
      </c>
    </row>
    <row r="1488" spans="1:5" x14ac:dyDescent="0.55000000000000004">
      <c r="A1488">
        <v>106</v>
      </c>
      <c r="B1488" t="s">
        <v>249</v>
      </c>
      <c r="C1488" t="s">
        <v>251</v>
      </c>
    </row>
    <row r="1489" spans="1:6" x14ac:dyDescent="0.55000000000000004">
      <c r="A1489">
        <v>106</v>
      </c>
      <c r="B1489" t="s">
        <v>249</v>
      </c>
      <c r="C1489" t="s">
        <v>116</v>
      </c>
      <c r="D1489" t="s">
        <v>40</v>
      </c>
      <c r="E1489">
        <v>1</v>
      </c>
    </row>
    <row r="1490" spans="1:6" x14ac:dyDescent="0.55000000000000004">
      <c r="A1490">
        <v>106</v>
      </c>
      <c r="B1490" t="s">
        <v>249</v>
      </c>
      <c r="C1490" t="s">
        <v>252</v>
      </c>
    </row>
    <row r="1491" spans="1:6" x14ac:dyDescent="0.55000000000000004">
      <c r="A1491">
        <v>106</v>
      </c>
      <c r="B1491" t="s">
        <v>249</v>
      </c>
      <c r="C1491" t="s">
        <v>117</v>
      </c>
      <c r="D1491" t="s">
        <v>39</v>
      </c>
      <c r="E1491">
        <v>2</v>
      </c>
    </row>
    <row r="1492" spans="1:6" x14ac:dyDescent="0.55000000000000004">
      <c r="A1492">
        <v>106</v>
      </c>
      <c r="B1492" t="s">
        <v>249</v>
      </c>
      <c r="C1492" t="s">
        <v>21</v>
      </c>
    </row>
    <row r="1493" spans="1:6" x14ac:dyDescent="0.55000000000000004">
      <c r="A1493">
        <v>107</v>
      </c>
      <c r="B1493" t="s">
        <v>101</v>
      </c>
      <c r="C1493" t="s">
        <v>102</v>
      </c>
      <c r="D1493" t="s">
        <v>103</v>
      </c>
      <c r="E1493" s="1"/>
      <c r="F1493" t="s">
        <v>132</v>
      </c>
    </row>
    <row r="1494" spans="1:6" x14ac:dyDescent="0.55000000000000004">
      <c r="A1494">
        <v>107</v>
      </c>
      <c r="B1494" t="s">
        <v>101</v>
      </c>
      <c r="C1494" s="12" t="s">
        <v>104</v>
      </c>
      <c r="D1494" t="s">
        <v>40</v>
      </c>
      <c r="E1494">
        <v>1</v>
      </c>
    </row>
    <row r="1495" spans="1:6" x14ac:dyDescent="0.55000000000000004">
      <c r="A1495">
        <v>107</v>
      </c>
      <c r="B1495" t="s">
        <v>101</v>
      </c>
      <c r="C1495" t="s">
        <v>8</v>
      </c>
      <c r="D1495" t="s">
        <v>38</v>
      </c>
    </row>
    <row r="1496" spans="1:6" x14ac:dyDescent="0.55000000000000004">
      <c r="A1496">
        <v>107</v>
      </c>
      <c r="B1496" t="s">
        <v>101</v>
      </c>
      <c r="C1496" t="s">
        <v>214</v>
      </c>
      <c r="D1496" t="s">
        <v>38</v>
      </c>
      <c r="E1496">
        <v>0.8</v>
      </c>
    </row>
    <row r="1497" spans="1:6" x14ac:dyDescent="0.55000000000000004">
      <c r="A1497">
        <v>107</v>
      </c>
      <c r="B1497" t="s">
        <v>101</v>
      </c>
      <c r="C1497" t="s">
        <v>105</v>
      </c>
      <c r="D1497" t="s">
        <v>106</v>
      </c>
      <c r="E1497">
        <f>E1496/10</f>
        <v>0.08</v>
      </c>
      <c r="F1497" t="s">
        <v>107</v>
      </c>
    </row>
    <row r="1498" spans="1:6" x14ac:dyDescent="0.55000000000000004">
      <c r="A1498">
        <v>107</v>
      </c>
      <c r="B1498" t="s">
        <v>101</v>
      </c>
      <c r="C1498" s="2" t="s">
        <v>109</v>
      </c>
      <c r="D1498" t="s">
        <v>39</v>
      </c>
      <c r="E1498">
        <v>0</v>
      </c>
    </row>
    <row r="1499" spans="1:6" x14ac:dyDescent="0.55000000000000004">
      <c r="A1499">
        <v>107</v>
      </c>
      <c r="B1499" t="s">
        <v>101</v>
      </c>
      <c r="C1499" s="2" t="s">
        <v>248</v>
      </c>
    </row>
    <row r="1500" spans="1:6" x14ac:dyDescent="0.55000000000000004">
      <c r="A1500">
        <v>107</v>
      </c>
      <c r="B1500" t="s">
        <v>101</v>
      </c>
      <c r="C1500" s="2" t="s">
        <v>108</v>
      </c>
      <c r="D1500" t="s">
        <v>39</v>
      </c>
      <c r="E1500">
        <v>0</v>
      </c>
    </row>
    <row r="1501" spans="1:6" x14ac:dyDescent="0.55000000000000004">
      <c r="A1501">
        <v>107</v>
      </c>
      <c r="B1501" t="s">
        <v>101</v>
      </c>
      <c r="C1501" t="s">
        <v>11</v>
      </c>
      <c r="D1501" t="s">
        <v>39</v>
      </c>
      <c r="E1501">
        <v>0</v>
      </c>
    </row>
    <row r="1502" spans="1:6" x14ac:dyDescent="0.55000000000000004">
      <c r="A1502">
        <v>107</v>
      </c>
      <c r="B1502" t="s">
        <v>101</v>
      </c>
      <c r="C1502" t="s">
        <v>12</v>
      </c>
      <c r="D1502" t="s">
        <v>40</v>
      </c>
      <c r="E1502">
        <v>0</v>
      </c>
    </row>
    <row r="1503" spans="1:6" x14ac:dyDescent="0.55000000000000004">
      <c r="A1503">
        <v>107</v>
      </c>
      <c r="B1503" t="s">
        <v>101</v>
      </c>
      <c r="C1503" t="s">
        <v>34</v>
      </c>
      <c r="D1503" t="s">
        <v>39</v>
      </c>
      <c r="E1503">
        <v>0</v>
      </c>
    </row>
    <row r="1504" spans="1:6" x14ac:dyDescent="0.55000000000000004">
      <c r="A1504">
        <v>107</v>
      </c>
      <c r="B1504" t="s">
        <v>101</v>
      </c>
      <c r="C1504" t="s">
        <v>35</v>
      </c>
      <c r="D1504" t="s">
        <v>39</v>
      </c>
      <c r="E1504">
        <v>0</v>
      </c>
    </row>
    <row r="1505" spans="1:5" x14ac:dyDescent="0.55000000000000004">
      <c r="A1505">
        <v>107</v>
      </c>
      <c r="B1505" t="s">
        <v>101</v>
      </c>
      <c r="C1505" t="s">
        <v>36</v>
      </c>
      <c r="D1505" t="s">
        <v>39</v>
      </c>
      <c r="E1505">
        <v>0</v>
      </c>
    </row>
    <row r="1506" spans="1:5" x14ac:dyDescent="0.55000000000000004">
      <c r="A1506">
        <v>107</v>
      </c>
      <c r="B1506" t="s">
        <v>101</v>
      </c>
      <c r="C1506" t="s">
        <v>37</v>
      </c>
      <c r="D1506" t="s">
        <v>39</v>
      </c>
      <c r="E1506">
        <v>50</v>
      </c>
    </row>
    <row r="1507" spans="1:5" x14ac:dyDescent="0.55000000000000004">
      <c r="A1507">
        <v>107</v>
      </c>
      <c r="B1507" t="s">
        <v>101</v>
      </c>
      <c r="C1507" t="s">
        <v>14</v>
      </c>
      <c r="D1507" t="s">
        <v>39</v>
      </c>
      <c r="E1507">
        <v>50</v>
      </c>
    </row>
    <row r="1508" spans="1:5" x14ac:dyDescent="0.55000000000000004">
      <c r="A1508">
        <v>107</v>
      </c>
      <c r="B1508" t="s">
        <v>101</v>
      </c>
      <c r="C1508" t="s">
        <v>13</v>
      </c>
      <c r="D1508" t="s">
        <v>39</v>
      </c>
      <c r="E1508">
        <v>0</v>
      </c>
    </row>
    <row r="1509" spans="1:5" x14ac:dyDescent="0.55000000000000004">
      <c r="A1509">
        <v>107</v>
      </c>
      <c r="B1509" t="s">
        <v>101</v>
      </c>
      <c r="C1509" t="s">
        <v>110</v>
      </c>
      <c r="D1509" t="s">
        <v>39</v>
      </c>
      <c r="E1509">
        <v>0</v>
      </c>
    </row>
    <row r="1510" spans="1:5" x14ac:dyDescent="0.55000000000000004">
      <c r="A1510">
        <v>107</v>
      </c>
      <c r="B1510" t="s">
        <v>101</v>
      </c>
      <c r="C1510" t="s">
        <v>223</v>
      </c>
      <c r="D1510" t="s">
        <v>39</v>
      </c>
      <c r="E1510">
        <v>0</v>
      </c>
    </row>
    <row r="1511" spans="1:5" x14ac:dyDescent="0.55000000000000004">
      <c r="A1511">
        <v>107</v>
      </c>
      <c r="B1511" t="s">
        <v>101</v>
      </c>
      <c r="C1511" t="s">
        <v>133</v>
      </c>
      <c r="D1511" t="s">
        <v>118</v>
      </c>
    </row>
    <row r="1512" spans="1:5" x14ac:dyDescent="0.55000000000000004">
      <c r="A1512">
        <v>107</v>
      </c>
      <c r="B1512" t="s">
        <v>111</v>
      </c>
      <c r="C1512" t="s">
        <v>18</v>
      </c>
      <c r="D1512" t="s">
        <v>42</v>
      </c>
      <c r="E1512">
        <v>18</v>
      </c>
    </row>
    <row r="1513" spans="1:5" x14ac:dyDescent="0.55000000000000004">
      <c r="A1513">
        <v>107</v>
      </c>
      <c r="B1513" t="s">
        <v>111</v>
      </c>
      <c r="C1513" t="s">
        <v>15</v>
      </c>
      <c r="D1513" t="s">
        <v>41</v>
      </c>
      <c r="E1513">
        <v>9.66</v>
      </c>
    </row>
    <row r="1514" spans="1:5" x14ac:dyDescent="0.55000000000000004">
      <c r="A1514">
        <v>107</v>
      </c>
      <c r="B1514" t="s">
        <v>111</v>
      </c>
      <c r="C1514" t="s">
        <v>16</v>
      </c>
      <c r="D1514" t="s">
        <v>39</v>
      </c>
      <c r="E1514">
        <v>101.8</v>
      </c>
    </row>
    <row r="1515" spans="1:5" x14ac:dyDescent="0.55000000000000004">
      <c r="A1515">
        <v>107</v>
      </c>
      <c r="B1515" t="s">
        <v>111</v>
      </c>
      <c r="C1515" t="s">
        <v>112</v>
      </c>
      <c r="D1515" t="s">
        <v>113</v>
      </c>
      <c r="E1515">
        <v>137.69999999999999</v>
      </c>
    </row>
    <row r="1516" spans="1:5" x14ac:dyDescent="0.55000000000000004">
      <c r="A1516">
        <v>107</v>
      </c>
      <c r="B1516" t="s">
        <v>111</v>
      </c>
      <c r="C1516" t="s">
        <v>17</v>
      </c>
      <c r="E1516">
        <v>7.89</v>
      </c>
    </row>
    <row r="1517" spans="1:5" x14ac:dyDescent="0.55000000000000004">
      <c r="A1517">
        <v>107</v>
      </c>
      <c r="B1517" t="s">
        <v>249</v>
      </c>
      <c r="C1517" t="s">
        <v>114</v>
      </c>
      <c r="D1517" t="s">
        <v>39</v>
      </c>
      <c r="E1517">
        <v>0</v>
      </c>
    </row>
    <row r="1518" spans="1:5" x14ac:dyDescent="0.55000000000000004">
      <c r="A1518">
        <v>107</v>
      </c>
      <c r="B1518" t="s">
        <v>249</v>
      </c>
      <c r="C1518" t="s">
        <v>250</v>
      </c>
    </row>
    <row r="1519" spans="1:5" x14ac:dyDescent="0.55000000000000004">
      <c r="A1519">
        <v>107</v>
      </c>
      <c r="B1519" t="s">
        <v>249</v>
      </c>
      <c r="C1519" t="s">
        <v>115</v>
      </c>
      <c r="D1519" t="s">
        <v>39</v>
      </c>
      <c r="E1519">
        <v>0</v>
      </c>
    </row>
    <row r="1520" spans="1:5" x14ac:dyDescent="0.55000000000000004">
      <c r="A1520">
        <v>107</v>
      </c>
      <c r="B1520" t="s">
        <v>249</v>
      </c>
      <c r="C1520" t="s">
        <v>251</v>
      </c>
    </row>
    <row r="1521" spans="1:6" x14ac:dyDescent="0.55000000000000004">
      <c r="A1521">
        <v>107</v>
      </c>
      <c r="B1521" t="s">
        <v>249</v>
      </c>
      <c r="C1521" t="s">
        <v>116</v>
      </c>
      <c r="D1521" t="s">
        <v>40</v>
      </c>
      <c r="E1521">
        <v>0</v>
      </c>
    </row>
    <row r="1522" spans="1:6" x14ac:dyDescent="0.55000000000000004">
      <c r="A1522">
        <v>107</v>
      </c>
      <c r="B1522" t="s">
        <v>249</v>
      </c>
      <c r="C1522" t="s">
        <v>252</v>
      </c>
    </row>
    <row r="1523" spans="1:6" x14ac:dyDescent="0.55000000000000004">
      <c r="A1523">
        <v>107</v>
      </c>
      <c r="B1523" t="s">
        <v>249</v>
      </c>
      <c r="C1523" t="s">
        <v>117</v>
      </c>
      <c r="D1523" t="s">
        <v>39</v>
      </c>
      <c r="E1523">
        <v>0</v>
      </c>
    </row>
    <row r="1524" spans="1:6" x14ac:dyDescent="0.55000000000000004">
      <c r="A1524">
        <v>107</v>
      </c>
      <c r="B1524" t="s">
        <v>249</v>
      </c>
      <c r="C1524" t="s">
        <v>21</v>
      </c>
    </row>
    <row r="1525" spans="1:6" x14ac:dyDescent="0.55000000000000004">
      <c r="A1525">
        <v>108</v>
      </c>
      <c r="B1525" t="s">
        <v>101</v>
      </c>
      <c r="C1525" t="s">
        <v>102</v>
      </c>
      <c r="D1525" t="s">
        <v>103</v>
      </c>
      <c r="E1525" s="1"/>
      <c r="F1525" t="s">
        <v>132</v>
      </c>
    </row>
    <row r="1526" spans="1:6" x14ac:dyDescent="0.55000000000000004">
      <c r="A1526">
        <v>108</v>
      </c>
      <c r="B1526" t="s">
        <v>101</v>
      </c>
      <c r="C1526" s="12" t="s">
        <v>104</v>
      </c>
      <c r="D1526" t="s">
        <v>40</v>
      </c>
      <c r="E1526">
        <v>1</v>
      </c>
    </row>
    <row r="1527" spans="1:6" x14ac:dyDescent="0.55000000000000004">
      <c r="A1527">
        <v>108</v>
      </c>
      <c r="B1527" t="s">
        <v>101</v>
      </c>
      <c r="C1527" t="s">
        <v>8</v>
      </c>
      <c r="D1527" t="s">
        <v>38</v>
      </c>
    </row>
    <row r="1528" spans="1:6" x14ac:dyDescent="0.55000000000000004">
      <c r="A1528">
        <v>108</v>
      </c>
      <c r="B1528" t="s">
        <v>101</v>
      </c>
      <c r="C1528" t="s">
        <v>214</v>
      </c>
      <c r="D1528" t="s">
        <v>38</v>
      </c>
      <c r="E1528">
        <v>1.5</v>
      </c>
    </row>
    <row r="1529" spans="1:6" x14ac:dyDescent="0.55000000000000004">
      <c r="A1529">
        <v>108</v>
      </c>
      <c r="B1529" t="s">
        <v>101</v>
      </c>
      <c r="C1529" t="s">
        <v>105</v>
      </c>
      <c r="D1529" t="s">
        <v>106</v>
      </c>
      <c r="E1529">
        <f>E1528/10</f>
        <v>0.15</v>
      </c>
      <c r="F1529" t="s">
        <v>107</v>
      </c>
    </row>
    <row r="1530" spans="1:6" x14ac:dyDescent="0.55000000000000004">
      <c r="A1530">
        <v>108</v>
      </c>
      <c r="B1530" t="s">
        <v>101</v>
      </c>
      <c r="C1530" s="2" t="s">
        <v>109</v>
      </c>
      <c r="D1530" t="s">
        <v>39</v>
      </c>
      <c r="E1530">
        <v>0</v>
      </c>
    </row>
    <row r="1531" spans="1:6" x14ac:dyDescent="0.55000000000000004">
      <c r="A1531">
        <v>108</v>
      </c>
      <c r="B1531" t="s">
        <v>101</v>
      </c>
      <c r="C1531" s="2" t="s">
        <v>248</v>
      </c>
    </row>
    <row r="1532" spans="1:6" x14ac:dyDescent="0.55000000000000004">
      <c r="A1532">
        <v>108</v>
      </c>
      <c r="B1532" t="s">
        <v>101</v>
      </c>
      <c r="C1532" s="2" t="s">
        <v>108</v>
      </c>
      <c r="D1532" t="s">
        <v>39</v>
      </c>
      <c r="E1532">
        <v>0</v>
      </c>
    </row>
    <row r="1533" spans="1:6" x14ac:dyDescent="0.55000000000000004">
      <c r="A1533">
        <v>108</v>
      </c>
      <c r="B1533" t="s">
        <v>101</v>
      </c>
      <c r="C1533" t="s">
        <v>11</v>
      </c>
      <c r="D1533" t="s">
        <v>39</v>
      </c>
      <c r="E1533">
        <v>0</v>
      </c>
    </row>
    <row r="1534" spans="1:6" x14ac:dyDescent="0.55000000000000004">
      <c r="A1534">
        <v>108</v>
      </c>
      <c r="B1534" t="s">
        <v>101</v>
      </c>
      <c r="C1534" t="s">
        <v>12</v>
      </c>
      <c r="D1534" t="s">
        <v>40</v>
      </c>
      <c r="E1534">
        <v>0</v>
      </c>
    </row>
    <row r="1535" spans="1:6" x14ac:dyDescent="0.55000000000000004">
      <c r="A1535">
        <v>108</v>
      </c>
      <c r="B1535" t="s">
        <v>101</v>
      </c>
      <c r="C1535" t="s">
        <v>34</v>
      </c>
      <c r="D1535" t="s">
        <v>39</v>
      </c>
      <c r="E1535">
        <v>0</v>
      </c>
    </row>
    <row r="1536" spans="1:6" x14ac:dyDescent="0.55000000000000004">
      <c r="A1536">
        <v>108</v>
      </c>
      <c r="B1536" t="s">
        <v>101</v>
      </c>
      <c r="C1536" t="s">
        <v>35</v>
      </c>
      <c r="D1536" t="s">
        <v>39</v>
      </c>
      <c r="E1536">
        <v>0</v>
      </c>
    </row>
    <row r="1537" spans="1:5" x14ac:dyDescent="0.55000000000000004">
      <c r="A1537">
        <v>108</v>
      </c>
      <c r="B1537" t="s">
        <v>101</v>
      </c>
      <c r="C1537" t="s">
        <v>36</v>
      </c>
      <c r="D1537" t="s">
        <v>39</v>
      </c>
      <c r="E1537">
        <v>0</v>
      </c>
    </row>
    <row r="1538" spans="1:5" x14ac:dyDescent="0.55000000000000004">
      <c r="A1538">
        <v>108</v>
      </c>
      <c r="B1538" t="s">
        <v>101</v>
      </c>
      <c r="C1538" t="s">
        <v>37</v>
      </c>
      <c r="D1538" t="s">
        <v>39</v>
      </c>
      <c r="E1538">
        <v>0</v>
      </c>
    </row>
    <row r="1539" spans="1:5" x14ac:dyDescent="0.55000000000000004">
      <c r="A1539">
        <v>108</v>
      </c>
      <c r="B1539" t="s">
        <v>101</v>
      </c>
      <c r="C1539" t="s">
        <v>14</v>
      </c>
      <c r="D1539" t="s">
        <v>39</v>
      </c>
      <c r="E1539">
        <v>100</v>
      </c>
    </row>
    <row r="1540" spans="1:5" x14ac:dyDescent="0.55000000000000004">
      <c r="A1540">
        <v>108</v>
      </c>
      <c r="B1540" t="s">
        <v>101</v>
      </c>
      <c r="C1540" t="s">
        <v>13</v>
      </c>
      <c r="D1540" t="s">
        <v>39</v>
      </c>
      <c r="E1540">
        <v>0</v>
      </c>
    </row>
    <row r="1541" spans="1:5" x14ac:dyDescent="0.55000000000000004">
      <c r="A1541">
        <v>108</v>
      </c>
      <c r="B1541" t="s">
        <v>101</v>
      </c>
      <c r="C1541" t="s">
        <v>110</v>
      </c>
      <c r="D1541" t="s">
        <v>39</v>
      </c>
      <c r="E1541">
        <v>0</v>
      </c>
    </row>
    <row r="1542" spans="1:5" x14ac:dyDescent="0.55000000000000004">
      <c r="A1542">
        <v>108</v>
      </c>
      <c r="B1542" t="s">
        <v>101</v>
      </c>
      <c r="C1542" t="s">
        <v>223</v>
      </c>
      <c r="D1542" t="s">
        <v>39</v>
      </c>
      <c r="E1542">
        <v>0</v>
      </c>
    </row>
    <row r="1543" spans="1:5" x14ac:dyDescent="0.55000000000000004">
      <c r="A1543">
        <v>108</v>
      </c>
      <c r="B1543" t="s">
        <v>101</v>
      </c>
      <c r="C1543" t="s">
        <v>133</v>
      </c>
      <c r="D1543" t="s">
        <v>118</v>
      </c>
    </row>
    <row r="1544" spans="1:5" x14ac:dyDescent="0.55000000000000004">
      <c r="A1544">
        <v>108</v>
      </c>
      <c r="B1544" t="s">
        <v>111</v>
      </c>
      <c r="C1544" t="s">
        <v>18</v>
      </c>
      <c r="D1544" t="s">
        <v>42</v>
      </c>
      <c r="E1544">
        <v>16.899999999999999</v>
      </c>
    </row>
    <row r="1545" spans="1:5" x14ac:dyDescent="0.55000000000000004">
      <c r="A1545">
        <v>108</v>
      </c>
      <c r="B1545" t="s">
        <v>111</v>
      </c>
      <c r="C1545" t="s">
        <v>15</v>
      </c>
      <c r="D1545" t="s">
        <v>41</v>
      </c>
      <c r="E1545">
        <v>10.31</v>
      </c>
    </row>
    <row r="1546" spans="1:5" x14ac:dyDescent="0.55000000000000004">
      <c r="A1546">
        <v>108</v>
      </c>
      <c r="B1546" t="s">
        <v>111</v>
      </c>
      <c r="C1546" t="s">
        <v>16</v>
      </c>
      <c r="D1546" t="s">
        <v>39</v>
      </c>
      <c r="E1546">
        <v>106.5</v>
      </c>
    </row>
    <row r="1547" spans="1:5" x14ac:dyDescent="0.55000000000000004">
      <c r="A1547">
        <v>108</v>
      </c>
      <c r="B1547" t="s">
        <v>111</v>
      </c>
      <c r="C1547" t="s">
        <v>112</v>
      </c>
      <c r="D1547" t="s">
        <v>113</v>
      </c>
      <c r="E1547">
        <v>145.19999999999999</v>
      </c>
    </row>
    <row r="1548" spans="1:5" x14ac:dyDescent="0.55000000000000004">
      <c r="A1548">
        <v>108</v>
      </c>
      <c r="B1548" t="s">
        <v>111</v>
      </c>
      <c r="C1548" t="s">
        <v>17</v>
      </c>
      <c r="E1548">
        <v>6.44</v>
      </c>
    </row>
    <row r="1549" spans="1:5" x14ac:dyDescent="0.55000000000000004">
      <c r="A1549">
        <v>108</v>
      </c>
      <c r="B1549" t="s">
        <v>249</v>
      </c>
      <c r="C1549" t="s">
        <v>114</v>
      </c>
      <c r="D1549" t="s">
        <v>39</v>
      </c>
      <c r="E1549">
        <v>5</v>
      </c>
    </row>
    <row r="1550" spans="1:5" x14ac:dyDescent="0.55000000000000004">
      <c r="A1550">
        <v>108</v>
      </c>
      <c r="B1550" t="s">
        <v>249</v>
      </c>
      <c r="C1550" t="s">
        <v>250</v>
      </c>
    </row>
    <row r="1551" spans="1:5" x14ac:dyDescent="0.55000000000000004">
      <c r="A1551">
        <v>108</v>
      </c>
      <c r="B1551" t="s">
        <v>249</v>
      </c>
      <c r="C1551" t="s">
        <v>115</v>
      </c>
      <c r="D1551" t="s">
        <v>39</v>
      </c>
      <c r="E1551">
        <v>40</v>
      </c>
    </row>
    <row r="1552" spans="1:5" x14ac:dyDescent="0.55000000000000004">
      <c r="A1552">
        <v>108</v>
      </c>
      <c r="B1552" t="s">
        <v>249</v>
      </c>
      <c r="C1552" t="s">
        <v>251</v>
      </c>
    </row>
    <row r="1553" spans="1:5" x14ac:dyDescent="0.55000000000000004">
      <c r="A1553">
        <v>108</v>
      </c>
      <c r="B1553" t="s">
        <v>249</v>
      </c>
      <c r="C1553" t="s">
        <v>116</v>
      </c>
      <c r="D1553" t="s">
        <v>40</v>
      </c>
      <c r="E1553">
        <v>0</v>
      </c>
    </row>
    <row r="1554" spans="1:5" x14ac:dyDescent="0.55000000000000004">
      <c r="A1554">
        <v>108</v>
      </c>
      <c r="B1554" t="s">
        <v>249</v>
      </c>
      <c r="C1554" t="s">
        <v>252</v>
      </c>
    </row>
    <row r="1555" spans="1:5" x14ac:dyDescent="0.55000000000000004">
      <c r="A1555">
        <v>108</v>
      </c>
      <c r="B1555" t="s">
        <v>249</v>
      </c>
      <c r="C1555" t="s">
        <v>117</v>
      </c>
      <c r="D1555" t="s">
        <v>39</v>
      </c>
      <c r="E1555">
        <v>0</v>
      </c>
    </row>
    <row r="1556" spans="1:5" x14ac:dyDescent="0.55000000000000004">
      <c r="A1556">
        <v>108</v>
      </c>
      <c r="B1556" t="s">
        <v>249</v>
      </c>
      <c r="C1556" t="s">
        <v>21</v>
      </c>
    </row>
    <row r="1557" spans="1:5" x14ac:dyDescent="0.55000000000000004">
      <c r="A1557">
        <v>109</v>
      </c>
      <c r="B1557" t="s">
        <v>101</v>
      </c>
      <c r="C1557" t="s">
        <v>102</v>
      </c>
      <c r="D1557" t="s">
        <v>103</v>
      </c>
      <c r="E1557" s="1"/>
    </row>
    <row r="1558" spans="1:5" x14ac:dyDescent="0.55000000000000004">
      <c r="A1558">
        <v>109</v>
      </c>
      <c r="B1558" t="s">
        <v>101</v>
      </c>
      <c r="C1558" s="12" t="s">
        <v>104</v>
      </c>
      <c r="D1558" t="s">
        <v>40</v>
      </c>
      <c r="E1558">
        <v>1</v>
      </c>
    </row>
    <row r="1559" spans="1:5" x14ac:dyDescent="0.55000000000000004">
      <c r="A1559">
        <v>109</v>
      </c>
      <c r="B1559" t="s">
        <v>101</v>
      </c>
      <c r="C1559" t="s">
        <v>8</v>
      </c>
      <c r="D1559" t="s">
        <v>38</v>
      </c>
    </row>
    <row r="1560" spans="1:5" x14ac:dyDescent="0.55000000000000004">
      <c r="A1560">
        <v>109</v>
      </c>
      <c r="B1560" t="s">
        <v>101</v>
      </c>
      <c r="C1560" t="s">
        <v>214</v>
      </c>
      <c r="D1560" t="s">
        <v>38</v>
      </c>
      <c r="E1560">
        <v>7</v>
      </c>
    </row>
    <row r="1561" spans="1:5" x14ac:dyDescent="0.55000000000000004">
      <c r="A1561">
        <v>109</v>
      </c>
      <c r="B1561" t="s">
        <v>101</v>
      </c>
      <c r="C1561" t="s">
        <v>105</v>
      </c>
      <c r="D1561" t="s">
        <v>106</v>
      </c>
      <c r="E1561">
        <f>E1560/10</f>
        <v>0.7</v>
      </c>
    </row>
    <row r="1562" spans="1:5" x14ac:dyDescent="0.55000000000000004">
      <c r="A1562">
        <v>109</v>
      </c>
      <c r="B1562" t="s">
        <v>101</v>
      </c>
      <c r="C1562" s="2" t="s">
        <v>109</v>
      </c>
      <c r="D1562" t="s">
        <v>39</v>
      </c>
      <c r="E1562">
        <v>100</v>
      </c>
    </row>
    <row r="1563" spans="1:5" x14ac:dyDescent="0.55000000000000004">
      <c r="A1563">
        <v>109</v>
      </c>
      <c r="B1563" t="s">
        <v>101</v>
      </c>
      <c r="C1563" s="2" t="s">
        <v>248</v>
      </c>
    </row>
    <row r="1564" spans="1:5" x14ac:dyDescent="0.55000000000000004">
      <c r="A1564">
        <v>109</v>
      </c>
      <c r="B1564" t="s">
        <v>101</v>
      </c>
      <c r="C1564" s="2" t="s">
        <v>108</v>
      </c>
      <c r="D1564" t="s">
        <v>39</v>
      </c>
      <c r="E1564">
        <v>100</v>
      </c>
    </row>
    <row r="1565" spans="1:5" x14ac:dyDescent="0.55000000000000004">
      <c r="A1565">
        <v>109</v>
      </c>
      <c r="B1565" t="s">
        <v>101</v>
      </c>
      <c r="C1565" t="s">
        <v>11</v>
      </c>
      <c r="D1565" t="s">
        <v>39</v>
      </c>
      <c r="E1565">
        <v>0</v>
      </c>
    </row>
    <row r="1566" spans="1:5" x14ac:dyDescent="0.55000000000000004">
      <c r="A1566">
        <v>109</v>
      </c>
      <c r="B1566" t="s">
        <v>101</v>
      </c>
      <c r="C1566" t="s">
        <v>12</v>
      </c>
      <c r="D1566" t="s">
        <v>40</v>
      </c>
      <c r="E1566">
        <v>0</v>
      </c>
    </row>
    <row r="1567" spans="1:5" x14ac:dyDescent="0.55000000000000004">
      <c r="A1567">
        <v>109</v>
      </c>
      <c r="B1567" t="s">
        <v>101</v>
      </c>
      <c r="C1567" t="s">
        <v>34</v>
      </c>
      <c r="D1567" t="s">
        <v>39</v>
      </c>
      <c r="E1567">
        <v>0</v>
      </c>
    </row>
    <row r="1568" spans="1:5" x14ac:dyDescent="0.55000000000000004">
      <c r="A1568">
        <v>109</v>
      </c>
      <c r="B1568" t="s">
        <v>101</v>
      </c>
      <c r="C1568" t="s">
        <v>35</v>
      </c>
      <c r="D1568" t="s">
        <v>39</v>
      </c>
      <c r="E1568">
        <v>30</v>
      </c>
    </row>
    <row r="1569" spans="1:5" x14ac:dyDescent="0.55000000000000004">
      <c r="A1569">
        <v>109</v>
      </c>
      <c r="B1569" t="s">
        <v>101</v>
      </c>
      <c r="C1569" t="s">
        <v>36</v>
      </c>
      <c r="D1569" t="s">
        <v>39</v>
      </c>
      <c r="E1569">
        <v>0</v>
      </c>
    </row>
    <row r="1570" spans="1:5" x14ac:dyDescent="0.55000000000000004">
      <c r="A1570">
        <v>109</v>
      </c>
      <c r="B1570" t="s">
        <v>101</v>
      </c>
      <c r="C1570" t="s">
        <v>37</v>
      </c>
      <c r="D1570" t="s">
        <v>39</v>
      </c>
      <c r="E1570">
        <v>0</v>
      </c>
    </row>
    <row r="1571" spans="1:5" x14ac:dyDescent="0.55000000000000004">
      <c r="A1571">
        <v>109</v>
      </c>
      <c r="B1571" t="s">
        <v>101</v>
      </c>
      <c r="C1571" t="s">
        <v>14</v>
      </c>
      <c r="D1571" t="s">
        <v>39</v>
      </c>
      <c r="E1571">
        <v>70</v>
      </c>
    </row>
    <row r="1572" spans="1:5" x14ac:dyDescent="0.55000000000000004">
      <c r="A1572">
        <v>109</v>
      </c>
      <c r="B1572" t="s">
        <v>101</v>
      </c>
      <c r="C1572" t="s">
        <v>13</v>
      </c>
      <c r="D1572" t="s">
        <v>39</v>
      </c>
      <c r="E1572">
        <v>0</v>
      </c>
    </row>
    <row r="1573" spans="1:5" x14ac:dyDescent="0.55000000000000004">
      <c r="A1573">
        <v>109</v>
      </c>
      <c r="B1573" t="s">
        <v>101</v>
      </c>
      <c r="C1573" t="s">
        <v>110</v>
      </c>
      <c r="D1573" t="s">
        <v>39</v>
      </c>
      <c r="E1573">
        <v>0</v>
      </c>
    </row>
    <row r="1574" spans="1:5" x14ac:dyDescent="0.55000000000000004">
      <c r="A1574">
        <v>109</v>
      </c>
      <c r="B1574" t="s">
        <v>101</v>
      </c>
      <c r="C1574" t="s">
        <v>223</v>
      </c>
      <c r="D1574" t="s">
        <v>39</v>
      </c>
      <c r="E1574">
        <v>0</v>
      </c>
    </row>
    <row r="1575" spans="1:5" x14ac:dyDescent="0.55000000000000004">
      <c r="A1575">
        <v>109</v>
      </c>
      <c r="B1575" t="s">
        <v>101</v>
      </c>
      <c r="C1575" t="s">
        <v>133</v>
      </c>
      <c r="D1575" t="s">
        <v>118</v>
      </c>
    </row>
    <row r="1576" spans="1:5" x14ac:dyDescent="0.55000000000000004">
      <c r="A1576">
        <v>109</v>
      </c>
      <c r="B1576" t="s">
        <v>111</v>
      </c>
      <c r="C1576" t="s">
        <v>18</v>
      </c>
      <c r="D1576" t="s">
        <v>42</v>
      </c>
      <c r="E1576">
        <v>16.3</v>
      </c>
    </row>
    <row r="1577" spans="1:5" x14ac:dyDescent="0.55000000000000004">
      <c r="A1577">
        <v>109</v>
      </c>
      <c r="B1577" t="s">
        <v>111</v>
      </c>
      <c r="C1577" t="s">
        <v>15</v>
      </c>
      <c r="D1577" t="s">
        <v>41</v>
      </c>
      <c r="E1577">
        <v>9.2100000000000009</v>
      </c>
    </row>
    <row r="1578" spans="1:5" x14ac:dyDescent="0.55000000000000004">
      <c r="A1578">
        <v>109</v>
      </c>
      <c r="B1578" t="s">
        <v>111</v>
      </c>
      <c r="C1578" t="s">
        <v>16</v>
      </c>
      <c r="D1578" t="s">
        <v>39</v>
      </c>
      <c r="E1578">
        <v>93.8</v>
      </c>
    </row>
    <row r="1579" spans="1:5" x14ac:dyDescent="0.55000000000000004">
      <c r="A1579">
        <v>109</v>
      </c>
      <c r="B1579" t="s">
        <v>111</v>
      </c>
      <c r="C1579" t="s">
        <v>112</v>
      </c>
      <c r="D1579" t="s">
        <v>113</v>
      </c>
      <c r="E1579">
        <v>61.9</v>
      </c>
    </row>
    <row r="1580" spans="1:5" x14ac:dyDescent="0.55000000000000004">
      <c r="A1580">
        <v>109</v>
      </c>
      <c r="B1580" t="s">
        <v>111</v>
      </c>
      <c r="C1580" t="s">
        <v>17</v>
      </c>
      <c r="E1580">
        <v>8.2799999999999994</v>
      </c>
    </row>
    <row r="1581" spans="1:5" x14ac:dyDescent="0.55000000000000004">
      <c r="A1581">
        <v>109</v>
      </c>
      <c r="B1581" t="s">
        <v>249</v>
      </c>
      <c r="C1581" t="s">
        <v>114</v>
      </c>
      <c r="D1581" t="s">
        <v>39</v>
      </c>
      <c r="E1581">
        <v>0</v>
      </c>
    </row>
    <row r="1582" spans="1:5" x14ac:dyDescent="0.55000000000000004">
      <c r="A1582">
        <v>109</v>
      </c>
      <c r="B1582" t="s">
        <v>249</v>
      </c>
      <c r="C1582" t="s">
        <v>250</v>
      </c>
    </row>
    <row r="1583" spans="1:5" x14ac:dyDescent="0.55000000000000004">
      <c r="A1583">
        <v>109</v>
      </c>
      <c r="B1583" t="s">
        <v>249</v>
      </c>
      <c r="C1583" t="s">
        <v>115</v>
      </c>
      <c r="D1583" t="s">
        <v>39</v>
      </c>
      <c r="E1583">
        <v>0</v>
      </c>
    </row>
    <row r="1584" spans="1:5" x14ac:dyDescent="0.55000000000000004">
      <c r="A1584">
        <v>109</v>
      </c>
      <c r="B1584" t="s">
        <v>249</v>
      </c>
      <c r="C1584" t="s">
        <v>251</v>
      </c>
    </row>
    <row r="1585" spans="1:5" x14ac:dyDescent="0.55000000000000004">
      <c r="A1585">
        <v>109</v>
      </c>
      <c r="B1585" t="s">
        <v>249</v>
      </c>
      <c r="C1585" t="s">
        <v>116</v>
      </c>
      <c r="D1585" t="s">
        <v>40</v>
      </c>
      <c r="E1585">
        <v>0</v>
      </c>
    </row>
    <row r="1586" spans="1:5" x14ac:dyDescent="0.55000000000000004">
      <c r="A1586">
        <v>109</v>
      </c>
      <c r="B1586" t="s">
        <v>249</v>
      </c>
      <c r="C1586" t="s">
        <v>252</v>
      </c>
    </row>
    <row r="1587" spans="1:5" x14ac:dyDescent="0.55000000000000004">
      <c r="A1587">
        <v>109</v>
      </c>
      <c r="B1587" t="s">
        <v>249</v>
      </c>
      <c r="C1587" t="s">
        <v>117</v>
      </c>
      <c r="D1587" t="s">
        <v>39</v>
      </c>
      <c r="E1587">
        <v>10</v>
      </c>
    </row>
    <row r="1588" spans="1:5" x14ac:dyDescent="0.55000000000000004">
      <c r="A1588">
        <v>109</v>
      </c>
      <c r="B1588" t="s">
        <v>249</v>
      </c>
      <c r="C1588" t="s">
        <v>21</v>
      </c>
    </row>
    <row r="1589" spans="1:5" x14ac:dyDescent="0.55000000000000004">
      <c r="A1589">
        <v>110</v>
      </c>
      <c r="B1589" t="s">
        <v>101</v>
      </c>
      <c r="C1589" t="s">
        <v>102</v>
      </c>
      <c r="D1589" t="s">
        <v>103</v>
      </c>
    </row>
    <row r="1590" spans="1:5" x14ac:dyDescent="0.55000000000000004">
      <c r="A1590">
        <v>110</v>
      </c>
      <c r="B1590" t="s">
        <v>101</v>
      </c>
      <c r="C1590" s="12" t="s">
        <v>104</v>
      </c>
      <c r="D1590" t="s">
        <v>40</v>
      </c>
      <c r="E1590">
        <v>1</v>
      </c>
    </row>
    <row r="1591" spans="1:5" x14ac:dyDescent="0.55000000000000004">
      <c r="A1591">
        <v>110</v>
      </c>
      <c r="B1591" t="s">
        <v>101</v>
      </c>
      <c r="C1591" t="s">
        <v>8</v>
      </c>
      <c r="D1591" t="s">
        <v>38</v>
      </c>
    </row>
    <row r="1592" spans="1:5" x14ac:dyDescent="0.55000000000000004">
      <c r="A1592">
        <v>110</v>
      </c>
      <c r="B1592" t="s">
        <v>101</v>
      </c>
      <c r="C1592" t="s">
        <v>214</v>
      </c>
      <c r="D1592" t="s">
        <v>38</v>
      </c>
      <c r="E1592">
        <v>0.6</v>
      </c>
    </row>
    <row r="1593" spans="1:5" x14ac:dyDescent="0.55000000000000004">
      <c r="A1593">
        <v>110</v>
      </c>
      <c r="B1593" t="s">
        <v>101</v>
      </c>
      <c r="C1593" t="s">
        <v>105</v>
      </c>
      <c r="D1593" t="s">
        <v>106</v>
      </c>
      <c r="E1593">
        <f>E1592/10</f>
        <v>0.06</v>
      </c>
    </row>
    <row r="1594" spans="1:5" x14ac:dyDescent="0.55000000000000004">
      <c r="A1594">
        <v>110</v>
      </c>
      <c r="B1594" t="s">
        <v>101</v>
      </c>
      <c r="C1594" s="2" t="s">
        <v>109</v>
      </c>
      <c r="D1594" t="s">
        <v>39</v>
      </c>
      <c r="E1594">
        <v>100</v>
      </c>
    </row>
    <row r="1595" spans="1:5" x14ac:dyDescent="0.55000000000000004">
      <c r="A1595">
        <v>110</v>
      </c>
      <c r="B1595" t="s">
        <v>101</v>
      </c>
      <c r="C1595" s="2" t="s">
        <v>248</v>
      </c>
    </row>
    <row r="1596" spans="1:5" x14ac:dyDescent="0.55000000000000004">
      <c r="A1596">
        <v>110</v>
      </c>
      <c r="B1596" t="s">
        <v>101</v>
      </c>
      <c r="C1596" s="2" t="s">
        <v>108</v>
      </c>
      <c r="D1596" t="s">
        <v>39</v>
      </c>
      <c r="E1596">
        <v>80</v>
      </c>
    </row>
    <row r="1597" spans="1:5" x14ac:dyDescent="0.55000000000000004">
      <c r="A1597">
        <v>110</v>
      </c>
      <c r="B1597" t="s">
        <v>101</v>
      </c>
      <c r="C1597" t="s">
        <v>11</v>
      </c>
      <c r="D1597" t="s">
        <v>39</v>
      </c>
      <c r="E1597">
        <v>0</v>
      </c>
    </row>
    <row r="1598" spans="1:5" x14ac:dyDescent="0.55000000000000004">
      <c r="A1598">
        <v>110</v>
      </c>
      <c r="B1598" t="s">
        <v>101</v>
      </c>
      <c r="C1598" t="s">
        <v>12</v>
      </c>
      <c r="D1598" t="s">
        <v>40</v>
      </c>
      <c r="E1598">
        <v>0</v>
      </c>
    </row>
    <row r="1599" spans="1:5" x14ac:dyDescent="0.55000000000000004">
      <c r="A1599">
        <v>110</v>
      </c>
      <c r="B1599" t="s">
        <v>101</v>
      </c>
      <c r="C1599" t="s">
        <v>34</v>
      </c>
      <c r="D1599" t="s">
        <v>39</v>
      </c>
      <c r="E1599">
        <v>0</v>
      </c>
    </row>
    <row r="1600" spans="1:5" x14ac:dyDescent="0.55000000000000004">
      <c r="A1600">
        <v>110</v>
      </c>
      <c r="B1600" t="s">
        <v>101</v>
      </c>
      <c r="C1600" t="s">
        <v>35</v>
      </c>
      <c r="D1600" t="s">
        <v>39</v>
      </c>
      <c r="E1600">
        <v>0</v>
      </c>
    </row>
    <row r="1601" spans="1:5" x14ac:dyDescent="0.55000000000000004">
      <c r="A1601">
        <v>110</v>
      </c>
      <c r="B1601" t="s">
        <v>101</v>
      </c>
      <c r="C1601" t="s">
        <v>36</v>
      </c>
      <c r="D1601" t="s">
        <v>39</v>
      </c>
      <c r="E1601">
        <v>0</v>
      </c>
    </row>
    <row r="1602" spans="1:5" x14ac:dyDescent="0.55000000000000004">
      <c r="A1602">
        <v>110</v>
      </c>
      <c r="B1602" t="s">
        <v>101</v>
      </c>
      <c r="C1602" t="s">
        <v>37</v>
      </c>
      <c r="D1602" t="s">
        <v>39</v>
      </c>
      <c r="E1602">
        <v>0</v>
      </c>
    </row>
    <row r="1603" spans="1:5" x14ac:dyDescent="0.55000000000000004">
      <c r="A1603">
        <v>110</v>
      </c>
      <c r="B1603" t="s">
        <v>101</v>
      </c>
      <c r="C1603" t="s">
        <v>14</v>
      </c>
      <c r="D1603" t="s">
        <v>39</v>
      </c>
      <c r="E1603">
        <v>90</v>
      </c>
    </row>
    <row r="1604" spans="1:5" x14ac:dyDescent="0.55000000000000004">
      <c r="A1604">
        <v>110</v>
      </c>
      <c r="B1604" t="s">
        <v>101</v>
      </c>
      <c r="C1604" t="s">
        <v>13</v>
      </c>
      <c r="D1604" t="s">
        <v>39</v>
      </c>
      <c r="E1604">
        <v>0</v>
      </c>
    </row>
    <row r="1605" spans="1:5" x14ac:dyDescent="0.55000000000000004">
      <c r="A1605">
        <v>110</v>
      </c>
      <c r="B1605" t="s">
        <v>101</v>
      </c>
      <c r="C1605" t="s">
        <v>110</v>
      </c>
      <c r="D1605" t="s">
        <v>39</v>
      </c>
      <c r="E1605">
        <v>10</v>
      </c>
    </row>
    <row r="1606" spans="1:5" x14ac:dyDescent="0.55000000000000004">
      <c r="A1606">
        <v>110</v>
      </c>
      <c r="B1606" t="s">
        <v>101</v>
      </c>
      <c r="C1606" t="s">
        <v>223</v>
      </c>
      <c r="D1606" t="s">
        <v>39</v>
      </c>
      <c r="E1606">
        <v>0</v>
      </c>
    </row>
    <row r="1607" spans="1:5" x14ac:dyDescent="0.55000000000000004">
      <c r="A1607">
        <v>110</v>
      </c>
      <c r="B1607" t="s">
        <v>101</v>
      </c>
      <c r="C1607" t="s">
        <v>133</v>
      </c>
      <c r="D1607" t="s">
        <v>118</v>
      </c>
    </row>
    <row r="1608" spans="1:5" x14ac:dyDescent="0.55000000000000004">
      <c r="A1608">
        <v>110</v>
      </c>
      <c r="B1608" t="s">
        <v>111</v>
      </c>
      <c r="C1608" t="s">
        <v>18</v>
      </c>
      <c r="D1608" t="s">
        <v>42</v>
      </c>
      <c r="E1608">
        <v>16.3</v>
      </c>
    </row>
    <row r="1609" spans="1:5" x14ac:dyDescent="0.55000000000000004">
      <c r="A1609">
        <v>110</v>
      </c>
      <c r="B1609" t="s">
        <v>111</v>
      </c>
      <c r="C1609" t="s">
        <v>15</v>
      </c>
      <c r="D1609" t="s">
        <v>41</v>
      </c>
      <c r="E1609">
        <v>9.61</v>
      </c>
    </row>
    <row r="1610" spans="1:5" x14ac:dyDescent="0.55000000000000004">
      <c r="A1610">
        <v>110</v>
      </c>
      <c r="B1610" t="s">
        <v>111</v>
      </c>
      <c r="C1610" t="s">
        <v>16</v>
      </c>
      <c r="D1610" t="s">
        <v>39</v>
      </c>
      <c r="E1610">
        <v>98</v>
      </c>
    </row>
    <row r="1611" spans="1:5" x14ac:dyDescent="0.55000000000000004">
      <c r="A1611">
        <v>110</v>
      </c>
      <c r="B1611" t="s">
        <v>111</v>
      </c>
      <c r="C1611" t="s">
        <v>112</v>
      </c>
      <c r="D1611" t="s">
        <v>113</v>
      </c>
      <c r="E1611">
        <v>62.2</v>
      </c>
    </row>
    <row r="1612" spans="1:5" x14ac:dyDescent="0.55000000000000004">
      <c r="A1612">
        <v>110</v>
      </c>
      <c r="B1612" t="s">
        <v>111</v>
      </c>
      <c r="C1612" t="s">
        <v>17</v>
      </c>
      <c r="E1612">
        <v>8.35</v>
      </c>
    </row>
    <row r="1613" spans="1:5" x14ac:dyDescent="0.55000000000000004">
      <c r="A1613">
        <v>110</v>
      </c>
      <c r="B1613" t="s">
        <v>249</v>
      </c>
      <c r="C1613" t="s">
        <v>114</v>
      </c>
      <c r="D1613" t="s">
        <v>39</v>
      </c>
      <c r="E1613">
        <v>0</v>
      </c>
    </row>
    <row r="1614" spans="1:5" x14ac:dyDescent="0.55000000000000004">
      <c r="A1614">
        <v>110</v>
      </c>
      <c r="B1614" t="s">
        <v>249</v>
      </c>
      <c r="C1614" t="s">
        <v>250</v>
      </c>
    </row>
    <row r="1615" spans="1:5" x14ac:dyDescent="0.55000000000000004">
      <c r="A1615">
        <v>110</v>
      </c>
      <c r="B1615" t="s">
        <v>249</v>
      </c>
      <c r="C1615" t="s">
        <v>115</v>
      </c>
      <c r="D1615" t="s">
        <v>39</v>
      </c>
      <c r="E1615">
        <v>0</v>
      </c>
    </row>
    <row r="1616" spans="1:5" x14ac:dyDescent="0.55000000000000004">
      <c r="A1616">
        <v>110</v>
      </c>
      <c r="B1616" t="s">
        <v>249</v>
      </c>
      <c r="C1616" t="s">
        <v>251</v>
      </c>
    </row>
    <row r="1617" spans="1:5" x14ac:dyDescent="0.55000000000000004">
      <c r="A1617">
        <v>110</v>
      </c>
      <c r="B1617" t="s">
        <v>249</v>
      </c>
      <c r="C1617" t="s">
        <v>116</v>
      </c>
      <c r="D1617" t="s">
        <v>40</v>
      </c>
      <c r="E1617">
        <v>0</v>
      </c>
    </row>
    <row r="1618" spans="1:5" x14ac:dyDescent="0.55000000000000004">
      <c r="A1618">
        <v>110</v>
      </c>
      <c r="B1618" t="s">
        <v>249</v>
      </c>
      <c r="C1618" t="s">
        <v>252</v>
      </c>
    </row>
    <row r="1619" spans="1:5" x14ac:dyDescent="0.55000000000000004">
      <c r="A1619">
        <v>110</v>
      </c>
      <c r="B1619" t="s">
        <v>249</v>
      </c>
      <c r="C1619" t="s">
        <v>117</v>
      </c>
      <c r="D1619" t="s">
        <v>39</v>
      </c>
      <c r="E1619">
        <v>10</v>
      </c>
    </row>
    <row r="1620" spans="1:5" x14ac:dyDescent="0.55000000000000004">
      <c r="A1620">
        <v>110</v>
      </c>
      <c r="B1620" t="s">
        <v>249</v>
      </c>
      <c r="C1620" t="s">
        <v>21</v>
      </c>
    </row>
    <row r="1621" spans="1:5" x14ac:dyDescent="0.55000000000000004">
      <c r="A1621">
        <v>111</v>
      </c>
      <c r="B1621" t="s">
        <v>101</v>
      </c>
      <c r="C1621" t="s">
        <v>102</v>
      </c>
      <c r="D1621" t="s">
        <v>103</v>
      </c>
    </row>
    <row r="1622" spans="1:5" x14ac:dyDescent="0.55000000000000004">
      <c r="A1622">
        <v>111</v>
      </c>
      <c r="B1622" t="s">
        <v>101</v>
      </c>
      <c r="C1622" s="12" t="s">
        <v>104</v>
      </c>
      <c r="D1622" t="s">
        <v>40</v>
      </c>
      <c r="E1622">
        <v>1</v>
      </c>
    </row>
    <row r="1623" spans="1:5" x14ac:dyDescent="0.55000000000000004">
      <c r="A1623">
        <v>111</v>
      </c>
      <c r="B1623" t="s">
        <v>101</v>
      </c>
      <c r="C1623" t="s">
        <v>8</v>
      </c>
      <c r="D1623" t="s">
        <v>38</v>
      </c>
    </row>
    <row r="1624" spans="1:5" x14ac:dyDescent="0.55000000000000004">
      <c r="A1624">
        <v>111</v>
      </c>
      <c r="B1624" t="s">
        <v>101</v>
      </c>
      <c r="C1624" t="s">
        <v>214</v>
      </c>
      <c r="D1624" t="s">
        <v>38</v>
      </c>
      <c r="E1624">
        <v>3</v>
      </c>
    </row>
    <row r="1625" spans="1:5" x14ac:dyDescent="0.55000000000000004">
      <c r="A1625">
        <v>111</v>
      </c>
      <c r="B1625" t="s">
        <v>101</v>
      </c>
      <c r="C1625" t="s">
        <v>105</v>
      </c>
      <c r="D1625" t="s">
        <v>106</v>
      </c>
      <c r="E1625">
        <f>E1624/10</f>
        <v>0.3</v>
      </c>
    </row>
    <row r="1626" spans="1:5" x14ac:dyDescent="0.55000000000000004">
      <c r="A1626">
        <v>111</v>
      </c>
      <c r="B1626" t="s">
        <v>101</v>
      </c>
      <c r="C1626" s="2" t="s">
        <v>109</v>
      </c>
      <c r="D1626" t="s">
        <v>39</v>
      </c>
      <c r="E1626">
        <v>100</v>
      </c>
    </row>
    <row r="1627" spans="1:5" x14ac:dyDescent="0.55000000000000004">
      <c r="A1627">
        <v>111</v>
      </c>
      <c r="B1627" t="s">
        <v>101</v>
      </c>
      <c r="C1627" s="2" t="s">
        <v>248</v>
      </c>
    </row>
    <row r="1628" spans="1:5" x14ac:dyDescent="0.55000000000000004">
      <c r="A1628">
        <v>111</v>
      </c>
      <c r="B1628" t="s">
        <v>101</v>
      </c>
      <c r="C1628" s="2" t="s">
        <v>108</v>
      </c>
      <c r="D1628" t="s">
        <v>39</v>
      </c>
      <c r="E1628">
        <v>0</v>
      </c>
    </row>
    <row r="1629" spans="1:5" x14ac:dyDescent="0.55000000000000004">
      <c r="A1629">
        <v>111</v>
      </c>
      <c r="B1629" t="s">
        <v>101</v>
      </c>
      <c r="C1629" t="s">
        <v>11</v>
      </c>
      <c r="D1629" t="s">
        <v>39</v>
      </c>
      <c r="E1629">
        <v>0</v>
      </c>
    </row>
    <row r="1630" spans="1:5" x14ac:dyDescent="0.55000000000000004">
      <c r="A1630">
        <v>111</v>
      </c>
      <c r="B1630" t="s">
        <v>101</v>
      </c>
      <c r="C1630" t="s">
        <v>12</v>
      </c>
      <c r="D1630" t="s">
        <v>40</v>
      </c>
      <c r="E1630">
        <v>0</v>
      </c>
    </row>
    <row r="1631" spans="1:5" x14ac:dyDescent="0.55000000000000004">
      <c r="A1631">
        <v>111</v>
      </c>
      <c r="B1631" t="s">
        <v>101</v>
      </c>
      <c r="C1631" t="s">
        <v>34</v>
      </c>
      <c r="D1631" t="s">
        <v>39</v>
      </c>
      <c r="E1631">
        <v>0</v>
      </c>
    </row>
    <row r="1632" spans="1:5" x14ac:dyDescent="0.55000000000000004">
      <c r="A1632">
        <v>111</v>
      </c>
      <c r="B1632" t="s">
        <v>101</v>
      </c>
      <c r="C1632" t="s">
        <v>35</v>
      </c>
      <c r="D1632" t="s">
        <v>39</v>
      </c>
      <c r="E1632">
        <v>0</v>
      </c>
    </row>
    <row r="1633" spans="1:5" x14ac:dyDescent="0.55000000000000004">
      <c r="A1633">
        <v>111</v>
      </c>
      <c r="B1633" t="s">
        <v>101</v>
      </c>
      <c r="C1633" t="s">
        <v>36</v>
      </c>
      <c r="D1633" t="s">
        <v>39</v>
      </c>
      <c r="E1633">
        <v>0</v>
      </c>
    </row>
    <row r="1634" spans="1:5" x14ac:dyDescent="0.55000000000000004">
      <c r="A1634">
        <v>111</v>
      </c>
      <c r="B1634" t="s">
        <v>101</v>
      </c>
      <c r="C1634" t="s">
        <v>37</v>
      </c>
      <c r="D1634" t="s">
        <v>39</v>
      </c>
      <c r="E1634">
        <v>0</v>
      </c>
    </row>
    <row r="1635" spans="1:5" x14ac:dyDescent="0.55000000000000004">
      <c r="A1635">
        <v>111</v>
      </c>
      <c r="B1635" t="s">
        <v>101</v>
      </c>
      <c r="C1635" t="s">
        <v>14</v>
      </c>
      <c r="D1635" t="s">
        <v>39</v>
      </c>
      <c r="E1635">
        <v>0</v>
      </c>
    </row>
    <row r="1636" spans="1:5" x14ac:dyDescent="0.55000000000000004">
      <c r="A1636">
        <v>111</v>
      </c>
      <c r="B1636" t="s">
        <v>101</v>
      </c>
      <c r="C1636" t="s">
        <v>13</v>
      </c>
      <c r="D1636" t="s">
        <v>39</v>
      </c>
      <c r="E1636">
        <v>0</v>
      </c>
    </row>
    <row r="1637" spans="1:5" x14ac:dyDescent="0.55000000000000004">
      <c r="A1637">
        <v>111</v>
      </c>
      <c r="B1637" t="s">
        <v>101</v>
      </c>
      <c r="C1637" t="s">
        <v>110</v>
      </c>
      <c r="D1637" t="s">
        <v>39</v>
      </c>
      <c r="E1637">
        <v>100</v>
      </c>
    </row>
    <row r="1638" spans="1:5" x14ac:dyDescent="0.55000000000000004">
      <c r="A1638">
        <v>111</v>
      </c>
      <c r="B1638" t="s">
        <v>101</v>
      </c>
      <c r="C1638" t="s">
        <v>223</v>
      </c>
      <c r="D1638" t="s">
        <v>39</v>
      </c>
      <c r="E1638">
        <v>0</v>
      </c>
    </row>
    <row r="1639" spans="1:5" x14ac:dyDescent="0.55000000000000004">
      <c r="A1639">
        <v>111</v>
      </c>
      <c r="B1639" t="s">
        <v>101</v>
      </c>
      <c r="C1639" t="s">
        <v>133</v>
      </c>
      <c r="D1639" t="s">
        <v>118</v>
      </c>
    </row>
    <row r="1640" spans="1:5" x14ac:dyDescent="0.55000000000000004">
      <c r="A1640">
        <v>111</v>
      </c>
      <c r="B1640" t="s">
        <v>111</v>
      </c>
      <c r="C1640" t="s">
        <v>18</v>
      </c>
      <c r="D1640" t="s">
        <v>42</v>
      </c>
      <c r="E1640">
        <v>16.600000000000001</v>
      </c>
    </row>
    <row r="1641" spans="1:5" x14ac:dyDescent="0.55000000000000004">
      <c r="A1641">
        <v>111</v>
      </c>
      <c r="B1641" t="s">
        <v>111</v>
      </c>
      <c r="C1641" t="s">
        <v>15</v>
      </c>
      <c r="D1641" t="s">
        <v>41</v>
      </c>
      <c r="E1641">
        <v>9.43</v>
      </c>
    </row>
    <row r="1642" spans="1:5" x14ac:dyDescent="0.55000000000000004">
      <c r="A1642">
        <v>111</v>
      </c>
      <c r="B1642" t="s">
        <v>111</v>
      </c>
      <c r="C1642" t="s">
        <v>16</v>
      </c>
      <c r="D1642" t="s">
        <v>39</v>
      </c>
      <c r="E1642">
        <v>96.8</v>
      </c>
    </row>
    <row r="1643" spans="1:5" x14ac:dyDescent="0.55000000000000004">
      <c r="A1643">
        <v>111</v>
      </c>
      <c r="B1643" t="s">
        <v>111</v>
      </c>
      <c r="C1643" t="s">
        <v>112</v>
      </c>
      <c r="D1643" t="s">
        <v>113</v>
      </c>
      <c r="E1643">
        <v>62.6</v>
      </c>
    </row>
    <row r="1644" spans="1:5" x14ac:dyDescent="0.55000000000000004">
      <c r="A1644">
        <v>111</v>
      </c>
      <c r="B1644" t="s">
        <v>111</v>
      </c>
      <c r="C1644" t="s">
        <v>17</v>
      </c>
      <c r="E1644">
        <v>8.3000000000000007</v>
      </c>
    </row>
    <row r="1645" spans="1:5" x14ac:dyDescent="0.55000000000000004">
      <c r="A1645">
        <v>111</v>
      </c>
      <c r="B1645" t="s">
        <v>249</v>
      </c>
      <c r="C1645" t="s">
        <v>114</v>
      </c>
      <c r="D1645" t="s">
        <v>39</v>
      </c>
      <c r="E1645">
        <v>90</v>
      </c>
    </row>
    <row r="1646" spans="1:5" x14ac:dyDescent="0.55000000000000004">
      <c r="A1646">
        <v>111</v>
      </c>
      <c r="B1646" t="s">
        <v>249</v>
      </c>
      <c r="C1646" t="s">
        <v>250</v>
      </c>
    </row>
    <row r="1647" spans="1:5" x14ac:dyDescent="0.55000000000000004">
      <c r="A1647">
        <v>111</v>
      </c>
      <c r="B1647" t="s">
        <v>249</v>
      </c>
      <c r="C1647" t="s">
        <v>115</v>
      </c>
      <c r="D1647" t="s">
        <v>39</v>
      </c>
      <c r="E1647">
        <v>100</v>
      </c>
    </row>
    <row r="1648" spans="1:5" x14ac:dyDescent="0.55000000000000004">
      <c r="A1648">
        <v>111</v>
      </c>
      <c r="B1648" t="s">
        <v>249</v>
      </c>
      <c r="C1648" t="s">
        <v>251</v>
      </c>
    </row>
    <row r="1649" spans="1:5" x14ac:dyDescent="0.55000000000000004">
      <c r="A1649">
        <v>111</v>
      </c>
      <c r="B1649" t="s">
        <v>249</v>
      </c>
      <c r="C1649" t="s">
        <v>116</v>
      </c>
      <c r="D1649" t="s">
        <v>40</v>
      </c>
      <c r="E1649">
        <v>1</v>
      </c>
    </row>
    <row r="1650" spans="1:5" x14ac:dyDescent="0.55000000000000004">
      <c r="A1650">
        <v>111</v>
      </c>
      <c r="B1650" t="s">
        <v>249</v>
      </c>
      <c r="C1650" t="s">
        <v>252</v>
      </c>
    </row>
    <row r="1651" spans="1:5" x14ac:dyDescent="0.55000000000000004">
      <c r="A1651">
        <v>111</v>
      </c>
      <c r="B1651" t="s">
        <v>249</v>
      </c>
      <c r="C1651" t="s">
        <v>117</v>
      </c>
      <c r="D1651" t="s">
        <v>39</v>
      </c>
      <c r="E1651">
        <v>0</v>
      </c>
    </row>
    <row r="1652" spans="1:5" x14ac:dyDescent="0.55000000000000004">
      <c r="A1652">
        <v>111</v>
      </c>
      <c r="B1652" t="s">
        <v>249</v>
      </c>
      <c r="C1652" t="s">
        <v>21</v>
      </c>
    </row>
    <row r="1653" spans="1:5" x14ac:dyDescent="0.55000000000000004">
      <c r="A1653">
        <v>112</v>
      </c>
      <c r="B1653" t="s">
        <v>101</v>
      </c>
      <c r="C1653" t="s">
        <v>102</v>
      </c>
      <c r="D1653" t="s">
        <v>103</v>
      </c>
    </row>
    <row r="1654" spans="1:5" x14ac:dyDescent="0.55000000000000004">
      <c r="A1654">
        <v>112</v>
      </c>
      <c r="B1654" t="s">
        <v>101</v>
      </c>
      <c r="C1654" s="12" t="s">
        <v>104</v>
      </c>
      <c r="D1654" t="s">
        <v>40</v>
      </c>
    </row>
    <row r="1655" spans="1:5" x14ac:dyDescent="0.55000000000000004">
      <c r="A1655">
        <v>112</v>
      </c>
      <c r="B1655" t="s">
        <v>101</v>
      </c>
      <c r="C1655" t="s">
        <v>8</v>
      </c>
      <c r="D1655" t="s">
        <v>38</v>
      </c>
    </row>
    <row r="1656" spans="1:5" x14ac:dyDescent="0.55000000000000004">
      <c r="A1656">
        <v>112</v>
      </c>
      <c r="B1656" t="s">
        <v>101</v>
      </c>
      <c r="C1656" t="s">
        <v>214</v>
      </c>
      <c r="D1656" t="s">
        <v>38</v>
      </c>
    </row>
    <row r="1657" spans="1:5" x14ac:dyDescent="0.55000000000000004">
      <c r="A1657">
        <v>112</v>
      </c>
      <c r="B1657" t="s">
        <v>101</v>
      </c>
      <c r="C1657" t="s">
        <v>105</v>
      </c>
      <c r="D1657" t="s">
        <v>106</v>
      </c>
      <c r="E1657">
        <f>E1656/10</f>
        <v>0</v>
      </c>
    </row>
    <row r="1658" spans="1:5" x14ac:dyDescent="0.55000000000000004">
      <c r="A1658">
        <v>112</v>
      </c>
      <c r="B1658" t="s">
        <v>101</v>
      </c>
      <c r="C1658" s="2" t="s">
        <v>109</v>
      </c>
      <c r="D1658" t="s">
        <v>39</v>
      </c>
    </row>
    <row r="1659" spans="1:5" x14ac:dyDescent="0.55000000000000004">
      <c r="A1659">
        <v>112</v>
      </c>
      <c r="B1659" t="s">
        <v>101</v>
      </c>
      <c r="C1659" s="2" t="s">
        <v>248</v>
      </c>
    </row>
    <row r="1660" spans="1:5" x14ac:dyDescent="0.55000000000000004">
      <c r="A1660">
        <v>112</v>
      </c>
      <c r="B1660" t="s">
        <v>101</v>
      </c>
      <c r="C1660" s="2" t="s">
        <v>108</v>
      </c>
      <c r="D1660" t="s">
        <v>39</v>
      </c>
    </row>
    <row r="1661" spans="1:5" x14ac:dyDescent="0.55000000000000004">
      <c r="A1661">
        <v>112</v>
      </c>
      <c r="B1661" t="s">
        <v>101</v>
      </c>
      <c r="C1661" t="s">
        <v>11</v>
      </c>
      <c r="D1661" t="s">
        <v>39</v>
      </c>
    </row>
    <row r="1662" spans="1:5" x14ac:dyDescent="0.55000000000000004">
      <c r="A1662">
        <v>112</v>
      </c>
      <c r="B1662" t="s">
        <v>101</v>
      </c>
      <c r="C1662" t="s">
        <v>12</v>
      </c>
      <c r="D1662" t="s">
        <v>40</v>
      </c>
    </row>
    <row r="1663" spans="1:5" x14ac:dyDescent="0.55000000000000004">
      <c r="A1663">
        <v>112</v>
      </c>
      <c r="B1663" t="s">
        <v>101</v>
      </c>
      <c r="C1663" t="s">
        <v>34</v>
      </c>
      <c r="D1663" t="s">
        <v>39</v>
      </c>
    </row>
    <row r="1664" spans="1:5" x14ac:dyDescent="0.55000000000000004">
      <c r="A1664">
        <v>112</v>
      </c>
      <c r="B1664" t="s">
        <v>101</v>
      </c>
      <c r="C1664" t="s">
        <v>35</v>
      </c>
      <c r="D1664" t="s">
        <v>39</v>
      </c>
    </row>
    <row r="1665" spans="1:4" x14ac:dyDescent="0.55000000000000004">
      <c r="A1665">
        <v>112</v>
      </c>
      <c r="B1665" t="s">
        <v>101</v>
      </c>
      <c r="C1665" t="s">
        <v>36</v>
      </c>
      <c r="D1665" t="s">
        <v>39</v>
      </c>
    </row>
    <row r="1666" spans="1:4" x14ac:dyDescent="0.55000000000000004">
      <c r="A1666">
        <v>112</v>
      </c>
      <c r="B1666" t="s">
        <v>101</v>
      </c>
      <c r="C1666" t="s">
        <v>37</v>
      </c>
      <c r="D1666" t="s">
        <v>39</v>
      </c>
    </row>
    <row r="1667" spans="1:4" x14ac:dyDescent="0.55000000000000004">
      <c r="A1667">
        <v>112</v>
      </c>
      <c r="B1667" t="s">
        <v>101</v>
      </c>
      <c r="C1667" t="s">
        <v>14</v>
      </c>
      <c r="D1667" t="s">
        <v>39</v>
      </c>
    </row>
    <row r="1668" spans="1:4" x14ac:dyDescent="0.55000000000000004">
      <c r="A1668">
        <v>112</v>
      </c>
      <c r="B1668" t="s">
        <v>101</v>
      </c>
      <c r="C1668" t="s">
        <v>13</v>
      </c>
      <c r="D1668" t="s">
        <v>39</v>
      </c>
    </row>
    <row r="1669" spans="1:4" x14ac:dyDescent="0.55000000000000004">
      <c r="A1669">
        <v>112</v>
      </c>
      <c r="B1669" t="s">
        <v>101</v>
      </c>
      <c r="C1669" t="s">
        <v>110</v>
      </c>
      <c r="D1669" t="s">
        <v>39</v>
      </c>
    </row>
    <row r="1670" spans="1:4" x14ac:dyDescent="0.55000000000000004">
      <c r="A1670">
        <v>112</v>
      </c>
      <c r="B1670" t="s">
        <v>101</v>
      </c>
      <c r="C1670" t="s">
        <v>223</v>
      </c>
      <c r="D1670" t="s">
        <v>39</v>
      </c>
    </row>
    <row r="1671" spans="1:4" x14ac:dyDescent="0.55000000000000004">
      <c r="A1671">
        <v>112</v>
      </c>
      <c r="B1671" t="s">
        <v>101</v>
      </c>
      <c r="C1671" t="s">
        <v>133</v>
      </c>
      <c r="D1671" t="s">
        <v>118</v>
      </c>
    </row>
    <row r="1672" spans="1:4" x14ac:dyDescent="0.55000000000000004">
      <c r="A1672">
        <v>112</v>
      </c>
      <c r="B1672" t="s">
        <v>111</v>
      </c>
      <c r="C1672" t="s">
        <v>18</v>
      </c>
      <c r="D1672" t="s">
        <v>42</v>
      </c>
    </row>
    <row r="1673" spans="1:4" x14ac:dyDescent="0.55000000000000004">
      <c r="A1673">
        <v>112</v>
      </c>
      <c r="B1673" t="s">
        <v>111</v>
      </c>
      <c r="C1673" t="s">
        <v>15</v>
      </c>
      <c r="D1673" t="s">
        <v>41</v>
      </c>
    </row>
    <row r="1674" spans="1:4" x14ac:dyDescent="0.55000000000000004">
      <c r="A1674">
        <v>112</v>
      </c>
      <c r="B1674" t="s">
        <v>111</v>
      </c>
      <c r="C1674" t="s">
        <v>16</v>
      </c>
      <c r="D1674" t="s">
        <v>39</v>
      </c>
    </row>
    <row r="1675" spans="1:4" x14ac:dyDescent="0.55000000000000004">
      <c r="A1675">
        <v>112</v>
      </c>
      <c r="B1675" t="s">
        <v>111</v>
      </c>
      <c r="C1675" t="s">
        <v>112</v>
      </c>
      <c r="D1675" t="s">
        <v>113</v>
      </c>
    </row>
    <row r="1676" spans="1:4" x14ac:dyDescent="0.55000000000000004">
      <c r="A1676">
        <v>112</v>
      </c>
      <c r="B1676" t="s">
        <v>111</v>
      </c>
      <c r="C1676" t="s">
        <v>17</v>
      </c>
    </row>
    <row r="1677" spans="1:4" x14ac:dyDescent="0.55000000000000004">
      <c r="A1677">
        <v>112</v>
      </c>
      <c r="B1677" t="s">
        <v>249</v>
      </c>
      <c r="C1677" t="s">
        <v>114</v>
      </c>
      <c r="D1677" t="s">
        <v>39</v>
      </c>
    </row>
    <row r="1678" spans="1:4" x14ac:dyDescent="0.55000000000000004">
      <c r="A1678">
        <v>112</v>
      </c>
      <c r="B1678" t="s">
        <v>249</v>
      </c>
      <c r="C1678" t="s">
        <v>250</v>
      </c>
    </row>
    <row r="1679" spans="1:4" x14ac:dyDescent="0.55000000000000004">
      <c r="A1679">
        <v>112</v>
      </c>
      <c r="B1679" t="s">
        <v>249</v>
      </c>
      <c r="C1679" t="s">
        <v>115</v>
      </c>
      <c r="D1679" t="s">
        <v>39</v>
      </c>
    </row>
    <row r="1680" spans="1:4" x14ac:dyDescent="0.55000000000000004">
      <c r="A1680">
        <v>112</v>
      </c>
      <c r="B1680" t="s">
        <v>249</v>
      </c>
      <c r="C1680" t="s">
        <v>251</v>
      </c>
    </row>
    <row r="1681" spans="1:5" x14ac:dyDescent="0.55000000000000004">
      <c r="A1681">
        <v>112</v>
      </c>
      <c r="B1681" t="s">
        <v>249</v>
      </c>
      <c r="C1681" t="s">
        <v>116</v>
      </c>
      <c r="D1681" t="s">
        <v>40</v>
      </c>
    </row>
    <row r="1682" spans="1:5" x14ac:dyDescent="0.55000000000000004">
      <c r="A1682">
        <v>112</v>
      </c>
      <c r="B1682" t="s">
        <v>249</v>
      </c>
      <c r="C1682" t="s">
        <v>252</v>
      </c>
    </row>
    <row r="1683" spans="1:5" x14ac:dyDescent="0.55000000000000004">
      <c r="A1683">
        <v>112</v>
      </c>
      <c r="B1683" t="s">
        <v>249</v>
      </c>
      <c r="C1683" t="s">
        <v>117</v>
      </c>
      <c r="D1683" t="s">
        <v>39</v>
      </c>
    </row>
    <row r="1684" spans="1:5" x14ac:dyDescent="0.55000000000000004">
      <c r="A1684">
        <v>112</v>
      </c>
      <c r="B1684" t="s">
        <v>249</v>
      </c>
      <c r="C1684" t="s">
        <v>21</v>
      </c>
    </row>
    <row r="1685" spans="1:5" x14ac:dyDescent="0.55000000000000004">
      <c r="A1685">
        <v>113</v>
      </c>
      <c r="B1685" t="s">
        <v>101</v>
      </c>
      <c r="C1685" t="s">
        <v>102</v>
      </c>
      <c r="D1685" t="s">
        <v>103</v>
      </c>
    </row>
    <row r="1686" spans="1:5" x14ac:dyDescent="0.55000000000000004">
      <c r="A1686">
        <v>113</v>
      </c>
      <c r="B1686" t="s">
        <v>101</v>
      </c>
      <c r="C1686" s="12" t="s">
        <v>104</v>
      </c>
      <c r="D1686" t="s">
        <v>40</v>
      </c>
    </row>
    <row r="1687" spans="1:5" x14ac:dyDescent="0.55000000000000004">
      <c r="A1687">
        <v>113</v>
      </c>
      <c r="B1687" t="s">
        <v>101</v>
      </c>
      <c r="C1687" t="s">
        <v>8</v>
      </c>
      <c r="D1687" t="s">
        <v>38</v>
      </c>
    </row>
    <row r="1688" spans="1:5" x14ac:dyDescent="0.55000000000000004">
      <c r="A1688">
        <v>113</v>
      </c>
      <c r="B1688" t="s">
        <v>101</v>
      </c>
      <c r="C1688" t="s">
        <v>214</v>
      </c>
      <c r="D1688" t="s">
        <v>38</v>
      </c>
      <c r="E1688">
        <v>10</v>
      </c>
    </row>
    <row r="1689" spans="1:5" x14ac:dyDescent="0.55000000000000004">
      <c r="A1689">
        <v>113</v>
      </c>
      <c r="B1689" t="s">
        <v>101</v>
      </c>
      <c r="C1689" t="s">
        <v>105</v>
      </c>
      <c r="D1689" t="s">
        <v>106</v>
      </c>
      <c r="E1689">
        <f>E1688/10</f>
        <v>1</v>
      </c>
    </row>
    <row r="1690" spans="1:5" x14ac:dyDescent="0.55000000000000004">
      <c r="A1690">
        <v>113</v>
      </c>
      <c r="B1690" t="s">
        <v>101</v>
      </c>
      <c r="C1690" s="2" t="s">
        <v>109</v>
      </c>
      <c r="D1690" t="s">
        <v>39</v>
      </c>
      <c r="E1690">
        <v>100</v>
      </c>
    </row>
    <row r="1691" spans="1:5" x14ac:dyDescent="0.55000000000000004">
      <c r="A1691">
        <v>113</v>
      </c>
      <c r="B1691" t="s">
        <v>101</v>
      </c>
      <c r="C1691" s="2" t="s">
        <v>248</v>
      </c>
    </row>
    <row r="1692" spans="1:5" x14ac:dyDescent="0.55000000000000004">
      <c r="A1692">
        <v>113</v>
      </c>
      <c r="B1692" t="s">
        <v>101</v>
      </c>
      <c r="C1692" s="2" t="s">
        <v>108</v>
      </c>
      <c r="D1692" t="s">
        <v>39</v>
      </c>
      <c r="E1692">
        <v>100</v>
      </c>
    </row>
    <row r="1693" spans="1:5" x14ac:dyDescent="0.55000000000000004">
      <c r="A1693">
        <v>113</v>
      </c>
      <c r="B1693" t="s">
        <v>101</v>
      </c>
      <c r="C1693" t="s">
        <v>11</v>
      </c>
      <c r="D1693" t="s">
        <v>39</v>
      </c>
      <c r="E1693">
        <v>0</v>
      </c>
    </row>
    <row r="1694" spans="1:5" x14ac:dyDescent="0.55000000000000004">
      <c r="A1694">
        <v>113</v>
      </c>
      <c r="B1694" t="s">
        <v>101</v>
      </c>
      <c r="C1694" t="s">
        <v>12</v>
      </c>
      <c r="D1694" t="s">
        <v>40</v>
      </c>
      <c r="E1694">
        <v>0</v>
      </c>
    </row>
    <row r="1695" spans="1:5" x14ac:dyDescent="0.55000000000000004">
      <c r="A1695">
        <v>113</v>
      </c>
      <c r="B1695" t="s">
        <v>101</v>
      </c>
      <c r="C1695" t="s">
        <v>34</v>
      </c>
      <c r="D1695" t="s">
        <v>39</v>
      </c>
    </row>
    <row r="1696" spans="1:5" x14ac:dyDescent="0.55000000000000004">
      <c r="A1696">
        <v>113</v>
      </c>
      <c r="B1696" t="s">
        <v>101</v>
      </c>
      <c r="C1696" t="s">
        <v>35</v>
      </c>
      <c r="D1696" t="s">
        <v>39</v>
      </c>
    </row>
    <row r="1697" spans="1:4" x14ac:dyDescent="0.55000000000000004">
      <c r="A1697">
        <v>113</v>
      </c>
      <c r="B1697" t="s">
        <v>101</v>
      </c>
      <c r="C1697" t="s">
        <v>36</v>
      </c>
      <c r="D1697" t="s">
        <v>39</v>
      </c>
    </row>
    <row r="1698" spans="1:4" x14ac:dyDescent="0.55000000000000004">
      <c r="A1698">
        <v>113</v>
      </c>
      <c r="B1698" t="s">
        <v>101</v>
      </c>
      <c r="C1698" t="s">
        <v>37</v>
      </c>
      <c r="D1698" t="s">
        <v>39</v>
      </c>
    </row>
    <row r="1699" spans="1:4" x14ac:dyDescent="0.55000000000000004">
      <c r="A1699">
        <v>113</v>
      </c>
      <c r="B1699" t="s">
        <v>101</v>
      </c>
      <c r="C1699" t="s">
        <v>14</v>
      </c>
      <c r="D1699" t="s">
        <v>39</v>
      </c>
    </row>
    <row r="1700" spans="1:4" x14ac:dyDescent="0.55000000000000004">
      <c r="A1700">
        <v>113</v>
      </c>
      <c r="B1700" t="s">
        <v>101</v>
      </c>
      <c r="C1700" t="s">
        <v>13</v>
      </c>
      <c r="D1700" t="s">
        <v>39</v>
      </c>
    </row>
    <row r="1701" spans="1:4" x14ac:dyDescent="0.55000000000000004">
      <c r="A1701">
        <v>113</v>
      </c>
      <c r="B1701" t="s">
        <v>101</v>
      </c>
      <c r="C1701" t="s">
        <v>110</v>
      </c>
      <c r="D1701" t="s">
        <v>39</v>
      </c>
    </row>
    <row r="1702" spans="1:4" x14ac:dyDescent="0.55000000000000004">
      <c r="A1702">
        <v>113</v>
      </c>
      <c r="B1702" t="s">
        <v>101</v>
      </c>
      <c r="C1702" t="s">
        <v>223</v>
      </c>
      <c r="D1702" t="s">
        <v>39</v>
      </c>
    </row>
    <row r="1703" spans="1:4" x14ac:dyDescent="0.55000000000000004">
      <c r="A1703">
        <v>113</v>
      </c>
      <c r="B1703" t="s">
        <v>101</v>
      </c>
      <c r="C1703" t="s">
        <v>133</v>
      </c>
      <c r="D1703" t="s">
        <v>118</v>
      </c>
    </row>
    <row r="1704" spans="1:4" x14ac:dyDescent="0.55000000000000004">
      <c r="A1704">
        <v>113</v>
      </c>
      <c r="B1704" t="s">
        <v>111</v>
      </c>
      <c r="C1704" t="s">
        <v>18</v>
      </c>
      <c r="D1704" t="s">
        <v>42</v>
      </c>
    </row>
    <row r="1705" spans="1:4" x14ac:dyDescent="0.55000000000000004">
      <c r="A1705">
        <v>113</v>
      </c>
      <c r="B1705" t="s">
        <v>111</v>
      </c>
      <c r="C1705" t="s">
        <v>15</v>
      </c>
      <c r="D1705" t="s">
        <v>41</v>
      </c>
    </row>
    <row r="1706" spans="1:4" x14ac:dyDescent="0.55000000000000004">
      <c r="A1706">
        <v>113</v>
      </c>
      <c r="B1706" t="s">
        <v>111</v>
      </c>
      <c r="C1706" t="s">
        <v>16</v>
      </c>
      <c r="D1706" t="s">
        <v>39</v>
      </c>
    </row>
    <row r="1707" spans="1:4" x14ac:dyDescent="0.55000000000000004">
      <c r="A1707">
        <v>113</v>
      </c>
      <c r="B1707" t="s">
        <v>111</v>
      </c>
      <c r="C1707" t="s">
        <v>112</v>
      </c>
      <c r="D1707" t="s">
        <v>113</v>
      </c>
    </row>
    <row r="1708" spans="1:4" x14ac:dyDescent="0.55000000000000004">
      <c r="A1708">
        <v>113</v>
      </c>
      <c r="B1708" t="s">
        <v>111</v>
      </c>
      <c r="C1708" t="s">
        <v>17</v>
      </c>
    </row>
    <row r="1709" spans="1:4" x14ac:dyDescent="0.55000000000000004">
      <c r="A1709">
        <v>113</v>
      </c>
      <c r="B1709" t="s">
        <v>249</v>
      </c>
      <c r="C1709" t="s">
        <v>114</v>
      </c>
      <c r="D1709" t="s">
        <v>39</v>
      </c>
    </row>
    <row r="1710" spans="1:4" x14ac:dyDescent="0.55000000000000004">
      <c r="A1710">
        <v>113</v>
      </c>
      <c r="B1710" t="s">
        <v>249</v>
      </c>
      <c r="C1710" t="s">
        <v>250</v>
      </c>
    </row>
    <row r="1711" spans="1:4" x14ac:dyDescent="0.55000000000000004">
      <c r="A1711">
        <v>113</v>
      </c>
      <c r="B1711" t="s">
        <v>249</v>
      </c>
      <c r="C1711" t="s">
        <v>115</v>
      </c>
      <c r="D1711" t="s">
        <v>39</v>
      </c>
    </row>
    <row r="1712" spans="1:4" x14ac:dyDescent="0.55000000000000004">
      <c r="A1712">
        <v>113</v>
      </c>
      <c r="B1712" t="s">
        <v>249</v>
      </c>
      <c r="C1712" t="s">
        <v>251</v>
      </c>
    </row>
    <row r="1713" spans="1:6" x14ac:dyDescent="0.55000000000000004">
      <c r="A1713">
        <v>113</v>
      </c>
      <c r="B1713" t="s">
        <v>249</v>
      </c>
      <c r="C1713" t="s">
        <v>116</v>
      </c>
      <c r="D1713" t="s">
        <v>40</v>
      </c>
    </row>
    <row r="1714" spans="1:6" x14ac:dyDescent="0.55000000000000004">
      <c r="A1714">
        <v>113</v>
      </c>
      <c r="B1714" t="s">
        <v>249</v>
      </c>
      <c r="C1714" t="s">
        <v>252</v>
      </c>
    </row>
    <row r="1715" spans="1:6" x14ac:dyDescent="0.55000000000000004">
      <c r="A1715">
        <v>113</v>
      </c>
      <c r="B1715" t="s">
        <v>249</v>
      </c>
      <c r="C1715" t="s">
        <v>117</v>
      </c>
      <c r="D1715" t="s">
        <v>39</v>
      </c>
    </row>
    <row r="1716" spans="1:6" x14ac:dyDescent="0.55000000000000004">
      <c r="A1716">
        <v>113</v>
      </c>
      <c r="B1716" t="s">
        <v>249</v>
      </c>
      <c r="C1716" t="s">
        <v>21</v>
      </c>
    </row>
    <row r="1717" spans="1:6" x14ac:dyDescent="0.55000000000000004">
      <c r="A1717">
        <v>114</v>
      </c>
      <c r="B1717" t="s">
        <v>101</v>
      </c>
      <c r="C1717" t="s">
        <v>102</v>
      </c>
      <c r="D1717" t="s">
        <v>103</v>
      </c>
    </row>
    <row r="1718" spans="1:6" x14ac:dyDescent="0.55000000000000004">
      <c r="A1718">
        <v>114</v>
      </c>
      <c r="B1718" t="s">
        <v>101</v>
      </c>
      <c r="C1718" s="12" t="s">
        <v>104</v>
      </c>
      <c r="D1718" t="s">
        <v>40</v>
      </c>
      <c r="E1718">
        <v>1</v>
      </c>
    </row>
    <row r="1719" spans="1:6" x14ac:dyDescent="0.55000000000000004">
      <c r="A1719">
        <v>114</v>
      </c>
      <c r="B1719" t="s">
        <v>101</v>
      </c>
      <c r="C1719" t="s">
        <v>8</v>
      </c>
      <c r="D1719" t="s">
        <v>38</v>
      </c>
      <c r="E1719">
        <v>6.4</v>
      </c>
      <c r="F1719" t="s">
        <v>218</v>
      </c>
    </row>
    <row r="1720" spans="1:6" x14ac:dyDescent="0.55000000000000004">
      <c r="A1720">
        <v>114</v>
      </c>
      <c r="B1720" t="s">
        <v>101</v>
      </c>
      <c r="C1720" t="s">
        <v>214</v>
      </c>
      <c r="D1720" t="s">
        <v>38</v>
      </c>
      <c r="E1720">
        <v>1.1000000000000001</v>
      </c>
    </row>
    <row r="1721" spans="1:6" x14ac:dyDescent="0.55000000000000004">
      <c r="A1721">
        <v>114</v>
      </c>
      <c r="B1721" t="s">
        <v>101</v>
      </c>
      <c r="C1721" t="s">
        <v>105</v>
      </c>
      <c r="D1721" t="s">
        <v>106</v>
      </c>
      <c r="E1721">
        <f>E1720/10</f>
        <v>0.11000000000000001</v>
      </c>
    </row>
    <row r="1722" spans="1:6" x14ac:dyDescent="0.55000000000000004">
      <c r="A1722">
        <v>114</v>
      </c>
      <c r="B1722" t="s">
        <v>101</v>
      </c>
      <c r="C1722" s="2" t="s">
        <v>109</v>
      </c>
      <c r="D1722" t="s">
        <v>39</v>
      </c>
      <c r="E1722">
        <v>100</v>
      </c>
    </row>
    <row r="1723" spans="1:6" x14ac:dyDescent="0.55000000000000004">
      <c r="A1723">
        <v>114</v>
      </c>
      <c r="B1723" t="s">
        <v>101</v>
      </c>
      <c r="C1723" s="2" t="s">
        <v>248</v>
      </c>
    </row>
    <row r="1724" spans="1:6" x14ac:dyDescent="0.55000000000000004">
      <c r="A1724">
        <v>114</v>
      </c>
      <c r="B1724" t="s">
        <v>101</v>
      </c>
      <c r="C1724" s="2" t="s">
        <v>108</v>
      </c>
      <c r="D1724" t="s">
        <v>39</v>
      </c>
      <c r="E1724">
        <v>50</v>
      </c>
    </row>
    <row r="1725" spans="1:6" x14ac:dyDescent="0.55000000000000004">
      <c r="A1725">
        <v>114</v>
      </c>
      <c r="B1725" t="s">
        <v>101</v>
      </c>
      <c r="C1725" t="s">
        <v>11</v>
      </c>
      <c r="D1725" t="s">
        <v>39</v>
      </c>
      <c r="E1725">
        <v>0</v>
      </c>
    </row>
    <row r="1726" spans="1:6" x14ac:dyDescent="0.55000000000000004">
      <c r="A1726">
        <v>114</v>
      </c>
      <c r="B1726" t="s">
        <v>101</v>
      </c>
      <c r="C1726" t="s">
        <v>12</v>
      </c>
      <c r="D1726" t="s">
        <v>40</v>
      </c>
      <c r="E1726">
        <v>0</v>
      </c>
    </row>
    <row r="1727" spans="1:6" x14ac:dyDescent="0.55000000000000004">
      <c r="A1727">
        <v>114</v>
      </c>
      <c r="B1727" t="s">
        <v>101</v>
      </c>
      <c r="C1727" t="s">
        <v>34</v>
      </c>
      <c r="D1727" t="s">
        <v>39</v>
      </c>
      <c r="E1727">
        <v>0</v>
      </c>
    </row>
    <row r="1728" spans="1:6" x14ac:dyDescent="0.55000000000000004">
      <c r="A1728">
        <v>114</v>
      </c>
      <c r="B1728" t="s">
        <v>101</v>
      </c>
      <c r="C1728" t="s">
        <v>35</v>
      </c>
      <c r="D1728" t="s">
        <v>39</v>
      </c>
      <c r="E1728">
        <v>0</v>
      </c>
    </row>
    <row r="1729" spans="1:5" x14ac:dyDescent="0.55000000000000004">
      <c r="A1729">
        <v>114</v>
      </c>
      <c r="B1729" t="s">
        <v>101</v>
      </c>
      <c r="C1729" t="s">
        <v>36</v>
      </c>
      <c r="D1729" t="s">
        <v>39</v>
      </c>
      <c r="E1729">
        <v>0</v>
      </c>
    </row>
    <row r="1730" spans="1:5" x14ac:dyDescent="0.55000000000000004">
      <c r="A1730">
        <v>114</v>
      </c>
      <c r="B1730" t="s">
        <v>101</v>
      </c>
      <c r="C1730" t="s">
        <v>37</v>
      </c>
      <c r="D1730" t="s">
        <v>39</v>
      </c>
      <c r="E1730">
        <v>0</v>
      </c>
    </row>
    <row r="1731" spans="1:5" x14ac:dyDescent="0.55000000000000004">
      <c r="A1731">
        <v>114</v>
      </c>
      <c r="B1731" t="s">
        <v>101</v>
      </c>
      <c r="C1731" t="s">
        <v>14</v>
      </c>
      <c r="D1731" t="s">
        <v>39</v>
      </c>
      <c r="E1731">
        <v>0</v>
      </c>
    </row>
    <row r="1732" spans="1:5" x14ac:dyDescent="0.55000000000000004">
      <c r="A1732">
        <v>114</v>
      </c>
      <c r="B1732" t="s">
        <v>101</v>
      </c>
      <c r="C1732" t="s">
        <v>13</v>
      </c>
      <c r="D1732" t="s">
        <v>39</v>
      </c>
      <c r="E1732">
        <v>0</v>
      </c>
    </row>
    <row r="1733" spans="1:5" x14ac:dyDescent="0.55000000000000004">
      <c r="A1733">
        <v>114</v>
      </c>
      <c r="B1733" t="s">
        <v>101</v>
      </c>
      <c r="C1733" t="s">
        <v>110</v>
      </c>
      <c r="D1733" t="s">
        <v>39</v>
      </c>
      <c r="E1733">
        <v>100</v>
      </c>
    </row>
    <row r="1734" spans="1:5" x14ac:dyDescent="0.55000000000000004">
      <c r="A1734">
        <v>114</v>
      </c>
      <c r="B1734" t="s">
        <v>101</v>
      </c>
      <c r="C1734" t="s">
        <v>223</v>
      </c>
      <c r="D1734" t="s">
        <v>39</v>
      </c>
      <c r="E1734">
        <v>0</v>
      </c>
    </row>
    <row r="1735" spans="1:5" x14ac:dyDescent="0.55000000000000004">
      <c r="A1735">
        <v>114</v>
      </c>
      <c r="B1735" t="s">
        <v>101</v>
      </c>
      <c r="C1735" t="s">
        <v>133</v>
      </c>
      <c r="D1735" t="s">
        <v>118</v>
      </c>
    </row>
    <row r="1736" spans="1:5" x14ac:dyDescent="0.55000000000000004">
      <c r="A1736">
        <v>114</v>
      </c>
      <c r="B1736" t="s">
        <v>111</v>
      </c>
      <c r="C1736" t="s">
        <v>18</v>
      </c>
      <c r="D1736" t="s">
        <v>42</v>
      </c>
      <c r="E1736">
        <v>16</v>
      </c>
    </row>
    <row r="1737" spans="1:5" x14ac:dyDescent="0.55000000000000004">
      <c r="A1737">
        <v>114</v>
      </c>
      <c r="B1737" t="s">
        <v>111</v>
      </c>
      <c r="C1737" t="s">
        <v>15</v>
      </c>
      <c r="D1737" t="s">
        <v>41</v>
      </c>
      <c r="E1737">
        <v>9.18</v>
      </c>
    </row>
    <row r="1738" spans="1:5" x14ac:dyDescent="0.55000000000000004">
      <c r="A1738">
        <v>114</v>
      </c>
      <c r="B1738" t="s">
        <v>111</v>
      </c>
      <c r="C1738" t="s">
        <v>16</v>
      </c>
      <c r="D1738" t="s">
        <v>39</v>
      </c>
      <c r="E1738">
        <v>93.1</v>
      </c>
    </row>
    <row r="1739" spans="1:5" x14ac:dyDescent="0.55000000000000004">
      <c r="A1739">
        <v>114</v>
      </c>
      <c r="B1739" t="s">
        <v>111</v>
      </c>
      <c r="C1739" t="s">
        <v>112</v>
      </c>
      <c r="D1739" t="s">
        <v>113</v>
      </c>
      <c r="E1739">
        <v>61.8</v>
      </c>
    </row>
    <row r="1740" spans="1:5" x14ac:dyDescent="0.55000000000000004">
      <c r="A1740">
        <v>114</v>
      </c>
      <c r="B1740" t="s">
        <v>111</v>
      </c>
      <c r="C1740" t="s">
        <v>17</v>
      </c>
      <c r="E1740">
        <v>8.31</v>
      </c>
    </row>
    <row r="1741" spans="1:5" x14ac:dyDescent="0.55000000000000004">
      <c r="A1741">
        <v>114</v>
      </c>
      <c r="B1741" t="s">
        <v>249</v>
      </c>
      <c r="C1741" t="s">
        <v>114</v>
      </c>
      <c r="D1741" t="s">
        <v>39</v>
      </c>
      <c r="E1741">
        <v>90</v>
      </c>
    </row>
    <row r="1742" spans="1:5" x14ac:dyDescent="0.55000000000000004">
      <c r="A1742">
        <v>114</v>
      </c>
      <c r="B1742" t="s">
        <v>249</v>
      </c>
      <c r="C1742" t="s">
        <v>250</v>
      </c>
    </row>
    <row r="1743" spans="1:5" x14ac:dyDescent="0.55000000000000004">
      <c r="A1743">
        <v>114</v>
      </c>
      <c r="B1743" t="s">
        <v>249</v>
      </c>
      <c r="C1743" t="s">
        <v>115</v>
      </c>
      <c r="D1743" t="s">
        <v>39</v>
      </c>
      <c r="E1743">
        <v>0</v>
      </c>
    </row>
    <row r="1744" spans="1:5" x14ac:dyDescent="0.55000000000000004">
      <c r="A1744">
        <v>114</v>
      </c>
      <c r="B1744" t="s">
        <v>249</v>
      </c>
      <c r="C1744" t="s">
        <v>251</v>
      </c>
    </row>
    <row r="1745" spans="1:6" x14ac:dyDescent="0.55000000000000004">
      <c r="A1745">
        <v>114</v>
      </c>
      <c r="B1745" t="s">
        <v>249</v>
      </c>
      <c r="C1745" t="s">
        <v>116</v>
      </c>
      <c r="D1745" t="s">
        <v>40</v>
      </c>
      <c r="E1745">
        <v>1</v>
      </c>
    </row>
    <row r="1746" spans="1:6" x14ac:dyDescent="0.55000000000000004">
      <c r="A1746">
        <v>114</v>
      </c>
      <c r="B1746" t="s">
        <v>249</v>
      </c>
      <c r="C1746" t="s">
        <v>252</v>
      </c>
    </row>
    <row r="1747" spans="1:6" x14ac:dyDescent="0.55000000000000004">
      <c r="A1747">
        <v>114</v>
      </c>
      <c r="B1747" t="s">
        <v>249</v>
      </c>
      <c r="C1747" t="s">
        <v>117</v>
      </c>
      <c r="D1747" t="s">
        <v>39</v>
      </c>
      <c r="E1747">
        <v>0</v>
      </c>
    </row>
    <row r="1748" spans="1:6" x14ac:dyDescent="0.55000000000000004">
      <c r="A1748">
        <v>114</v>
      </c>
      <c r="B1748" t="s">
        <v>249</v>
      </c>
      <c r="C1748" t="s">
        <v>21</v>
      </c>
    </row>
    <row r="1749" spans="1:6" x14ac:dyDescent="0.55000000000000004">
      <c r="A1749">
        <v>115</v>
      </c>
      <c r="B1749" t="s">
        <v>101</v>
      </c>
      <c r="C1749" t="s">
        <v>102</v>
      </c>
      <c r="D1749" t="s">
        <v>103</v>
      </c>
    </row>
    <row r="1750" spans="1:6" x14ac:dyDescent="0.55000000000000004">
      <c r="A1750">
        <v>115</v>
      </c>
      <c r="B1750" t="s">
        <v>101</v>
      </c>
      <c r="C1750" s="12" t="s">
        <v>104</v>
      </c>
      <c r="D1750" t="s">
        <v>40</v>
      </c>
      <c r="E1750">
        <v>1</v>
      </c>
    </row>
    <row r="1751" spans="1:6" x14ac:dyDescent="0.55000000000000004">
      <c r="A1751">
        <v>115</v>
      </c>
      <c r="B1751" t="s">
        <v>101</v>
      </c>
      <c r="C1751" t="s">
        <v>8</v>
      </c>
      <c r="D1751" t="s">
        <v>38</v>
      </c>
    </row>
    <row r="1752" spans="1:6" x14ac:dyDescent="0.55000000000000004">
      <c r="A1752">
        <v>115</v>
      </c>
      <c r="B1752" t="s">
        <v>101</v>
      </c>
      <c r="C1752" t="s">
        <v>214</v>
      </c>
      <c r="D1752" t="s">
        <v>38</v>
      </c>
      <c r="E1752">
        <v>0.8</v>
      </c>
    </row>
    <row r="1753" spans="1:6" x14ac:dyDescent="0.55000000000000004">
      <c r="A1753">
        <v>115</v>
      </c>
      <c r="B1753" t="s">
        <v>101</v>
      </c>
      <c r="C1753" t="s">
        <v>105</v>
      </c>
      <c r="D1753" t="s">
        <v>106</v>
      </c>
      <c r="E1753">
        <f>E1752/10</f>
        <v>0.08</v>
      </c>
      <c r="F1753" t="s">
        <v>219</v>
      </c>
    </row>
    <row r="1754" spans="1:6" x14ac:dyDescent="0.55000000000000004">
      <c r="A1754">
        <v>115</v>
      </c>
      <c r="B1754" t="s">
        <v>101</v>
      </c>
      <c r="C1754" s="2" t="s">
        <v>109</v>
      </c>
      <c r="D1754" t="s">
        <v>39</v>
      </c>
      <c r="E1754">
        <v>100</v>
      </c>
    </row>
    <row r="1755" spans="1:6" x14ac:dyDescent="0.55000000000000004">
      <c r="A1755">
        <v>115</v>
      </c>
      <c r="B1755" t="s">
        <v>101</v>
      </c>
      <c r="C1755" s="2" t="s">
        <v>248</v>
      </c>
    </row>
    <row r="1756" spans="1:6" x14ac:dyDescent="0.55000000000000004">
      <c r="A1756">
        <v>115</v>
      </c>
      <c r="B1756" t="s">
        <v>101</v>
      </c>
      <c r="C1756" s="2" t="s">
        <v>108</v>
      </c>
      <c r="D1756" t="s">
        <v>39</v>
      </c>
      <c r="E1756">
        <v>100</v>
      </c>
    </row>
    <row r="1757" spans="1:6" x14ac:dyDescent="0.55000000000000004">
      <c r="A1757">
        <v>115</v>
      </c>
      <c r="B1757" t="s">
        <v>101</v>
      </c>
      <c r="C1757" t="s">
        <v>11</v>
      </c>
      <c r="D1757" t="s">
        <v>39</v>
      </c>
      <c r="E1757">
        <v>0</v>
      </c>
    </row>
    <row r="1758" spans="1:6" x14ac:dyDescent="0.55000000000000004">
      <c r="A1758">
        <v>115</v>
      </c>
      <c r="B1758" t="s">
        <v>101</v>
      </c>
      <c r="C1758" t="s">
        <v>12</v>
      </c>
      <c r="D1758" t="s">
        <v>40</v>
      </c>
      <c r="E1758">
        <v>0</v>
      </c>
    </row>
    <row r="1759" spans="1:6" x14ac:dyDescent="0.55000000000000004">
      <c r="A1759">
        <v>115</v>
      </c>
      <c r="B1759" t="s">
        <v>101</v>
      </c>
      <c r="C1759" t="s">
        <v>34</v>
      </c>
      <c r="D1759" t="s">
        <v>39</v>
      </c>
      <c r="E1759">
        <v>0</v>
      </c>
    </row>
    <row r="1760" spans="1:6" x14ac:dyDescent="0.55000000000000004">
      <c r="A1760">
        <v>115</v>
      </c>
      <c r="B1760" t="s">
        <v>101</v>
      </c>
      <c r="C1760" t="s">
        <v>35</v>
      </c>
      <c r="D1760" t="s">
        <v>39</v>
      </c>
      <c r="E1760">
        <v>0</v>
      </c>
    </row>
    <row r="1761" spans="1:5" x14ac:dyDescent="0.55000000000000004">
      <c r="A1761">
        <v>115</v>
      </c>
      <c r="B1761" t="s">
        <v>101</v>
      </c>
      <c r="C1761" t="s">
        <v>36</v>
      </c>
      <c r="D1761" t="s">
        <v>39</v>
      </c>
      <c r="E1761">
        <v>0</v>
      </c>
    </row>
    <row r="1762" spans="1:5" x14ac:dyDescent="0.55000000000000004">
      <c r="A1762">
        <v>115</v>
      </c>
      <c r="B1762" t="s">
        <v>101</v>
      </c>
      <c r="C1762" t="s">
        <v>37</v>
      </c>
      <c r="D1762" t="s">
        <v>39</v>
      </c>
      <c r="E1762">
        <v>0</v>
      </c>
    </row>
    <row r="1763" spans="1:5" x14ac:dyDescent="0.55000000000000004">
      <c r="A1763">
        <v>115</v>
      </c>
      <c r="B1763" t="s">
        <v>101</v>
      </c>
      <c r="C1763" t="s">
        <v>14</v>
      </c>
      <c r="D1763" t="s">
        <v>39</v>
      </c>
      <c r="E1763">
        <v>50</v>
      </c>
    </row>
    <row r="1764" spans="1:5" x14ac:dyDescent="0.55000000000000004">
      <c r="A1764">
        <v>115</v>
      </c>
      <c r="B1764" t="s">
        <v>101</v>
      </c>
      <c r="C1764" t="s">
        <v>13</v>
      </c>
      <c r="D1764" t="s">
        <v>39</v>
      </c>
      <c r="E1764">
        <v>0</v>
      </c>
    </row>
    <row r="1765" spans="1:5" x14ac:dyDescent="0.55000000000000004">
      <c r="A1765">
        <v>115</v>
      </c>
      <c r="B1765" t="s">
        <v>101</v>
      </c>
      <c r="C1765" t="s">
        <v>110</v>
      </c>
      <c r="D1765" t="s">
        <v>39</v>
      </c>
      <c r="E1765">
        <v>50</v>
      </c>
    </row>
    <row r="1766" spans="1:5" x14ac:dyDescent="0.55000000000000004">
      <c r="A1766">
        <v>115</v>
      </c>
      <c r="B1766" t="s">
        <v>101</v>
      </c>
      <c r="C1766" t="s">
        <v>223</v>
      </c>
      <c r="D1766" t="s">
        <v>39</v>
      </c>
      <c r="E1766">
        <v>0</v>
      </c>
    </row>
    <row r="1767" spans="1:5" x14ac:dyDescent="0.55000000000000004">
      <c r="A1767">
        <v>115</v>
      </c>
      <c r="B1767" t="s">
        <v>101</v>
      </c>
      <c r="C1767" t="s">
        <v>133</v>
      </c>
      <c r="D1767" t="s">
        <v>118</v>
      </c>
    </row>
    <row r="1768" spans="1:5" x14ac:dyDescent="0.55000000000000004">
      <c r="A1768">
        <v>115</v>
      </c>
      <c r="B1768" t="s">
        <v>111</v>
      </c>
      <c r="C1768" t="s">
        <v>18</v>
      </c>
      <c r="D1768" t="s">
        <v>42</v>
      </c>
      <c r="E1768">
        <v>16.399999999999999</v>
      </c>
    </row>
    <row r="1769" spans="1:5" x14ac:dyDescent="0.55000000000000004">
      <c r="A1769">
        <v>115</v>
      </c>
      <c r="B1769" t="s">
        <v>111</v>
      </c>
      <c r="C1769" t="s">
        <v>15</v>
      </c>
      <c r="D1769" t="s">
        <v>41</v>
      </c>
      <c r="E1769">
        <v>9.5500000000000007</v>
      </c>
    </row>
    <row r="1770" spans="1:5" x14ac:dyDescent="0.55000000000000004">
      <c r="A1770">
        <v>115</v>
      </c>
      <c r="B1770" t="s">
        <v>111</v>
      </c>
      <c r="C1770" t="s">
        <v>16</v>
      </c>
      <c r="D1770" t="s">
        <v>39</v>
      </c>
      <c r="E1770">
        <v>97.5</v>
      </c>
    </row>
    <row r="1771" spans="1:5" x14ac:dyDescent="0.55000000000000004">
      <c r="A1771">
        <v>115</v>
      </c>
      <c r="B1771" t="s">
        <v>111</v>
      </c>
      <c r="C1771" t="s">
        <v>112</v>
      </c>
      <c r="D1771" t="s">
        <v>113</v>
      </c>
      <c r="E1771">
        <v>62</v>
      </c>
    </row>
    <row r="1772" spans="1:5" x14ac:dyDescent="0.55000000000000004">
      <c r="A1772">
        <v>115</v>
      </c>
      <c r="B1772" t="s">
        <v>111</v>
      </c>
      <c r="C1772" t="s">
        <v>17</v>
      </c>
      <c r="E1772">
        <v>8.2200000000000006</v>
      </c>
    </row>
    <row r="1773" spans="1:5" x14ac:dyDescent="0.55000000000000004">
      <c r="A1773">
        <v>115</v>
      </c>
      <c r="B1773" t="s">
        <v>249</v>
      </c>
      <c r="C1773" t="s">
        <v>114</v>
      </c>
      <c r="D1773" t="s">
        <v>39</v>
      </c>
      <c r="E1773">
        <v>0</v>
      </c>
    </row>
    <row r="1774" spans="1:5" x14ac:dyDescent="0.55000000000000004">
      <c r="A1774">
        <v>115</v>
      </c>
      <c r="B1774" t="s">
        <v>249</v>
      </c>
      <c r="C1774" t="s">
        <v>250</v>
      </c>
    </row>
    <row r="1775" spans="1:5" x14ac:dyDescent="0.55000000000000004">
      <c r="A1775">
        <v>115</v>
      </c>
      <c r="B1775" t="s">
        <v>249</v>
      </c>
      <c r="C1775" t="s">
        <v>115</v>
      </c>
      <c r="D1775" t="s">
        <v>39</v>
      </c>
      <c r="E1775">
        <v>0</v>
      </c>
    </row>
    <row r="1776" spans="1:5" x14ac:dyDescent="0.55000000000000004">
      <c r="A1776">
        <v>115</v>
      </c>
      <c r="B1776" t="s">
        <v>249</v>
      </c>
      <c r="C1776" t="s">
        <v>251</v>
      </c>
    </row>
    <row r="1777" spans="1:6" x14ac:dyDescent="0.55000000000000004">
      <c r="A1777">
        <v>115</v>
      </c>
      <c r="B1777" t="s">
        <v>249</v>
      </c>
      <c r="C1777" t="s">
        <v>116</v>
      </c>
      <c r="D1777" t="s">
        <v>40</v>
      </c>
      <c r="E1777">
        <v>0</v>
      </c>
    </row>
    <row r="1778" spans="1:6" x14ac:dyDescent="0.55000000000000004">
      <c r="A1778">
        <v>115</v>
      </c>
      <c r="B1778" t="s">
        <v>249</v>
      </c>
      <c r="C1778" t="s">
        <v>252</v>
      </c>
    </row>
    <row r="1779" spans="1:6" x14ac:dyDescent="0.55000000000000004">
      <c r="A1779">
        <v>115</v>
      </c>
      <c r="B1779" t="s">
        <v>249</v>
      </c>
      <c r="C1779" t="s">
        <v>117</v>
      </c>
      <c r="D1779" t="s">
        <v>39</v>
      </c>
      <c r="E1779">
        <v>25</v>
      </c>
    </row>
    <row r="1780" spans="1:6" x14ac:dyDescent="0.55000000000000004">
      <c r="A1780">
        <v>115</v>
      </c>
      <c r="B1780" t="s">
        <v>249</v>
      </c>
      <c r="C1780" t="s">
        <v>21</v>
      </c>
    </row>
    <row r="1781" spans="1:6" x14ac:dyDescent="0.55000000000000004">
      <c r="A1781">
        <v>116</v>
      </c>
      <c r="B1781" t="s">
        <v>101</v>
      </c>
      <c r="C1781" t="s">
        <v>102</v>
      </c>
      <c r="D1781" t="s">
        <v>103</v>
      </c>
    </row>
    <row r="1782" spans="1:6" x14ac:dyDescent="0.55000000000000004">
      <c r="A1782">
        <v>116</v>
      </c>
      <c r="B1782" t="s">
        <v>101</v>
      </c>
      <c r="C1782" s="12" t="s">
        <v>104</v>
      </c>
      <c r="D1782" t="s">
        <v>40</v>
      </c>
      <c r="E1782">
        <v>1</v>
      </c>
    </row>
    <row r="1783" spans="1:6" x14ac:dyDescent="0.55000000000000004">
      <c r="A1783">
        <v>116</v>
      </c>
      <c r="B1783" t="s">
        <v>101</v>
      </c>
      <c r="C1783" t="s">
        <v>8</v>
      </c>
      <c r="D1783" t="s">
        <v>38</v>
      </c>
    </row>
    <row r="1784" spans="1:6" x14ac:dyDescent="0.55000000000000004">
      <c r="A1784">
        <v>116</v>
      </c>
      <c r="B1784" t="s">
        <v>101</v>
      </c>
      <c r="C1784" t="s">
        <v>214</v>
      </c>
      <c r="D1784" t="s">
        <v>38</v>
      </c>
      <c r="E1784">
        <v>0.5</v>
      </c>
    </row>
    <row r="1785" spans="1:6" x14ac:dyDescent="0.55000000000000004">
      <c r="A1785">
        <v>116</v>
      </c>
      <c r="B1785" t="s">
        <v>101</v>
      </c>
      <c r="C1785" t="s">
        <v>105</v>
      </c>
      <c r="D1785" t="s">
        <v>106</v>
      </c>
      <c r="E1785">
        <f>E1784/10</f>
        <v>0.05</v>
      </c>
    </row>
    <row r="1786" spans="1:6" x14ac:dyDescent="0.55000000000000004">
      <c r="A1786">
        <v>116</v>
      </c>
      <c r="B1786" t="s">
        <v>101</v>
      </c>
      <c r="C1786" s="2" t="s">
        <v>109</v>
      </c>
      <c r="D1786" t="s">
        <v>39</v>
      </c>
      <c r="E1786">
        <v>10</v>
      </c>
    </row>
    <row r="1787" spans="1:6" x14ac:dyDescent="0.55000000000000004">
      <c r="A1787">
        <v>116</v>
      </c>
      <c r="B1787" t="s">
        <v>101</v>
      </c>
      <c r="C1787" s="2" t="s">
        <v>248</v>
      </c>
    </row>
    <row r="1788" spans="1:6" x14ac:dyDescent="0.55000000000000004">
      <c r="A1788">
        <v>116</v>
      </c>
      <c r="B1788" t="s">
        <v>101</v>
      </c>
      <c r="C1788" s="2" t="s">
        <v>108</v>
      </c>
      <c r="D1788" t="s">
        <v>39</v>
      </c>
      <c r="E1788">
        <v>0</v>
      </c>
    </row>
    <row r="1789" spans="1:6" x14ac:dyDescent="0.55000000000000004">
      <c r="A1789">
        <v>116</v>
      </c>
      <c r="B1789" t="s">
        <v>101</v>
      </c>
      <c r="C1789" t="s">
        <v>11</v>
      </c>
      <c r="D1789" t="s">
        <v>39</v>
      </c>
      <c r="E1789">
        <v>0</v>
      </c>
    </row>
    <row r="1790" spans="1:6" x14ac:dyDescent="0.55000000000000004">
      <c r="A1790">
        <v>116</v>
      </c>
      <c r="B1790" t="s">
        <v>101</v>
      </c>
      <c r="C1790" t="s">
        <v>12</v>
      </c>
      <c r="D1790" t="s">
        <v>40</v>
      </c>
      <c r="E1790">
        <v>1</v>
      </c>
      <c r="F1790" t="s">
        <v>220</v>
      </c>
    </row>
    <row r="1791" spans="1:6" x14ac:dyDescent="0.55000000000000004">
      <c r="A1791">
        <v>116</v>
      </c>
      <c r="B1791" t="s">
        <v>101</v>
      </c>
      <c r="C1791" t="s">
        <v>34</v>
      </c>
      <c r="D1791" t="s">
        <v>39</v>
      </c>
      <c r="E1791">
        <v>0</v>
      </c>
    </row>
    <row r="1792" spans="1:6" x14ac:dyDescent="0.55000000000000004">
      <c r="A1792">
        <v>116</v>
      </c>
      <c r="B1792" t="s">
        <v>101</v>
      </c>
      <c r="C1792" t="s">
        <v>35</v>
      </c>
      <c r="D1792" t="s">
        <v>39</v>
      </c>
      <c r="E1792">
        <v>0</v>
      </c>
    </row>
    <row r="1793" spans="1:5" x14ac:dyDescent="0.55000000000000004">
      <c r="A1793">
        <v>116</v>
      </c>
      <c r="B1793" t="s">
        <v>101</v>
      </c>
      <c r="C1793" t="s">
        <v>36</v>
      </c>
      <c r="D1793" t="s">
        <v>39</v>
      </c>
      <c r="E1793">
        <v>0</v>
      </c>
    </row>
    <row r="1794" spans="1:5" x14ac:dyDescent="0.55000000000000004">
      <c r="A1794">
        <v>116</v>
      </c>
      <c r="B1794" t="s">
        <v>101</v>
      </c>
      <c r="C1794" t="s">
        <v>37</v>
      </c>
      <c r="D1794" t="s">
        <v>39</v>
      </c>
      <c r="E1794">
        <v>0</v>
      </c>
    </row>
    <row r="1795" spans="1:5" x14ac:dyDescent="0.55000000000000004">
      <c r="A1795">
        <v>116</v>
      </c>
      <c r="B1795" t="s">
        <v>101</v>
      </c>
      <c r="C1795" t="s">
        <v>14</v>
      </c>
      <c r="D1795" t="s">
        <v>39</v>
      </c>
      <c r="E1795">
        <v>0</v>
      </c>
    </row>
    <row r="1796" spans="1:5" x14ac:dyDescent="0.55000000000000004">
      <c r="A1796">
        <v>116</v>
      </c>
      <c r="B1796" t="s">
        <v>101</v>
      </c>
      <c r="C1796" t="s">
        <v>13</v>
      </c>
      <c r="D1796" t="s">
        <v>39</v>
      </c>
      <c r="E1796">
        <v>90</v>
      </c>
    </row>
    <row r="1797" spans="1:5" x14ac:dyDescent="0.55000000000000004">
      <c r="A1797">
        <v>116</v>
      </c>
      <c r="B1797" t="s">
        <v>101</v>
      </c>
      <c r="C1797" t="s">
        <v>110</v>
      </c>
      <c r="D1797" t="s">
        <v>39</v>
      </c>
      <c r="E1797">
        <v>10</v>
      </c>
    </row>
    <row r="1798" spans="1:5" x14ac:dyDescent="0.55000000000000004">
      <c r="A1798">
        <v>116</v>
      </c>
      <c r="B1798" t="s">
        <v>101</v>
      </c>
      <c r="C1798" t="s">
        <v>223</v>
      </c>
      <c r="D1798" t="s">
        <v>39</v>
      </c>
      <c r="E1798">
        <v>0</v>
      </c>
    </row>
    <row r="1799" spans="1:5" x14ac:dyDescent="0.55000000000000004">
      <c r="A1799">
        <v>116</v>
      </c>
      <c r="B1799" t="s">
        <v>101</v>
      </c>
      <c r="C1799" t="s">
        <v>133</v>
      </c>
      <c r="D1799" t="s">
        <v>118</v>
      </c>
    </row>
    <row r="1800" spans="1:5" x14ac:dyDescent="0.55000000000000004">
      <c r="A1800">
        <v>116</v>
      </c>
      <c r="B1800" t="s">
        <v>111</v>
      </c>
      <c r="C1800" t="s">
        <v>18</v>
      </c>
      <c r="D1800" t="s">
        <v>42</v>
      </c>
      <c r="E1800">
        <v>16.100000000000001</v>
      </c>
    </row>
    <row r="1801" spans="1:5" x14ac:dyDescent="0.55000000000000004">
      <c r="A1801">
        <v>116</v>
      </c>
      <c r="B1801" t="s">
        <v>111</v>
      </c>
      <c r="C1801" t="s">
        <v>15</v>
      </c>
      <c r="D1801" t="s">
        <v>41</v>
      </c>
      <c r="E1801">
        <v>9.14</v>
      </c>
    </row>
    <row r="1802" spans="1:5" x14ac:dyDescent="0.55000000000000004">
      <c r="A1802">
        <v>116</v>
      </c>
      <c r="B1802" t="s">
        <v>111</v>
      </c>
      <c r="C1802" t="s">
        <v>16</v>
      </c>
      <c r="D1802" t="s">
        <v>39</v>
      </c>
      <c r="E1802">
        <v>94.1</v>
      </c>
    </row>
    <row r="1803" spans="1:5" x14ac:dyDescent="0.55000000000000004">
      <c r="A1803">
        <v>116</v>
      </c>
      <c r="B1803" t="s">
        <v>111</v>
      </c>
      <c r="C1803" t="s">
        <v>112</v>
      </c>
      <c r="D1803" t="s">
        <v>113</v>
      </c>
      <c r="E1803">
        <v>63.9</v>
      </c>
    </row>
    <row r="1804" spans="1:5" x14ac:dyDescent="0.55000000000000004">
      <c r="A1804">
        <v>116</v>
      </c>
      <c r="B1804" t="s">
        <v>111</v>
      </c>
      <c r="C1804" t="s">
        <v>17</v>
      </c>
      <c r="E1804">
        <v>7.77</v>
      </c>
    </row>
    <row r="1805" spans="1:5" x14ac:dyDescent="0.55000000000000004">
      <c r="A1805">
        <v>116</v>
      </c>
      <c r="B1805" t="s">
        <v>249</v>
      </c>
      <c r="C1805" t="s">
        <v>114</v>
      </c>
      <c r="D1805" t="s">
        <v>39</v>
      </c>
      <c r="E1805">
        <v>20</v>
      </c>
    </row>
    <row r="1806" spans="1:5" x14ac:dyDescent="0.55000000000000004">
      <c r="A1806">
        <v>116</v>
      </c>
      <c r="B1806" t="s">
        <v>249</v>
      </c>
      <c r="C1806" t="s">
        <v>250</v>
      </c>
      <c r="E1806" s="31" t="s">
        <v>253</v>
      </c>
    </row>
    <row r="1807" spans="1:5" x14ac:dyDescent="0.55000000000000004">
      <c r="A1807">
        <v>116</v>
      </c>
      <c r="B1807" t="s">
        <v>249</v>
      </c>
      <c r="C1807" t="s">
        <v>115</v>
      </c>
      <c r="D1807" t="s">
        <v>39</v>
      </c>
      <c r="E1807">
        <v>90</v>
      </c>
    </row>
    <row r="1808" spans="1:5" x14ac:dyDescent="0.55000000000000004">
      <c r="A1808">
        <v>116</v>
      </c>
      <c r="B1808" t="s">
        <v>249</v>
      </c>
      <c r="C1808" t="s">
        <v>251</v>
      </c>
    </row>
    <row r="1809" spans="1:5" x14ac:dyDescent="0.55000000000000004">
      <c r="A1809">
        <v>116</v>
      </c>
      <c r="B1809" t="s">
        <v>249</v>
      </c>
      <c r="C1809" t="s">
        <v>116</v>
      </c>
      <c r="D1809" t="s">
        <v>40</v>
      </c>
      <c r="E1809">
        <v>1</v>
      </c>
    </row>
    <row r="1810" spans="1:5" x14ac:dyDescent="0.55000000000000004">
      <c r="A1810">
        <v>116</v>
      </c>
      <c r="B1810" t="s">
        <v>249</v>
      </c>
      <c r="C1810" t="s">
        <v>252</v>
      </c>
      <c r="E1810" s="31" t="s">
        <v>253</v>
      </c>
    </row>
    <row r="1811" spans="1:5" x14ac:dyDescent="0.55000000000000004">
      <c r="A1811">
        <v>116</v>
      </c>
      <c r="B1811" t="s">
        <v>249</v>
      </c>
      <c r="C1811" t="s">
        <v>117</v>
      </c>
      <c r="D1811" t="s">
        <v>39</v>
      </c>
      <c r="E1811">
        <v>0</v>
      </c>
    </row>
    <row r="1812" spans="1:5" x14ac:dyDescent="0.55000000000000004">
      <c r="A1812">
        <v>116</v>
      </c>
      <c r="B1812" t="s">
        <v>249</v>
      </c>
      <c r="C1812" t="s">
        <v>21</v>
      </c>
    </row>
    <row r="1813" spans="1:5" x14ac:dyDescent="0.55000000000000004">
      <c r="A1813">
        <v>117</v>
      </c>
      <c r="B1813" t="s">
        <v>101</v>
      </c>
      <c r="C1813" t="s">
        <v>102</v>
      </c>
      <c r="D1813" t="s">
        <v>103</v>
      </c>
    </row>
    <row r="1814" spans="1:5" x14ac:dyDescent="0.55000000000000004">
      <c r="A1814">
        <v>117</v>
      </c>
      <c r="B1814" t="s">
        <v>101</v>
      </c>
      <c r="C1814" s="12" t="s">
        <v>104</v>
      </c>
      <c r="D1814" t="s">
        <v>40</v>
      </c>
      <c r="E1814">
        <v>1</v>
      </c>
    </row>
    <row r="1815" spans="1:5" x14ac:dyDescent="0.55000000000000004">
      <c r="A1815">
        <v>117</v>
      </c>
      <c r="B1815" t="s">
        <v>101</v>
      </c>
      <c r="C1815" t="s">
        <v>8</v>
      </c>
      <c r="D1815" t="s">
        <v>38</v>
      </c>
    </row>
    <row r="1816" spans="1:5" x14ac:dyDescent="0.55000000000000004">
      <c r="A1816">
        <v>117</v>
      </c>
      <c r="B1816" t="s">
        <v>101</v>
      </c>
      <c r="C1816" t="s">
        <v>214</v>
      </c>
      <c r="D1816" t="s">
        <v>38</v>
      </c>
      <c r="E1816">
        <v>2</v>
      </c>
    </row>
    <row r="1817" spans="1:5" x14ac:dyDescent="0.55000000000000004">
      <c r="A1817">
        <v>117</v>
      </c>
      <c r="B1817" t="s">
        <v>101</v>
      </c>
      <c r="C1817" t="s">
        <v>105</v>
      </c>
      <c r="D1817" t="s">
        <v>106</v>
      </c>
      <c r="E1817">
        <f>E1816/10</f>
        <v>0.2</v>
      </c>
    </row>
    <row r="1818" spans="1:5" x14ac:dyDescent="0.55000000000000004">
      <c r="A1818">
        <v>117</v>
      </c>
      <c r="B1818" t="s">
        <v>101</v>
      </c>
      <c r="C1818" s="2" t="s">
        <v>109</v>
      </c>
      <c r="D1818" t="s">
        <v>39</v>
      </c>
      <c r="E1818">
        <v>100</v>
      </c>
    </row>
    <row r="1819" spans="1:5" x14ac:dyDescent="0.55000000000000004">
      <c r="A1819">
        <v>117</v>
      </c>
      <c r="B1819" t="s">
        <v>101</v>
      </c>
      <c r="C1819" s="2" t="s">
        <v>248</v>
      </c>
    </row>
    <row r="1820" spans="1:5" x14ac:dyDescent="0.55000000000000004">
      <c r="A1820">
        <v>117</v>
      </c>
      <c r="B1820" t="s">
        <v>101</v>
      </c>
      <c r="C1820" s="2" t="s">
        <v>108</v>
      </c>
      <c r="D1820" t="s">
        <v>39</v>
      </c>
      <c r="E1820">
        <v>100</v>
      </c>
    </row>
    <row r="1821" spans="1:5" x14ac:dyDescent="0.55000000000000004">
      <c r="A1821">
        <v>117</v>
      </c>
      <c r="B1821" t="s">
        <v>101</v>
      </c>
      <c r="C1821" t="s">
        <v>11</v>
      </c>
      <c r="D1821" t="s">
        <v>39</v>
      </c>
      <c r="E1821">
        <v>0</v>
      </c>
    </row>
    <row r="1822" spans="1:5" x14ac:dyDescent="0.55000000000000004">
      <c r="A1822">
        <v>117</v>
      </c>
      <c r="B1822" t="s">
        <v>101</v>
      </c>
      <c r="C1822" t="s">
        <v>12</v>
      </c>
      <c r="D1822" t="s">
        <v>40</v>
      </c>
      <c r="E1822">
        <v>0</v>
      </c>
    </row>
    <row r="1823" spans="1:5" x14ac:dyDescent="0.55000000000000004">
      <c r="A1823">
        <v>117</v>
      </c>
      <c r="B1823" t="s">
        <v>101</v>
      </c>
      <c r="C1823" t="s">
        <v>34</v>
      </c>
      <c r="D1823" t="s">
        <v>39</v>
      </c>
      <c r="E1823">
        <v>0</v>
      </c>
    </row>
    <row r="1824" spans="1:5" x14ac:dyDescent="0.55000000000000004">
      <c r="A1824">
        <v>117</v>
      </c>
      <c r="B1824" t="s">
        <v>101</v>
      </c>
      <c r="C1824" t="s">
        <v>35</v>
      </c>
      <c r="D1824" t="s">
        <v>39</v>
      </c>
      <c r="E1824">
        <v>20</v>
      </c>
    </row>
    <row r="1825" spans="1:5" x14ac:dyDescent="0.55000000000000004">
      <c r="A1825">
        <v>117</v>
      </c>
      <c r="B1825" t="s">
        <v>101</v>
      </c>
      <c r="C1825" t="s">
        <v>36</v>
      </c>
      <c r="D1825" t="s">
        <v>39</v>
      </c>
      <c r="E1825">
        <v>0</v>
      </c>
    </row>
    <row r="1826" spans="1:5" x14ac:dyDescent="0.55000000000000004">
      <c r="A1826">
        <v>117</v>
      </c>
      <c r="B1826" t="s">
        <v>101</v>
      </c>
      <c r="C1826" t="s">
        <v>37</v>
      </c>
      <c r="D1826" t="s">
        <v>39</v>
      </c>
      <c r="E1826">
        <v>0</v>
      </c>
    </row>
    <row r="1827" spans="1:5" x14ac:dyDescent="0.55000000000000004">
      <c r="A1827">
        <v>117</v>
      </c>
      <c r="B1827" t="s">
        <v>101</v>
      </c>
      <c r="C1827" t="s">
        <v>14</v>
      </c>
      <c r="D1827" t="s">
        <v>39</v>
      </c>
      <c r="E1827">
        <v>80</v>
      </c>
    </row>
    <row r="1828" spans="1:5" x14ac:dyDescent="0.55000000000000004">
      <c r="A1828">
        <v>117</v>
      </c>
      <c r="B1828" t="s">
        <v>101</v>
      </c>
      <c r="C1828" t="s">
        <v>13</v>
      </c>
      <c r="D1828" t="s">
        <v>39</v>
      </c>
      <c r="E1828">
        <v>0</v>
      </c>
    </row>
    <row r="1829" spans="1:5" x14ac:dyDescent="0.55000000000000004">
      <c r="A1829">
        <v>117</v>
      </c>
      <c r="B1829" t="s">
        <v>101</v>
      </c>
      <c r="C1829" t="s">
        <v>110</v>
      </c>
      <c r="D1829" t="s">
        <v>39</v>
      </c>
      <c r="E1829">
        <v>0</v>
      </c>
    </row>
    <row r="1830" spans="1:5" x14ac:dyDescent="0.55000000000000004">
      <c r="A1830">
        <v>117</v>
      </c>
      <c r="B1830" t="s">
        <v>101</v>
      </c>
      <c r="C1830" t="s">
        <v>223</v>
      </c>
      <c r="D1830" t="s">
        <v>39</v>
      </c>
      <c r="E1830">
        <v>0</v>
      </c>
    </row>
    <row r="1831" spans="1:5" x14ac:dyDescent="0.55000000000000004">
      <c r="A1831">
        <v>117</v>
      </c>
      <c r="B1831" t="s">
        <v>101</v>
      </c>
      <c r="C1831" t="s">
        <v>133</v>
      </c>
      <c r="D1831" t="s">
        <v>118</v>
      </c>
    </row>
    <row r="1832" spans="1:5" x14ac:dyDescent="0.55000000000000004">
      <c r="A1832">
        <v>117</v>
      </c>
      <c r="B1832" t="s">
        <v>111</v>
      </c>
      <c r="C1832" t="s">
        <v>18</v>
      </c>
      <c r="D1832" t="s">
        <v>42</v>
      </c>
      <c r="E1832">
        <v>16.3</v>
      </c>
    </row>
    <row r="1833" spans="1:5" x14ac:dyDescent="0.55000000000000004">
      <c r="A1833">
        <v>117</v>
      </c>
      <c r="B1833" t="s">
        <v>111</v>
      </c>
      <c r="C1833" t="s">
        <v>15</v>
      </c>
      <c r="D1833" t="s">
        <v>41</v>
      </c>
      <c r="E1833">
        <v>9.2100000000000009</v>
      </c>
    </row>
    <row r="1834" spans="1:5" x14ac:dyDescent="0.55000000000000004">
      <c r="A1834">
        <v>117</v>
      </c>
      <c r="B1834" t="s">
        <v>111</v>
      </c>
      <c r="C1834" t="s">
        <v>16</v>
      </c>
      <c r="D1834" t="s">
        <v>39</v>
      </c>
      <c r="E1834">
        <v>93.8</v>
      </c>
    </row>
    <row r="1835" spans="1:5" x14ac:dyDescent="0.55000000000000004">
      <c r="A1835">
        <v>117</v>
      </c>
      <c r="B1835" t="s">
        <v>111</v>
      </c>
      <c r="C1835" t="s">
        <v>112</v>
      </c>
      <c r="D1835" t="s">
        <v>113</v>
      </c>
      <c r="E1835">
        <v>61.9</v>
      </c>
    </row>
    <row r="1836" spans="1:5" x14ac:dyDescent="0.55000000000000004">
      <c r="A1836">
        <v>117</v>
      </c>
      <c r="B1836" t="s">
        <v>111</v>
      </c>
      <c r="C1836" t="s">
        <v>17</v>
      </c>
      <c r="E1836">
        <v>8.2799999999999994</v>
      </c>
    </row>
    <row r="1837" spans="1:5" x14ac:dyDescent="0.55000000000000004">
      <c r="A1837">
        <v>117</v>
      </c>
      <c r="B1837" t="s">
        <v>249</v>
      </c>
      <c r="C1837" t="s">
        <v>114</v>
      </c>
      <c r="D1837" t="s">
        <v>39</v>
      </c>
      <c r="E1837">
        <v>0</v>
      </c>
    </row>
    <row r="1838" spans="1:5" x14ac:dyDescent="0.55000000000000004">
      <c r="A1838">
        <v>117</v>
      </c>
      <c r="B1838" t="s">
        <v>249</v>
      </c>
      <c r="C1838" t="s">
        <v>250</v>
      </c>
    </row>
    <row r="1839" spans="1:5" x14ac:dyDescent="0.55000000000000004">
      <c r="A1839">
        <v>117</v>
      </c>
      <c r="B1839" t="s">
        <v>249</v>
      </c>
      <c r="C1839" t="s">
        <v>115</v>
      </c>
      <c r="D1839" t="s">
        <v>39</v>
      </c>
      <c r="E1839">
        <v>0</v>
      </c>
    </row>
    <row r="1840" spans="1:5" x14ac:dyDescent="0.55000000000000004">
      <c r="A1840">
        <v>117</v>
      </c>
      <c r="B1840" t="s">
        <v>249</v>
      </c>
      <c r="C1840" t="s">
        <v>251</v>
      </c>
    </row>
    <row r="1841" spans="1:6" x14ac:dyDescent="0.55000000000000004">
      <c r="A1841">
        <v>117</v>
      </c>
      <c r="B1841" t="s">
        <v>249</v>
      </c>
      <c r="C1841" t="s">
        <v>116</v>
      </c>
      <c r="D1841" t="s">
        <v>40</v>
      </c>
      <c r="E1841">
        <v>0</v>
      </c>
    </row>
    <row r="1842" spans="1:6" x14ac:dyDescent="0.55000000000000004">
      <c r="A1842">
        <v>117</v>
      </c>
      <c r="B1842" t="s">
        <v>249</v>
      </c>
      <c r="C1842" t="s">
        <v>252</v>
      </c>
    </row>
    <row r="1843" spans="1:6" x14ac:dyDescent="0.55000000000000004">
      <c r="A1843">
        <v>117</v>
      </c>
      <c r="B1843" t="s">
        <v>249</v>
      </c>
      <c r="C1843" t="s">
        <v>117</v>
      </c>
      <c r="D1843" t="s">
        <v>39</v>
      </c>
      <c r="E1843">
        <v>10</v>
      </c>
    </row>
    <row r="1844" spans="1:6" x14ac:dyDescent="0.55000000000000004">
      <c r="A1844">
        <v>117</v>
      </c>
      <c r="B1844" t="s">
        <v>249</v>
      </c>
      <c r="C1844" t="s">
        <v>21</v>
      </c>
    </row>
    <row r="1845" spans="1:6" x14ac:dyDescent="0.55000000000000004">
      <c r="A1845">
        <v>118</v>
      </c>
      <c r="B1845" t="s">
        <v>101</v>
      </c>
      <c r="C1845" t="s">
        <v>102</v>
      </c>
      <c r="D1845" t="s">
        <v>103</v>
      </c>
    </row>
    <row r="1846" spans="1:6" x14ac:dyDescent="0.55000000000000004">
      <c r="A1846">
        <v>118</v>
      </c>
      <c r="B1846" t="s">
        <v>101</v>
      </c>
      <c r="C1846" s="12" t="s">
        <v>104</v>
      </c>
      <c r="D1846" t="s">
        <v>40</v>
      </c>
      <c r="E1846">
        <v>1</v>
      </c>
    </row>
    <row r="1847" spans="1:6" x14ac:dyDescent="0.55000000000000004">
      <c r="A1847">
        <v>118</v>
      </c>
      <c r="B1847" t="s">
        <v>101</v>
      </c>
      <c r="C1847" t="s">
        <v>8</v>
      </c>
      <c r="D1847" t="s">
        <v>38</v>
      </c>
      <c r="E1847">
        <v>7.4</v>
      </c>
      <c r="F1847" t="s">
        <v>218</v>
      </c>
    </row>
    <row r="1848" spans="1:6" x14ac:dyDescent="0.55000000000000004">
      <c r="A1848">
        <v>118</v>
      </c>
      <c r="B1848" t="s">
        <v>101</v>
      </c>
      <c r="C1848" t="s">
        <v>214</v>
      </c>
      <c r="D1848" t="s">
        <v>38</v>
      </c>
      <c r="E1848">
        <v>0.9</v>
      </c>
    </row>
    <row r="1849" spans="1:6" x14ac:dyDescent="0.55000000000000004">
      <c r="A1849">
        <v>118</v>
      </c>
      <c r="B1849" t="s">
        <v>101</v>
      </c>
      <c r="C1849" t="s">
        <v>105</v>
      </c>
      <c r="D1849" t="s">
        <v>106</v>
      </c>
      <c r="E1849">
        <f>E1848/10</f>
        <v>0.09</v>
      </c>
    </row>
    <row r="1850" spans="1:6" x14ac:dyDescent="0.55000000000000004">
      <c r="A1850">
        <v>118</v>
      </c>
      <c r="B1850" t="s">
        <v>101</v>
      </c>
      <c r="C1850" s="2" t="s">
        <v>109</v>
      </c>
      <c r="D1850" t="s">
        <v>39</v>
      </c>
      <c r="E1850">
        <v>0</v>
      </c>
    </row>
    <row r="1851" spans="1:6" x14ac:dyDescent="0.55000000000000004">
      <c r="A1851">
        <v>118</v>
      </c>
      <c r="B1851" t="s">
        <v>101</v>
      </c>
      <c r="C1851" s="2" t="s">
        <v>248</v>
      </c>
    </row>
    <row r="1852" spans="1:6" x14ac:dyDescent="0.55000000000000004">
      <c r="A1852">
        <v>118</v>
      </c>
      <c r="B1852" t="s">
        <v>101</v>
      </c>
      <c r="C1852" s="2" t="s">
        <v>108</v>
      </c>
      <c r="D1852" t="s">
        <v>39</v>
      </c>
      <c r="E1852">
        <v>0</v>
      </c>
    </row>
    <row r="1853" spans="1:6" x14ac:dyDescent="0.55000000000000004">
      <c r="A1853">
        <v>118</v>
      </c>
      <c r="B1853" t="s">
        <v>101</v>
      </c>
      <c r="C1853" t="s">
        <v>11</v>
      </c>
      <c r="D1853" t="s">
        <v>39</v>
      </c>
      <c r="E1853">
        <v>0</v>
      </c>
    </row>
    <row r="1854" spans="1:6" x14ac:dyDescent="0.55000000000000004">
      <c r="A1854">
        <v>118</v>
      </c>
      <c r="B1854" t="s">
        <v>101</v>
      </c>
      <c r="C1854" t="s">
        <v>12</v>
      </c>
      <c r="D1854" t="s">
        <v>40</v>
      </c>
      <c r="E1854">
        <v>1</v>
      </c>
      <c r="F1854" t="s">
        <v>222</v>
      </c>
    </row>
    <row r="1855" spans="1:6" x14ac:dyDescent="0.55000000000000004">
      <c r="A1855">
        <v>118</v>
      </c>
      <c r="B1855" t="s">
        <v>101</v>
      </c>
      <c r="C1855" t="s">
        <v>34</v>
      </c>
      <c r="D1855" t="s">
        <v>39</v>
      </c>
      <c r="E1855">
        <v>0</v>
      </c>
    </row>
    <row r="1856" spans="1:6" x14ac:dyDescent="0.55000000000000004">
      <c r="A1856">
        <v>118</v>
      </c>
      <c r="B1856" t="s">
        <v>101</v>
      </c>
      <c r="C1856" t="s">
        <v>35</v>
      </c>
      <c r="D1856" t="s">
        <v>39</v>
      </c>
      <c r="E1856">
        <v>5</v>
      </c>
    </row>
    <row r="1857" spans="1:5" x14ac:dyDescent="0.55000000000000004">
      <c r="A1857">
        <v>118</v>
      </c>
      <c r="B1857" t="s">
        <v>101</v>
      </c>
      <c r="C1857" t="s">
        <v>36</v>
      </c>
      <c r="D1857" t="s">
        <v>39</v>
      </c>
      <c r="E1857">
        <v>0</v>
      </c>
    </row>
    <row r="1858" spans="1:5" x14ac:dyDescent="0.55000000000000004">
      <c r="A1858">
        <v>118</v>
      </c>
      <c r="B1858" t="s">
        <v>101</v>
      </c>
      <c r="C1858" t="s">
        <v>37</v>
      </c>
      <c r="D1858" t="s">
        <v>39</v>
      </c>
      <c r="E1858">
        <v>0</v>
      </c>
    </row>
    <row r="1859" spans="1:5" x14ac:dyDescent="0.55000000000000004">
      <c r="A1859">
        <v>118</v>
      </c>
      <c r="B1859" t="s">
        <v>101</v>
      </c>
      <c r="C1859" t="s">
        <v>14</v>
      </c>
      <c r="D1859" t="s">
        <v>39</v>
      </c>
      <c r="E1859">
        <v>20</v>
      </c>
    </row>
    <row r="1860" spans="1:5" x14ac:dyDescent="0.55000000000000004">
      <c r="A1860">
        <v>118</v>
      </c>
      <c r="B1860" t="s">
        <v>101</v>
      </c>
      <c r="C1860" t="s">
        <v>13</v>
      </c>
      <c r="D1860" t="s">
        <v>39</v>
      </c>
      <c r="E1860">
        <v>0</v>
      </c>
    </row>
    <row r="1861" spans="1:5" x14ac:dyDescent="0.55000000000000004">
      <c r="A1861">
        <v>118</v>
      </c>
      <c r="B1861" t="s">
        <v>101</v>
      </c>
      <c r="C1861" t="s">
        <v>110</v>
      </c>
      <c r="D1861" t="s">
        <v>39</v>
      </c>
      <c r="E1861">
        <v>0</v>
      </c>
    </row>
    <row r="1862" spans="1:5" x14ac:dyDescent="0.55000000000000004">
      <c r="A1862">
        <v>118</v>
      </c>
      <c r="B1862" t="s">
        <v>101</v>
      </c>
      <c r="C1862" t="s">
        <v>223</v>
      </c>
      <c r="D1862" t="s">
        <v>39</v>
      </c>
      <c r="E1862">
        <v>75</v>
      </c>
    </row>
    <row r="1863" spans="1:5" x14ac:dyDescent="0.55000000000000004">
      <c r="A1863">
        <v>118</v>
      </c>
      <c r="B1863" t="s">
        <v>101</v>
      </c>
      <c r="C1863" t="s">
        <v>133</v>
      </c>
      <c r="D1863" t="s">
        <v>118</v>
      </c>
    </row>
    <row r="1864" spans="1:5" x14ac:dyDescent="0.55000000000000004">
      <c r="A1864">
        <v>118</v>
      </c>
      <c r="B1864" t="s">
        <v>111</v>
      </c>
      <c r="C1864" t="s">
        <v>18</v>
      </c>
      <c r="D1864" t="s">
        <v>42</v>
      </c>
      <c r="E1864">
        <v>16</v>
      </c>
    </row>
    <row r="1865" spans="1:5" x14ac:dyDescent="0.55000000000000004">
      <c r="A1865">
        <v>118</v>
      </c>
      <c r="B1865" t="s">
        <v>111</v>
      </c>
      <c r="C1865" t="s">
        <v>15</v>
      </c>
      <c r="D1865" t="s">
        <v>41</v>
      </c>
      <c r="E1865">
        <v>9.74</v>
      </c>
    </row>
    <row r="1866" spans="1:5" x14ac:dyDescent="0.55000000000000004">
      <c r="A1866">
        <v>118</v>
      </c>
      <c r="B1866" t="s">
        <v>111</v>
      </c>
      <c r="C1866" t="s">
        <v>16</v>
      </c>
      <c r="D1866" t="s">
        <v>39</v>
      </c>
      <c r="E1866">
        <v>98.6</v>
      </c>
    </row>
    <row r="1867" spans="1:5" x14ac:dyDescent="0.55000000000000004">
      <c r="A1867">
        <v>118</v>
      </c>
      <c r="B1867" t="s">
        <v>111</v>
      </c>
      <c r="C1867" t="s">
        <v>112</v>
      </c>
      <c r="D1867" t="s">
        <v>113</v>
      </c>
      <c r="E1867">
        <v>62.3</v>
      </c>
    </row>
    <row r="1868" spans="1:5" x14ac:dyDescent="0.55000000000000004">
      <c r="A1868">
        <v>118</v>
      </c>
      <c r="B1868" t="s">
        <v>111</v>
      </c>
      <c r="C1868" t="s">
        <v>17</v>
      </c>
      <c r="E1868">
        <v>8.19</v>
      </c>
    </row>
    <row r="1869" spans="1:5" x14ac:dyDescent="0.55000000000000004">
      <c r="A1869">
        <v>118</v>
      </c>
      <c r="B1869" t="s">
        <v>249</v>
      </c>
      <c r="C1869" t="s">
        <v>114</v>
      </c>
      <c r="D1869" t="s">
        <v>39</v>
      </c>
      <c r="E1869">
        <v>0</v>
      </c>
    </row>
    <row r="1870" spans="1:5" x14ac:dyDescent="0.55000000000000004">
      <c r="A1870">
        <v>118</v>
      </c>
      <c r="B1870" t="s">
        <v>249</v>
      </c>
      <c r="C1870" t="s">
        <v>250</v>
      </c>
    </row>
    <row r="1871" spans="1:5" x14ac:dyDescent="0.55000000000000004">
      <c r="A1871">
        <v>118</v>
      </c>
      <c r="B1871" t="s">
        <v>249</v>
      </c>
      <c r="C1871" t="s">
        <v>115</v>
      </c>
      <c r="D1871" t="s">
        <v>39</v>
      </c>
      <c r="E1871">
        <v>0</v>
      </c>
    </row>
    <row r="1872" spans="1:5" x14ac:dyDescent="0.55000000000000004">
      <c r="A1872">
        <v>118</v>
      </c>
      <c r="B1872" t="s">
        <v>249</v>
      </c>
      <c r="C1872" t="s">
        <v>251</v>
      </c>
    </row>
    <row r="1873" spans="1:5" x14ac:dyDescent="0.55000000000000004">
      <c r="A1873">
        <v>118</v>
      </c>
      <c r="B1873" t="s">
        <v>249</v>
      </c>
      <c r="C1873" t="s">
        <v>116</v>
      </c>
      <c r="D1873" t="s">
        <v>40</v>
      </c>
      <c r="E1873">
        <v>0</v>
      </c>
    </row>
    <row r="1874" spans="1:5" x14ac:dyDescent="0.55000000000000004">
      <c r="A1874">
        <v>118</v>
      </c>
      <c r="B1874" t="s">
        <v>249</v>
      </c>
      <c r="C1874" t="s">
        <v>252</v>
      </c>
    </row>
    <row r="1875" spans="1:5" x14ac:dyDescent="0.55000000000000004">
      <c r="A1875">
        <v>118</v>
      </c>
      <c r="B1875" t="s">
        <v>249</v>
      </c>
      <c r="C1875" t="s">
        <v>117</v>
      </c>
      <c r="D1875" t="s">
        <v>39</v>
      </c>
      <c r="E1875">
        <v>0</v>
      </c>
    </row>
    <row r="1876" spans="1:5" x14ac:dyDescent="0.55000000000000004">
      <c r="A1876">
        <v>118</v>
      </c>
      <c r="B1876" t="s">
        <v>249</v>
      </c>
      <c r="C1876" t="s">
        <v>21</v>
      </c>
    </row>
    <row r="1877" spans="1:5" x14ac:dyDescent="0.55000000000000004">
      <c r="A1877">
        <v>119</v>
      </c>
      <c r="B1877" t="s">
        <v>101</v>
      </c>
      <c r="C1877" t="s">
        <v>102</v>
      </c>
      <c r="D1877" t="s">
        <v>103</v>
      </c>
    </row>
    <row r="1878" spans="1:5" x14ac:dyDescent="0.55000000000000004">
      <c r="A1878">
        <v>119</v>
      </c>
      <c r="B1878" t="s">
        <v>101</v>
      </c>
      <c r="C1878" s="12" t="s">
        <v>104</v>
      </c>
      <c r="D1878" t="s">
        <v>40</v>
      </c>
      <c r="E1878">
        <v>1</v>
      </c>
    </row>
    <row r="1879" spans="1:5" x14ac:dyDescent="0.55000000000000004">
      <c r="A1879">
        <v>119</v>
      </c>
      <c r="B1879" t="s">
        <v>101</v>
      </c>
      <c r="C1879" t="s">
        <v>8</v>
      </c>
      <c r="D1879" t="s">
        <v>38</v>
      </c>
    </row>
    <row r="1880" spans="1:5" x14ac:dyDescent="0.55000000000000004">
      <c r="A1880">
        <v>119</v>
      </c>
      <c r="B1880" t="s">
        <v>101</v>
      </c>
      <c r="C1880" t="s">
        <v>214</v>
      </c>
      <c r="D1880" t="s">
        <v>38</v>
      </c>
      <c r="E1880">
        <v>1.2</v>
      </c>
    </row>
    <row r="1881" spans="1:5" x14ac:dyDescent="0.55000000000000004">
      <c r="A1881">
        <v>119</v>
      </c>
      <c r="B1881" t="s">
        <v>101</v>
      </c>
      <c r="C1881" t="s">
        <v>105</v>
      </c>
      <c r="D1881" t="s">
        <v>106</v>
      </c>
      <c r="E1881">
        <f>E1880/10</f>
        <v>0.12</v>
      </c>
    </row>
    <row r="1882" spans="1:5" x14ac:dyDescent="0.55000000000000004">
      <c r="A1882">
        <v>119</v>
      </c>
      <c r="B1882" t="s">
        <v>101</v>
      </c>
      <c r="C1882" s="2" t="s">
        <v>109</v>
      </c>
      <c r="D1882" t="s">
        <v>39</v>
      </c>
      <c r="E1882">
        <v>100</v>
      </c>
    </row>
    <row r="1883" spans="1:5" x14ac:dyDescent="0.55000000000000004">
      <c r="A1883">
        <v>119</v>
      </c>
      <c r="B1883" t="s">
        <v>101</v>
      </c>
      <c r="C1883" s="2" t="s">
        <v>248</v>
      </c>
    </row>
    <row r="1884" spans="1:5" x14ac:dyDescent="0.55000000000000004">
      <c r="A1884">
        <v>119</v>
      </c>
      <c r="B1884" t="s">
        <v>101</v>
      </c>
      <c r="C1884" s="2" t="s">
        <v>108</v>
      </c>
      <c r="D1884" t="s">
        <v>39</v>
      </c>
      <c r="E1884">
        <v>100</v>
      </c>
    </row>
    <row r="1885" spans="1:5" x14ac:dyDescent="0.55000000000000004">
      <c r="A1885">
        <v>119</v>
      </c>
      <c r="B1885" t="s">
        <v>101</v>
      </c>
      <c r="C1885" t="s">
        <v>11</v>
      </c>
      <c r="D1885" t="s">
        <v>39</v>
      </c>
      <c r="E1885">
        <v>0</v>
      </c>
    </row>
    <row r="1886" spans="1:5" x14ac:dyDescent="0.55000000000000004">
      <c r="A1886">
        <v>119</v>
      </c>
      <c r="B1886" t="s">
        <v>101</v>
      </c>
      <c r="C1886" t="s">
        <v>12</v>
      </c>
      <c r="D1886" t="s">
        <v>40</v>
      </c>
      <c r="E1886">
        <v>0</v>
      </c>
    </row>
    <row r="1887" spans="1:5" x14ac:dyDescent="0.55000000000000004">
      <c r="A1887">
        <v>119</v>
      </c>
      <c r="B1887" t="s">
        <v>101</v>
      </c>
      <c r="C1887" t="s">
        <v>34</v>
      </c>
      <c r="D1887" t="s">
        <v>39</v>
      </c>
      <c r="E1887">
        <v>0</v>
      </c>
    </row>
    <row r="1888" spans="1:5" x14ac:dyDescent="0.55000000000000004">
      <c r="A1888">
        <v>119</v>
      </c>
      <c r="B1888" t="s">
        <v>101</v>
      </c>
      <c r="C1888" t="s">
        <v>35</v>
      </c>
      <c r="D1888" t="s">
        <v>39</v>
      </c>
      <c r="E1888">
        <v>0</v>
      </c>
    </row>
    <row r="1889" spans="1:5" x14ac:dyDescent="0.55000000000000004">
      <c r="A1889">
        <v>119</v>
      </c>
      <c r="B1889" t="s">
        <v>101</v>
      </c>
      <c r="C1889" t="s">
        <v>36</v>
      </c>
      <c r="D1889" t="s">
        <v>39</v>
      </c>
      <c r="E1889">
        <v>0</v>
      </c>
    </row>
    <row r="1890" spans="1:5" x14ac:dyDescent="0.55000000000000004">
      <c r="A1890">
        <v>119</v>
      </c>
      <c r="B1890" t="s">
        <v>101</v>
      </c>
      <c r="C1890" t="s">
        <v>37</v>
      </c>
      <c r="D1890" t="s">
        <v>39</v>
      </c>
      <c r="E1890">
        <v>0</v>
      </c>
    </row>
    <row r="1891" spans="1:5" x14ac:dyDescent="0.55000000000000004">
      <c r="A1891">
        <v>119</v>
      </c>
      <c r="B1891" t="s">
        <v>101</v>
      </c>
      <c r="C1891" t="s">
        <v>14</v>
      </c>
      <c r="D1891" t="s">
        <v>39</v>
      </c>
      <c r="E1891">
        <v>0</v>
      </c>
    </row>
    <row r="1892" spans="1:5" x14ac:dyDescent="0.55000000000000004">
      <c r="A1892">
        <v>119</v>
      </c>
      <c r="B1892" t="s">
        <v>101</v>
      </c>
      <c r="C1892" t="s">
        <v>13</v>
      </c>
      <c r="D1892" t="s">
        <v>39</v>
      </c>
      <c r="E1892">
        <v>0</v>
      </c>
    </row>
    <row r="1893" spans="1:5" x14ac:dyDescent="0.55000000000000004">
      <c r="A1893">
        <v>119</v>
      </c>
      <c r="B1893" t="s">
        <v>101</v>
      </c>
      <c r="C1893" t="s">
        <v>110</v>
      </c>
      <c r="D1893" t="s">
        <v>39</v>
      </c>
      <c r="E1893">
        <v>100</v>
      </c>
    </row>
    <row r="1894" spans="1:5" x14ac:dyDescent="0.55000000000000004">
      <c r="A1894">
        <v>119</v>
      </c>
      <c r="B1894" t="s">
        <v>101</v>
      </c>
      <c r="C1894" t="s">
        <v>223</v>
      </c>
      <c r="D1894" t="s">
        <v>39</v>
      </c>
      <c r="E1894">
        <v>0</v>
      </c>
    </row>
    <row r="1895" spans="1:5" x14ac:dyDescent="0.55000000000000004">
      <c r="A1895">
        <v>119</v>
      </c>
      <c r="B1895" t="s">
        <v>101</v>
      </c>
      <c r="C1895" t="s">
        <v>133</v>
      </c>
      <c r="D1895" t="s">
        <v>118</v>
      </c>
    </row>
    <row r="1896" spans="1:5" x14ac:dyDescent="0.55000000000000004">
      <c r="A1896">
        <v>119</v>
      </c>
      <c r="B1896" t="s">
        <v>111</v>
      </c>
      <c r="C1896" t="s">
        <v>18</v>
      </c>
      <c r="D1896" t="s">
        <v>42</v>
      </c>
      <c r="E1896">
        <v>16.8</v>
      </c>
    </row>
    <row r="1897" spans="1:5" x14ac:dyDescent="0.55000000000000004">
      <c r="A1897">
        <v>119</v>
      </c>
      <c r="B1897" t="s">
        <v>111</v>
      </c>
      <c r="C1897" t="s">
        <v>15</v>
      </c>
      <c r="D1897" t="s">
        <v>41</v>
      </c>
      <c r="E1897">
        <v>9.69</v>
      </c>
    </row>
    <row r="1898" spans="1:5" x14ac:dyDescent="0.55000000000000004">
      <c r="A1898">
        <v>119</v>
      </c>
      <c r="B1898" t="s">
        <v>111</v>
      </c>
      <c r="C1898" t="s">
        <v>16</v>
      </c>
      <c r="D1898" t="s">
        <v>39</v>
      </c>
      <c r="E1898">
        <v>99.7</v>
      </c>
    </row>
    <row r="1899" spans="1:5" x14ac:dyDescent="0.55000000000000004">
      <c r="A1899">
        <v>119</v>
      </c>
      <c r="B1899" t="s">
        <v>111</v>
      </c>
      <c r="C1899" t="s">
        <v>112</v>
      </c>
      <c r="D1899" t="s">
        <v>113</v>
      </c>
      <c r="E1899">
        <v>62.6</v>
      </c>
    </row>
    <row r="1900" spans="1:5" x14ac:dyDescent="0.55000000000000004">
      <c r="A1900">
        <v>119</v>
      </c>
      <c r="B1900" t="s">
        <v>111</v>
      </c>
      <c r="C1900" t="s">
        <v>17</v>
      </c>
      <c r="E1900">
        <v>8.32</v>
      </c>
    </row>
    <row r="1901" spans="1:5" x14ac:dyDescent="0.55000000000000004">
      <c r="A1901">
        <v>119</v>
      </c>
      <c r="B1901" t="s">
        <v>249</v>
      </c>
      <c r="C1901" t="s">
        <v>114</v>
      </c>
      <c r="D1901" t="s">
        <v>39</v>
      </c>
      <c r="E1901">
        <v>80</v>
      </c>
    </row>
    <row r="1902" spans="1:5" x14ac:dyDescent="0.55000000000000004">
      <c r="A1902">
        <v>119</v>
      </c>
      <c r="B1902" t="s">
        <v>249</v>
      </c>
      <c r="C1902" t="s">
        <v>250</v>
      </c>
    </row>
    <row r="1903" spans="1:5" x14ac:dyDescent="0.55000000000000004">
      <c r="A1903">
        <v>119</v>
      </c>
      <c r="B1903" t="s">
        <v>249</v>
      </c>
      <c r="C1903" t="s">
        <v>115</v>
      </c>
      <c r="D1903" t="s">
        <v>39</v>
      </c>
      <c r="E1903">
        <v>20</v>
      </c>
    </row>
    <row r="1904" spans="1:5" x14ac:dyDescent="0.55000000000000004">
      <c r="A1904">
        <v>119</v>
      </c>
      <c r="B1904" t="s">
        <v>249</v>
      </c>
      <c r="C1904" t="s">
        <v>251</v>
      </c>
    </row>
    <row r="1905" spans="1:6" x14ac:dyDescent="0.55000000000000004">
      <c r="A1905">
        <v>119</v>
      </c>
      <c r="B1905" t="s">
        <v>249</v>
      </c>
      <c r="C1905" t="s">
        <v>116</v>
      </c>
      <c r="D1905" t="s">
        <v>40</v>
      </c>
      <c r="E1905">
        <v>1</v>
      </c>
    </row>
    <row r="1906" spans="1:6" x14ac:dyDescent="0.55000000000000004">
      <c r="A1906">
        <v>119</v>
      </c>
      <c r="B1906" t="s">
        <v>249</v>
      </c>
      <c r="C1906" t="s">
        <v>252</v>
      </c>
    </row>
    <row r="1907" spans="1:6" x14ac:dyDescent="0.55000000000000004">
      <c r="A1907">
        <v>119</v>
      </c>
      <c r="B1907" t="s">
        <v>249</v>
      </c>
      <c r="C1907" t="s">
        <v>117</v>
      </c>
      <c r="D1907" t="s">
        <v>39</v>
      </c>
      <c r="E1907">
        <v>15</v>
      </c>
    </row>
    <row r="1908" spans="1:6" x14ac:dyDescent="0.55000000000000004">
      <c r="A1908">
        <v>119</v>
      </c>
      <c r="B1908" t="s">
        <v>249</v>
      </c>
      <c r="C1908" t="s">
        <v>21</v>
      </c>
    </row>
    <row r="1909" spans="1:6" x14ac:dyDescent="0.55000000000000004">
      <c r="A1909">
        <v>120</v>
      </c>
      <c r="B1909" t="s">
        <v>101</v>
      </c>
      <c r="C1909" t="s">
        <v>102</v>
      </c>
      <c r="D1909" t="s">
        <v>103</v>
      </c>
    </row>
    <row r="1910" spans="1:6" x14ac:dyDescent="0.55000000000000004">
      <c r="A1910">
        <v>120</v>
      </c>
      <c r="B1910" t="s">
        <v>101</v>
      </c>
      <c r="C1910" s="12" t="s">
        <v>104</v>
      </c>
      <c r="D1910" t="s">
        <v>40</v>
      </c>
      <c r="E1910">
        <v>1</v>
      </c>
    </row>
    <row r="1911" spans="1:6" x14ac:dyDescent="0.55000000000000004">
      <c r="A1911">
        <v>120</v>
      </c>
      <c r="B1911" t="s">
        <v>101</v>
      </c>
      <c r="C1911" t="s">
        <v>8</v>
      </c>
      <c r="D1911" t="s">
        <v>38</v>
      </c>
      <c r="E1911">
        <v>6.2</v>
      </c>
      <c r="F1911" t="s">
        <v>224</v>
      </c>
    </row>
    <row r="1912" spans="1:6" x14ac:dyDescent="0.55000000000000004">
      <c r="A1912">
        <v>120</v>
      </c>
      <c r="B1912" t="s">
        <v>101</v>
      </c>
      <c r="C1912" t="s">
        <v>214</v>
      </c>
      <c r="D1912" t="s">
        <v>38</v>
      </c>
      <c r="E1912">
        <v>0.6</v>
      </c>
    </row>
    <row r="1913" spans="1:6" x14ac:dyDescent="0.55000000000000004">
      <c r="A1913">
        <v>120</v>
      </c>
      <c r="B1913" t="s">
        <v>101</v>
      </c>
      <c r="C1913" t="s">
        <v>105</v>
      </c>
      <c r="D1913" t="s">
        <v>106</v>
      </c>
      <c r="E1913">
        <f>E1912/10</f>
        <v>0.06</v>
      </c>
    </row>
    <row r="1914" spans="1:6" x14ac:dyDescent="0.55000000000000004">
      <c r="A1914">
        <v>120</v>
      </c>
      <c r="B1914" t="s">
        <v>101</v>
      </c>
      <c r="C1914" s="2" t="s">
        <v>109</v>
      </c>
      <c r="D1914" t="s">
        <v>39</v>
      </c>
      <c r="E1914">
        <v>100</v>
      </c>
    </row>
    <row r="1915" spans="1:6" x14ac:dyDescent="0.55000000000000004">
      <c r="A1915">
        <v>120</v>
      </c>
      <c r="B1915" t="s">
        <v>101</v>
      </c>
      <c r="C1915" s="2" t="s">
        <v>248</v>
      </c>
    </row>
    <row r="1916" spans="1:6" x14ac:dyDescent="0.55000000000000004">
      <c r="A1916">
        <v>120</v>
      </c>
      <c r="B1916" t="s">
        <v>101</v>
      </c>
      <c r="C1916" s="2" t="s">
        <v>108</v>
      </c>
      <c r="D1916" t="s">
        <v>39</v>
      </c>
      <c r="E1916">
        <v>0</v>
      </c>
    </row>
    <row r="1917" spans="1:6" x14ac:dyDescent="0.55000000000000004">
      <c r="A1917">
        <v>120</v>
      </c>
      <c r="B1917" t="s">
        <v>101</v>
      </c>
      <c r="C1917" t="s">
        <v>11</v>
      </c>
      <c r="D1917" t="s">
        <v>39</v>
      </c>
      <c r="E1917">
        <v>0</v>
      </c>
    </row>
    <row r="1918" spans="1:6" x14ac:dyDescent="0.55000000000000004">
      <c r="A1918">
        <v>120</v>
      </c>
      <c r="B1918" t="s">
        <v>101</v>
      </c>
      <c r="C1918" t="s">
        <v>12</v>
      </c>
      <c r="D1918" t="s">
        <v>40</v>
      </c>
      <c r="E1918">
        <v>1</v>
      </c>
      <c r="F1918" t="s">
        <v>225</v>
      </c>
    </row>
    <row r="1919" spans="1:6" x14ac:dyDescent="0.55000000000000004">
      <c r="A1919">
        <v>120</v>
      </c>
      <c r="B1919" t="s">
        <v>101</v>
      </c>
      <c r="C1919" t="s">
        <v>34</v>
      </c>
      <c r="D1919" t="s">
        <v>39</v>
      </c>
      <c r="E1919">
        <v>0</v>
      </c>
    </row>
    <row r="1920" spans="1:6" x14ac:dyDescent="0.55000000000000004">
      <c r="A1920">
        <v>120</v>
      </c>
      <c r="B1920" t="s">
        <v>101</v>
      </c>
      <c r="C1920" t="s">
        <v>35</v>
      </c>
      <c r="D1920" t="s">
        <v>39</v>
      </c>
      <c r="E1920">
        <v>0</v>
      </c>
    </row>
    <row r="1921" spans="1:5" x14ac:dyDescent="0.55000000000000004">
      <c r="A1921">
        <v>120</v>
      </c>
      <c r="B1921" t="s">
        <v>101</v>
      </c>
      <c r="C1921" t="s">
        <v>36</v>
      </c>
      <c r="D1921" t="s">
        <v>39</v>
      </c>
      <c r="E1921">
        <v>0</v>
      </c>
    </row>
    <row r="1922" spans="1:5" x14ac:dyDescent="0.55000000000000004">
      <c r="A1922">
        <v>120</v>
      </c>
      <c r="B1922" t="s">
        <v>101</v>
      </c>
      <c r="C1922" t="s">
        <v>37</v>
      </c>
      <c r="D1922" t="s">
        <v>39</v>
      </c>
      <c r="E1922">
        <v>0</v>
      </c>
    </row>
    <row r="1923" spans="1:5" x14ac:dyDescent="0.55000000000000004">
      <c r="A1923">
        <v>120</v>
      </c>
      <c r="B1923" t="s">
        <v>101</v>
      </c>
      <c r="C1923" t="s">
        <v>14</v>
      </c>
      <c r="D1923" t="s">
        <v>39</v>
      </c>
      <c r="E1923">
        <v>10</v>
      </c>
    </row>
    <row r="1924" spans="1:5" x14ac:dyDescent="0.55000000000000004">
      <c r="A1924">
        <v>120</v>
      </c>
      <c r="B1924" t="s">
        <v>101</v>
      </c>
      <c r="C1924" t="s">
        <v>13</v>
      </c>
      <c r="D1924" t="s">
        <v>39</v>
      </c>
      <c r="E1924">
        <v>0</v>
      </c>
    </row>
    <row r="1925" spans="1:5" x14ac:dyDescent="0.55000000000000004">
      <c r="A1925">
        <v>120</v>
      </c>
      <c r="B1925" t="s">
        <v>101</v>
      </c>
      <c r="C1925" t="s">
        <v>110</v>
      </c>
      <c r="D1925" t="s">
        <v>39</v>
      </c>
      <c r="E1925">
        <v>0</v>
      </c>
    </row>
    <row r="1926" spans="1:5" x14ac:dyDescent="0.55000000000000004">
      <c r="A1926">
        <v>120</v>
      </c>
      <c r="B1926" t="s">
        <v>101</v>
      </c>
      <c r="C1926" t="s">
        <v>223</v>
      </c>
      <c r="D1926" t="s">
        <v>39</v>
      </c>
      <c r="E1926">
        <v>90</v>
      </c>
    </row>
    <row r="1927" spans="1:5" x14ac:dyDescent="0.55000000000000004">
      <c r="A1927">
        <v>120</v>
      </c>
      <c r="B1927" t="s">
        <v>101</v>
      </c>
      <c r="C1927" t="s">
        <v>133</v>
      </c>
      <c r="D1927" t="s">
        <v>118</v>
      </c>
    </row>
    <row r="1928" spans="1:5" x14ac:dyDescent="0.55000000000000004">
      <c r="A1928">
        <v>120</v>
      </c>
      <c r="B1928" t="s">
        <v>111</v>
      </c>
      <c r="C1928" t="s">
        <v>18</v>
      </c>
      <c r="D1928" t="s">
        <v>42</v>
      </c>
      <c r="E1928">
        <v>16</v>
      </c>
    </row>
    <row r="1929" spans="1:5" x14ac:dyDescent="0.55000000000000004">
      <c r="A1929">
        <v>120</v>
      </c>
      <c r="B1929" t="s">
        <v>111</v>
      </c>
      <c r="C1929" t="s">
        <v>15</v>
      </c>
      <c r="D1929" t="s">
        <v>41</v>
      </c>
      <c r="E1929">
        <v>9.48</v>
      </c>
    </row>
    <row r="1930" spans="1:5" x14ac:dyDescent="0.55000000000000004">
      <c r="A1930">
        <v>120</v>
      </c>
      <c r="B1930" t="s">
        <v>111</v>
      </c>
      <c r="C1930" t="s">
        <v>16</v>
      </c>
      <c r="D1930" t="s">
        <v>39</v>
      </c>
      <c r="E1930">
        <v>96</v>
      </c>
    </row>
    <row r="1931" spans="1:5" x14ac:dyDescent="0.55000000000000004">
      <c r="A1931">
        <v>120</v>
      </c>
      <c r="B1931" t="s">
        <v>111</v>
      </c>
      <c r="C1931" t="s">
        <v>112</v>
      </c>
      <c r="D1931" t="s">
        <v>113</v>
      </c>
      <c r="E1931">
        <v>61.8</v>
      </c>
    </row>
    <row r="1932" spans="1:5" x14ac:dyDescent="0.55000000000000004">
      <c r="A1932">
        <v>120</v>
      </c>
      <c r="B1932" t="s">
        <v>111</v>
      </c>
      <c r="C1932" t="s">
        <v>17</v>
      </c>
      <c r="E1932">
        <v>8.2799999999999994</v>
      </c>
    </row>
    <row r="1933" spans="1:5" x14ac:dyDescent="0.55000000000000004">
      <c r="A1933">
        <v>120</v>
      </c>
      <c r="B1933" t="s">
        <v>249</v>
      </c>
      <c r="C1933" t="s">
        <v>114</v>
      </c>
      <c r="D1933" t="s">
        <v>39</v>
      </c>
      <c r="E1933">
        <v>0</v>
      </c>
    </row>
    <row r="1934" spans="1:5" x14ac:dyDescent="0.55000000000000004">
      <c r="A1934">
        <v>120</v>
      </c>
      <c r="B1934" t="s">
        <v>249</v>
      </c>
      <c r="C1934" t="s">
        <v>250</v>
      </c>
    </row>
    <row r="1935" spans="1:5" x14ac:dyDescent="0.55000000000000004">
      <c r="A1935">
        <v>120</v>
      </c>
      <c r="B1935" t="s">
        <v>249</v>
      </c>
      <c r="C1935" t="s">
        <v>115</v>
      </c>
      <c r="D1935" t="s">
        <v>39</v>
      </c>
      <c r="E1935">
        <v>10</v>
      </c>
    </row>
    <row r="1936" spans="1:5" x14ac:dyDescent="0.55000000000000004">
      <c r="A1936">
        <v>120</v>
      </c>
      <c r="B1936" t="s">
        <v>249</v>
      </c>
      <c r="C1936" t="s">
        <v>251</v>
      </c>
    </row>
    <row r="1937" spans="1:6" x14ac:dyDescent="0.55000000000000004">
      <c r="A1937">
        <v>120</v>
      </c>
      <c r="B1937" t="s">
        <v>249</v>
      </c>
      <c r="C1937" t="s">
        <v>116</v>
      </c>
      <c r="D1937" t="s">
        <v>40</v>
      </c>
      <c r="E1937">
        <v>1</v>
      </c>
      <c r="F1937" t="s">
        <v>226</v>
      </c>
    </row>
    <row r="1938" spans="1:6" x14ac:dyDescent="0.55000000000000004">
      <c r="A1938">
        <v>120</v>
      </c>
      <c r="B1938" t="s">
        <v>249</v>
      </c>
      <c r="C1938" t="s">
        <v>252</v>
      </c>
    </row>
    <row r="1939" spans="1:6" x14ac:dyDescent="0.55000000000000004">
      <c r="A1939">
        <v>120</v>
      </c>
      <c r="B1939" t="s">
        <v>249</v>
      </c>
      <c r="C1939" t="s">
        <v>117</v>
      </c>
      <c r="D1939" t="s">
        <v>39</v>
      </c>
      <c r="E1939">
        <v>5</v>
      </c>
    </row>
    <row r="1940" spans="1:6" x14ac:dyDescent="0.55000000000000004">
      <c r="A1940">
        <v>120</v>
      </c>
      <c r="B1940" t="s">
        <v>249</v>
      </c>
      <c r="C1940" t="s">
        <v>21</v>
      </c>
    </row>
    <row r="1943" spans="1:6" x14ac:dyDescent="0.55000000000000004">
      <c r="C1943" s="12"/>
    </row>
    <row r="1948" spans="1:6" x14ac:dyDescent="0.55000000000000004">
      <c r="C1948" s="2"/>
    </row>
    <row r="1949" spans="1:6" x14ac:dyDescent="0.55000000000000004">
      <c r="C1949" s="2"/>
    </row>
    <row r="1969" spans="3:4" x14ac:dyDescent="0.55000000000000004">
      <c r="D1969" s="3"/>
    </row>
    <row r="1970" spans="3:4" x14ac:dyDescent="0.55000000000000004">
      <c r="D1970" s="3"/>
    </row>
    <row r="1971" spans="3:4" x14ac:dyDescent="0.55000000000000004">
      <c r="D1971" s="3"/>
    </row>
    <row r="1975" spans="3:4" x14ac:dyDescent="0.55000000000000004">
      <c r="C1975" s="12"/>
    </row>
    <row r="1980" spans="3:4" x14ac:dyDescent="0.55000000000000004">
      <c r="C1980" s="2"/>
    </row>
    <row r="1981" spans="3:4" x14ac:dyDescent="0.55000000000000004">
      <c r="C1981" s="2"/>
    </row>
    <row r="2001" spans="3:4" x14ac:dyDescent="0.55000000000000004">
      <c r="D2001" s="3"/>
    </row>
    <row r="2002" spans="3:4" x14ac:dyDescent="0.55000000000000004">
      <c r="D2002" s="3"/>
    </row>
    <row r="2003" spans="3:4" x14ac:dyDescent="0.55000000000000004">
      <c r="D2003" s="3"/>
    </row>
    <row r="2007" spans="3:4" x14ac:dyDescent="0.55000000000000004">
      <c r="C2007" s="12"/>
    </row>
    <row r="2012" spans="3:4" x14ac:dyDescent="0.55000000000000004">
      <c r="C2012" s="2"/>
    </row>
    <row r="2013" spans="3:4" x14ac:dyDescent="0.55000000000000004">
      <c r="C2013" s="2"/>
    </row>
    <row r="2033" spans="3:4" x14ac:dyDescent="0.55000000000000004">
      <c r="D2033" s="3"/>
    </row>
    <row r="2034" spans="3:4" x14ac:dyDescent="0.55000000000000004">
      <c r="D2034" s="3"/>
    </row>
    <row r="2035" spans="3:4" x14ac:dyDescent="0.55000000000000004">
      <c r="D2035" s="3"/>
    </row>
    <row r="2039" spans="3:4" x14ac:dyDescent="0.55000000000000004">
      <c r="C2039" s="12"/>
    </row>
    <row r="2044" spans="3:4" x14ac:dyDescent="0.55000000000000004">
      <c r="C2044" s="2"/>
    </row>
    <row r="2045" spans="3:4" x14ac:dyDescent="0.55000000000000004">
      <c r="C2045" s="2"/>
    </row>
    <row r="2065" spans="4:4" x14ac:dyDescent="0.55000000000000004">
      <c r="D2065" s="3"/>
    </row>
    <row r="2066" spans="4:4" x14ac:dyDescent="0.55000000000000004">
      <c r="D2066" s="3"/>
    </row>
    <row r="2067" spans="4:4" x14ac:dyDescent="0.55000000000000004">
      <c r="D2067" s="3"/>
    </row>
  </sheetData>
  <autoFilter ref="A1:F1940" xr:uid="{BE779B6A-0551-4785-B21D-C60C6A31CD5F}"/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51F2-9B7B-4C4C-86A2-78618CDFAD69}">
  <dimension ref="A1:AA4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080" sqref="K1080"/>
    </sheetView>
  </sheetViews>
  <sheetFormatPr defaultRowHeight="14.4" x14ac:dyDescent="0.55000000000000004"/>
  <cols>
    <col min="2" max="2" width="15.15625" bestFit="1" customWidth="1"/>
    <col min="3" max="3" width="10.734375" bestFit="1" customWidth="1"/>
    <col min="4" max="4" width="7.7890625" customWidth="1"/>
    <col min="5" max="5" width="13.89453125" bestFit="1" customWidth="1"/>
    <col min="6" max="6" width="9.1015625" customWidth="1"/>
    <col min="7" max="7" width="6" customWidth="1"/>
    <col min="8" max="8" width="6.3671875" customWidth="1"/>
    <col min="9" max="9" width="6.47265625" customWidth="1"/>
    <col min="10" max="10" width="4.1015625" customWidth="1"/>
    <col min="11" max="11" width="7.3125" customWidth="1"/>
    <col min="12" max="12" width="11.5234375" customWidth="1"/>
    <col min="13" max="13" width="10.47265625" customWidth="1"/>
    <col min="14" max="14" width="9.3671875" customWidth="1"/>
    <col min="15" max="15" width="11.1015625" bestFit="1" customWidth="1"/>
    <col min="20" max="20" width="9.68359375" bestFit="1" customWidth="1"/>
    <col min="22" max="22" width="13.89453125" bestFit="1" customWidth="1"/>
    <col min="23" max="23" width="29.9453125" bestFit="1" customWidth="1"/>
    <col min="24" max="25" width="29.9453125" customWidth="1"/>
    <col min="26" max="26" width="9.41796875" customWidth="1"/>
  </cols>
  <sheetData>
    <row r="1" spans="1:27" x14ac:dyDescent="0.55000000000000004">
      <c r="A1" s="1" t="s">
        <v>134</v>
      </c>
      <c r="B1" s="1" t="s">
        <v>119</v>
      </c>
      <c r="C1" s="1" t="s">
        <v>136</v>
      </c>
      <c r="D1" s="1" t="s">
        <v>244</v>
      </c>
      <c r="E1" s="1" t="s">
        <v>56</v>
      </c>
      <c r="F1" s="1" t="s">
        <v>61</v>
      </c>
      <c r="G1" s="1" t="s">
        <v>294</v>
      </c>
      <c r="H1" s="1" t="s">
        <v>293</v>
      </c>
      <c r="I1" s="1" t="s">
        <v>58</v>
      </c>
      <c r="J1" s="1" t="s">
        <v>120</v>
      </c>
      <c r="K1" s="1" t="s">
        <v>54</v>
      </c>
      <c r="L1" s="1" t="s">
        <v>53</v>
      </c>
      <c r="M1" s="1" t="s">
        <v>52</v>
      </c>
      <c r="N1" s="1" t="s">
        <v>55</v>
      </c>
      <c r="O1" s="1" t="s">
        <v>137</v>
      </c>
      <c r="P1" s="1" t="s">
        <v>138</v>
      </c>
      <c r="Q1" s="1" t="s">
        <v>217</v>
      </c>
      <c r="R1" s="1" t="s">
        <v>242</v>
      </c>
      <c r="S1" s="1" t="s">
        <v>282</v>
      </c>
      <c r="T1" s="1" t="s">
        <v>139</v>
      </c>
      <c r="V1" s="35"/>
      <c r="W1" s="36"/>
      <c r="X1" s="36"/>
      <c r="Y1" s="2"/>
      <c r="Z1" s="36"/>
      <c r="AA1" s="37"/>
    </row>
    <row r="2" spans="1:27" x14ac:dyDescent="0.55000000000000004">
      <c r="A2">
        <v>109</v>
      </c>
      <c r="B2" s="2">
        <v>45597.541666666664</v>
      </c>
      <c r="C2" t="s">
        <v>215</v>
      </c>
      <c r="D2">
        <v>2</v>
      </c>
      <c r="E2" t="s">
        <v>49</v>
      </c>
      <c r="F2" t="str">
        <f t="shared" ref="F2:F65" si="0">VLOOKUP($E2, $V$1:$AA$9, 2, FALSE)</f>
        <v>Paranephrops planifrons</v>
      </c>
      <c r="G2" t="str">
        <f t="shared" ref="G2:G65" si="1">VLOOKUP($E2, $V$1:$AA$9, 3, FALSE)</f>
        <v>Freshwater_crayfish</v>
      </c>
      <c r="H2" t="str">
        <f t="shared" ref="H2:H65" si="2">VLOOKUP($E2, $V$1:$AA$9, 4, FALSE)</f>
        <v>Kōura</v>
      </c>
      <c r="I2" t="str">
        <f t="shared" ref="I2:I65" si="3">VLOOKUP($E2, $V$1:$AB$9, 5, FALSE)</f>
        <v>Native</v>
      </c>
      <c r="J2" t="str">
        <f t="shared" ref="J2:J65" si="4">VLOOKUP($E2, $V$1:$AA$9, 6, FALSE)</f>
        <v>Yes</v>
      </c>
      <c r="K2" t="s">
        <v>50</v>
      </c>
      <c r="L2">
        <v>22</v>
      </c>
      <c r="M2">
        <v>9</v>
      </c>
      <c r="N2">
        <v>1</v>
      </c>
      <c r="S2" t="str">
        <f>IF(R2&lt;&gt;"", R2*236.588, "")</f>
        <v/>
      </c>
      <c r="V2" s="26" t="s">
        <v>49</v>
      </c>
      <c r="W2" t="s">
        <v>65</v>
      </c>
      <c r="X2" t="s">
        <v>288</v>
      </c>
      <c r="Y2" t="s">
        <v>49</v>
      </c>
      <c r="Z2" t="s">
        <v>60</v>
      </c>
      <c r="AA2" s="38" t="s">
        <v>121</v>
      </c>
    </row>
    <row r="3" spans="1:27" x14ac:dyDescent="0.55000000000000004">
      <c r="A3">
        <v>109</v>
      </c>
      <c r="B3" s="2">
        <v>45597.541666666664</v>
      </c>
      <c r="C3" t="s">
        <v>215</v>
      </c>
      <c r="D3">
        <v>2</v>
      </c>
      <c r="E3" t="s">
        <v>49</v>
      </c>
      <c r="F3" t="str">
        <f t="shared" si="0"/>
        <v>Paranephrops planifrons</v>
      </c>
      <c r="G3" t="str">
        <f t="shared" si="1"/>
        <v>Freshwater_crayfish</v>
      </c>
      <c r="H3" t="str">
        <f t="shared" si="2"/>
        <v>Kōura</v>
      </c>
      <c r="I3" t="str">
        <f t="shared" si="3"/>
        <v>Native</v>
      </c>
      <c r="J3" t="str">
        <f t="shared" si="4"/>
        <v>Yes</v>
      </c>
      <c r="K3" t="s">
        <v>48</v>
      </c>
      <c r="L3">
        <v>19</v>
      </c>
      <c r="M3">
        <v>7</v>
      </c>
      <c r="N3">
        <v>1</v>
      </c>
      <c r="S3" t="str">
        <f t="shared" ref="S3:S66" si="5">IF(R3&lt;&gt;"", R3*236.588, "")</f>
        <v/>
      </c>
      <c r="V3" s="27" t="s">
        <v>47</v>
      </c>
      <c r="W3" t="s">
        <v>66</v>
      </c>
      <c r="X3" t="s">
        <v>47</v>
      </c>
      <c r="Y3" t="s">
        <v>47</v>
      </c>
      <c r="Z3" t="s">
        <v>202</v>
      </c>
      <c r="AA3" s="38" t="s">
        <v>122</v>
      </c>
    </row>
    <row r="4" spans="1:27" x14ac:dyDescent="0.55000000000000004">
      <c r="A4">
        <v>109</v>
      </c>
      <c r="B4" s="2">
        <v>45597.541666608799</v>
      </c>
      <c r="C4" t="s">
        <v>215</v>
      </c>
      <c r="D4">
        <v>2</v>
      </c>
      <c r="E4" t="s">
        <v>46</v>
      </c>
      <c r="F4" t="str">
        <f t="shared" si="0"/>
        <v>Galaxias brevipinnis</v>
      </c>
      <c r="G4" t="str">
        <f t="shared" si="1"/>
        <v>Climbing_galaxias</v>
      </c>
      <c r="H4" t="str">
        <f t="shared" si="2"/>
        <v>Kōaro</v>
      </c>
      <c r="I4" t="str">
        <f t="shared" si="3"/>
        <v>Native</v>
      </c>
      <c r="J4" t="str">
        <f t="shared" si="4"/>
        <v>Yes</v>
      </c>
      <c r="L4">
        <v>120</v>
      </c>
      <c r="M4">
        <v>24</v>
      </c>
      <c r="N4">
        <v>1</v>
      </c>
      <c r="S4" t="str">
        <f t="shared" si="5"/>
        <v/>
      </c>
      <c r="V4" s="26" t="s">
        <v>123</v>
      </c>
      <c r="W4" t="s">
        <v>64</v>
      </c>
      <c r="X4" t="s">
        <v>45</v>
      </c>
      <c r="Y4" t="s">
        <v>123</v>
      </c>
      <c r="Z4" t="s">
        <v>202</v>
      </c>
      <c r="AA4" s="38" t="s">
        <v>122</v>
      </c>
    </row>
    <row r="5" spans="1:27" x14ac:dyDescent="0.55000000000000004">
      <c r="A5">
        <v>109</v>
      </c>
      <c r="B5" s="2">
        <v>45597.541666608799</v>
      </c>
      <c r="C5" t="s">
        <v>215</v>
      </c>
      <c r="D5">
        <v>2</v>
      </c>
      <c r="E5" t="s">
        <v>46</v>
      </c>
      <c r="F5" t="str">
        <f t="shared" si="0"/>
        <v>Galaxias brevipinnis</v>
      </c>
      <c r="G5" t="str">
        <f t="shared" si="1"/>
        <v>Climbing_galaxias</v>
      </c>
      <c r="H5" t="str">
        <f t="shared" si="2"/>
        <v>Kōaro</v>
      </c>
      <c r="I5" t="str">
        <f t="shared" si="3"/>
        <v>Native</v>
      </c>
      <c r="J5" t="str">
        <f t="shared" si="4"/>
        <v>Yes</v>
      </c>
      <c r="L5">
        <v>75</v>
      </c>
      <c r="M5">
        <v>8</v>
      </c>
      <c r="N5">
        <v>1</v>
      </c>
      <c r="S5" t="str">
        <f t="shared" si="5"/>
        <v/>
      </c>
      <c r="V5" s="27" t="s">
        <v>46</v>
      </c>
      <c r="W5" t="s">
        <v>67</v>
      </c>
      <c r="X5" t="s">
        <v>289</v>
      </c>
      <c r="Y5" t="s">
        <v>46</v>
      </c>
      <c r="Z5" t="s">
        <v>60</v>
      </c>
      <c r="AA5" s="38" t="s">
        <v>121</v>
      </c>
    </row>
    <row r="6" spans="1:27" x14ac:dyDescent="0.55000000000000004">
      <c r="A6">
        <v>109</v>
      </c>
      <c r="B6" s="2">
        <v>45597.541666608799</v>
      </c>
      <c r="C6" t="s">
        <v>215</v>
      </c>
      <c r="D6">
        <v>2</v>
      </c>
      <c r="E6" t="s">
        <v>46</v>
      </c>
      <c r="F6" t="str">
        <f t="shared" si="0"/>
        <v>Galaxias brevipinnis</v>
      </c>
      <c r="G6" t="str">
        <f t="shared" si="1"/>
        <v>Climbing_galaxias</v>
      </c>
      <c r="H6" t="str">
        <f t="shared" si="2"/>
        <v>Kōaro</v>
      </c>
      <c r="I6" t="str">
        <f t="shared" si="3"/>
        <v>Native</v>
      </c>
      <c r="J6" t="str">
        <f t="shared" si="4"/>
        <v>Yes</v>
      </c>
      <c r="L6">
        <v>70</v>
      </c>
      <c r="M6">
        <v>4</v>
      </c>
      <c r="N6">
        <v>1</v>
      </c>
      <c r="S6" t="str">
        <f t="shared" si="5"/>
        <v/>
      </c>
      <c r="V6" s="26" t="s">
        <v>51</v>
      </c>
      <c r="W6" t="s">
        <v>284</v>
      </c>
      <c r="X6" t="s">
        <v>292</v>
      </c>
      <c r="Y6" t="s">
        <v>292</v>
      </c>
      <c r="Z6" t="s">
        <v>202</v>
      </c>
      <c r="AA6" s="38" t="s">
        <v>122</v>
      </c>
    </row>
    <row r="7" spans="1:27" x14ac:dyDescent="0.55000000000000004">
      <c r="A7">
        <v>109</v>
      </c>
      <c r="B7" s="2">
        <v>45597.541666608799</v>
      </c>
      <c r="C7" t="s">
        <v>215</v>
      </c>
      <c r="D7">
        <v>2</v>
      </c>
      <c r="E7" t="s">
        <v>44</v>
      </c>
      <c r="F7" t="str">
        <f t="shared" si="0"/>
        <v>Gobiomorphus cotidianus</v>
      </c>
      <c r="G7" t="str">
        <f t="shared" si="1"/>
        <v>Common_bully</v>
      </c>
      <c r="H7" t="str">
        <f t="shared" si="2"/>
        <v>Toitoi</v>
      </c>
      <c r="I7" t="str">
        <f t="shared" si="3"/>
        <v>Native</v>
      </c>
      <c r="J7" t="str">
        <f t="shared" si="4"/>
        <v>No</v>
      </c>
      <c r="N7">
        <v>15</v>
      </c>
      <c r="S7" t="str">
        <f t="shared" si="5"/>
        <v/>
      </c>
      <c r="V7" s="26" t="s">
        <v>247</v>
      </c>
      <c r="W7" t="s">
        <v>62</v>
      </c>
      <c r="X7" t="s">
        <v>247</v>
      </c>
      <c r="Y7" t="s">
        <v>247</v>
      </c>
      <c r="Z7" t="s">
        <v>60</v>
      </c>
      <c r="AA7" s="38" t="s">
        <v>122</v>
      </c>
    </row>
    <row r="8" spans="1:27" x14ac:dyDescent="0.55000000000000004">
      <c r="A8">
        <v>109</v>
      </c>
      <c r="B8" s="2">
        <v>45597.541666608799</v>
      </c>
      <c r="C8" t="s">
        <v>216</v>
      </c>
      <c r="D8">
        <v>2</v>
      </c>
      <c r="E8" t="s">
        <v>49</v>
      </c>
      <c r="F8" t="str">
        <f t="shared" si="0"/>
        <v>Paranephrops planifrons</v>
      </c>
      <c r="G8" t="str">
        <f t="shared" si="1"/>
        <v>Freshwater_crayfish</v>
      </c>
      <c r="H8" t="str">
        <f t="shared" si="2"/>
        <v>Kōura</v>
      </c>
      <c r="I8" t="str">
        <f t="shared" si="3"/>
        <v>Native</v>
      </c>
      <c r="J8" t="str">
        <f t="shared" si="4"/>
        <v>Yes</v>
      </c>
      <c r="K8" t="s">
        <v>50</v>
      </c>
      <c r="L8">
        <v>27</v>
      </c>
      <c r="M8">
        <v>20</v>
      </c>
      <c r="N8">
        <v>1</v>
      </c>
      <c r="Q8">
        <v>1</v>
      </c>
      <c r="S8" t="str">
        <f t="shared" si="5"/>
        <v/>
      </c>
      <c r="V8" s="26" t="s">
        <v>44</v>
      </c>
      <c r="W8" t="s">
        <v>285</v>
      </c>
      <c r="X8" t="s">
        <v>290</v>
      </c>
      <c r="Y8" t="s">
        <v>286</v>
      </c>
      <c r="Z8" t="s">
        <v>60</v>
      </c>
      <c r="AA8" s="38" t="s">
        <v>122</v>
      </c>
    </row>
    <row r="9" spans="1:27" ht="14.7" thickBot="1" x14ac:dyDescent="0.6">
      <c r="A9">
        <v>109</v>
      </c>
      <c r="B9" s="2">
        <v>45597.541666608799</v>
      </c>
      <c r="C9" t="s">
        <v>216</v>
      </c>
      <c r="D9">
        <v>2</v>
      </c>
      <c r="E9" t="s">
        <v>49</v>
      </c>
      <c r="F9" t="str">
        <f t="shared" si="0"/>
        <v>Paranephrops planifrons</v>
      </c>
      <c r="G9" t="str">
        <f t="shared" si="1"/>
        <v>Freshwater_crayfish</v>
      </c>
      <c r="H9" t="str">
        <f t="shared" si="2"/>
        <v>Kōura</v>
      </c>
      <c r="I9" t="str">
        <f t="shared" si="3"/>
        <v>Native</v>
      </c>
      <c r="J9" t="str">
        <f t="shared" si="4"/>
        <v>Yes</v>
      </c>
      <c r="K9" t="s">
        <v>48</v>
      </c>
      <c r="L9">
        <v>20</v>
      </c>
      <c r="M9">
        <v>12</v>
      </c>
      <c r="N9">
        <v>1</v>
      </c>
      <c r="S9" t="str">
        <f t="shared" si="5"/>
        <v/>
      </c>
      <c r="V9" s="28" t="s">
        <v>238</v>
      </c>
      <c r="W9" s="29" t="s">
        <v>239</v>
      </c>
      <c r="X9" s="29" t="s">
        <v>291</v>
      </c>
      <c r="Y9" s="29" t="s">
        <v>287</v>
      </c>
      <c r="Z9" s="29" t="s">
        <v>60</v>
      </c>
      <c r="AA9" s="30" t="s">
        <v>121</v>
      </c>
    </row>
    <row r="10" spans="1:27" x14ac:dyDescent="0.55000000000000004">
      <c r="A10">
        <v>109</v>
      </c>
      <c r="B10" s="2">
        <v>45597.541666608799</v>
      </c>
      <c r="C10" t="s">
        <v>216</v>
      </c>
      <c r="D10">
        <v>2</v>
      </c>
      <c r="E10" t="s">
        <v>49</v>
      </c>
      <c r="F10" t="str">
        <f t="shared" si="0"/>
        <v>Paranephrops planifrons</v>
      </c>
      <c r="G10" t="str">
        <f t="shared" si="1"/>
        <v>Freshwater_crayfish</v>
      </c>
      <c r="H10" t="str">
        <f t="shared" si="2"/>
        <v>Kōura</v>
      </c>
      <c r="I10" t="str">
        <f t="shared" si="3"/>
        <v>Native</v>
      </c>
      <c r="J10" t="str">
        <f t="shared" si="4"/>
        <v>Yes</v>
      </c>
      <c r="K10" t="s">
        <v>50</v>
      </c>
      <c r="L10">
        <v>22</v>
      </c>
      <c r="M10">
        <v>9</v>
      </c>
      <c r="N10">
        <v>1</v>
      </c>
      <c r="Q10">
        <v>1</v>
      </c>
      <c r="S10" t="str">
        <f t="shared" si="5"/>
        <v/>
      </c>
      <c r="T10" s="1"/>
    </row>
    <row r="11" spans="1:27" x14ac:dyDescent="0.55000000000000004">
      <c r="A11">
        <v>109</v>
      </c>
      <c r="B11" s="2">
        <v>45597.541666608799</v>
      </c>
      <c r="C11" t="s">
        <v>216</v>
      </c>
      <c r="D11">
        <v>2</v>
      </c>
      <c r="E11" t="s">
        <v>49</v>
      </c>
      <c r="F11" t="str">
        <f t="shared" si="0"/>
        <v>Paranephrops planifrons</v>
      </c>
      <c r="G11" t="str">
        <f t="shared" si="1"/>
        <v>Freshwater_crayfish</v>
      </c>
      <c r="H11" t="str">
        <f t="shared" si="2"/>
        <v>Kōura</v>
      </c>
      <c r="I11" t="str">
        <f t="shared" si="3"/>
        <v>Native</v>
      </c>
      <c r="J11" t="str">
        <f t="shared" si="4"/>
        <v>Yes</v>
      </c>
      <c r="K11" t="s">
        <v>48</v>
      </c>
      <c r="L11">
        <v>25</v>
      </c>
      <c r="M11">
        <v>16</v>
      </c>
      <c r="N11">
        <v>1</v>
      </c>
      <c r="S11" t="str">
        <f t="shared" si="5"/>
        <v/>
      </c>
    </row>
    <row r="12" spans="1:27" x14ac:dyDescent="0.55000000000000004">
      <c r="A12">
        <v>109</v>
      </c>
      <c r="B12" s="2">
        <v>45597.541666608799</v>
      </c>
      <c r="C12" t="s">
        <v>216</v>
      </c>
      <c r="D12">
        <v>2</v>
      </c>
      <c r="E12" t="s">
        <v>49</v>
      </c>
      <c r="F12" t="str">
        <f t="shared" si="0"/>
        <v>Paranephrops planifrons</v>
      </c>
      <c r="G12" t="str">
        <f t="shared" si="1"/>
        <v>Freshwater_crayfish</v>
      </c>
      <c r="H12" t="str">
        <f t="shared" si="2"/>
        <v>Kōura</v>
      </c>
      <c r="I12" t="str">
        <f t="shared" si="3"/>
        <v>Native</v>
      </c>
      <c r="J12" t="str">
        <f t="shared" si="4"/>
        <v>Yes</v>
      </c>
      <c r="K12" t="s">
        <v>50</v>
      </c>
      <c r="L12">
        <v>20</v>
      </c>
      <c r="M12">
        <v>9</v>
      </c>
      <c r="N12">
        <v>1</v>
      </c>
      <c r="Q12">
        <v>1</v>
      </c>
      <c r="S12" t="str">
        <f t="shared" si="5"/>
        <v/>
      </c>
    </row>
    <row r="13" spans="1:27" x14ac:dyDescent="0.55000000000000004">
      <c r="A13">
        <v>109</v>
      </c>
      <c r="B13" s="2">
        <v>45597.541666608799</v>
      </c>
      <c r="C13" t="s">
        <v>216</v>
      </c>
      <c r="D13">
        <v>2</v>
      </c>
      <c r="E13" t="s">
        <v>49</v>
      </c>
      <c r="F13" t="str">
        <f t="shared" si="0"/>
        <v>Paranephrops planifrons</v>
      </c>
      <c r="G13" t="str">
        <f t="shared" si="1"/>
        <v>Freshwater_crayfish</v>
      </c>
      <c r="H13" t="str">
        <f t="shared" si="2"/>
        <v>Kōura</v>
      </c>
      <c r="I13" t="str">
        <f t="shared" si="3"/>
        <v>Native</v>
      </c>
      <c r="J13" t="str">
        <f t="shared" si="4"/>
        <v>Yes</v>
      </c>
      <c r="K13" t="s">
        <v>50</v>
      </c>
      <c r="L13">
        <v>20</v>
      </c>
      <c r="M13">
        <v>7</v>
      </c>
      <c r="N13">
        <v>1</v>
      </c>
      <c r="S13" t="str">
        <f t="shared" si="5"/>
        <v/>
      </c>
    </row>
    <row r="14" spans="1:27" x14ac:dyDescent="0.55000000000000004">
      <c r="A14">
        <v>109</v>
      </c>
      <c r="B14" s="2">
        <v>45597.541666608799</v>
      </c>
      <c r="C14" t="s">
        <v>216</v>
      </c>
      <c r="D14">
        <v>2</v>
      </c>
      <c r="E14" t="s">
        <v>44</v>
      </c>
      <c r="F14" t="str">
        <f t="shared" si="0"/>
        <v>Gobiomorphus cotidianus</v>
      </c>
      <c r="G14" t="str">
        <f t="shared" si="1"/>
        <v>Common_bully</v>
      </c>
      <c r="H14" t="str">
        <f t="shared" si="2"/>
        <v>Toitoi</v>
      </c>
      <c r="I14" t="str">
        <f t="shared" si="3"/>
        <v>Native</v>
      </c>
      <c r="J14" t="str">
        <f t="shared" si="4"/>
        <v>No</v>
      </c>
      <c r="N14">
        <v>1</v>
      </c>
      <c r="S14" t="str">
        <f t="shared" si="5"/>
        <v/>
      </c>
    </row>
    <row r="15" spans="1:27" x14ac:dyDescent="0.55000000000000004">
      <c r="A15">
        <v>110</v>
      </c>
      <c r="B15" s="2">
        <v>45597.493055555555</v>
      </c>
      <c r="C15" t="s">
        <v>216</v>
      </c>
      <c r="D15">
        <v>2</v>
      </c>
      <c r="E15" t="s">
        <v>49</v>
      </c>
      <c r="F15" t="str">
        <f t="shared" si="0"/>
        <v>Paranephrops planifrons</v>
      </c>
      <c r="G15" t="str">
        <f t="shared" si="1"/>
        <v>Freshwater_crayfish</v>
      </c>
      <c r="H15" t="str">
        <f t="shared" si="2"/>
        <v>Kōura</v>
      </c>
      <c r="I15" t="str">
        <f t="shared" si="3"/>
        <v>Native</v>
      </c>
      <c r="J15" t="str">
        <f t="shared" si="4"/>
        <v>Yes</v>
      </c>
      <c r="K15" t="s">
        <v>48</v>
      </c>
      <c r="L15">
        <v>18</v>
      </c>
      <c r="M15">
        <v>4</v>
      </c>
      <c r="N15">
        <v>1</v>
      </c>
      <c r="S15" t="str">
        <f t="shared" si="5"/>
        <v/>
      </c>
    </row>
    <row r="16" spans="1:27" x14ac:dyDescent="0.55000000000000004">
      <c r="A16">
        <v>110</v>
      </c>
      <c r="B16" s="2">
        <v>45597.493055555555</v>
      </c>
      <c r="C16" t="s">
        <v>216</v>
      </c>
      <c r="D16">
        <v>2</v>
      </c>
      <c r="E16" t="s">
        <v>46</v>
      </c>
      <c r="F16" t="str">
        <f t="shared" si="0"/>
        <v>Galaxias brevipinnis</v>
      </c>
      <c r="G16" t="str">
        <f t="shared" si="1"/>
        <v>Climbing_galaxias</v>
      </c>
      <c r="H16" t="str">
        <f t="shared" si="2"/>
        <v>Kōaro</v>
      </c>
      <c r="I16" t="str">
        <f t="shared" si="3"/>
        <v>Native</v>
      </c>
      <c r="J16" t="str">
        <f t="shared" si="4"/>
        <v>Yes</v>
      </c>
      <c r="L16">
        <v>70</v>
      </c>
      <c r="M16">
        <v>3</v>
      </c>
      <c r="N16">
        <v>1</v>
      </c>
      <c r="S16" t="str">
        <f t="shared" si="5"/>
        <v/>
      </c>
    </row>
    <row r="17" spans="1:20" x14ac:dyDescent="0.55000000000000004">
      <c r="A17">
        <v>110</v>
      </c>
      <c r="B17" s="2">
        <v>45597.493055497682</v>
      </c>
      <c r="C17" t="s">
        <v>216</v>
      </c>
      <c r="D17">
        <v>2</v>
      </c>
      <c r="E17" t="s">
        <v>44</v>
      </c>
      <c r="F17" t="str">
        <f t="shared" si="0"/>
        <v>Gobiomorphus cotidianus</v>
      </c>
      <c r="G17" t="str">
        <f t="shared" si="1"/>
        <v>Common_bully</v>
      </c>
      <c r="H17" t="str">
        <f t="shared" si="2"/>
        <v>Toitoi</v>
      </c>
      <c r="I17" t="str">
        <f t="shared" si="3"/>
        <v>Native</v>
      </c>
      <c r="J17" t="str">
        <f t="shared" si="4"/>
        <v>No</v>
      </c>
      <c r="N17">
        <v>11</v>
      </c>
      <c r="S17" t="str">
        <f t="shared" si="5"/>
        <v/>
      </c>
    </row>
    <row r="18" spans="1:20" x14ac:dyDescent="0.55000000000000004">
      <c r="A18">
        <v>110</v>
      </c>
      <c r="B18" s="2">
        <v>45597.493055497682</v>
      </c>
      <c r="C18" t="s">
        <v>215</v>
      </c>
      <c r="D18">
        <v>2</v>
      </c>
      <c r="E18" t="s">
        <v>49</v>
      </c>
      <c r="F18" t="str">
        <f t="shared" si="0"/>
        <v>Paranephrops planifrons</v>
      </c>
      <c r="G18" t="str">
        <f t="shared" si="1"/>
        <v>Freshwater_crayfish</v>
      </c>
      <c r="H18" t="str">
        <f t="shared" si="2"/>
        <v>Kōura</v>
      </c>
      <c r="I18" t="str">
        <f t="shared" si="3"/>
        <v>Native</v>
      </c>
      <c r="J18" t="str">
        <f t="shared" si="4"/>
        <v>Yes</v>
      </c>
      <c r="K18" t="s">
        <v>48</v>
      </c>
      <c r="L18">
        <v>41</v>
      </c>
      <c r="M18">
        <v>56</v>
      </c>
      <c r="N18">
        <v>1</v>
      </c>
      <c r="S18" t="str">
        <f t="shared" si="5"/>
        <v/>
      </c>
    </row>
    <row r="19" spans="1:20" x14ac:dyDescent="0.55000000000000004">
      <c r="A19">
        <v>110</v>
      </c>
      <c r="B19" s="2">
        <v>45597.493055497682</v>
      </c>
      <c r="C19" t="s">
        <v>215</v>
      </c>
      <c r="D19">
        <v>2</v>
      </c>
      <c r="E19" t="s">
        <v>49</v>
      </c>
      <c r="F19" t="str">
        <f t="shared" si="0"/>
        <v>Paranephrops planifrons</v>
      </c>
      <c r="G19" t="str">
        <f t="shared" si="1"/>
        <v>Freshwater_crayfish</v>
      </c>
      <c r="H19" t="str">
        <f t="shared" si="2"/>
        <v>Kōura</v>
      </c>
      <c r="I19" t="str">
        <f t="shared" si="3"/>
        <v>Native</v>
      </c>
      <c r="J19" t="str">
        <f t="shared" si="4"/>
        <v>Yes</v>
      </c>
      <c r="K19" t="s">
        <v>48</v>
      </c>
      <c r="L19">
        <v>28</v>
      </c>
      <c r="M19">
        <v>20</v>
      </c>
      <c r="N19">
        <v>1</v>
      </c>
      <c r="S19" t="str">
        <f t="shared" si="5"/>
        <v/>
      </c>
    </row>
    <row r="20" spans="1:20" x14ac:dyDescent="0.55000000000000004">
      <c r="A20">
        <v>110</v>
      </c>
      <c r="B20" s="2">
        <v>45597.493055497682</v>
      </c>
      <c r="C20" t="s">
        <v>215</v>
      </c>
      <c r="D20">
        <v>2</v>
      </c>
      <c r="E20" t="s">
        <v>49</v>
      </c>
      <c r="F20" t="str">
        <f t="shared" si="0"/>
        <v>Paranephrops planifrons</v>
      </c>
      <c r="G20" t="str">
        <f t="shared" si="1"/>
        <v>Freshwater_crayfish</v>
      </c>
      <c r="H20" t="str">
        <f t="shared" si="2"/>
        <v>Kōura</v>
      </c>
      <c r="I20" t="str">
        <f t="shared" si="3"/>
        <v>Native</v>
      </c>
      <c r="J20" t="str">
        <f t="shared" si="4"/>
        <v>Yes</v>
      </c>
      <c r="K20" t="s">
        <v>48</v>
      </c>
      <c r="L20">
        <v>19</v>
      </c>
      <c r="M20">
        <v>3</v>
      </c>
      <c r="N20">
        <v>1</v>
      </c>
      <c r="S20" t="str">
        <f t="shared" si="5"/>
        <v/>
      </c>
    </row>
    <row r="21" spans="1:20" x14ac:dyDescent="0.55000000000000004">
      <c r="A21">
        <v>110</v>
      </c>
      <c r="B21" s="2">
        <v>45597.493055497682</v>
      </c>
      <c r="C21" t="s">
        <v>215</v>
      </c>
      <c r="D21">
        <v>2</v>
      </c>
      <c r="E21" t="s">
        <v>49</v>
      </c>
      <c r="F21" t="str">
        <f t="shared" si="0"/>
        <v>Paranephrops planifrons</v>
      </c>
      <c r="G21" t="str">
        <f t="shared" si="1"/>
        <v>Freshwater_crayfish</v>
      </c>
      <c r="H21" t="str">
        <f t="shared" si="2"/>
        <v>Kōura</v>
      </c>
      <c r="I21" t="str">
        <f t="shared" si="3"/>
        <v>Native</v>
      </c>
      <c r="J21" t="str">
        <f t="shared" si="4"/>
        <v>Yes</v>
      </c>
      <c r="K21" t="s">
        <v>48</v>
      </c>
      <c r="L21">
        <v>21</v>
      </c>
      <c r="M21">
        <v>6</v>
      </c>
      <c r="N21">
        <v>1</v>
      </c>
      <c r="S21" t="str">
        <f t="shared" si="5"/>
        <v/>
      </c>
    </row>
    <row r="22" spans="1:20" x14ac:dyDescent="0.55000000000000004">
      <c r="A22">
        <v>110</v>
      </c>
      <c r="B22" s="2">
        <v>45597.493055497682</v>
      </c>
      <c r="C22" t="s">
        <v>215</v>
      </c>
      <c r="D22">
        <v>2</v>
      </c>
      <c r="E22" t="s">
        <v>49</v>
      </c>
      <c r="F22" t="str">
        <f t="shared" si="0"/>
        <v>Paranephrops planifrons</v>
      </c>
      <c r="G22" t="str">
        <f t="shared" si="1"/>
        <v>Freshwater_crayfish</v>
      </c>
      <c r="H22" t="str">
        <f t="shared" si="2"/>
        <v>Kōura</v>
      </c>
      <c r="I22" t="str">
        <f t="shared" si="3"/>
        <v>Native</v>
      </c>
      <c r="J22" t="str">
        <f t="shared" si="4"/>
        <v>Yes</v>
      </c>
      <c r="K22" t="s">
        <v>48</v>
      </c>
      <c r="L22">
        <v>22</v>
      </c>
      <c r="M22">
        <v>6</v>
      </c>
      <c r="N22">
        <v>1</v>
      </c>
      <c r="S22" t="str">
        <f t="shared" si="5"/>
        <v/>
      </c>
    </row>
    <row r="23" spans="1:20" x14ac:dyDescent="0.55000000000000004">
      <c r="A23">
        <v>110</v>
      </c>
      <c r="B23" s="2">
        <v>45597.493055497682</v>
      </c>
      <c r="C23" t="s">
        <v>215</v>
      </c>
      <c r="D23">
        <v>2</v>
      </c>
      <c r="E23" t="s">
        <v>49</v>
      </c>
      <c r="F23" t="str">
        <f t="shared" si="0"/>
        <v>Paranephrops planifrons</v>
      </c>
      <c r="G23" t="str">
        <f t="shared" si="1"/>
        <v>Freshwater_crayfish</v>
      </c>
      <c r="H23" t="str">
        <f t="shared" si="2"/>
        <v>Kōura</v>
      </c>
      <c r="I23" t="str">
        <f t="shared" si="3"/>
        <v>Native</v>
      </c>
      <c r="J23" t="str">
        <f t="shared" si="4"/>
        <v>Yes</v>
      </c>
      <c r="K23" t="s">
        <v>50</v>
      </c>
      <c r="L23">
        <v>20</v>
      </c>
      <c r="M23">
        <v>7</v>
      </c>
      <c r="N23">
        <v>1</v>
      </c>
      <c r="S23" t="str">
        <f t="shared" si="5"/>
        <v/>
      </c>
    </row>
    <row r="24" spans="1:20" x14ac:dyDescent="0.55000000000000004">
      <c r="A24">
        <v>110</v>
      </c>
      <c r="B24" s="2">
        <v>45597.493055497682</v>
      </c>
      <c r="C24" t="s">
        <v>215</v>
      </c>
      <c r="D24">
        <v>2</v>
      </c>
      <c r="E24" t="s">
        <v>49</v>
      </c>
      <c r="F24" t="str">
        <f t="shared" si="0"/>
        <v>Paranephrops planifrons</v>
      </c>
      <c r="G24" t="str">
        <f t="shared" si="1"/>
        <v>Freshwater_crayfish</v>
      </c>
      <c r="H24" t="str">
        <f t="shared" si="2"/>
        <v>Kōura</v>
      </c>
      <c r="I24" t="str">
        <f t="shared" si="3"/>
        <v>Native</v>
      </c>
      <c r="J24" t="str">
        <f t="shared" si="4"/>
        <v>Yes</v>
      </c>
      <c r="K24" t="s">
        <v>48</v>
      </c>
      <c r="L24">
        <v>20</v>
      </c>
      <c r="M24">
        <v>6</v>
      </c>
      <c r="N24">
        <v>1</v>
      </c>
      <c r="S24" t="str">
        <f t="shared" si="5"/>
        <v/>
      </c>
    </row>
    <row r="25" spans="1:20" x14ac:dyDescent="0.55000000000000004">
      <c r="A25">
        <v>110</v>
      </c>
      <c r="B25" s="2">
        <v>45597.493055497682</v>
      </c>
      <c r="C25" t="s">
        <v>215</v>
      </c>
      <c r="D25">
        <v>2</v>
      </c>
      <c r="E25" t="s">
        <v>46</v>
      </c>
      <c r="F25" t="str">
        <f t="shared" si="0"/>
        <v>Galaxias brevipinnis</v>
      </c>
      <c r="G25" t="str">
        <f t="shared" si="1"/>
        <v>Climbing_galaxias</v>
      </c>
      <c r="H25" t="str">
        <f t="shared" si="2"/>
        <v>Kōaro</v>
      </c>
      <c r="I25" t="str">
        <f t="shared" si="3"/>
        <v>Native</v>
      </c>
      <c r="J25" t="str">
        <f t="shared" si="4"/>
        <v>Yes</v>
      </c>
      <c r="L25">
        <v>140</v>
      </c>
      <c r="M25">
        <v>36</v>
      </c>
      <c r="N25">
        <v>1</v>
      </c>
      <c r="S25" t="str">
        <f t="shared" si="5"/>
        <v/>
      </c>
    </row>
    <row r="26" spans="1:20" x14ac:dyDescent="0.55000000000000004">
      <c r="A26">
        <v>110</v>
      </c>
      <c r="B26" s="2">
        <v>45597.493055497682</v>
      </c>
      <c r="C26" t="s">
        <v>215</v>
      </c>
      <c r="D26">
        <v>2</v>
      </c>
      <c r="E26" t="s">
        <v>46</v>
      </c>
      <c r="F26" t="str">
        <f t="shared" si="0"/>
        <v>Galaxias brevipinnis</v>
      </c>
      <c r="G26" t="str">
        <f t="shared" si="1"/>
        <v>Climbing_galaxias</v>
      </c>
      <c r="H26" t="str">
        <f t="shared" si="2"/>
        <v>Kōaro</v>
      </c>
      <c r="I26" t="str">
        <f t="shared" si="3"/>
        <v>Native</v>
      </c>
      <c r="J26" t="str">
        <f t="shared" si="4"/>
        <v>Yes</v>
      </c>
      <c r="L26">
        <v>148</v>
      </c>
      <c r="M26">
        <v>40</v>
      </c>
      <c r="N26">
        <v>1</v>
      </c>
      <c r="S26" t="str">
        <f t="shared" si="5"/>
        <v/>
      </c>
    </row>
    <row r="27" spans="1:20" x14ac:dyDescent="0.55000000000000004">
      <c r="A27">
        <v>110</v>
      </c>
      <c r="B27" s="2">
        <v>45597.493055497682</v>
      </c>
      <c r="C27" t="s">
        <v>215</v>
      </c>
      <c r="D27">
        <v>2</v>
      </c>
      <c r="E27" t="s">
        <v>46</v>
      </c>
      <c r="F27" t="str">
        <f t="shared" si="0"/>
        <v>Galaxias brevipinnis</v>
      </c>
      <c r="G27" t="str">
        <f t="shared" si="1"/>
        <v>Climbing_galaxias</v>
      </c>
      <c r="H27" t="str">
        <f t="shared" si="2"/>
        <v>Kōaro</v>
      </c>
      <c r="I27" t="str">
        <f t="shared" si="3"/>
        <v>Native</v>
      </c>
      <c r="J27" t="str">
        <f t="shared" si="4"/>
        <v>Yes</v>
      </c>
      <c r="L27">
        <v>156</v>
      </c>
      <c r="M27">
        <v>48</v>
      </c>
      <c r="N27">
        <v>1</v>
      </c>
      <c r="S27" t="str">
        <f t="shared" si="5"/>
        <v/>
      </c>
    </row>
    <row r="28" spans="1:20" x14ac:dyDescent="0.55000000000000004">
      <c r="A28">
        <v>110</v>
      </c>
      <c r="B28" s="2">
        <v>45597.493055497682</v>
      </c>
      <c r="C28" t="s">
        <v>215</v>
      </c>
      <c r="D28">
        <v>2</v>
      </c>
      <c r="E28" t="s">
        <v>46</v>
      </c>
      <c r="F28" t="str">
        <f t="shared" si="0"/>
        <v>Galaxias brevipinnis</v>
      </c>
      <c r="G28" t="str">
        <f t="shared" si="1"/>
        <v>Climbing_galaxias</v>
      </c>
      <c r="H28" t="str">
        <f t="shared" si="2"/>
        <v>Kōaro</v>
      </c>
      <c r="I28" t="str">
        <f t="shared" si="3"/>
        <v>Native</v>
      </c>
      <c r="J28" t="str">
        <f t="shared" si="4"/>
        <v>Yes</v>
      </c>
      <c r="L28">
        <v>160</v>
      </c>
      <c r="M28">
        <v>41</v>
      </c>
      <c r="N28">
        <v>1</v>
      </c>
      <c r="S28" t="str">
        <f t="shared" si="5"/>
        <v/>
      </c>
    </row>
    <row r="29" spans="1:20" x14ac:dyDescent="0.55000000000000004">
      <c r="A29">
        <v>110</v>
      </c>
      <c r="B29" s="2">
        <v>45597.493055497682</v>
      </c>
      <c r="C29" t="s">
        <v>215</v>
      </c>
      <c r="D29">
        <v>2</v>
      </c>
      <c r="E29" t="s">
        <v>46</v>
      </c>
      <c r="F29" t="str">
        <f t="shared" si="0"/>
        <v>Galaxias brevipinnis</v>
      </c>
      <c r="G29" t="str">
        <f t="shared" si="1"/>
        <v>Climbing_galaxias</v>
      </c>
      <c r="H29" t="str">
        <f t="shared" si="2"/>
        <v>Kōaro</v>
      </c>
      <c r="I29" t="str">
        <f t="shared" si="3"/>
        <v>Native</v>
      </c>
      <c r="J29" t="str">
        <f t="shared" si="4"/>
        <v>Yes</v>
      </c>
      <c r="L29">
        <v>115</v>
      </c>
      <c r="M29">
        <v>19</v>
      </c>
      <c r="N29">
        <v>1</v>
      </c>
      <c r="S29" t="str">
        <f t="shared" si="5"/>
        <v/>
      </c>
    </row>
    <row r="30" spans="1:20" x14ac:dyDescent="0.55000000000000004">
      <c r="A30">
        <v>110</v>
      </c>
      <c r="B30" s="2">
        <v>45597.493055439816</v>
      </c>
      <c r="C30" t="s">
        <v>215</v>
      </c>
      <c r="D30">
        <v>2</v>
      </c>
      <c r="E30" t="s">
        <v>46</v>
      </c>
      <c r="F30" t="str">
        <f t="shared" si="0"/>
        <v>Galaxias brevipinnis</v>
      </c>
      <c r="G30" t="str">
        <f t="shared" si="1"/>
        <v>Climbing_galaxias</v>
      </c>
      <c r="H30" t="str">
        <f t="shared" si="2"/>
        <v>Kōaro</v>
      </c>
      <c r="I30" t="str">
        <f t="shared" si="3"/>
        <v>Native</v>
      </c>
      <c r="J30" t="str">
        <f t="shared" si="4"/>
        <v>Yes</v>
      </c>
      <c r="L30">
        <v>80</v>
      </c>
      <c r="M30">
        <v>5</v>
      </c>
      <c r="N30">
        <v>1</v>
      </c>
      <c r="S30" t="str">
        <f t="shared" si="5"/>
        <v/>
      </c>
    </row>
    <row r="31" spans="1:20" x14ac:dyDescent="0.55000000000000004">
      <c r="A31">
        <v>110</v>
      </c>
      <c r="B31" s="2">
        <v>45597.493055439816</v>
      </c>
      <c r="C31" t="s">
        <v>215</v>
      </c>
      <c r="D31">
        <v>2</v>
      </c>
      <c r="E31" t="s">
        <v>46</v>
      </c>
      <c r="F31" t="str">
        <f t="shared" si="0"/>
        <v>Galaxias brevipinnis</v>
      </c>
      <c r="G31" t="str">
        <f t="shared" si="1"/>
        <v>Climbing_galaxias</v>
      </c>
      <c r="H31" t="str">
        <f t="shared" si="2"/>
        <v>Kōaro</v>
      </c>
      <c r="I31" t="str">
        <f t="shared" si="3"/>
        <v>Native</v>
      </c>
      <c r="J31" t="str">
        <f t="shared" si="4"/>
        <v>Yes</v>
      </c>
      <c r="L31">
        <v>70</v>
      </c>
      <c r="M31">
        <v>3</v>
      </c>
      <c r="N31">
        <v>1</v>
      </c>
      <c r="S31" t="str">
        <f t="shared" si="5"/>
        <v/>
      </c>
    </row>
    <row r="32" spans="1:20" x14ac:dyDescent="0.55000000000000004">
      <c r="A32">
        <v>110</v>
      </c>
      <c r="B32" s="2">
        <v>45597.493055439816</v>
      </c>
      <c r="C32" t="s">
        <v>215</v>
      </c>
      <c r="D32">
        <v>2</v>
      </c>
      <c r="E32" t="s">
        <v>247</v>
      </c>
      <c r="F32" t="str">
        <f t="shared" si="0"/>
        <v>Retropinna retropinna</v>
      </c>
      <c r="G32" t="str">
        <f t="shared" si="1"/>
        <v>Common_smelt</v>
      </c>
      <c r="H32" t="str">
        <f t="shared" si="2"/>
        <v>Common_smelt</v>
      </c>
      <c r="I32" t="str">
        <f t="shared" si="3"/>
        <v>Native</v>
      </c>
      <c r="J32" t="str">
        <f t="shared" si="4"/>
        <v>No</v>
      </c>
      <c r="N32">
        <v>60</v>
      </c>
      <c r="S32" t="str">
        <f t="shared" si="5"/>
        <v/>
      </c>
      <c r="T32" t="s">
        <v>280</v>
      </c>
    </row>
    <row r="33" spans="1:20" x14ac:dyDescent="0.55000000000000004">
      <c r="A33">
        <v>110</v>
      </c>
      <c r="B33" s="2">
        <v>45597.493055439816</v>
      </c>
      <c r="C33" t="s">
        <v>215</v>
      </c>
      <c r="D33">
        <v>2</v>
      </c>
      <c r="E33" t="s">
        <v>44</v>
      </c>
      <c r="F33" t="str">
        <f t="shared" si="0"/>
        <v>Gobiomorphus cotidianus</v>
      </c>
      <c r="G33" t="str">
        <f t="shared" si="1"/>
        <v>Common_bully</v>
      </c>
      <c r="H33" t="str">
        <f t="shared" si="2"/>
        <v>Toitoi</v>
      </c>
      <c r="I33" t="str">
        <f t="shared" si="3"/>
        <v>Native</v>
      </c>
      <c r="J33" t="str">
        <f t="shared" si="4"/>
        <v>No</v>
      </c>
      <c r="N33">
        <v>80</v>
      </c>
      <c r="S33" t="str">
        <f t="shared" si="5"/>
        <v/>
      </c>
      <c r="T33" t="s">
        <v>280</v>
      </c>
    </row>
    <row r="34" spans="1:20" x14ac:dyDescent="0.55000000000000004">
      <c r="A34">
        <v>110</v>
      </c>
      <c r="B34" s="2">
        <v>45597.493055439816</v>
      </c>
      <c r="C34" t="s">
        <v>215</v>
      </c>
      <c r="D34">
        <v>2</v>
      </c>
      <c r="E34" t="s">
        <v>46</v>
      </c>
      <c r="F34" t="str">
        <f t="shared" si="0"/>
        <v>Galaxias brevipinnis</v>
      </c>
      <c r="G34" t="str">
        <f t="shared" si="1"/>
        <v>Climbing_galaxias</v>
      </c>
      <c r="H34" t="str">
        <f t="shared" si="2"/>
        <v>Kōaro</v>
      </c>
      <c r="I34" t="str">
        <f t="shared" si="3"/>
        <v>Native</v>
      </c>
      <c r="J34" t="str">
        <f t="shared" si="4"/>
        <v>Yes</v>
      </c>
      <c r="L34">
        <v>171</v>
      </c>
      <c r="M34">
        <v>66</v>
      </c>
      <c r="N34">
        <v>1</v>
      </c>
      <c r="S34" t="str">
        <f t="shared" si="5"/>
        <v/>
      </c>
    </row>
    <row r="35" spans="1:20" x14ac:dyDescent="0.55000000000000004">
      <c r="A35">
        <v>110</v>
      </c>
      <c r="B35" s="2">
        <v>45597.493055439816</v>
      </c>
      <c r="C35" t="s">
        <v>215</v>
      </c>
      <c r="D35">
        <v>2</v>
      </c>
      <c r="E35" t="s">
        <v>46</v>
      </c>
      <c r="F35" t="str">
        <f t="shared" si="0"/>
        <v>Galaxias brevipinnis</v>
      </c>
      <c r="G35" t="str">
        <f t="shared" si="1"/>
        <v>Climbing_galaxias</v>
      </c>
      <c r="H35" t="str">
        <f t="shared" si="2"/>
        <v>Kōaro</v>
      </c>
      <c r="I35" t="str">
        <f t="shared" si="3"/>
        <v>Native</v>
      </c>
      <c r="J35" t="str">
        <f t="shared" si="4"/>
        <v>Yes</v>
      </c>
      <c r="L35">
        <v>150</v>
      </c>
      <c r="M35">
        <v>37</v>
      </c>
      <c r="N35">
        <v>1</v>
      </c>
      <c r="S35" t="str">
        <f t="shared" si="5"/>
        <v/>
      </c>
    </row>
    <row r="36" spans="1:20" x14ac:dyDescent="0.55000000000000004">
      <c r="A36">
        <v>110</v>
      </c>
      <c r="B36" s="2">
        <v>45597.493055439816</v>
      </c>
      <c r="C36" t="s">
        <v>215</v>
      </c>
      <c r="D36">
        <v>2</v>
      </c>
      <c r="E36" t="s">
        <v>46</v>
      </c>
      <c r="F36" t="str">
        <f t="shared" si="0"/>
        <v>Galaxias brevipinnis</v>
      </c>
      <c r="G36" t="str">
        <f t="shared" si="1"/>
        <v>Climbing_galaxias</v>
      </c>
      <c r="H36" t="str">
        <f t="shared" si="2"/>
        <v>Kōaro</v>
      </c>
      <c r="I36" t="str">
        <f t="shared" si="3"/>
        <v>Native</v>
      </c>
      <c r="J36" t="str">
        <f t="shared" si="4"/>
        <v>Yes</v>
      </c>
      <c r="L36">
        <v>124</v>
      </c>
      <c r="M36">
        <v>24</v>
      </c>
      <c r="N36">
        <v>1</v>
      </c>
      <c r="S36" t="str">
        <f t="shared" si="5"/>
        <v/>
      </c>
    </row>
    <row r="37" spans="1:20" x14ac:dyDescent="0.55000000000000004">
      <c r="A37">
        <v>110</v>
      </c>
      <c r="B37" s="2">
        <v>45597.493055439816</v>
      </c>
      <c r="C37" t="s">
        <v>215</v>
      </c>
      <c r="D37">
        <v>2</v>
      </c>
      <c r="E37" t="s">
        <v>247</v>
      </c>
      <c r="F37" t="str">
        <f t="shared" si="0"/>
        <v>Retropinna retropinna</v>
      </c>
      <c r="G37" t="str">
        <f t="shared" si="1"/>
        <v>Common_smelt</v>
      </c>
      <c r="H37" t="str">
        <f t="shared" si="2"/>
        <v>Common_smelt</v>
      </c>
      <c r="I37" t="str">
        <f t="shared" si="3"/>
        <v>Native</v>
      </c>
      <c r="J37" t="str">
        <f t="shared" si="4"/>
        <v>No</v>
      </c>
      <c r="N37">
        <v>40</v>
      </c>
      <c r="S37" t="str">
        <f t="shared" si="5"/>
        <v/>
      </c>
      <c r="T37" t="s">
        <v>280</v>
      </c>
    </row>
    <row r="38" spans="1:20" x14ac:dyDescent="0.55000000000000004">
      <c r="A38">
        <v>110</v>
      </c>
      <c r="B38" s="2">
        <v>45597.493055439816</v>
      </c>
      <c r="C38" t="s">
        <v>215</v>
      </c>
      <c r="D38">
        <v>2</v>
      </c>
      <c r="E38" t="s">
        <v>44</v>
      </c>
      <c r="F38" t="str">
        <f t="shared" si="0"/>
        <v>Gobiomorphus cotidianus</v>
      </c>
      <c r="G38" t="str">
        <f t="shared" si="1"/>
        <v>Common_bully</v>
      </c>
      <c r="H38" t="str">
        <f t="shared" si="2"/>
        <v>Toitoi</v>
      </c>
      <c r="I38" t="str">
        <f t="shared" si="3"/>
        <v>Native</v>
      </c>
      <c r="J38" t="str">
        <f t="shared" si="4"/>
        <v>No</v>
      </c>
      <c r="N38">
        <v>40</v>
      </c>
      <c r="S38" t="str">
        <f t="shared" si="5"/>
        <v/>
      </c>
      <c r="T38" t="s">
        <v>280</v>
      </c>
    </row>
    <row r="39" spans="1:20" x14ac:dyDescent="0.55000000000000004">
      <c r="A39">
        <v>111</v>
      </c>
      <c r="B39" s="2">
        <v>45597.416666666664</v>
      </c>
      <c r="C39" t="s">
        <v>215</v>
      </c>
      <c r="D39">
        <v>2</v>
      </c>
      <c r="E39" t="s">
        <v>44</v>
      </c>
      <c r="F39" t="str">
        <f t="shared" si="0"/>
        <v>Gobiomorphus cotidianus</v>
      </c>
      <c r="G39" t="str">
        <f t="shared" si="1"/>
        <v>Common_bully</v>
      </c>
      <c r="H39" t="str">
        <f t="shared" si="2"/>
        <v>Toitoi</v>
      </c>
      <c r="I39" t="str">
        <f t="shared" si="3"/>
        <v>Native</v>
      </c>
      <c r="J39" t="str">
        <f t="shared" si="4"/>
        <v>No</v>
      </c>
      <c r="N39">
        <v>180</v>
      </c>
      <c r="S39" t="str">
        <f t="shared" si="5"/>
        <v/>
      </c>
      <c r="T39" t="s">
        <v>280</v>
      </c>
    </row>
    <row r="40" spans="1:20" x14ac:dyDescent="0.55000000000000004">
      <c r="A40">
        <v>111</v>
      </c>
      <c r="B40" s="2">
        <v>45597.416666666664</v>
      </c>
      <c r="C40" t="s">
        <v>215</v>
      </c>
      <c r="D40">
        <v>2</v>
      </c>
      <c r="E40" t="s">
        <v>44</v>
      </c>
      <c r="F40" t="str">
        <f t="shared" si="0"/>
        <v>Gobiomorphus cotidianus</v>
      </c>
      <c r="G40" t="str">
        <f t="shared" si="1"/>
        <v>Common_bully</v>
      </c>
      <c r="H40" t="str">
        <f t="shared" si="2"/>
        <v>Toitoi</v>
      </c>
      <c r="I40" t="str">
        <f t="shared" si="3"/>
        <v>Native</v>
      </c>
      <c r="J40" t="str">
        <f t="shared" si="4"/>
        <v>No</v>
      </c>
      <c r="N40">
        <v>200</v>
      </c>
      <c r="S40" t="str">
        <f t="shared" si="5"/>
        <v/>
      </c>
      <c r="T40" t="s">
        <v>280</v>
      </c>
    </row>
    <row r="41" spans="1:20" x14ac:dyDescent="0.55000000000000004">
      <c r="A41">
        <v>111</v>
      </c>
      <c r="B41" s="2">
        <v>45597.416666666664</v>
      </c>
      <c r="C41" t="s">
        <v>216</v>
      </c>
      <c r="D41">
        <v>2</v>
      </c>
      <c r="E41" t="s">
        <v>49</v>
      </c>
      <c r="F41" t="str">
        <f t="shared" si="0"/>
        <v>Paranephrops planifrons</v>
      </c>
      <c r="G41" t="str">
        <f t="shared" si="1"/>
        <v>Freshwater_crayfish</v>
      </c>
      <c r="H41" t="str">
        <f t="shared" si="2"/>
        <v>Kōura</v>
      </c>
      <c r="I41" t="str">
        <f t="shared" si="3"/>
        <v>Native</v>
      </c>
      <c r="J41" t="str">
        <f t="shared" si="4"/>
        <v>Yes</v>
      </c>
      <c r="K41" t="s">
        <v>48</v>
      </c>
      <c r="L41">
        <v>41</v>
      </c>
      <c r="M41">
        <v>46</v>
      </c>
      <c r="N41">
        <v>1</v>
      </c>
      <c r="S41" t="str">
        <f t="shared" si="5"/>
        <v/>
      </c>
    </row>
    <row r="42" spans="1:20" x14ac:dyDescent="0.55000000000000004">
      <c r="A42">
        <v>111</v>
      </c>
      <c r="B42" s="2">
        <v>45597.416666666664</v>
      </c>
      <c r="C42" t="s">
        <v>216</v>
      </c>
      <c r="D42">
        <v>2</v>
      </c>
      <c r="E42" t="s">
        <v>49</v>
      </c>
      <c r="F42" t="str">
        <f t="shared" si="0"/>
        <v>Paranephrops planifrons</v>
      </c>
      <c r="G42" t="str">
        <f t="shared" si="1"/>
        <v>Freshwater_crayfish</v>
      </c>
      <c r="H42" t="str">
        <f t="shared" si="2"/>
        <v>Kōura</v>
      </c>
      <c r="I42" t="str">
        <f t="shared" si="3"/>
        <v>Native</v>
      </c>
      <c r="J42" t="str">
        <f t="shared" si="4"/>
        <v>Yes</v>
      </c>
      <c r="K42" t="s">
        <v>48</v>
      </c>
      <c r="L42">
        <v>40</v>
      </c>
      <c r="M42">
        <v>42</v>
      </c>
      <c r="N42">
        <v>1</v>
      </c>
      <c r="O42">
        <v>1</v>
      </c>
      <c r="S42" t="str">
        <f t="shared" si="5"/>
        <v/>
      </c>
    </row>
    <row r="43" spans="1:20" x14ac:dyDescent="0.55000000000000004">
      <c r="A43">
        <v>111</v>
      </c>
      <c r="B43" s="2">
        <v>45597.416666666664</v>
      </c>
      <c r="C43" t="s">
        <v>216</v>
      </c>
      <c r="D43">
        <v>2</v>
      </c>
      <c r="E43" t="s">
        <v>44</v>
      </c>
      <c r="F43" t="str">
        <f t="shared" si="0"/>
        <v>Gobiomorphus cotidianus</v>
      </c>
      <c r="G43" t="str">
        <f t="shared" si="1"/>
        <v>Common_bully</v>
      </c>
      <c r="H43" t="str">
        <f t="shared" si="2"/>
        <v>Toitoi</v>
      </c>
      <c r="I43" t="str">
        <f t="shared" si="3"/>
        <v>Native</v>
      </c>
      <c r="J43" t="str">
        <f t="shared" si="4"/>
        <v>No</v>
      </c>
      <c r="N43">
        <v>15</v>
      </c>
      <c r="S43" t="str">
        <f t="shared" si="5"/>
        <v/>
      </c>
    </row>
    <row r="44" spans="1:20" x14ac:dyDescent="0.55000000000000004">
      <c r="A44">
        <v>111</v>
      </c>
      <c r="B44" s="2">
        <v>45597.416666666664</v>
      </c>
      <c r="C44" t="s">
        <v>216</v>
      </c>
      <c r="D44">
        <v>2</v>
      </c>
      <c r="E44" t="s">
        <v>46</v>
      </c>
      <c r="F44" t="str">
        <f t="shared" si="0"/>
        <v>Galaxias brevipinnis</v>
      </c>
      <c r="G44" t="str">
        <f t="shared" si="1"/>
        <v>Climbing_galaxias</v>
      </c>
      <c r="H44" t="str">
        <f t="shared" si="2"/>
        <v>Kōaro</v>
      </c>
      <c r="I44" t="str">
        <f t="shared" si="3"/>
        <v>Native</v>
      </c>
      <c r="J44" t="str">
        <f t="shared" si="4"/>
        <v>Yes</v>
      </c>
      <c r="L44">
        <v>105</v>
      </c>
      <c r="M44">
        <v>11</v>
      </c>
      <c r="N44">
        <v>1</v>
      </c>
      <c r="S44" t="str">
        <f t="shared" si="5"/>
        <v/>
      </c>
    </row>
    <row r="45" spans="1:20" x14ac:dyDescent="0.55000000000000004">
      <c r="A45">
        <v>114</v>
      </c>
      <c r="B45" s="2">
        <v>45597.479166666664</v>
      </c>
      <c r="C45" t="s">
        <v>215</v>
      </c>
      <c r="D45">
        <v>2</v>
      </c>
      <c r="E45" t="s">
        <v>51</v>
      </c>
      <c r="F45" t="str">
        <f t="shared" si="0"/>
        <v>Oncorhynchus mykiss</v>
      </c>
      <c r="G45" t="str">
        <f t="shared" si="1"/>
        <v>Rainbow_trout</v>
      </c>
      <c r="H45" t="str">
        <f t="shared" si="2"/>
        <v>Rainbow_trout</v>
      </c>
      <c r="I45" t="str">
        <f t="shared" si="3"/>
        <v>Nonnative</v>
      </c>
      <c r="J45" t="str">
        <f t="shared" si="4"/>
        <v>No</v>
      </c>
      <c r="K45" t="s">
        <v>48</v>
      </c>
      <c r="L45">
        <v>560</v>
      </c>
      <c r="M45">
        <v>1200</v>
      </c>
      <c r="N45">
        <v>1</v>
      </c>
      <c r="S45" t="str">
        <f t="shared" si="5"/>
        <v/>
      </c>
    </row>
    <row r="46" spans="1:20" x14ac:dyDescent="0.55000000000000004">
      <c r="A46">
        <v>114</v>
      </c>
      <c r="B46" s="2">
        <v>45597.479166666664</v>
      </c>
      <c r="C46" t="s">
        <v>215</v>
      </c>
      <c r="D46">
        <v>2</v>
      </c>
      <c r="E46" t="s">
        <v>46</v>
      </c>
      <c r="F46" t="str">
        <f t="shared" si="0"/>
        <v>Galaxias brevipinnis</v>
      </c>
      <c r="G46" t="str">
        <f t="shared" si="1"/>
        <v>Climbing_galaxias</v>
      </c>
      <c r="H46" t="str">
        <f t="shared" si="2"/>
        <v>Kōaro</v>
      </c>
      <c r="I46" t="str">
        <f t="shared" si="3"/>
        <v>Native</v>
      </c>
      <c r="J46" t="str">
        <f t="shared" si="4"/>
        <v>Yes</v>
      </c>
      <c r="L46">
        <v>80</v>
      </c>
      <c r="M46">
        <v>3</v>
      </c>
      <c r="N46">
        <v>1</v>
      </c>
      <c r="S46" t="str">
        <f t="shared" si="5"/>
        <v/>
      </c>
    </row>
    <row r="47" spans="1:20" x14ac:dyDescent="0.55000000000000004">
      <c r="A47">
        <v>114</v>
      </c>
      <c r="B47" s="2">
        <v>45597.479166608799</v>
      </c>
      <c r="C47" t="s">
        <v>215</v>
      </c>
      <c r="D47">
        <v>2</v>
      </c>
      <c r="E47" t="s">
        <v>44</v>
      </c>
      <c r="F47" t="str">
        <f t="shared" si="0"/>
        <v>Gobiomorphus cotidianus</v>
      </c>
      <c r="G47" t="str">
        <f t="shared" si="1"/>
        <v>Common_bully</v>
      </c>
      <c r="H47" t="str">
        <f t="shared" si="2"/>
        <v>Toitoi</v>
      </c>
      <c r="I47" t="str">
        <f t="shared" si="3"/>
        <v>Native</v>
      </c>
      <c r="J47" t="str">
        <f t="shared" si="4"/>
        <v>No</v>
      </c>
      <c r="N47">
        <v>50</v>
      </c>
      <c r="S47" t="str">
        <f t="shared" si="5"/>
        <v/>
      </c>
      <c r="T47" t="s">
        <v>280</v>
      </c>
    </row>
    <row r="48" spans="1:20" x14ac:dyDescent="0.55000000000000004">
      <c r="A48">
        <v>114</v>
      </c>
      <c r="B48" s="2">
        <v>45597.479166608799</v>
      </c>
      <c r="C48" t="s">
        <v>215</v>
      </c>
      <c r="D48">
        <v>2</v>
      </c>
      <c r="E48" t="s">
        <v>46</v>
      </c>
      <c r="F48" t="str">
        <f t="shared" si="0"/>
        <v>Galaxias brevipinnis</v>
      </c>
      <c r="G48" t="str">
        <f t="shared" si="1"/>
        <v>Climbing_galaxias</v>
      </c>
      <c r="H48" t="str">
        <f t="shared" si="2"/>
        <v>Kōaro</v>
      </c>
      <c r="I48" t="str">
        <f t="shared" si="3"/>
        <v>Native</v>
      </c>
      <c r="J48" t="str">
        <f t="shared" si="4"/>
        <v>Yes</v>
      </c>
      <c r="L48">
        <v>125</v>
      </c>
      <c r="M48">
        <v>20</v>
      </c>
      <c r="N48">
        <v>1</v>
      </c>
      <c r="S48" t="str">
        <f t="shared" si="5"/>
        <v/>
      </c>
    </row>
    <row r="49" spans="1:20" x14ac:dyDescent="0.55000000000000004">
      <c r="A49">
        <v>114</v>
      </c>
      <c r="B49" s="2">
        <v>45597.479166608799</v>
      </c>
      <c r="C49" t="s">
        <v>216</v>
      </c>
      <c r="D49">
        <v>2</v>
      </c>
      <c r="E49" t="s">
        <v>49</v>
      </c>
      <c r="F49" t="str">
        <f t="shared" si="0"/>
        <v>Paranephrops planifrons</v>
      </c>
      <c r="G49" t="str">
        <f t="shared" si="1"/>
        <v>Freshwater_crayfish</v>
      </c>
      <c r="H49" t="str">
        <f t="shared" si="2"/>
        <v>Kōura</v>
      </c>
      <c r="I49" t="str">
        <f t="shared" si="3"/>
        <v>Native</v>
      </c>
      <c r="J49" t="str">
        <f t="shared" si="4"/>
        <v>Yes</v>
      </c>
      <c r="K49" t="s">
        <v>48</v>
      </c>
      <c r="L49">
        <v>43</v>
      </c>
      <c r="M49">
        <v>55</v>
      </c>
      <c r="N49">
        <v>1</v>
      </c>
      <c r="S49" t="str">
        <f t="shared" si="5"/>
        <v/>
      </c>
    </row>
    <row r="50" spans="1:20" x14ac:dyDescent="0.55000000000000004">
      <c r="A50">
        <v>114</v>
      </c>
      <c r="B50" s="2">
        <v>45597.479166608799</v>
      </c>
      <c r="C50" t="s">
        <v>216</v>
      </c>
      <c r="D50">
        <v>2</v>
      </c>
      <c r="E50" t="s">
        <v>49</v>
      </c>
      <c r="F50" t="str">
        <f t="shared" si="0"/>
        <v>Paranephrops planifrons</v>
      </c>
      <c r="G50" t="str">
        <f t="shared" si="1"/>
        <v>Freshwater_crayfish</v>
      </c>
      <c r="H50" t="str">
        <f t="shared" si="2"/>
        <v>Kōura</v>
      </c>
      <c r="I50" t="str">
        <f t="shared" si="3"/>
        <v>Native</v>
      </c>
      <c r="J50" t="str">
        <f t="shared" si="4"/>
        <v>Yes</v>
      </c>
      <c r="K50" t="s">
        <v>48</v>
      </c>
      <c r="L50">
        <v>34</v>
      </c>
      <c r="M50">
        <v>31</v>
      </c>
      <c r="N50">
        <v>1</v>
      </c>
      <c r="S50" t="str">
        <f t="shared" si="5"/>
        <v/>
      </c>
    </row>
    <row r="51" spans="1:20" x14ac:dyDescent="0.55000000000000004">
      <c r="A51">
        <v>114</v>
      </c>
      <c r="B51" s="2">
        <v>45597.479166608799</v>
      </c>
      <c r="C51" t="s">
        <v>216</v>
      </c>
      <c r="D51">
        <v>2</v>
      </c>
      <c r="E51" t="s">
        <v>44</v>
      </c>
      <c r="F51" t="str">
        <f t="shared" si="0"/>
        <v>Gobiomorphus cotidianus</v>
      </c>
      <c r="G51" t="str">
        <f t="shared" si="1"/>
        <v>Common_bully</v>
      </c>
      <c r="H51" t="str">
        <f t="shared" si="2"/>
        <v>Toitoi</v>
      </c>
      <c r="I51" t="str">
        <f t="shared" si="3"/>
        <v>Native</v>
      </c>
      <c r="J51" t="str">
        <f t="shared" si="4"/>
        <v>No</v>
      </c>
      <c r="N51">
        <v>25</v>
      </c>
      <c r="S51" t="str">
        <f t="shared" si="5"/>
        <v/>
      </c>
      <c r="T51" t="s">
        <v>280</v>
      </c>
    </row>
    <row r="52" spans="1:20" x14ac:dyDescent="0.55000000000000004">
      <c r="A52">
        <v>114</v>
      </c>
      <c r="B52" s="2">
        <v>45597.479166608799</v>
      </c>
      <c r="C52" t="s">
        <v>215</v>
      </c>
      <c r="D52">
        <v>2</v>
      </c>
      <c r="E52" t="s">
        <v>247</v>
      </c>
      <c r="F52" t="str">
        <f t="shared" si="0"/>
        <v>Retropinna retropinna</v>
      </c>
      <c r="G52" t="str">
        <f t="shared" si="1"/>
        <v>Common_smelt</v>
      </c>
      <c r="H52" t="str">
        <f t="shared" si="2"/>
        <v>Common_smelt</v>
      </c>
      <c r="I52" t="str">
        <f t="shared" si="3"/>
        <v>Native</v>
      </c>
      <c r="J52" t="str">
        <f t="shared" si="4"/>
        <v>No</v>
      </c>
      <c r="N52">
        <v>5</v>
      </c>
      <c r="S52" t="str">
        <f t="shared" si="5"/>
        <v/>
      </c>
    </row>
    <row r="53" spans="1:20" x14ac:dyDescent="0.55000000000000004">
      <c r="A53">
        <v>114</v>
      </c>
      <c r="B53" s="2">
        <v>45597.479166608799</v>
      </c>
      <c r="C53" t="s">
        <v>215</v>
      </c>
      <c r="D53">
        <v>2</v>
      </c>
      <c r="E53" t="s">
        <v>44</v>
      </c>
      <c r="F53" t="str">
        <f t="shared" si="0"/>
        <v>Gobiomorphus cotidianus</v>
      </c>
      <c r="G53" t="str">
        <f t="shared" si="1"/>
        <v>Common_bully</v>
      </c>
      <c r="H53" t="str">
        <f t="shared" si="2"/>
        <v>Toitoi</v>
      </c>
      <c r="I53" t="str">
        <f t="shared" si="3"/>
        <v>Native</v>
      </c>
      <c r="J53" t="str">
        <f t="shared" si="4"/>
        <v>No</v>
      </c>
      <c r="N53">
        <v>50</v>
      </c>
      <c r="S53" t="str">
        <f t="shared" si="5"/>
        <v/>
      </c>
      <c r="T53" t="s">
        <v>280</v>
      </c>
    </row>
    <row r="54" spans="1:20" x14ac:dyDescent="0.55000000000000004">
      <c r="A54">
        <v>115</v>
      </c>
      <c r="B54" s="2">
        <v>45597.590277777781</v>
      </c>
      <c r="C54" t="s">
        <v>216</v>
      </c>
      <c r="D54">
        <v>2</v>
      </c>
      <c r="E54" t="s">
        <v>49</v>
      </c>
      <c r="F54" t="str">
        <f t="shared" si="0"/>
        <v>Paranephrops planifrons</v>
      </c>
      <c r="G54" t="str">
        <f t="shared" si="1"/>
        <v>Freshwater_crayfish</v>
      </c>
      <c r="H54" t="str">
        <f t="shared" si="2"/>
        <v>Kōura</v>
      </c>
      <c r="I54" t="str">
        <f t="shared" si="3"/>
        <v>Native</v>
      </c>
      <c r="J54" t="str">
        <f t="shared" si="4"/>
        <v>Yes</v>
      </c>
      <c r="K54" t="s">
        <v>48</v>
      </c>
      <c r="L54">
        <v>40</v>
      </c>
      <c r="M54">
        <v>60</v>
      </c>
      <c r="N54">
        <v>1</v>
      </c>
      <c r="S54" t="str">
        <f t="shared" si="5"/>
        <v/>
      </c>
    </row>
    <row r="55" spans="1:20" x14ac:dyDescent="0.55000000000000004">
      <c r="A55">
        <v>115</v>
      </c>
      <c r="B55" s="2">
        <v>45597.590277777781</v>
      </c>
      <c r="C55" t="s">
        <v>216</v>
      </c>
      <c r="D55">
        <v>2</v>
      </c>
      <c r="E55" t="s">
        <v>49</v>
      </c>
      <c r="F55" t="str">
        <f t="shared" si="0"/>
        <v>Paranephrops planifrons</v>
      </c>
      <c r="G55" t="str">
        <f t="shared" si="1"/>
        <v>Freshwater_crayfish</v>
      </c>
      <c r="H55" t="str">
        <f t="shared" si="2"/>
        <v>Kōura</v>
      </c>
      <c r="I55" t="str">
        <f t="shared" si="3"/>
        <v>Native</v>
      </c>
      <c r="J55" t="str">
        <f t="shared" si="4"/>
        <v>Yes</v>
      </c>
      <c r="K55" t="s">
        <v>48</v>
      </c>
      <c r="L55">
        <v>33</v>
      </c>
      <c r="M55">
        <v>28</v>
      </c>
      <c r="N55">
        <v>1</v>
      </c>
      <c r="S55" t="str">
        <f t="shared" si="5"/>
        <v/>
      </c>
    </row>
    <row r="56" spans="1:20" x14ac:dyDescent="0.55000000000000004">
      <c r="A56">
        <v>115</v>
      </c>
      <c r="B56" s="2">
        <v>45597.590277777781</v>
      </c>
      <c r="C56" t="s">
        <v>216</v>
      </c>
      <c r="D56">
        <v>2</v>
      </c>
      <c r="E56" t="s">
        <v>49</v>
      </c>
      <c r="F56" t="str">
        <f t="shared" si="0"/>
        <v>Paranephrops planifrons</v>
      </c>
      <c r="G56" t="str">
        <f t="shared" si="1"/>
        <v>Freshwater_crayfish</v>
      </c>
      <c r="H56" t="str">
        <f t="shared" si="2"/>
        <v>Kōura</v>
      </c>
      <c r="I56" t="str">
        <f t="shared" si="3"/>
        <v>Native</v>
      </c>
      <c r="J56" t="str">
        <f t="shared" si="4"/>
        <v>Yes</v>
      </c>
      <c r="K56" t="s">
        <v>48</v>
      </c>
      <c r="L56">
        <v>25</v>
      </c>
      <c r="M56">
        <v>17</v>
      </c>
      <c r="N56">
        <v>1</v>
      </c>
      <c r="S56" t="str">
        <f t="shared" si="5"/>
        <v/>
      </c>
    </row>
    <row r="57" spans="1:20" x14ac:dyDescent="0.55000000000000004">
      <c r="A57">
        <v>115</v>
      </c>
      <c r="B57" s="2">
        <v>45597.590277777781</v>
      </c>
      <c r="C57" t="s">
        <v>216</v>
      </c>
      <c r="D57">
        <v>2</v>
      </c>
      <c r="E57" t="s">
        <v>49</v>
      </c>
      <c r="F57" t="str">
        <f t="shared" si="0"/>
        <v>Paranephrops planifrons</v>
      </c>
      <c r="G57" t="str">
        <f t="shared" si="1"/>
        <v>Freshwater_crayfish</v>
      </c>
      <c r="H57" t="str">
        <f t="shared" si="2"/>
        <v>Kōura</v>
      </c>
      <c r="I57" t="str">
        <f t="shared" si="3"/>
        <v>Native</v>
      </c>
      <c r="J57" t="str">
        <f t="shared" si="4"/>
        <v>Yes</v>
      </c>
      <c r="K57" t="s">
        <v>50</v>
      </c>
      <c r="L57">
        <v>40</v>
      </c>
      <c r="M57">
        <v>44</v>
      </c>
      <c r="N57">
        <v>1</v>
      </c>
      <c r="S57" t="str">
        <f t="shared" si="5"/>
        <v/>
      </c>
    </row>
    <row r="58" spans="1:20" x14ac:dyDescent="0.55000000000000004">
      <c r="A58">
        <v>115</v>
      </c>
      <c r="B58" s="2">
        <v>45597.590277777781</v>
      </c>
      <c r="C58" t="s">
        <v>216</v>
      </c>
      <c r="D58">
        <v>2</v>
      </c>
      <c r="E58" t="s">
        <v>49</v>
      </c>
      <c r="F58" t="str">
        <f t="shared" si="0"/>
        <v>Paranephrops planifrons</v>
      </c>
      <c r="G58" t="str">
        <f t="shared" si="1"/>
        <v>Freshwater_crayfish</v>
      </c>
      <c r="H58" t="str">
        <f t="shared" si="2"/>
        <v>Kōura</v>
      </c>
      <c r="I58" t="str">
        <f t="shared" si="3"/>
        <v>Native</v>
      </c>
      <c r="J58" t="str">
        <f t="shared" si="4"/>
        <v>Yes</v>
      </c>
      <c r="K58" t="s">
        <v>48</v>
      </c>
      <c r="L58">
        <v>43</v>
      </c>
      <c r="M58">
        <v>58</v>
      </c>
      <c r="N58">
        <v>1</v>
      </c>
      <c r="S58" t="str">
        <f t="shared" si="5"/>
        <v/>
      </c>
    </row>
    <row r="59" spans="1:20" x14ac:dyDescent="0.55000000000000004">
      <c r="A59">
        <v>115</v>
      </c>
      <c r="B59" s="2">
        <v>45597.590277777781</v>
      </c>
      <c r="C59" t="s">
        <v>216</v>
      </c>
      <c r="D59">
        <v>2</v>
      </c>
      <c r="E59" t="s">
        <v>49</v>
      </c>
      <c r="F59" t="str">
        <f t="shared" si="0"/>
        <v>Paranephrops planifrons</v>
      </c>
      <c r="G59" t="str">
        <f t="shared" si="1"/>
        <v>Freshwater_crayfish</v>
      </c>
      <c r="H59" t="str">
        <f t="shared" si="2"/>
        <v>Kōura</v>
      </c>
      <c r="I59" t="str">
        <f t="shared" si="3"/>
        <v>Native</v>
      </c>
      <c r="J59" t="str">
        <f t="shared" si="4"/>
        <v>Yes</v>
      </c>
      <c r="K59" t="s">
        <v>50</v>
      </c>
      <c r="L59">
        <v>24</v>
      </c>
      <c r="M59">
        <v>12</v>
      </c>
      <c r="N59">
        <v>1</v>
      </c>
      <c r="S59" t="str">
        <f t="shared" si="5"/>
        <v/>
      </c>
    </row>
    <row r="60" spans="1:20" x14ac:dyDescent="0.55000000000000004">
      <c r="A60">
        <v>115</v>
      </c>
      <c r="B60" s="2">
        <v>45597.590277777781</v>
      </c>
      <c r="C60" t="s">
        <v>216</v>
      </c>
      <c r="D60">
        <v>2</v>
      </c>
      <c r="E60" t="s">
        <v>49</v>
      </c>
      <c r="F60" t="str">
        <f t="shared" si="0"/>
        <v>Paranephrops planifrons</v>
      </c>
      <c r="G60" t="str">
        <f t="shared" si="1"/>
        <v>Freshwater_crayfish</v>
      </c>
      <c r="H60" t="str">
        <f t="shared" si="2"/>
        <v>Kōura</v>
      </c>
      <c r="I60" t="str">
        <f t="shared" si="3"/>
        <v>Native</v>
      </c>
      <c r="J60" t="str">
        <f t="shared" si="4"/>
        <v>Yes</v>
      </c>
      <c r="K60" t="s">
        <v>50</v>
      </c>
      <c r="L60">
        <v>21</v>
      </c>
      <c r="M60">
        <v>7</v>
      </c>
      <c r="N60">
        <v>1</v>
      </c>
      <c r="S60" t="str">
        <f t="shared" si="5"/>
        <v/>
      </c>
    </row>
    <row r="61" spans="1:20" x14ac:dyDescent="0.55000000000000004">
      <c r="A61">
        <v>115</v>
      </c>
      <c r="B61" s="2">
        <v>45597.590277777781</v>
      </c>
      <c r="C61" t="s">
        <v>216</v>
      </c>
      <c r="D61">
        <v>2</v>
      </c>
      <c r="E61" t="s">
        <v>49</v>
      </c>
      <c r="F61" t="str">
        <f t="shared" si="0"/>
        <v>Paranephrops planifrons</v>
      </c>
      <c r="G61" t="str">
        <f t="shared" si="1"/>
        <v>Freshwater_crayfish</v>
      </c>
      <c r="H61" t="str">
        <f t="shared" si="2"/>
        <v>Kōura</v>
      </c>
      <c r="I61" t="str">
        <f t="shared" si="3"/>
        <v>Native</v>
      </c>
      <c r="J61" t="str">
        <f t="shared" si="4"/>
        <v>Yes</v>
      </c>
      <c r="K61" t="s">
        <v>50</v>
      </c>
      <c r="L61">
        <v>35</v>
      </c>
      <c r="N61">
        <v>1</v>
      </c>
      <c r="O61">
        <v>1</v>
      </c>
      <c r="S61" t="str">
        <f t="shared" si="5"/>
        <v/>
      </c>
    </row>
    <row r="62" spans="1:20" x14ac:dyDescent="0.55000000000000004">
      <c r="A62">
        <v>115</v>
      </c>
      <c r="B62" s="2">
        <v>45597.590277777781</v>
      </c>
      <c r="C62" t="s">
        <v>216</v>
      </c>
      <c r="D62">
        <v>2</v>
      </c>
      <c r="E62" t="s">
        <v>49</v>
      </c>
      <c r="F62" t="str">
        <f t="shared" si="0"/>
        <v>Paranephrops planifrons</v>
      </c>
      <c r="G62" t="str">
        <f t="shared" si="1"/>
        <v>Freshwater_crayfish</v>
      </c>
      <c r="H62" t="str">
        <f t="shared" si="2"/>
        <v>Kōura</v>
      </c>
      <c r="I62" t="str">
        <f t="shared" si="3"/>
        <v>Native</v>
      </c>
      <c r="J62" t="str">
        <f t="shared" si="4"/>
        <v>Yes</v>
      </c>
      <c r="K62" t="s">
        <v>48</v>
      </c>
      <c r="L62">
        <v>35</v>
      </c>
      <c r="M62">
        <v>32</v>
      </c>
      <c r="N62">
        <v>1</v>
      </c>
      <c r="S62" t="str">
        <f t="shared" si="5"/>
        <v/>
      </c>
    </row>
    <row r="63" spans="1:20" x14ac:dyDescent="0.55000000000000004">
      <c r="A63">
        <v>115</v>
      </c>
      <c r="B63" s="2">
        <v>45597.590277777781</v>
      </c>
      <c r="C63" t="s">
        <v>216</v>
      </c>
      <c r="D63">
        <v>2</v>
      </c>
      <c r="E63" t="s">
        <v>49</v>
      </c>
      <c r="F63" t="str">
        <f t="shared" si="0"/>
        <v>Paranephrops planifrons</v>
      </c>
      <c r="G63" t="str">
        <f t="shared" si="1"/>
        <v>Freshwater_crayfish</v>
      </c>
      <c r="H63" t="str">
        <f t="shared" si="2"/>
        <v>Kōura</v>
      </c>
      <c r="I63" t="str">
        <f t="shared" si="3"/>
        <v>Native</v>
      </c>
      <c r="J63" t="str">
        <f t="shared" si="4"/>
        <v>Yes</v>
      </c>
      <c r="K63" t="s">
        <v>48</v>
      </c>
      <c r="L63">
        <v>41</v>
      </c>
      <c r="M63">
        <v>53</v>
      </c>
      <c r="N63">
        <v>1</v>
      </c>
      <c r="S63" t="str">
        <f t="shared" si="5"/>
        <v/>
      </c>
    </row>
    <row r="64" spans="1:20" x14ac:dyDescent="0.55000000000000004">
      <c r="A64">
        <v>115</v>
      </c>
      <c r="B64" s="2">
        <v>45597.590277777781</v>
      </c>
      <c r="C64" t="s">
        <v>216</v>
      </c>
      <c r="D64">
        <v>2</v>
      </c>
      <c r="E64" t="s">
        <v>49</v>
      </c>
      <c r="F64" t="str">
        <f t="shared" si="0"/>
        <v>Paranephrops planifrons</v>
      </c>
      <c r="G64" t="str">
        <f t="shared" si="1"/>
        <v>Freshwater_crayfish</v>
      </c>
      <c r="H64" t="str">
        <f t="shared" si="2"/>
        <v>Kōura</v>
      </c>
      <c r="I64" t="str">
        <f t="shared" si="3"/>
        <v>Native</v>
      </c>
      <c r="J64" t="str">
        <f t="shared" si="4"/>
        <v>Yes</v>
      </c>
      <c r="K64" t="s">
        <v>48</v>
      </c>
      <c r="L64">
        <v>35</v>
      </c>
      <c r="M64">
        <v>26</v>
      </c>
      <c r="N64">
        <v>1</v>
      </c>
      <c r="O64">
        <v>1</v>
      </c>
      <c r="S64" t="str">
        <f t="shared" si="5"/>
        <v/>
      </c>
    </row>
    <row r="65" spans="1:20" x14ac:dyDescent="0.55000000000000004">
      <c r="A65">
        <v>115</v>
      </c>
      <c r="B65" s="2">
        <v>45597.590277777781</v>
      </c>
      <c r="C65" t="s">
        <v>216</v>
      </c>
      <c r="D65">
        <v>2</v>
      </c>
      <c r="E65" t="s">
        <v>44</v>
      </c>
      <c r="F65" t="str">
        <f t="shared" si="0"/>
        <v>Gobiomorphus cotidianus</v>
      </c>
      <c r="G65" t="str">
        <f t="shared" si="1"/>
        <v>Common_bully</v>
      </c>
      <c r="H65" t="str">
        <f t="shared" si="2"/>
        <v>Toitoi</v>
      </c>
      <c r="I65" t="str">
        <f t="shared" si="3"/>
        <v>Native</v>
      </c>
      <c r="J65" t="str">
        <f t="shared" si="4"/>
        <v>No</v>
      </c>
      <c r="N65">
        <v>10</v>
      </c>
      <c r="S65" t="str">
        <f t="shared" si="5"/>
        <v/>
      </c>
    </row>
    <row r="66" spans="1:20" x14ac:dyDescent="0.55000000000000004">
      <c r="A66">
        <v>115</v>
      </c>
      <c r="B66" s="2">
        <v>45597.590277777781</v>
      </c>
      <c r="C66" t="s">
        <v>215</v>
      </c>
      <c r="D66">
        <v>2</v>
      </c>
      <c r="E66" t="s">
        <v>49</v>
      </c>
      <c r="F66" t="str">
        <f t="shared" ref="F66:F129" si="6">VLOOKUP($E66, $V$1:$AA$9, 2, FALSE)</f>
        <v>Paranephrops planifrons</v>
      </c>
      <c r="G66" t="str">
        <f t="shared" ref="G66:G129" si="7">VLOOKUP($E66, $V$1:$AA$9, 3, FALSE)</f>
        <v>Freshwater_crayfish</v>
      </c>
      <c r="H66" t="str">
        <f t="shared" ref="H66:H129" si="8">VLOOKUP($E66, $V$1:$AA$9, 4, FALSE)</f>
        <v>Kōura</v>
      </c>
      <c r="I66" t="str">
        <f t="shared" ref="I66:I129" si="9">VLOOKUP($E66, $V$1:$AB$9, 5, FALSE)</f>
        <v>Native</v>
      </c>
      <c r="J66" t="str">
        <f t="shared" ref="J66:J129" si="10">VLOOKUP($E66, $V$1:$AA$9, 6, FALSE)</f>
        <v>Yes</v>
      </c>
      <c r="K66" t="s">
        <v>48</v>
      </c>
      <c r="L66">
        <v>30</v>
      </c>
      <c r="M66">
        <v>24</v>
      </c>
      <c r="N66">
        <v>1</v>
      </c>
      <c r="O66">
        <v>1</v>
      </c>
      <c r="S66" t="str">
        <f t="shared" si="5"/>
        <v/>
      </c>
    </row>
    <row r="67" spans="1:20" x14ac:dyDescent="0.55000000000000004">
      <c r="A67">
        <v>115</v>
      </c>
      <c r="B67" s="2">
        <v>45597.590277777781</v>
      </c>
      <c r="C67" t="s">
        <v>215</v>
      </c>
      <c r="D67">
        <v>2</v>
      </c>
      <c r="E67" t="s">
        <v>49</v>
      </c>
      <c r="F67" t="str">
        <f t="shared" si="6"/>
        <v>Paranephrops planifrons</v>
      </c>
      <c r="G67" t="str">
        <f t="shared" si="7"/>
        <v>Freshwater_crayfish</v>
      </c>
      <c r="H67" t="str">
        <f t="shared" si="8"/>
        <v>Kōura</v>
      </c>
      <c r="I67" t="str">
        <f t="shared" si="9"/>
        <v>Native</v>
      </c>
      <c r="J67" t="str">
        <f t="shared" si="10"/>
        <v>Yes</v>
      </c>
      <c r="K67" t="s">
        <v>50</v>
      </c>
      <c r="L67">
        <v>19</v>
      </c>
      <c r="M67">
        <v>5</v>
      </c>
      <c r="N67">
        <v>1</v>
      </c>
      <c r="S67" t="str">
        <f t="shared" ref="S67:S130" si="11">IF(R67&lt;&gt;"", R67*236.588, "")</f>
        <v/>
      </c>
    </row>
    <row r="68" spans="1:20" x14ac:dyDescent="0.55000000000000004">
      <c r="A68">
        <v>115</v>
      </c>
      <c r="B68" s="2">
        <v>45597.590277777781</v>
      </c>
      <c r="C68" t="s">
        <v>215</v>
      </c>
      <c r="D68">
        <v>2</v>
      </c>
      <c r="E68" t="s">
        <v>49</v>
      </c>
      <c r="F68" t="str">
        <f t="shared" si="6"/>
        <v>Paranephrops planifrons</v>
      </c>
      <c r="G68" t="str">
        <f t="shared" si="7"/>
        <v>Freshwater_crayfish</v>
      </c>
      <c r="H68" t="str">
        <f t="shared" si="8"/>
        <v>Kōura</v>
      </c>
      <c r="I68" t="str">
        <f t="shared" si="9"/>
        <v>Native</v>
      </c>
      <c r="J68" t="str">
        <f t="shared" si="10"/>
        <v>Yes</v>
      </c>
      <c r="K68" t="s">
        <v>48</v>
      </c>
      <c r="L68">
        <v>26</v>
      </c>
      <c r="M68">
        <v>11</v>
      </c>
      <c r="N68">
        <v>1</v>
      </c>
      <c r="O68">
        <v>1</v>
      </c>
      <c r="S68" t="str">
        <f t="shared" si="11"/>
        <v/>
      </c>
    </row>
    <row r="69" spans="1:20" x14ac:dyDescent="0.55000000000000004">
      <c r="A69">
        <v>115</v>
      </c>
      <c r="B69" s="2">
        <v>45597.590277777781</v>
      </c>
      <c r="C69" t="s">
        <v>215</v>
      </c>
      <c r="D69">
        <v>2</v>
      </c>
      <c r="E69" t="s">
        <v>49</v>
      </c>
      <c r="F69" t="str">
        <f t="shared" si="6"/>
        <v>Paranephrops planifrons</v>
      </c>
      <c r="G69" t="str">
        <f t="shared" si="7"/>
        <v>Freshwater_crayfish</v>
      </c>
      <c r="H69" t="str">
        <f t="shared" si="8"/>
        <v>Kōura</v>
      </c>
      <c r="I69" t="str">
        <f t="shared" si="9"/>
        <v>Native</v>
      </c>
      <c r="J69" t="str">
        <f t="shared" si="10"/>
        <v>Yes</v>
      </c>
      <c r="K69" t="s">
        <v>48</v>
      </c>
      <c r="L69">
        <v>36</v>
      </c>
      <c r="M69">
        <v>30</v>
      </c>
      <c r="N69">
        <v>1</v>
      </c>
      <c r="S69" t="str">
        <f t="shared" si="11"/>
        <v/>
      </c>
    </row>
    <row r="70" spans="1:20" x14ac:dyDescent="0.55000000000000004">
      <c r="A70">
        <v>115</v>
      </c>
      <c r="B70" s="2">
        <v>45597.590277777781</v>
      </c>
      <c r="C70" t="s">
        <v>215</v>
      </c>
      <c r="D70">
        <v>2</v>
      </c>
      <c r="E70" t="s">
        <v>44</v>
      </c>
      <c r="F70" t="str">
        <f t="shared" si="6"/>
        <v>Gobiomorphus cotidianus</v>
      </c>
      <c r="G70" t="str">
        <f t="shared" si="7"/>
        <v>Common_bully</v>
      </c>
      <c r="H70" t="str">
        <f t="shared" si="8"/>
        <v>Toitoi</v>
      </c>
      <c r="I70" t="str">
        <f t="shared" si="9"/>
        <v>Native</v>
      </c>
      <c r="J70" t="str">
        <f t="shared" si="10"/>
        <v>No</v>
      </c>
      <c r="N70">
        <v>60</v>
      </c>
      <c r="S70" t="str">
        <f t="shared" si="11"/>
        <v/>
      </c>
      <c r="T70" t="s">
        <v>280</v>
      </c>
    </row>
    <row r="71" spans="1:20" x14ac:dyDescent="0.55000000000000004">
      <c r="A71">
        <v>115</v>
      </c>
      <c r="B71" s="2">
        <v>45597.590277777781</v>
      </c>
      <c r="C71" t="s">
        <v>215</v>
      </c>
      <c r="D71">
        <v>2</v>
      </c>
      <c r="E71" t="s">
        <v>46</v>
      </c>
      <c r="F71" t="str">
        <f t="shared" si="6"/>
        <v>Galaxias brevipinnis</v>
      </c>
      <c r="G71" t="str">
        <f t="shared" si="7"/>
        <v>Climbing_galaxias</v>
      </c>
      <c r="H71" t="str">
        <f t="shared" si="8"/>
        <v>Kōaro</v>
      </c>
      <c r="I71" t="str">
        <f t="shared" si="9"/>
        <v>Native</v>
      </c>
      <c r="J71" t="str">
        <f t="shared" si="10"/>
        <v>Yes</v>
      </c>
      <c r="L71">
        <v>225</v>
      </c>
      <c r="M71">
        <v>154</v>
      </c>
      <c r="N71">
        <v>1</v>
      </c>
      <c r="S71" t="str">
        <f t="shared" si="11"/>
        <v/>
      </c>
    </row>
    <row r="72" spans="1:20" x14ac:dyDescent="0.55000000000000004">
      <c r="A72">
        <v>115</v>
      </c>
      <c r="B72" s="2">
        <v>45597.590277777781</v>
      </c>
      <c r="C72" t="s">
        <v>215</v>
      </c>
      <c r="D72">
        <v>2</v>
      </c>
      <c r="E72" t="s">
        <v>123</v>
      </c>
      <c r="F72" t="str">
        <f t="shared" si="6"/>
        <v>Carassius auratus</v>
      </c>
      <c r="G72" t="str">
        <f t="shared" si="7"/>
        <v>Goldfish</v>
      </c>
      <c r="H72" t="str">
        <f t="shared" si="8"/>
        <v>Morihana</v>
      </c>
      <c r="I72" t="str">
        <f t="shared" si="9"/>
        <v>Nonnative</v>
      </c>
      <c r="J72" t="str">
        <f t="shared" si="10"/>
        <v>No</v>
      </c>
      <c r="L72">
        <v>206</v>
      </c>
      <c r="M72">
        <v>226</v>
      </c>
      <c r="N72">
        <v>1</v>
      </c>
      <c r="S72" t="str">
        <f t="shared" si="11"/>
        <v/>
      </c>
    </row>
    <row r="73" spans="1:20" x14ac:dyDescent="0.55000000000000004">
      <c r="A73">
        <v>115</v>
      </c>
      <c r="B73" s="2">
        <v>45597.590277777781</v>
      </c>
      <c r="C73" t="s">
        <v>215</v>
      </c>
      <c r="D73">
        <v>2</v>
      </c>
      <c r="E73" t="s">
        <v>49</v>
      </c>
      <c r="F73" t="str">
        <f t="shared" si="6"/>
        <v>Paranephrops planifrons</v>
      </c>
      <c r="G73" t="str">
        <f t="shared" si="7"/>
        <v>Freshwater_crayfish</v>
      </c>
      <c r="H73" t="str">
        <f t="shared" si="8"/>
        <v>Kōura</v>
      </c>
      <c r="I73" t="str">
        <f t="shared" si="9"/>
        <v>Native</v>
      </c>
      <c r="J73" t="str">
        <f t="shared" si="10"/>
        <v>Yes</v>
      </c>
      <c r="K73" t="s">
        <v>48</v>
      </c>
      <c r="L73">
        <v>40</v>
      </c>
      <c r="M73">
        <v>49</v>
      </c>
      <c r="N73">
        <v>1</v>
      </c>
      <c r="O73">
        <v>1</v>
      </c>
      <c r="S73" t="str">
        <f t="shared" si="11"/>
        <v/>
      </c>
    </row>
    <row r="74" spans="1:20" x14ac:dyDescent="0.55000000000000004">
      <c r="A74">
        <v>115</v>
      </c>
      <c r="B74" s="2">
        <v>45597.590277777781</v>
      </c>
      <c r="C74" t="s">
        <v>215</v>
      </c>
      <c r="D74">
        <v>2</v>
      </c>
      <c r="E74" t="s">
        <v>49</v>
      </c>
      <c r="F74" t="str">
        <f t="shared" si="6"/>
        <v>Paranephrops planifrons</v>
      </c>
      <c r="G74" t="str">
        <f t="shared" si="7"/>
        <v>Freshwater_crayfish</v>
      </c>
      <c r="H74" t="str">
        <f t="shared" si="8"/>
        <v>Kōura</v>
      </c>
      <c r="I74" t="str">
        <f t="shared" si="9"/>
        <v>Native</v>
      </c>
      <c r="J74" t="str">
        <f t="shared" si="10"/>
        <v>Yes</v>
      </c>
      <c r="K74" t="s">
        <v>50</v>
      </c>
      <c r="L74">
        <v>25</v>
      </c>
      <c r="M74">
        <v>16</v>
      </c>
      <c r="N74">
        <v>1</v>
      </c>
      <c r="S74" t="str">
        <f t="shared" si="11"/>
        <v/>
      </c>
    </row>
    <row r="75" spans="1:20" x14ac:dyDescent="0.55000000000000004">
      <c r="A75">
        <v>115</v>
      </c>
      <c r="B75" s="2">
        <v>45597.590277777781</v>
      </c>
      <c r="C75" t="s">
        <v>215</v>
      </c>
      <c r="D75">
        <v>2</v>
      </c>
      <c r="E75" t="s">
        <v>49</v>
      </c>
      <c r="F75" t="str">
        <f t="shared" si="6"/>
        <v>Paranephrops planifrons</v>
      </c>
      <c r="G75" t="str">
        <f t="shared" si="7"/>
        <v>Freshwater_crayfish</v>
      </c>
      <c r="H75" t="str">
        <f t="shared" si="8"/>
        <v>Kōura</v>
      </c>
      <c r="I75" t="str">
        <f t="shared" si="9"/>
        <v>Native</v>
      </c>
      <c r="J75" t="str">
        <f t="shared" si="10"/>
        <v>Yes</v>
      </c>
      <c r="K75" t="s">
        <v>48</v>
      </c>
      <c r="L75">
        <v>35</v>
      </c>
      <c r="M75">
        <v>39</v>
      </c>
      <c r="N75">
        <v>1</v>
      </c>
      <c r="S75" t="str">
        <f t="shared" si="11"/>
        <v/>
      </c>
    </row>
    <row r="76" spans="1:20" x14ac:dyDescent="0.55000000000000004">
      <c r="A76">
        <v>115</v>
      </c>
      <c r="B76" s="2">
        <v>45597.590277777781</v>
      </c>
      <c r="C76" t="s">
        <v>215</v>
      </c>
      <c r="D76">
        <v>2</v>
      </c>
      <c r="E76" t="s">
        <v>49</v>
      </c>
      <c r="F76" t="str">
        <f t="shared" si="6"/>
        <v>Paranephrops planifrons</v>
      </c>
      <c r="G76" t="str">
        <f t="shared" si="7"/>
        <v>Freshwater_crayfish</v>
      </c>
      <c r="H76" t="str">
        <f t="shared" si="8"/>
        <v>Kōura</v>
      </c>
      <c r="I76" t="str">
        <f t="shared" si="9"/>
        <v>Native</v>
      </c>
      <c r="J76" t="str">
        <f t="shared" si="10"/>
        <v>Yes</v>
      </c>
      <c r="K76" t="s">
        <v>48</v>
      </c>
      <c r="L76">
        <v>25</v>
      </c>
      <c r="M76">
        <v>16</v>
      </c>
      <c r="N76">
        <v>1</v>
      </c>
      <c r="S76" t="str">
        <f t="shared" si="11"/>
        <v/>
      </c>
    </row>
    <row r="77" spans="1:20" x14ac:dyDescent="0.55000000000000004">
      <c r="A77">
        <v>115</v>
      </c>
      <c r="B77" s="2">
        <v>45597.590277777781</v>
      </c>
      <c r="C77" t="s">
        <v>215</v>
      </c>
      <c r="D77">
        <v>2</v>
      </c>
      <c r="E77" t="s">
        <v>49</v>
      </c>
      <c r="F77" t="str">
        <f t="shared" si="6"/>
        <v>Paranephrops planifrons</v>
      </c>
      <c r="G77" t="str">
        <f t="shared" si="7"/>
        <v>Freshwater_crayfish</v>
      </c>
      <c r="H77" t="str">
        <f t="shared" si="8"/>
        <v>Kōura</v>
      </c>
      <c r="I77" t="str">
        <f t="shared" si="9"/>
        <v>Native</v>
      </c>
      <c r="J77" t="str">
        <f t="shared" si="10"/>
        <v>Yes</v>
      </c>
      <c r="K77" t="s">
        <v>50</v>
      </c>
      <c r="L77">
        <v>25</v>
      </c>
      <c r="M77">
        <v>16</v>
      </c>
      <c r="N77">
        <v>1</v>
      </c>
      <c r="S77" t="str">
        <f t="shared" si="11"/>
        <v/>
      </c>
    </row>
    <row r="78" spans="1:20" x14ac:dyDescent="0.55000000000000004">
      <c r="A78">
        <v>115</v>
      </c>
      <c r="B78" s="2">
        <v>45597.590277777781</v>
      </c>
      <c r="C78" t="s">
        <v>215</v>
      </c>
      <c r="D78">
        <v>2</v>
      </c>
      <c r="E78" t="s">
        <v>49</v>
      </c>
      <c r="F78" t="str">
        <f t="shared" si="6"/>
        <v>Paranephrops planifrons</v>
      </c>
      <c r="G78" t="str">
        <f t="shared" si="7"/>
        <v>Freshwater_crayfish</v>
      </c>
      <c r="H78" t="str">
        <f t="shared" si="8"/>
        <v>Kōura</v>
      </c>
      <c r="I78" t="str">
        <f t="shared" si="9"/>
        <v>Native</v>
      </c>
      <c r="J78" t="str">
        <f t="shared" si="10"/>
        <v>Yes</v>
      </c>
      <c r="K78" t="s">
        <v>50</v>
      </c>
      <c r="L78">
        <v>26</v>
      </c>
      <c r="M78">
        <v>18</v>
      </c>
      <c r="N78">
        <v>1</v>
      </c>
      <c r="S78" t="str">
        <f t="shared" si="11"/>
        <v/>
      </c>
    </row>
    <row r="79" spans="1:20" x14ac:dyDescent="0.55000000000000004">
      <c r="A79">
        <v>115</v>
      </c>
      <c r="B79" s="2">
        <v>45597.590277777781</v>
      </c>
      <c r="C79" t="s">
        <v>215</v>
      </c>
      <c r="D79">
        <v>2</v>
      </c>
      <c r="E79" t="s">
        <v>44</v>
      </c>
      <c r="F79" t="str">
        <f t="shared" si="6"/>
        <v>Gobiomorphus cotidianus</v>
      </c>
      <c r="G79" t="str">
        <f t="shared" si="7"/>
        <v>Common_bully</v>
      </c>
      <c r="H79" t="str">
        <f t="shared" si="8"/>
        <v>Toitoi</v>
      </c>
      <c r="I79" t="str">
        <f t="shared" si="9"/>
        <v>Native</v>
      </c>
      <c r="J79" t="str">
        <f t="shared" si="10"/>
        <v>No</v>
      </c>
      <c r="N79">
        <v>110</v>
      </c>
      <c r="S79" t="str">
        <f t="shared" si="11"/>
        <v/>
      </c>
      <c r="T79" t="s">
        <v>280</v>
      </c>
    </row>
    <row r="80" spans="1:20" x14ac:dyDescent="0.55000000000000004">
      <c r="A80">
        <v>115</v>
      </c>
      <c r="B80" s="2">
        <v>45597.590277777781</v>
      </c>
      <c r="C80" t="s">
        <v>215</v>
      </c>
      <c r="D80">
        <v>2</v>
      </c>
      <c r="E80" t="s">
        <v>247</v>
      </c>
      <c r="F80" t="str">
        <f t="shared" si="6"/>
        <v>Retropinna retropinna</v>
      </c>
      <c r="G80" t="str">
        <f t="shared" si="7"/>
        <v>Common_smelt</v>
      </c>
      <c r="H80" t="str">
        <f t="shared" si="8"/>
        <v>Common_smelt</v>
      </c>
      <c r="I80" t="str">
        <f t="shared" si="9"/>
        <v>Native</v>
      </c>
      <c r="J80" t="str">
        <f t="shared" si="10"/>
        <v>No</v>
      </c>
      <c r="N80">
        <v>3</v>
      </c>
      <c r="S80" t="str">
        <f t="shared" si="11"/>
        <v/>
      </c>
    </row>
    <row r="81" spans="1:20" x14ac:dyDescent="0.55000000000000004">
      <c r="A81">
        <v>116</v>
      </c>
      <c r="B81" s="2">
        <v>45597.555555555555</v>
      </c>
      <c r="C81" t="s">
        <v>216</v>
      </c>
      <c r="D81">
        <v>2</v>
      </c>
      <c r="E81" t="s">
        <v>44</v>
      </c>
      <c r="F81" t="str">
        <f t="shared" si="6"/>
        <v>Gobiomorphus cotidianus</v>
      </c>
      <c r="G81" t="str">
        <f t="shared" si="7"/>
        <v>Common_bully</v>
      </c>
      <c r="H81" t="str">
        <f t="shared" si="8"/>
        <v>Toitoi</v>
      </c>
      <c r="I81" t="str">
        <f t="shared" si="9"/>
        <v>Native</v>
      </c>
      <c r="J81" t="str">
        <f t="shared" si="10"/>
        <v>No</v>
      </c>
      <c r="N81">
        <v>20</v>
      </c>
      <c r="S81" t="str">
        <f t="shared" si="11"/>
        <v/>
      </c>
      <c r="T81" t="s">
        <v>280</v>
      </c>
    </row>
    <row r="82" spans="1:20" x14ac:dyDescent="0.55000000000000004">
      <c r="A82">
        <v>116</v>
      </c>
      <c r="B82" s="2">
        <v>45597.555555555555</v>
      </c>
      <c r="C82" t="s">
        <v>215</v>
      </c>
      <c r="D82">
        <v>2</v>
      </c>
      <c r="E82" t="s">
        <v>123</v>
      </c>
      <c r="F82" t="str">
        <f t="shared" si="6"/>
        <v>Carassius auratus</v>
      </c>
      <c r="G82" t="str">
        <f t="shared" si="7"/>
        <v>Goldfish</v>
      </c>
      <c r="H82" t="str">
        <f t="shared" si="8"/>
        <v>Morihana</v>
      </c>
      <c r="I82" t="str">
        <f t="shared" si="9"/>
        <v>Nonnative</v>
      </c>
      <c r="J82" t="str">
        <f t="shared" si="10"/>
        <v>No</v>
      </c>
      <c r="L82">
        <v>235</v>
      </c>
      <c r="M82">
        <v>366</v>
      </c>
      <c r="N82">
        <v>1</v>
      </c>
      <c r="S82" t="str">
        <f t="shared" si="11"/>
        <v/>
      </c>
    </row>
    <row r="83" spans="1:20" x14ac:dyDescent="0.55000000000000004">
      <c r="A83">
        <v>116</v>
      </c>
      <c r="B83" s="2">
        <v>45597.555555497682</v>
      </c>
      <c r="C83" t="s">
        <v>215</v>
      </c>
      <c r="D83">
        <v>2</v>
      </c>
      <c r="E83" t="s">
        <v>123</v>
      </c>
      <c r="F83" t="str">
        <f t="shared" si="6"/>
        <v>Carassius auratus</v>
      </c>
      <c r="G83" t="str">
        <f t="shared" si="7"/>
        <v>Goldfish</v>
      </c>
      <c r="H83" t="str">
        <f t="shared" si="8"/>
        <v>Morihana</v>
      </c>
      <c r="I83" t="str">
        <f t="shared" si="9"/>
        <v>Nonnative</v>
      </c>
      <c r="J83" t="str">
        <f t="shared" si="10"/>
        <v>No</v>
      </c>
      <c r="L83">
        <v>205</v>
      </c>
      <c r="M83">
        <v>235</v>
      </c>
      <c r="N83">
        <v>1</v>
      </c>
      <c r="S83" t="str">
        <f t="shared" si="11"/>
        <v/>
      </c>
    </row>
    <row r="84" spans="1:20" x14ac:dyDescent="0.55000000000000004">
      <c r="A84">
        <v>116</v>
      </c>
      <c r="B84" s="2">
        <v>45597.555555497682</v>
      </c>
      <c r="C84" t="s">
        <v>215</v>
      </c>
      <c r="D84">
        <v>2</v>
      </c>
      <c r="E84" t="s">
        <v>123</v>
      </c>
      <c r="F84" t="str">
        <f t="shared" si="6"/>
        <v>Carassius auratus</v>
      </c>
      <c r="G84" t="str">
        <f t="shared" si="7"/>
        <v>Goldfish</v>
      </c>
      <c r="H84" t="str">
        <f t="shared" si="8"/>
        <v>Morihana</v>
      </c>
      <c r="I84" t="str">
        <f t="shared" si="9"/>
        <v>Nonnative</v>
      </c>
      <c r="J84" t="str">
        <f t="shared" si="10"/>
        <v>No</v>
      </c>
      <c r="L84">
        <v>207</v>
      </c>
      <c r="M84">
        <v>225</v>
      </c>
      <c r="N84">
        <v>1</v>
      </c>
      <c r="S84" t="str">
        <f t="shared" si="11"/>
        <v/>
      </c>
    </row>
    <row r="85" spans="1:20" x14ac:dyDescent="0.55000000000000004">
      <c r="A85">
        <v>116</v>
      </c>
      <c r="B85" s="2">
        <v>45597.555555497682</v>
      </c>
      <c r="C85" t="s">
        <v>215</v>
      </c>
      <c r="D85">
        <v>2</v>
      </c>
      <c r="E85" t="s">
        <v>123</v>
      </c>
      <c r="F85" t="str">
        <f t="shared" si="6"/>
        <v>Carassius auratus</v>
      </c>
      <c r="G85" t="str">
        <f t="shared" si="7"/>
        <v>Goldfish</v>
      </c>
      <c r="H85" t="str">
        <f t="shared" si="8"/>
        <v>Morihana</v>
      </c>
      <c r="I85" t="str">
        <f t="shared" si="9"/>
        <v>Nonnative</v>
      </c>
      <c r="J85" t="str">
        <f t="shared" si="10"/>
        <v>No</v>
      </c>
      <c r="L85">
        <v>177</v>
      </c>
      <c r="M85">
        <v>136</v>
      </c>
      <c r="N85">
        <v>1</v>
      </c>
      <c r="S85" t="str">
        <f t="shared" si="11"/>
        <v/>
      </c>
    </row>
    <row r="86" spans="1:20" x14ac:dyDescent="0.55000000000000004">
      <c r="A86">
        <v>116</v>
      </c>
      <c r="B86" s="2">
        <v>45597.555555497682</v>
      </c>
      <c r="C86" t="s">
        <v>215</v>
      </c>
      <c r="D86">
        <v>2</v>
      </c>
      <c r="E86" t="s">
        <v>123</v>
      </c>
      <c r="F86" t="str">
        <f t="shared" si="6"/>
        <v>Carassius auratus</v>
      </c>
      <c r="G86" t="str">
        <f t="shared" si="7"/>
        <v>Goldfish</v>
      </c>
      <c r="H86" t="str">
        <f t="shared" si="8"/>
        <v>Morihana</v>
      </c>
      <c r="I86" t="str">
        <f t="shared" si="9"/>
        <v>Nonnative</v>
      </c>
      <c r="J86" t="str">
        <f t="shared" si="10"/>
        <v>No</v>
      </c>
      <c r="L86">
        <v>188</v>
      </c>
      <c r="M86">
        <v>158</v>
      </c>
      <c r="N86">
        <v>1</v>
      </c>
      <c r="S86" t="str">
        <f t="shared" si="11"/>
        <v/>
      </c>
    </row>
    <row r="87" spans="1:20" x14ac:dyDescent="0.55000000000000004">
      <c r="A87">
        <v>116</v>
      </c>
      <c r="B87" s="2">
        <v>45597.555555497682</v>
      </c>
      <c r="C87" t="s">
        <v>215</v>
      </c>
      <c r="D87">
        <v>2</v>
      </c>
      <c r="E87" t="s">
        <v>123</v>
      </c>
      <c r="F87" t="str">
        <f t="shared" si="6"/>
        <v>Carassius auratus</v>
      </c>
      <c r="G87" t="str">
        <f t="shared" si="7"/>
        <v>Goldfish</v>
      </c>
      <c r="H87" t="str">
        <f t="shared" si="8"/>
        <v>Morihana</v>
      </c>
      <c r="I87" t="str">
        <f t="shared" si="9"/>
        <v>Nonnative</v>
      </c>
      <c r="J87" t="str">
        <f t="shared" si="10"/>
        <v>No</v>
      </c>
      <c r="L87">
        <v>161</v>
      </c>
      <c r="M87">
        <v>115</v>
      </c>
      <c r="N87">
        <v>1</v>
      </c>
      <c r="S87" t="str">
        <f t="shared" si="11"/>
        <v/>
      </c>
    </row>
    <row r="88" spans="1:20" x14ac:dyDescent="0.55000000000000004">
      <c r="A88">
        <v>116</v>
      </c>
      <c r="B88" s="2">
        <v>45597.555555497682</v>
      </c>
      <c r="C88" t="s">
        <v>215</v>
      </c>
      <c r="D88">
        <v>2</v>
      </c>
      <c r="E88" t="s">
        <v>123</v>
      </c>
      <c r="F88" t="str">
        <f t="shared" si="6"/>
        <v>Carassius auratus</v>
      </c>
      <c r="G88" t="str">
        <f t="shared" si="7"/>
        <v>Goldfish</v>
      </c>
      <c r="H88" t="str">
        <f t="shared" si="8"/>
        <v>Morihana</v>
      </c>
      <c r="I88" t="str">
        <f t="shared" si="9"/>
        <v>Nonnative</v>
      </c>
      <c r="J88" t="str">
        <f t="shared" si="10"/>
        <v>No</v>
      </c>
      <c r="L88">
        <v>135</v>
      </c>
      <c r="M88">
        <v>45</v>
      </c>
      <c r="N88">
        <v>1</v>
      </c>
      <c r="S88" t="str">
        <f t="shared" si="11"/>
        <v/>
      </c>
    </row>
    <row r="89" spans="1:20" x14ac:dyDescent="0.55000000000000004">
      <c r="A89">
        <v>116</v>
      </c>
      <c r="B89" s="2">
        <v>45597.555555497682</v>
      </c>
      <c r="C89" t="s">
        <v>215</v>
      </c>
      <c r="D89">
        <v>2</v>
      </c>
      <c r="E89" t="s">
        <v>123</v>
      </c>
      <c r="F89" t="str">
        <f t="shared" si="6"/>
        <v>Carassius auratus</v>
      </c>
      <c r="G89" t="str">
        <f t="shared" si="7"/>
        <v>Goldfish</v>
      </c>
      <c r="H89" t="str">
        <f t="shared" si="8"/>
        <v>Morihana</v>
      </c>
      <c r="I89" t="str">
        <f t="shared" si="9"/>
        <v>Nonnative</v>
      </c>
      <c r="J89" t="str">
        <f t="shared" si="10"/>
        <v>No</v>
      </c>
      <c r="L89">
        <v>85</v>
      </c>
      <c r="M89">
        <v>21</v>
      </c>
      <c r="N89">
        <v>1</v>
      </c>
      <c r="S89" t="str">
        <f t="shared" si="11"/>
        <v/>
      </c>
    </row>
    <row r="90" spans="1:20" x14ac:dyDescent="0.55000000000000004">
      <c r="A90">
        <v>116</v>
      </c>
      <c r="B90" s="2">
        <v>45597.555555497682</v>
      </c>
      <c r="C90" t="s">
        <v>215</v>
      </c>
      <c r="D90">
        <v>2</v>
      </c>
      <c r="E90" t="s">
        <v>123</v>
      </c>
      <c r="F90" t="str">
        <f t="shared" si="6"/>
        <v>Carassius auratus</v>
      </c>
      <c r="G90" t="str">
        <f t="shared" si="7"/>
        <v>Goldfish</v>
      </c>
      <c r="H90" t="str">
        <f t="shared" si="8"/>
        <v>Morihana</v>
      </c>
      <c r="I90" t="str">
        <f t="shared" si="9"/>
        <v>Nonnative</v>
      </c>
      <c r="J90" t="str">
        <f t="shared" si="10"/>
        <v>No</v>
      </c>
      <c r="L90">
        <v>110</v>
      </c>
      <c r="M90">
        <v>30</v>
      </c>
      <c r="N90">
        <v>1</v>
      </c>
      <c r="S90" t="str">
        <f t="shared" si="11"/>
        <v/>
      </c>
    </row>
    <row r="91" spans="1:20" x14ac:dyDescent="0.55000000000000004">
      <c r="A91">
        <v>116</v>
      </c>
      <c r="B91" s="2">
        <v>45597.555555497682</v>
      </c>
      <c r="C91" t="s">
        <v>215</v>
      </c>
      <c r="D91">
        <v>2</v>
      </c>
      <c r="E91" t="s">
        <v>123</v>
      </c>
      <c r="F91" t="str">
        <f t="shared" si="6"/>
        <v>Carassius auratus</v>
      </c>
      <c r="G91" t="str">
        <f t="shared" si="7"/>
        <v>Goldfish</v>
      </c>
      <c r="H91" t="str">
        <f t="shared" si="8"/>
        <v>Morihana</v>
      </c>
      <c r="I91" t="str">
        <f t="shared" si="9"/>
        <v>Nonnative</v>
      </c>
      <c r="J91" t="str">
        <f t="shared" si="10"/>
        <v>No</v>
      </c>
      <c r="L91">
        <v>80</v>
      </c>
      <c r="M91">
        <v>11</v>
      </c>
      <c r="N91">
        <v>1</v>
      </c>
      <c r="S91" t="str">
        <f t="shared" si="11"/>
        <v/>
      </c>
    </row>
    <row r="92" spans="1:20" x14ac:dyDescent="0.55000000000000004">
      <c r="A92">
        <v>116</v>
      </c>
      <c r="B92" s="2">
        <v>45597.555555497682</v>
      </c>
      <c r="C92" t="s">
        <v>215</v>
      </c>
      <c r="D92">
        <v>2</v>
      </c>
      <c r="E92" t="s">
        <v>123</v>
      </c>
      <c r="F92" t="str">
        <f t="shared" si="6"/>
        <v>Carassius auratus</v>
      </c>
      <c r="G92" t="str">
        <f t="shared" si="7"/>
        <v>Goldfish</v>
      </c>
      <c r="H92" t="str">
        <f t="shared" si="8"/>
        <v>Morihana</v>
      </c>
      <c r="I92" t="str">
        <f t="shared" si="9"/>
        <v>Nonnative</v>
      </c>
      <c r="J92" t="str">
        <f t="shared" si="10"/>
        <v>No</v>
      </c>
      <c r="L92">
        <v>123</v>
      </c>
      <c r="M92">
        <v>41</v>
      </c>
      <c r="N92">
        <v>1</v>
      </c>
      <c r="S92" t="str">
        <f t="shared" si="11"/>
        <v/>
      </c>
    </row>
    <row r="93" spans="1:20" x14ac:dyDescent="0.55000000000000004">
      <c r="A93">
        <v>116</v>
      </c>
      <c r="B93" s="2">
        <v>45597.555555497682</v>
      </c>
      <c r="C93" t="s">
        <v>215</v>
      </c>
      <c r="D93">
        <v>2</v>
      </c>
      <c r="E93" t="s">
        <v>123</v>
      </c>
      <c r="F93" t="str">
        <f t="shared" si="6"/>
        <v>Carassius auratus</v>
      </c>
      <c r="G93" t="str">
        <f t="shared" si="7"/>
        <v>Goldfish</v>
      </c>
      <c r="H93" t="str">
        <f t="shared" si="8"/>
        <v>Morihana</v>
      </c>
      <c r="I93" t="str">
        <f t="shared" si="9"/>
        <v>Nonnative</v>
      </c>
      <c r="J93" t="str">
        <f t="shared" si="10"/>
        <v>No</v>
      </c>
      <c r="L93">
        <v>115</v>
      </c>
      <c r="M93">
        <v>23</v>
      </c>
      <c r="N93">
        <v>1</v>
      </c>
      <c r="S93" t="str">
        <f t="shared" si="11"/>
        <v/>
      </c>
    </row>
    <row r="94" spans="1:20" x14ac:dyDescent="0.55000000000000004">
      <c r="A94">
        <v>116</v>
      </c>
      <c r="B94" s="2">
        <v>45597.555555497682</v>
      </c>
      <c r="C94" t="s">
        <v>215</v>
      </c>
      <c r="D94">
        <v>2</v>
      </c>
      <c r="E94" t="s">
        <v>123</v>
      </c>
      <c r="F94" t="str">
        <f t="shared" si="6"/>
        <v>Carassius auratus</v>
      </c>
      <c r="G94" t="str">
        <f t="shared" si="7"/>
        <v>Goldfish</v>
      </c>
      <c r="H94" t="str">
        <f t="shared" si="8"/>
        <v>Morihana</v>
      </c>
      <c r="I94" t="str">
        <f t="shared" si="9"/>
        <v>Nonnative</v>
      </c>
      <c r="J94" t="str">
        <f t="shared" si="10"/>
        <v>No</v>
      </c>
      <c r="L94">
        <v>90</v>
      </c>
      <c r="M94">
        <v>15</v>
      </c>
      <c r="N94">
        <v>1</v>
      </c>
      <c r="S94" t="str">
        <f t="shared" si="11"/>
        <v/>
      </c>
    </row>
    <row r="95" spans="1:20" x14ac:dyDescent="0.55000000000000004">
      <c r="A95">
        <v>116</v>
      </c>
      <c r="B95" s="2">
        <v>45597.555555497682</v>
      </c>
      <c r="C95" t="s">
        <v>215</v>
      </c>
      <c r="D95">
        <v>2</v>
      </c>
      <c r="E95" t="s">
        <v>123</v>
      </c>
      <c r="F95" t="str">
        <f t="shared" si="6"/>
        <v>Carassius auratus</v>
      </c>
      <c r="G95" t="str">
        <f t="shared" si="7"/>
        <v>Goldfish</v>
      </c>
      <c r="H95" t="str">
        <f t="shared" si="8"/>
        <v>Morihana</v>
      </c>
      <c r="I95" t="str">
        <f t="shared" si="9"/>
        <v>Nonnative</v>
      </c>
      <c r="J95" t="str">
        <f t="shared" si="10"/>
        <v>No</v>
      </c>
      <c r="L95">
        <v>125</v>
      </c>
      <c r="M95">
        <v>44</v>
      </c>
      <c r="N95">
        <v>1</v>
      </c>
      <c r="S95" t="str">
        <f t="shared" si="11"/>
        <v/>
      </c>
    </row>
    <row r="96" spans="1:20" x14ac:dyDescent="0.55000000000000004">
      <c r="A96">
        <v>116</v>
      </c>
      <c r="B96" s="2">
        <v>45597.555555497682</v>
      </c>
      <c r="C96" t="s">
        <v>215</v>
      </c>
      <c r="D96">
        <v>2</v>
      </c>
      <c r="E96" t="s">
        <v>123</v>
      </c>
      <c r="F96" t="str">
        <f t="shared" si="6"/>
        <v>Carassius auratus</v>
      </c>
      <c r="G96" t="str">
        <f t="shared" si="7"/>
        <v>Goldfish</v>
      </c>
      <c r="H96" t="str">
        <f t="shared" si="8"/>
        <v>Morihana</v>
      </c>
      <c r="I96" t="str">
        <f t="shared" si="9"/>
        <v>Nonnative</v>
      </c>
      <c r="J96" t="str">
        <f t="shared" si="10"/>
        <v>No</v>
      </c>
      <c r="L96">
        <v>65</v>
      </c>
      <c r="M96">
        <v>6</v>
      </c>
      <c r="N96">
        <v>1</v>
      </c>
      <c r="S96" t="str">
        <f t="shared" si="11"/>
        <v/>
      </c>
    </row>
    <row r="97" spans="1:20" x14ac:dyDescent="0.55000000000000004">
      <c r="A97">
        <v>116</v>
      </c>
      <c r="B97" s="2">
        <v>45597.555555497682</v>
      </c>
      <c r="C97" t="s">
        <v>215</v>
      </c>
      <c r="D97">
        <v>2</v>
      </c>
      <c r="E97" t="s">
        <v>247</v>
      </c>
      <c r="F97" t="str">
        <f t="shared" si="6"/>
        <v>Retropinna retropinna</v>
      </c>
      <c r="G97" t="str">
        <f t="shared" si="7"/>
        <v>Common_smelt</v>
      </c>
      <c r="H97" t="str">
        <f t="shared" si="8"/>
        <v>Common_smelt</v>
      </c>
      <c r="I97" t="str">
        <f t="shared" si="9"/>
        <v>Native</v>
      </c>
      <c r="J97" t="str">
        <f t="shared" si="10"/>
        <v>No</v>
      </c>
      <c r="N97">
        <v>100</v>
      </c>
      <c r="S97" t="str">
        <f t="shared" si="11"/>
        <v/>
      </c>
      <c r="T97" t="s">
        <v>280</v>
      </c>
    </row>
    <row r="98" spans="1:20" x14ac:dyDescent="0.55000000000000004">
      <c r="A98">
        <v>116</v>
      </c>
      <c r="B98" s="2">
        <v>45597.555555439816</v>
      </c>
      <c r="C98" t="s">
        <v>215</v>
      </c>
      <c r="D98">
        <v>2</v>
      </c>
      <c r="E98" t="s">
        <v>44</v>
      </c>
      <c r="F98" t="str">
        <f t="shared" si="6"/>
        <v>Gobiomorphus cotidianus</v>
      </c>
      <c r="G98" t="str">
        <f t="shared" si="7"/>
        <v>Common_bully</v>
      </c>
      <c r="H98" t="str">
        <f t="shared" si="8"/>
        <v>Toitoi</v>
      </c>
      <c r="I98" t="str">
        <f t="shared" si="9"/>
        <v>Native</v>
      </c>
      <c r="J98" t="str">
        <f t="shared" si="10"/>
        <v>No</v>
      </c>
      <c r="N98">
        <v>1000</v>
      </c>
      <c r="S98" t="str">
        <f t="shared" si="11"/>
        <v/>
      </c>
      <c r="T98" t="s">
        <v>280</v>
      </c>
    </row>
    <row r="99" spans="1:20" x14ac:dyDescent="0.55000000000000004">
      <c r="A99">
        <v>116</v>
      </c>
      <c r="B99" s="2">
        <v>45597.555555439816</v>
      </c>
      <c r="C99" t="s">
        <v>215</v>
      </c>
      <c r="D99">
        <v>2</v>
      </c>
      <c r="E99" t="s">
        <v>46</v>
      </c>
      <c r="F99" t="str">
        <f t="shared" si="6"/>
        <v>Galaxias brevipinnis</v>
      </c>
      <c r="G99" t="str">
        <f t="shared" si="7"/>
        <v>Climbing_galaxias</v>
      </c>
      <c r="H99" t="str">
        <f t="shared" si="8"/>
        <v>Kōaro</v>
      </c>
      <c r="I99" t="str">
        <f t="shared" si="9"/>
        <v>Native</v>
      </c>
      <c r="J99" t="str">
        <f t="shared" si="10"/>
        <v>Yes</v>
      </c>
      <c r="L99">
        <v>75</v>
      </c>
      <c r="M99">
        <v>4</v>
      </c>
      <c r="N99">
        <v>1</v>
      </c>
      <c r="S99" t="str">
        <f t="shared" si="11"/>
        <v/>
      </c>
    </row>
    <row r="100" spans="1:20" x14ac:dyDescent="0.55000000000000004">
      <c r="A100">
        <v>116</v>
      </c>
      <c r="B100" s="2">
        <v>45597.555555439816</v>
      </c>
      <c r="C100" t="s">
        <v>215</v>
      </c>
      <c r="D100">
        <v>2</v>
      </c>
      <c r="E100" t="s">
        <v>123</v>
      </c>
      <c r="F100" t="str">
        <f t="shared" si="6"/>
        <v>Carassius auratus</v>
      </c>
      <c r="G100" t="str">
        <f t="shared" si="7"/>
        <v>Goldfish</v>
      </c>
      <c r="H100" t="str">
        <f t="shared" si="8"/>
        <v>Morihana</v>
      </c>
      <c r="I100" t="str">
        <f t="shared" si="9"/>
        <v>Nonnative</v>
      </c>
      <c r="J100" t="str">
        <f t="shared" si="10"/>
        <v>No</v>
      </c>
      <c r="L100">
        <v>195</v>
      </c>
      <c r="M100">
        <v>224</v>
      </c>
      <c r="N100">
        <v>1</v>
      </c>
      <c r="S100" t="str">
        <f t="shared" si="11"/>
        <v/>
      </c>
    </row>
    <row r="101" spans="1:20" x14ac:dyDescent="0.55000000000000004">
      <c r="A101">
        <v>116</v>
      </c>
      <c r="B101" s="2">
        <v>45597.555555439816</v>
      </c>
      <c r="C101" t="s">
        <v>215</v>
      </c>
      <c r="D101">
        <v>2</v>
      </c>
      <c r="E101" t="s">
        <v>46</v>
      </c>
      <c r="F101" t="str">
        <f t="shared" si="6"/>
        <v>Galaxias brevipinnis</v>
      </c>
      <c r="G101" t="str">
        <f t="shared" si="7"/>
        <v>Climbing_galaxias</v>
      </c>
      <c r="H101" t="str">
        <f t="shared" si="8"/>
        <v>Kōaro</v>
      </c>
      <c r="I101" t="str">
        <f t="shared" si="9"/>
        <v>Native</v>
      </c>
      <c r="J101" t="str">
        <f t="shared" si="10"/>
        <v>Yes</v>
      </c>
      <c r="L101">
        <v>90</v>
      </c>
      <c r="M101">
        <v>8</v>
      </c>
      <c r="N101">
        <v>1</v>
      </c>
      <c r="S101" t="str">
        <f t="shared" si="11"/>
        <v/>
      </c>
    </row>
    <row r="102" spans="1:20" x14ac:dyDescent="0.55000000000000004">
      <c r="A102">
        <v>116</v>
      </c>
      <c r="B102" s="2">
        <v>45597.555555439816</v>
      </c>
      <c r="C102" t="s">
        <v>215</v>
      </c>
      <c r="D102">
        <v>2</v>
      </c>
      <c r="E102" t="s">
        <v>123</v>
      </c>
      <c r="F102" t="str">
        <f t="shared" si="6"/>
        <v>Carassius auratus</v>
      </c>
      <c r="G102" t="str">
        <f t="shared" si="7"/>
        <v>Goldfish</v>
      </c>
      <c r="H102" t="str">
        <f t="shared" si="8"/>
        <v>Morihana</v>
      </c>
      <c r="I102" t="str">
        <f t="shared" si="9"/>
        <v>Nonnative</v>
      </c>
      <c r="J102" t="str">
        <f t="shared" si="10"/>
        <v>No</v>
      </c>
      <c r="L102">
        <v>63</v>
      </c>
      <c r="M102">
        <v>4</v>
      </c>
      <c r="N102">
        <v>1</v>
      </c>
      <c r="S102" t="str">
        <f t="shared" si="11"/>
        <v/>
      </c>
    </row>
    <row r="103" spans="1:20" x14ac:dyDescent="0.55000000000000004">
      <c r="A103">
        <v>116</v>
      </c>
      <c r="B103" s="2">
        <v>45597.555555439816</v>
      </c>
      <c r="C103" t="s">
        <v>215</v>
      </c>
      <c r="D103">
        <v>2</v>
      </c>
      <c r="E103" t="s">
        <v>123</v>
      </c>
      <c r="F103" t="str">
        <f t="shared" si="6"/>
        <v>Carassius auratus</v>
      </c>
      <c r="G103" t="str">
        <f t="shared" si="7"/>
        <v>Goldfish</v>
      </c>
      <c r="H103" t="str">
        <f t="shared" si="8"/>
        <v>Morihana</v>
      </c>
      <c r="I103" t="str">
        <f t="shared" si="9"/>
        <v>Nonnative</v>
      </c>
      <c r="J103" t="str">
        <f t="shared" si="10"/>
        <v>No</v>
      </c>
      <c r="L103">
        <v>75</v>
      </c>
      <c r="M103">
        <v>10</v>
      </c>
      <c r="N103">
        <v>1</v>
      </c>
      <c r="S103" t="str">
        <f t="shared" si="11"/>
        <v/>
      </c>
    </row>
    <row r="104" spans="1:20" x14ac:dyDescent="0.55000000000000004">
      <c r="A104">
        <v>116</v>
      </c>
      <c r="B104" s="2">
        <v>45597.555555439816</v>
      </c>
      <c r="C104" t="s">
        <v>215</v>
      </c>
      <c r="D104">
        <v>2</v>
      </c>
      <c r="E104" t="s">
        <v>44</v>
      </c>
      <c r="F104" t="str">
        <f t="shared" si="6"/>
        <v>Gobiomorphus cotidianus</v>
      </c>
      <c r="G104" t="str">
        <f t="shared" si="7"/>
        <v>Common_bully</v>
      </c>
      <c r="H104" t="str">
        <f t="shared" si="8"/>
        <v>Toitoi</v>
      </c>
      <c r="I104" t="str">
        <f t="shared" si="9"/>
        <v>Native</v>
      </c>
      <c r="J104" t="str">
        <f t="shared" si="10"/>
        <v>No</v>
      </c>
      <c r="N104">
        <v>400</v>
      </c>
      <c r="S104" t="str">
        <f t="shared" si="11"/>
        <v/>
      </c>
      <c r="T104" t="s">
        <v>280</v>
      </c>
    </row>
    <row r="105" spans="1:20" x14ac:dyDescent="0.55000000000000004">
      <c r="A105">
        <v>116</v>
      </c>
      <c r="B105" s="2">
        <v>45597.555555439816</v>
      </c>
      <c r="C105" t="s">
        <v>215</v>
      </c>
      <c r="D105">
        <v>2</v>
      </c>
      <c r="E105" t="s">
        <v>46</v>
      </c>
      <c r="F105" t="str">
        <f t="shared" si="6"/>
        <v>Galaxias brevipinnis</v>
      </c>
      <c r="G105" t="str">
        <f t="shared" si="7"/>
        <v>Climbing_galaxias</v>
      </c>
      <c r="H105" t="str">
        <f t="shared" si="8"/>
        <v>Kōaro</v>
      </c>
      <c r="I105" t="str">
        <f t="shared" si="9"/>
        <v>Native</v>
      </c>
      <c r="J105" t="str">
        <f t="shared" si="10"/>
        <v>Yes</v>
      </c>
      <c r="L105">
        <v>85</v>
      </c>
      <c r="M105">
        <v>3</v>
      </c>
      <c r="N105">
        <v>1</v>
      </c>
      <c r="S105" t="str">
        <f t="shared" si="11"/>
        <v/>
      </c>
    </row>
    <row r="106" spans="1:20" x14ac:dyDescent="0.55000000000000004">
      <c r="A106">
        <v>116</v>
      </c>
      <c r="B106" s="2">
        <v>45597.555555555555</v>
      </c>
      <c r="C106" t="s">
        <v>215</v>
      </c>
      <c r="D106">
        <v>2</v>
      </c>
      <c r="E106" t="s">
        <v>247</v>
      </c>
      <c r="F106" t="str">
        <f t="shared" si="6"/>
        <v>Retropinna retropinna</v>
      </c>
      <c r="G106" t="str">
        <f t="shared" si="7"/>
        <v>Common_smelt</v>
      </c>
      <c r="H106" t="str">
        <f t="shared" si="8"/>
        <v>Common_smelt</v>
      </c>
      <c r="I106" t="str">
        <f t="shared" si="9"/>
        <v>Native</v>
      </c>
      <c r="J106" t="str">
        <f t="shared" si="10"/>
        <v>No</v>
      </c>
      <c r="N106">
        <v>5</v>
      </c>
      <c r="S106" t="str">
        <f t="shared" si="11"/>
        <v/>
      </c>
    </row>
    <row r="107" spans="1:20" x14ac:dyDescent="0.55000000000000004">
      <c r="A107">
        <v>117</v>
      </c>
      <c r="B107" s="2">
        <v>45597.520833333336</v>
      </c>
      <c r="C107" t="s">
        <v>215</v>
      </c>
      <c r="D107">
        <v>2</v>
      </c>
      <c r="E107" t="s">
        <v>44</v>
      </c>
      <c r="F107" t="str">
        <f t="shared" si="6"/>
        <v>Gobiomorphus cotidianus</v>
      </c>
      <c r="G107" t="str">
        <f t="shared" si="7"/>
        <v>Common_bully</v>
      </c>
      <c r="H107" t="str">
        <f t="shared" si="8"/>
        <v>Toitoi</v>
      </c>
      <c r="I107" t="str">
        <f t="shared" si="9"/>
        <v>Native</v>
      </c>
      <c r="J107" t="str">
        <f t="shared" si="10"/>
        <v>No</v>
      </c>
      <c r="N107">
        <v>30</v>
      </c>
      <c r="S107" t="str">
        <f t="shared" si="11"/>
        <v/>
      </c>
      <c r="T107" t="s">
        <v>280</v>
      </c>
    </row>
    <row r="108" spans="1:20" x14ac:dyDescent="0.55000000000000004">
      <c r="A108">
        <v>117</v>
      </c>
      <c r="B108" s="2">
        <v>45597.520833333336</v>
      </c>
      <c r="C108" t="s">
        <v>215</v>
      </c>
      <c r="D108">
        <v>2</v>
      </c>
      <c r="E108" t="s">
        <v>49</v>
      </c>
      <c r="F108" t="str">
        <f t="shared" si="6"/>
        <v>Paranephrops planifrons</v>
      </c>
      <c r="G108" t="str">
        <f t="shared" si="7"/>
        <v>Freshwater_crayfish</v>
      </c>
      <c r="H108" t="str">
        <f t="shared" si="8"/>
        <v>Kōura</v>
      </c>
      <c r="I108" t="str">
        <f t="shared" si="9"/>
        <v>Native</v>
      </c>
      <c r="J108" t="str">
        <f t="shared" si="10"/>
        <v>Yes</v>
      </c>
      <c r="K108" t="s">
        <v>48</v>
      </c>
      <c r="L108">
        <v>22</v>
      </c>
      <c r="M108">
        <v>4</v>
      </c>
      <c r="N108">
        <v>1</v>
      </c>
      <c r="S108" t="str">
        <f t="shared" si="11"/>
        <v/>
      </c>
    </row>
    <row r="109" spans="1:20" x14ac:dyDescent="0.55000000000000004">
      <c r="A109">
        <v>117</v>
      </c>
      <c r="B109" s="2">
        <v>45597.520833333336</v>
      </c>
      <c r="C109" t="s">
        <v>215</v>
      </c>
      <c r="D109">
        <v>2</v>
      </c>
      <c r="E109" t="s">
        <v>49</v>
      </c>
      <c r="F109" t="str">
        <f t="shared" si="6"/>
        <v>Paranephrops planifrons</v>
      </c>
      <c r="G109" t="str">
        <f t="shared" si="7"/>
        <v>Freshwater_crayfish</v>
      </c>
      <c r="H109" t="str">
        <f t="shared" si="8"/>
        <v>Kōura</v>
      </c>
      <c r="I109" t="str">
        <f t="shared" si="9"/>
        <v>Native</v>
      </c>
      <c r="J109" t="str">
        <f t="shared" si="10"/>
        <v>Yes</v>
      </c>
      <c r="K109" t="s">
        <v>48</v>
      </c>
      <c r="L109">
        <v>21</v>
      </c>
      <c r="M109">
        <v>4</v>
      </c>
      <c r="N109">
        <v>1</v>
      </c>
      <c r="S109" t="str">
        <f t="shared" si="11"/>
        <v/>
      </c>
    </row>
    <row r="110" spans="1:20" x14ac:dyDescent="0.55000000000000004">
      <c r="A110">
        <v>117</v>
      </c>
      <c r="B110" s="2">
        <v>45597.520833333336</v>
      </c>
      <c r="C110" t="s">
        <v>215</v>
      </c>
      <c r="D110">
        <v>2</v>
      </c>
      <c r="E110" t="s">
        <v>49</v>
      </c>
      <c r="F110" t="str">
        <f t="shared" si="6"/>
        <v>Paranephrops planifrons</v>
      </c>
      <c r="G110" t="str">
        <f t="shared" si="7"/>
        <v>Freshwater_crayfish</v>
      </c>
      <c r="H110" t="str">
        <f t="shared" si="8"/>
        <v>Kōura</v>
      </c>
      <c r="I110" t="str">
        <f t="shared" si="9"/>
        <v>Native</v>
      </c>
      <c r="J110" t="str">
        <f t="shared" si="10"/>
        <v>Yes</v>
      </c>
      <c r="K110" t="s">
        <v>48</v>
      </c>
      <c r="L110">
        <v>24</v>
      </c>
      <c r="M110">
        <v>8</v>
      </c>
      <c r="N110">
        <v>1</v>
      </c>
      <c r="S110" t="str">
        <f t="shared" si="11"/>
        <v/>
      </c>
    </row>
    <row r="111" spans="1:20" x14ac:dyDescent="0.55000000000000004">
      <c r="A111">
        <v>117</v>
      </c>
      <c r="B111" s="2">
        <v>45597.520833333336</v>
      </c>
      <c r="C111" t="s">
        <v>215</v>
      </c>
      <c r="D111">
        <v>2</v>
      </c>
      <c r="E111" t="s">
        <v>49</v>
      </c>
      <c r="F111" t="str">
        <f t="shared" si="6"/>
        <v>Paranephrops planifrons</v>
      </c>
      <c r="G111" t="str">
        <f t="shared" si="7"/>
        <v>Freshwater_crayfish</v>
      </c>
      <c r="H111" t="str">
        <f t="shared" si="8"/>
        <v>Kōura</v>
      </c>
      <c r="I111" t="str">
        <f t="shared" si="9"/>
        <v>Native</v>
      </c>
      <c r="J111" t="str">
        <f t="shared" si="10"/>
        <v>Yes</v>
      </c>
      <c r="K111" t="s">
        <v>50</v>
      </c>
      <c r="L111">
        <v>20</v>
      </c>
      <c r="M111">
        <v>3</v>
      </c>
      <c r="N111">
        <v>1</v>
      </c>
      <c r="S111" t="str">
        <f t="shared" si="11"/>
        <v/>
      </c>
    </row>
    <row r="112" spans="1:20" x14ac:dyDescent="0.55000000000000004">
      <c r="A112">
        <v>117</v>
      </c>
      <c r="B112" s="2">
        <v>45597.520833333336</v>
      </c>
      <c r="C112" t="s">
        <v>216</v>
      </c>
      <c r="D112">
        <v>2</v>
      </c>
      <c r="E112" t="s">
        <v>49</v>
      </c>
      <c r="F112" t="str">
        <f t="shared" si="6"/>
        <v>Paranephrops planifrons</v>
      </c>
      <c r="G112" t="str">
        <f t="shared" si="7"/>
        <v>Freshwater_crayfish</v>
      </c>
      <c r="H112" t="str">
        <f t="shared" si="8"/>
        <v>Kōura</v>
      </c>
      <c r="I112" t="str">
        <f t="shared" si="9"/>
        <v>Native</v>
      </c>
      <c r="J112" t="str">
        <f t="shared" si="10"/>
        <v>Yes</v>
      </c>
      <c r="K112" t="s">
        <v>50</v>
      </c>
      <c r="L112">
        <v>45</v>
      </c>
      <c r="N112">
        <v>1</v>
      </c>
      <c r="Q112">
        <v>1</v>
      </c>
      <c r="S112" t="str">
        <f t="shared" si="11"/>
        <v/>
      </c>
    </row>
    <row r="113" spans="1:20" x14ac:dyDescent="0.55000000000000004">
      <c r="A113">
        <v>117</v>
      </c>
      <c r="B113" s="2">
        <v>45597.520833333336</v>
      </c>
      <c r="C113" t="s">
        <v>216</v>
      </c>
      <c r="D113">
        <v>2</v>
      </c>
      <c r="E113" t="s">
        <v>49</v>
      </c>
      <c r="F113" t="str">
        <f t="shared" si="6"/>
        <v>Paranephrops planifrons</v>
      </c>
      <c r="G113" t="str">
        <f t="shared" si="7"/>
        <v>Freshwater_crayfish</v>
      </c>
      <c r="H113" t="str">
        <f t="shared" si="8"/>
        <v>Kōura</v>
      </c>
      <c r="I113" t="str">
        <f t="shared" si="9"/>
        <v>Native</v>
      </c>
      <c r="J113" t="str">
        <f t="shared" si="10"/>
        <v>Yes</v>
      </c>
      <c r="K113" t="s">
        <v>50</v>
      </c>
      <c r="L113">
        <v>22</v>
      </c>
      <c r="M113">
        <v>4</v>
      </c>
      <c r="N113">
        <v>1</v>
      </c>
      <c r="S113" t="str">
        <f t="shared" si="11"/>
        <v/>
      </c>
    </row>
    <row r="114" spans="1:20" x14ac:dyDescent="0.55000000000000004">
      <c r="A114">
        <v>117</v>
      </c>
      <c r="B114" s="2">
        <v>45597.520833333336</v>
      </c>
      <c r="C114" t="s">
        <v>216</v>
      </c>
      <c r="D114">
        <v>2</v>
      </c>
      <c r="E114" t="s">
        <v>49</v>
      </c>
      <c r="F114" t="str">
        <f t="shared" si="6"/>
        <v>Paranephrops planifrons</v>
      </c>
      <c r="G114" t="str">
        <f t="shared" si="7"/>
        <v>Freshwater_crayfish</v>
      </c>
      <c r="H114" t="str">
        <f t="shared" si="8"/>
        <v>Kōura</v>
      </c>
      <c r="I114" t="str">
        <f t="shared" si="9"/>
        <v>Native</v>
      </c>
      <c r="J114" t="str">
        <f t="shared" si="10"/>
        <v>Yes</v>
      </c>
      <c r="K114" t="s">
        <v>48</v>
      </c>
      <c r="L114">
        <v>21</v>
      </c>
      <c r="M114">
        <v>4</v>
      </c>
      <c r="N114">
        <v>1</v>
      </c>
      <c r="S114" t="str">
        <f t="shared" si="11"/>
        <v/>
      </c>
    </row>
    <row r="115" spans="1:20" x14ac:dyDescent="0.55000000000000004">
      <c r="A115">
        <v>117</v>
      </c>
      <c r="B115" s="2">
        <v>45597.520833333336</v>
      </c>
      <c r="C115" t="s">
        <v>216</v>
      </c>
      <c r="D115">
        <v>2</v>
      </c>
      <c r="E115" t="s">
        <v>49</v>
      </c>
      <c r="F115" t="str">
        <f t="shared" si="6"/>
        <v>Paranephrops planifrons</v>
      </c>
      <c r="G115" t="str">
        <f t="shared" si="7"/>
        <v>Freshwater_crayfish</v>
      </c>
      <c r="H115" t="str">
        <f t="shared" si="8"/>
        <v>Kōura</v>
      </c>
      <c r="I115" t="str">
        <f t="shared" si="9"/>
        <v>Native</v>
      </c>
      <c r="J115" t="str">
        <f t="shared" si="10"/>
        <v>Yes</v>
      </c>
      <c r="K115" t="s">
        <v>48</v>
      </c>
      <c r="L115">
        <v>21</v>
      </c>
      <c r="M115">
        <v>9</v>
      </c>
      <c r="N115">
        <v>1</v>
      </c>
      <c r="S115" t="str">
        <f t="shared" si="11"/>
        <v/>
      </c>
    </row>
    <row r="116" spans="1:20" x14ac:dyDescent="0.55000000000000004">
      <c r="A116">
        <v>117</v>
      </c>
      <c r="B116" s="2">
        <v>45597.520833333336</v>
      </c>
      <c r="C116" t="s">
        <v>216</v>
      </c>
      <c r="D116">
        <v>2</v>
      </c>
      <c r="E116" t="s">
        <v>49</v>
      </c>
      <c r="F116" t="str">
        <f t="shared" si="6"/>
        <v>Paranephrops planifrons</v>
      </c>
      <c r="G116" t="str">
        <f t="shared" si="7"/>
        <v>Freshwater_crayfish</v>
      </c>
      <c r="H116" t="str">
        <f t="shared" si="8"/>
        <v>Kōura</v>
      </c>
      <c r="I116" t="str">
        <f t="shared" si="9"/>
        <v>Native</v>
      </c>
      <c r="J116" t="str">
        <f t="shared" si="10"/>
        <v>Yes</v>
      </c>
      <c r="K116" t="s">
        <v>48</v>
      </c>
      <c r="L116">
        <v>21</v>
      </c>
      <c r="M116">
        <v>8</v>
      </c>
      <c r="N116">
        <v>1</v>
      </c>
      <c r="S116" t="str">
        <f t="shared" si="11"/>
        <v/>
      </c>
    </row>
    <row r="117" spans="1:20" x14ac:dyDescent="0.55000000000000004">
      <c r="A117">
        <v>117</v>
      </c>
      <c r="B117" s="2">
        <v>45597.520833333336</v>
      </c>
      <c r="C117" t="s">
        <v>216</v>
      </c>
      <c r="D117">
        <v>2</v>
      </c>
      <c r="E117" t="s">
        <v>49</v>
      </c>
      <c r="F117" t="str">
        <f t="shared" si="6"/>
        <v>Paranephrops planifrons</v>
      </c>
      <c r="G117" t="str">
        <f t="shared" si="7"/>
        <v>Freshwater_crayfish</v>
      </c>
      <c r="H117" t="str">
        <f t="shared" si="8"/>
        <v>Kōura</v>
      </c>
      <c r="I117" t="str">
        <f t="shared" si="9"/>
        <v>Native</v>
      </c>
      <c r="J117" t="str">
        <f t="shared" si="10"/>
        <v>Yes</v>
      </c>
      <c r="K117" t="s">
        <v>48</v>
      </c>
      <c r="L117">
        <v>21</v>
      </c>
      <c r="M117">
        <v>5</v>
      </c>
      <c r="N117">
        <v>1</v>
      </c>
      <c r="S117" t="str">
        <f t="shared" si="11"/>
        <v/>
      </c>
    </row>
    <row r="118" spans="1:20" x14ac:dyDescent="0.55000000000000004">
      <c r="A118">
        <v>117</v>
      </c>
      <c r="B118" s="2">
        <v>45597.520833333336</v>
      </c>
      <c r="C118" t="s">
        <v>216</v>
      </c>
      <c r="D118">
        <v>2</v>
      </c>
      <c r="E118" t="s">
        <v>49</v>
      </c>
      <c r="F118" t="str">
        <f t="shared" si="6"/>
        <v>Paranephrops planifrons</v>
      </c>
      <c r="G118" t="str">
        <f t="shared" si="7"/>
        <v>Freshwater_crayfish</v>
      </c>
      <c r="H118" t="str">
        <f t="shared" si="8"/>
        <v>Kōura</v>
      </c>
      <c r="I118" t="str">
        <f t="shared" si="9"/>
        <v>Native</v>
      </c>
      <c r="J118" t="str">
        <f t="shared" si="10"/>
        <v>Yes</v>
      </c>
      <c r="K118" t="s">
        <v>50</v>
      </c>
      <c r="L118">
        <v>24</v>
      </c>
      <c r="M118">
        <v>9</v>
      </c>
      <c r="N118">
        <v>1</v>
      </c>
      <c r="Q118">
        <v>1</v>
      </c>
      <c r="S118" t="str">
        <f t="shared" si="11"/>
        <v/>
      </c>
    </row>
    <row r="119" spans="1:20" x14ac:dyDescent="0.55000000000000004">
      <c r="A119">
        <v>117</v>
      </c>
      <c r="B119" s="2">
        <v>45597.520833333336</v>
      </c>
      <c r="C119" t="s">
        <v>216</v>
      </c>
      <c r="D119">
        <v>2</v>
      </c>
      <c r="E119" t="s">
        <v>49</v>
      </c>
      <c r="F119" t="str">
        <f t="shared" si="6"/>
        <v>Paranephrops planifrons</v>
      </c>
      <c r="G119" t="str">
        <f t="shared" si="7"/>
        <v>Freshwater_crayfish</v>
      </c>
      <c r="H119" t="str">
        <f t="shared" si="8"/>
        <v>Kōura</v>
      </c>
      <c r="I119" t="str">
        <f t="shared" si="9"/>
        <v>Native</v>
      </c>
      <c r="J119" t="str">
        <f t="shared" si="10"/>
        <v>Yes</v>
      </c>
      <c r="K119" t="s">
        <v>50</v>
      </c>
      <c r="L119">
        <v>17</v>
      </c>
      <c r="M119">
        <v>3</v>
      </c>
      <c r="N119">
        <v>1</v>
      </c>
      <c r="S119" t="str">
        <f t="shared" si="11"/>
        <v/>
      </c>
    </row>
    <row r="120" spans="1:20" x14ac:dyDescent="0.55000000000000004">
      <c r="A120">
        <v>117</v>
      </c>
      <c r="B120" s="2">
        <v>45597.520833333336</v>
      </c>
      <c r="C120" t="s">
        <v>216</v>
      </c>
      <c r="D120">
        <v>2</v>
      </c>
      <c r="E120" t="s">
        <v>44</v>
      </c>
      <c r="F120" t="str">
        <f t="shared" si="6"/>
        <v>Gobiomorphus cotidianus</v>
      </c>
      <c r="G120" t="str">
        <f t="shared" si="7"/>
        <v>Common_bully</v>
      </c>
      <c r="H120" t="str">
        <f t="shared" si="8"/>
        <v>Toitoi</v>
      </c>
      <c r="I120" t="str">
        <f t="shared" si="9"/>
        <v>Native</v>
      </c>
      <c r="J120" t="str">
        <f t="shared" si="10"/>
        <v>No</v>
      </c>
      <c r="N120">
        <v>3</v>
      </c>
      <c r="S120" t="str">
        <f t="shared" si="11"/>
        <v/>
      </c>
    </row>
    <row r="121" spans="1:20" x14ac:dyDescent="0.55000000000000004">
      <c r="A121">
        <v>117</v>
      </c>
      <c r="B121" s="2">
        <v>45597.520833333336</v>
      </c>
      <c r="C121" t="s">
        <v>215</v>
      </c>
      <c r="D121">
        <v>2</v>
      </c>
      <c r="E121" t="s">
        <v>49</v>
      </c>
      <c r="F121" t="str">
        <f t="shared" si="6"/>
        <v>Paranephrops planifrons</v>
      </c>
      <c r="G121" t="str">
        <f t="shared" si="7"/>
        <v>Freshwater_crayfish</v>
      </c>
      <c r="H121" t="str">
        <f t="shared" si="8"/>
        <v>Kōura</v>
      </c>
      <c r="I121" t="str">
        <f t="shared" si="9"/>
        <v>Native</v>
      </c>
      <c r="J121" t="str">
        <f t="shared" si="10"/>
        <v>Yes</v>
      </c>
      <c r="K121" t="s">
        <v>48</v>
      </c>
      <c r="L121">
        <v>12</v>
      </c>
      <c r="N121">
        <v>1</v>
      </c>
      <c r="S121" t="str">
        <f t="shared" si="11"/>
        <v/>
      </c>
    </row>
    <row r="122" spans="1:20" x14ac:dyDescent="0.55000000000000004">
      <c r="A122">
        <v>117</v>
      </c>
      <c r="B122" s="2">
        <v>45597.520833333336</v>
      </c>
      <c r="C122" t="s">
        <v>215</v>
      </c>
      <c r="D122">
        <v>2</v>
      </c>
      <c r="E122" t="s">
        <v>49</v>
      </c>
      <c r="F122" t="str">
        <f t="shared" si="6"/>
        <v>Paranephrops planifrons</v>
      </c>
      <c r="G122" t="str">
        <f t="shared" si="7"/>
        <v>Freshwater_crayfish</v>
      </c>
      <c r="H122" t="str">
        <f t="shared" si="8"/>
        <v>Kōura</v>
      </c>
      <c r="I122" t="str">
        <f t="shared" si="9"/>
        <v>Native</v>
      </c>
      <c r="J122" t="str">
        <f t="shared" si="10"/>
        <v>Yes</v>
      </c>
      <c r="K122" t="s">
        <v>50</v>
      </c>
      <c r="L122">
        <v>26</v>
      </c>
      <c r="M122">
        <v>17</v>
      </c>
      <c r="N122">
        <v>1</v>
      </c>
      <c r="S122" t="str">
        <f t="shared" si="11"/>
        <v/>
      </c>
    </row>
    <row r="123" spans="1:20" x14ac:dyDescent="0.55000000000000004">
      <c r="A123">
        <v>117</v>
      </c>
      <c r="B123" s="2">
        <v>45597.520833333336</v>
      </c>
      <c r="C123" t="s">
        <v>215</v>
      </c>
      <c r="D123">
        <v>2</v>
      </c>
      <c r="E123" t="s">
        <v>49</v>
      </c>
      <c r="F123" t="str">
        <f t="shared" si="6"/>
        <v>Paranephrops planifrons</v>
      </c>
      <c r="G123" t="str">
        <f t="shared" si="7"/>
        <v>Freshwater_crayfish</v>
      </c>
      <c r="H123" t="str">
        <f t="shared" si="8"/>
        <v>Kōura</v>
      </c>
      <c r="I123" t="str">
        <f t="shared" si="9"/>
        <v>Native</v>
      </c>
      <c r="J123" t="str">
        <f t="shared" si="10"/>
        <v>Yes</v>
      </c>
      <c r="K123" t="s">
        <v>48</v>
      </c>
      <c r="L123">
        <v>20</v>
      </c>
      <c r="M123">
        <v>5</v>
      </c>
      <c r="N123">
        <v>1</v>
      </c>
      <c r="S123" t="str">
        <f t="shared" si="11"/>
        <v/>
      </c>
    </row>
    <row r="124" spans="1:20" x14ac:dyDescent="0.55000000000000004">
      <c r="A124">
        <v>117</v>
      </c>
      <c r="B124" s="2">
        <v>45597.520833333336</v>
      </c>
      <c r="C124" t="s">
        <v>215</v>
      </c>
      <c r="D124">
        <v>2</v>
      </c>
      <c r="E124" t="s">
        <v>49</v>
      </c>
      <c r="F124" t="str">
        <f t="shared" si="6"/>
        <v>Paranephrops planifrons</v>
      </c>
      <c r="G124" t="str">
        <f t="shared" si="7"/>
        <v>Freshwater_crayfish</v>
      </c>
      <c r="H124" t="str">
        <f t="shared" si="8"/>
        <v>Kōura</v>
      </c>
      <c r="I124" t="str">
        <f t="shared" si="9"/>
        <v>Native</v>
      </c>
      <c r="J124" t="str">
        <f t="shared" si="10"/>
        <v>Yes</v>
      </c>
      <c r="K124" t="s">
        <v>48</v>
      </c>
      <c r="L124">
        <v>17</v>
      </c>
      <c r="M124">
        <v>3</v>
      </c>
      <c r="N124">
        <v>1</v>
      </c>
      <c r="S124" t="str">
        <f t="shared" si="11"/>
        <v/>
      </c>
    </row>
    <row r="125" spans="1:20" x14ac:dyDescent="0.55000000000000004">
      <c r="A125">
        <v>117</v>
      </c>
      <c r="B125" s="2">
        <v>45597.520833333336</v>
      </c>
      <c r="C125" t="s">
        <v>215</v>
      </c>
      <c r="D125">
        <v>2</v>
      </c>
      <c r="E125" t="s">
        <v>49</v>
      </c>
      <c r="F125" t="str">
        <f t="shared" si="6"/>
        <v>Paranephrops planifrons</v>
      </c>
      <c r="G125" t="str">
        <f t="shared" si="7"/>
        <v>Freshwater_crayfish</v>
      </c>
      <c r="H125" t="str">
        <f t="shared" si="8"/>
        <v>Kōura</v>
      </c>
      <c r="I125" t="str">
        <f t="shared" si="9"/>
        <v>Native</v>
      </c>
      <c r="J125" t="str">
        <f t="shared" si="10"/>
        <v>Yes</v>
      </c>
      <c r="K125" t="s">
        <v>48</v>
      </c>
      <c r="L125">
        <v>20</v>
      </c>
      <c r="M125">
        <v>7</v>
      </c>
      <c r="N125">
        <v>1</v>
      </c>
      <c r="S125" t="str">
        <f t="shared" si="11"/>
        <v/>
      </c>
    </row>
    <row r="126" spans="1:20" x14ac:dyDescent="0.55000000000000004">
      <c r="A126">
        <v>117</v>
      </c>
      <c r="B126" s="2">
        <v>45597.520833333336</v>
      </c>
      <c r="C126" t="s">
        <v>215</v>
      </c>
      <c r="D126">
        <v>2</v>
      </c>
      <c r="E126" t="s">
        <v>247</v>
      </c>
      <c r="F126" t="str">
        <f t="shared" si="6"/>
        <v>Retropinna retropinna</v>
      </c>
      <c r="G126" t="str">
        <f t="shared" si="7"/>
        <v>Common_smelt</v>
      </c>
      <c r="H126" t="str">
        <f t="shared" si="8"/>
        <v>Common_smelt</v>
      </c>
      <c r="I126" t="str">
        <f t="shared" si="9"/>
        <v>Native</v>
      </c>
      <c r="J126" t="str">
        <f t="shared" si="10"/>
        <v>No</v>
      </c>
      <c r="N126">
        <v>5</v>
      </c>
      <c r="S126" t="str">
        <f t="shared" si="11"/>
        <v/>
      </c>
    </row>
    <row r="127" spans="1:20" x14ac:dyDescent="0.55000000000000004">
      <c r="A127">
        <v>117</v>
      </c>
      <c r="B127" s="2">
        <v>45597.520833333336</v>
      </c>
      <c r="C127" t="s">
        <v>215</v>
      </c>
      <c r="D127">
        <v>2</v>
      </c>
      <c r="E127" t="s">
        <v>44</v>
      </c>
      <c r="F127" t="str">
        <f t="shared" si="6"/>
        <v>Gobiomorphus cotidianus</v>
      </c>
      <c r="G127" t="str">
        <f t="shared" si="7"/>
        <v>Common_bully</v>
      </c>
      <c r="H127" t="str">
        <f t="shared" si="8"/>
        <v>Toitoi</v>
      </c>
      <c r="I127" t="str">
        <f t="shared" si="9"/>
        <v>Native</v>
      </c>
      <c r="J127" t="str">
        <f t="shared" si="10"/>
        <v>No</v>
      </c>
      <c r="N127">
        <v>20</v>
      </c>
      <c r="S127" t="str">
        <f t="shared" si="11"/>
        <v/>
      </c>
      <c r="T127" t="s">
        <v>280</v>
      </c>
    </row>
    <row r="128" spans="1:20" x14ac:dyDescent="0.55000000000000004">
      <c r="A128">
        <v>118</v>
      </c>
      <c r="B128" s="2">
        <v>45597.451388888891</v>
      </c>
      <c r="C128" t="s">
        <v>215</v>
      </c>
      <c r="D128">
        <v>2</v>
      </c>
      <c r="E128" t="s">
        <v>123</v>
      </c>
      <c r="F128" t="str">
        <f t="shared" si="6"/>
        <v>Carassius auratus</v>
      </c>
      <c r="G128" t="str">
        <f t="shared" si="7"/>
        <v>Goldfish</v>
      </c>
      <c r="H128" t="str">
        <f t="shared" si="8"/>
        <v>Morihana</v>
      </c>
      <c r="I128" t="str">
        <f t="shared" si="9"/>
        <v>Nonnative</v>
      </c>
      <c r="J128" t="str">
        <f t="shared" si="10"/>
        <v>No</v>
      </c>
      <c r="L128">
        <v>230</v>
      </c>
      <c r="M128">
        <v>281</v>
      </c>
      <c r="N128">
        <v>1</v>
      </c>
      <c r="S128" t="str">
        <f t="shared" si="11"/>
        <v/>
      </c>
    </row>
    <row r="129" spans="1:20" x14ac:dyDescent="0.55000000000000004">
      <c r="A129">
        <v>118</v>
      </c>
      <c r="B129" s="2">
        <v>45597.451388888891</v>
      </c>
      <c r="C129" t="s">
        <v>215</v>
      </c>
      <c r="D129">
        <v>2</v>
      </c>
      <c r="E129" t="s">
        <v>46</v>
      </c>
      <c r="F129" t="str">
        <f t="shared" si="6"/>
        <v>Galaxias brevipinnis</v>
      </c>
      <c r="G129" t="str">
        <f t="shared" si="7"/>
        <v>Climbing_galaxias</v>
      </c>
      <c r="H129" t="str">
        <f t="shared" si="8"/>
        <v>Kōaro</v>
      </c>
      <c r="I129" t="str">
        <f t="shared" si="9"/>
        <v>Native</v>
      </c>
      <c r="J129" t="str">
        <f t="shared" si="10"/>
        <v>Yes</v>
      </c>
      <c r="L129">
        <v>175</v>
      </c>
      <c r="M129">
        <v>50</v>
      </c>
      <c r="N129">
        <v>1</v>
      </c>
      <c r="S129" t="str">
        <f t="shared" si="11"/>
        <v/>
      </c>
    </row>
    <row r="130" spans="1:20" x14ac:dyDescent="0.55000000000000004">
      <c r="A130">
        <v>118</v>
      </c>
      <c r="B130" s="2">
        <v>45597.451388888891</v>
      </c>
      <c r="C130" t="s">
        <v>215</v>
      </c>
      <c r="D130">
        <v>2</v>
      </c>
      <c r="E130" t="s">
        <v>46</v>
      </c>
      <c r="F130" t="str">
        <f t="shared" ref="F130:F193" si="12">VLOOKUP($E130, $V$1:$AA$9, 2, FALSE)</f>
        <v>Galaxias brevipinnis</v>
      </c>
      <c r="G130" t="str">
        <f t="shared" ref="G130:G193" si="13">VLOOKUP($E130, $V$1:$AA$9, 3, FALSE)</f>
        <v>Climbing_galaxias</v>
      </c>
      <c r="H130" t="str">
        <f t="shared" ref="H130:H193" si="14">VLOOKUP($E130, $V$1:$AA$9, 4, FALSE)</f>
        <v>Kōaro</v>
      </c>
      <c r="I130" t="str">
        <f t="shared" ref="I130:I193" si="15">VLOOKUP($E130, $V$1:$AB$9, 5, FALSE)</f>
        <v>Native</v>
      </c>
      <c r="J130" t="str">
        <f t="shared" ref="J130:J193" si="16">VLOOKUP($E130, $V$1:$AA$9, 6, FALSE)</f>
        <v>Yes</v>
      </c>
      <c r="L130">
        <v>135</v>
      </c>
      <c r="M130">
        <v>28</v>
      </c>
      <c r="N130">
        <v>1</v>
      </c>
      <c r="S130" t="str">
        <f t="shared" si="11"/>
        <v/>
      </c>
    </row>
    <row r="131" spans="1:20" x14ac:dyDescent="0.55000000000000004">
      <c r="A131">
        <v>118</v>
      </c>
      <c r="B131" s="2">
        <v>45597.451388888891</v>
      </c>
      <c r="C131" t="s">
        <v>215</v>
      </c>
      <c r="D131">
        <v>2</v>
      </c>
      <c r="E131" t="s">
        <v>46</v>
      </c>
      <c r="F131" t="str">
        <f t="shared" si="12"/>
        <v>Galaxias brevipinnis</v>
      </c>
      <c r="G131" t="str">
        <f t="shared" si="13"/>
        <v>Climbing_galaxias</v>
      </c>
      <c r="H131" t="str">
        <f t="shared" si="14"/>
        <v>Kōaro</v>
      </c>
      <c r="I131" t="str">
        <f t="shared" si="15"/>
        <v>Native</v>
      </c>
      <c r="J131" t="str">
        <f t="shared" si="16"/>
        <v>Yes</v>
      </c>
      <c r="L131">
        <v>126</v>
      </c>
      <c r="M131">
        <v>24</v>
      </c>
      <c r="N131">
        <v>1</v>
      </c>
      <c r="S131" t="str">
        <f t="shared" ref="S131:S194" si="17">IF(R131&lt;&gt;"", R131*236.588, "")</f>
        <v/>
      </c>
    </row>
    <row r="132" spans="1:20" x14ac:dyDescent="0.55000000000000004">
      <c r="A132">
        <v>118</v>
      </c>
      <c r="B132" s="2">
        <v>45597.451388888891</v>
      </c>
      <c r="C132" t="s">
        <v>215</v>
      </c>
      <c r="D132">
        <v>2</v>
      </c>
      <c r="E132" t="s">
        <v>44</v>
      </c>
      <c r="F132" t="str">
        <f t="shared" si="12"/>
        <v>Gobiomorphus cotidianus</v>
      </c>
      <c r="G132" t="str">
        <f t="shared" si="13"/>
        <v>Common_bully</v>
      </c>
      <c r="H132" t="str">
        <f t="shared" si="14"/>
        <v>Toitoi</v>
      </c>
      <c r="I132" t="str">
        <f t="shared" si="15"/>
        <v>Native</v>
      </c>
      <c r="J132" t="str">
        <f t="shared" si="16"/>
        <v>No</v>
      </c>
      <c r="N132">
        <v>100</v>
      </c>
      <c r="S132" t="str">
        <f t="shared" si="17"/>
        <v/>
      </c>
      <c r="T132" t="s">
        <v>280</v>
      </c>
    </row>
    <row r="133" spans="1:20" x14ac:dyDescent="0.55000000000000004">
      <c r="A133">
        <v>118</v>
      </c>
      <c r="B133" s="2">
        <v>45597.451388888891</v>
      </c>
      <c r="C133" t="s">
        <v>215</v>
      </c>
      <c r="D133">
        <v>2</v>
      </c>
      <c r="E133" t="s">
        <v>247</v>
      </c>
      <c r="F133" t="str">
        <f t="shared" si="12"/>
        <v>Retropinna retropinna</v>
      </c>
      <c r="G133" t="str">
        <f t="shared" si="13"/>
        <v>Common_smelt</v>
      </c>
      <c r="H133" t="str">
        <f t="shared" si="14"/>
        <v>Common_smelt</v>
      </c>
      <c r="I133" t="str">
        <f t="shared" si="15"/>
        <v>Native</v>
      </c>
      <c r="J133" t="str">
        <f t="shared" si="16"/>
        <v>No</v>
      </c>
      <c r="N133">
        <v>7</v>
      </c>
      <c r="S133" t="str">
        <f t="shared" si="17"/>
        <v/>
      </c>
    </row>
    <row r="134" spans="1:20" x14ac:dyDescent="0.55000000000000004">
      <c r="A134">
        <v>118</v>
      </c>
      <c r="B134" s="2">
        <v>45597.451388888891</v>
      </c>
      <c r="C134" t="s">
        <v>215</v>
      </c>
      <c r="D134">
        <v>2</v>
      </c>
      <c r="E134" t="s">
        <v>46</v>
      </c>
      <c r="F134" t="str">
        <f t="shared" si="12"/>
        <v>Galaxias brevipinnis</v>
      </c>
      <c r="G134" t="str">
        <f t="shared" si="13"/>
        <v>Climbing_galaxias</v>
      </c>
      <c r="H134" t="str">
        <f t="shared" si="14"/>
        <v>Kōaro</v>
      </c>
      <c r="I134" t="str">
        <f t="shared" si="15"/>
        <v>Native</v>
      </c>
      <c r="J134" t="str">
        <f t="shared" si="16"/>
        <v>Yes</v>
      </c>
      <c r="L134">
        <v>120</v>
      </c>
      <c r="M134">
        <v>20</v>
      </c>
      <c r="N134">
        <v>1</v>
      </c>
      <c r="S134" t="str">
        <f t="shared" si="17"/>
        <v/>
      </c>
    </row>
    <row r="135" spans="1:20" x14ac:dyDescent="0.55000000000000004">
      <c r="A135">
        <v>118</v>
      </c>
      <c r="B135" s="2">
        <v>45597.451388888891</v>
      </c>
      <c r="C135" t="s">
        <v>215</v>
      </c>
      <c r="D135">
        <v>2</v>
      </c>
      <c r="E135" t="s">
        <v>46</v>
      </c>
      <c r="F135" t="str">
        <f t="shared" si="12"/>
        <v>Galaxias brevipinnis</v>
      </c>
      <c r="G135" t="str">
        <f t="shared" si="13"/>
        <v>Climbing_galaxias</v>
      </c>
      <c r="H135" t="str">
        <f t="shared" si="14"/>
        <v>Kōaro</v>
      </c>
      <c r="I135" t="str">
        <f t="shared" si="15"/>
        <v>Native</v>
      </c>
      <c r="J135" t="str">
        <f t="shared" si="16"/>
        <v>Yes</v>
      </c>
      <c r="L135">
        <v>152</v>
      </c>
      <c r="M135">
        <v>36</v>
      </c>
      <c r="N135">
        <v>1</v>
      </c>
      <c r="S135" t="str">
        <f t="shared" si="17"/>
        <v/>
      </c>
    </row>
    <row r="136" spans="1:20" x14ac:dyDescent="0.55000000000000004">
      <c r="A136">
        <v>118</v>
      </c>
      <c r="B136" s="2">
        <v>45597.451388888891</v>
      </c>
      <c r="C136" t="s">
        <v>215</v>
      </c>
      <c r="D136">
        <v>2</v>
      </c>
      <c r="E136" t="s">
        <v>46</v>
      </c>
      <c r="F136" t="str">
        <f t="shared" si="12"/>
        <v>Galaxias brevipinnis</v>
      </c>
      <c r="G136" t="str">
        <f t="shared" si="13"/>
        <v>Climbing_galaxias</v>
      </c>
      <c r="H136" t="str">
        <f t="shared" si="14"/>
        <v>Kōaro</v>
      </c>
      <c r="I136" t="str">
        <f t="shared" si="15"/>
        <v>Native</v>
      </c>
      <c r="J136" t="str">
        <f t="shared" si="16"/>
        <v>Yes</v>
      </c>
      <c r="L136">
        <v>118</v>
      </c>
      <c r="M136">
        <v>19</v>
      </c>
      <c r="N136">
        <v>1</v>
      </c>
      <c r="S136" t="str">
        <f t="shared" si="17"/>
        <v/>
      </c>
    </row>
    <row r="137" spans="1:20" x14ac:dyDescent="0.55000000000000004">
      <c r="A137">
        <v>118</v>
      </c>
      <c r="B137" s="2">
        <v>45597.451388888891</v>
      </c>
      <c r="C137" t="s">
        <v>215</v>
      </c>
      <c r="D137">
        <v>2</v>
      </c>
      <c r="E137" t="s">
        <v>46</v>
      </c>
      <c r="F137" t="str">
        <f t="shared" si="12"/>
        <v>Galaxias brevipinnis</v>
      </c>
      <c r="G137" t="str">
        <f t="shared" si="13"/>
        <v>Climbing_galaxias</v>
      </c>
      <c r="H137" t="str">
        <f t="shared" si="14"/>
        <v>Kōaro</v>
      </c>
      <c r="I137" t="str">
        <f t="shared" si="15"/>
        <v>Native</v>
      </c>
      <c r="J137" t="str">
        <f t="shared" si="16"/>
        <v>Yes</v>
      </c>
      <c r="L137">
        <v>130</v>
      </c>
      <c r="M137">
        <v>26</v>
      </c>
      <c r="N137">
        <v>1</v>
      </c>
      <c r="S137" t="str">
        <f t="shared" si="17"/>
        <v/>
      </c>
    </row>
    <row r="138" spans="1:20" x14ac:dyDescent="0.55000000000000004">
      <c r="A138">
        <v>118</v>
      </c>
      <c r="B138" s="2">
        <v>45597.451388888891</v>
      </c>
      <c r="C138" t="s">
        <v>215</v>
      </c>
      <c r="D138">
        <v>2</v>
      </c>
      <c r="E138" t="s">
        <v>46</v>
      </c>
      <c r="F138" t="str">
        <f t="shared" si="12"/>
        <v>Galaxias brevipinnis</v>
      </c>
      <c r="G138" t="str">
        <f t="shared" si="13"/>
        <v>Climbing_galaxias</v>
      </c>
      <c r="H138" t="str">
        <f t="shared" si="14"/>
        <v>Kōaro</v>
      </c>
      <c r="I138" t="str">
        <f t="shared" si="15"/>
        <v>Native</v>
      </c>
      <c r="J138" t="str">
        <f t="shared" si="16"/>
        <v>Yes</v>
      </c>
      <c r="L138">
        <v>90</v>
      </c>
      <c r="M138">
        <v>12</v>
      </c>
      <c r="N138">
        <v>1</v>
      </c>
      <c r="S138" t="str">
        <f t="shared" si="17"/>
        <v/>
      </c>
    </row>
    <row r="139" spans="1:20" x14ac:dyDescent="0.55000000000000004">
      <c r="A139">
        <v>118</v>
      </c>
      <c r="B139" s="2">
        <v>45597.451388888891</v>
      </c>
      <c r="C139" t="s">
        <v>215</v>
      </c>
      <c r="D139">
        <v>2</v>
      </c>
      <c r="E139" t="s">
        <v>46</v>
      </c>
      <c r="F139" t="str">
        <f t="shared" si="12"/>
        <v>Galaxias brevipinnis</v>
      </c>
      <c r="G139" t="str">
        <f t="shared" si="13"/>
        <v>Climbing_galaxias</v>
      </c>
      <c r="H139" t="str">
        <f t="shared" si="14"/>
        <v>Kōaro</v>
      </c>
      <c r="I139" t="str">
        <f t="shared" si="15"/>
        <v>Native</v>
      </c>
      <c r="J139" t="str">
        <f t="shared" si="16"/>
        <v>Yes</v>
      </c>
      <c r="L139">
        <v>98</v>
      </c>
      <c r="M139">
        <v>8</v>
      </c>
      <c r="N139">
        <v>1</v>
      </c>
      <c r="S139" t="str">
        <f t="shared" si="17"/>
        <v/>
      </c>
    </row>
    <row r="140" spans="1:20" x14ac:dyDescent="0.55000000000000004">
      <c r="A140">
        <v>118</v>
      </c>
      <c r="B140" s="2">
        <v>45597.451388888891</v>
      </c>
      <c r="C140" t="s">
        <v>215</v>
      </c>
      <c r="D140">
        <v>2</v>
      </c>
      <c r="E140" t="s">
        <v>46</v>
      </c>
      <c r="F140" t="str">
        <f t="shared" si="12"/>
        <v>Galaxias brevipinnis</v>
      </c>
      <c r="G140" t="str">
        <f t="shared" si="13"/>
        <v>Climbing_galaxias</v>
      </c>
      <c r="H140" t="str">
        <f t="shared" si="14"/>
        <v>Kōaro</v>
      </c>
      <c r="I140" t="str">
        <f t="shared" si="15"/>
        <v>Native</v>
      </c>
      <c r="J140" t="str">
        <f t="shared" si="16"/>
        <v>Yes</v>
      </c>
      <c r="L140">
        <v>75</v>
      </c>
      <c r="M140">
        <v>7</v>
      </c>
      <c r="N140">
        <v>1</v>
      </c>
      <c r="S140" t="str">
        <f t="shared" si="17"/>
        <v/>
      </c>
    </row>
    <row r="141" spans="1:20" x14ac:dyDescent="0.55000000000000004">
      <c r="A141">
        <v>118</v>
      </c>
      <c r="B141" s="2">
        <v>45597.451388888891</v>
      </c>
      <c r="C141" t="s">
        <v>215</v>
      </c>
      <c r="D141">
        <v>2</v>
      </c>
      <c r="E141" t="s">
        <v>247</v>
      </c>
      <c r="F141" t="str">
        <f t="shared" si="12"/>
        <v>Retropinna retropinna</v>
      </c>
      <c r="G141" t="str">
        <f t="shared" si="13"/>
        <v>Common_smelt</v>
      </c>
      <c r="H141" t="str">
        <f t="shared" si="14"/>
        <v>Common_smelt</v>
      </c>
      <c r="I141" t="str">
        <f t="shared" si="15"/>
        <v>Native</v>
      </c>
      <c r="J141" t="str">
        <f t="shared" si="16"/>
        <v>No</v>
      </c>
      <c r="N141">
        <v>10</v>
      </c>
      <c r="S141" t="str">
        <f t="shared" si="17"/>
        <v/>
      </c>
    </row>
    <row r="142" spans="1:20" x14ac:dyDescent="0.55000000000000004">
      <c r="A142">
        <v>118</v>
      </c>
      <c r="B142" s="2">
        <v>45597.451388888891</v>
      </c>
      <c r="C142" t="s">
        <v>215</v>
      </c>
      <c r="D142">
        <v>2</v>
      </c>
      <c r="E142" t="s">
        <v>44</v>
      </c>
      <c r="F142" t="str">
        <f t="shared" si="12"/>
        <v>Gobiomorphus cotidianus</v>
      </c>
      <c r="G142" t="str">
        <f t="shared" si="13"/>
        <v>Common_bully</v>
      </c>
      <c r="H142" t="str">
        <f t="shared" si="14"/>
        <v>Toitoi</v>
      </c>
      <c r="I142" t="str">
        <f t="shared" si="15"/>
        <v>Native</v>
      </c>
      <c r="J142" t="str">
        <f t="shared" si="16"/>
        <v>No</v>
      </c>
      <c r="N142">
        <v>100</v>
      </c>
      <c r="S142" t="str">
        <f t="shared" si="17"/>
        <v/>
      </c>
      <c r="T142" t="s">
        <v>280</v>
      </c>
    </row>
    <row r="143" spans="1:20" x14ac:dyDescent="0.55000000000000004">
      <c r="A143">
        <v>118</v>
      </c>
      <c r="B143" s="2">
        <v>45597.451388888891</v>
      </c>
      <c r="C143" t="s">
        <v>216</v>
      </c>
      <c r="D143">
        <v>2</v>
      </c>
      <c r="E143" t="s">
        <v>44</v>
      </c>
      <c r="F143" t="str">
        <f t="shared" si="12"/>
        <v>Gobiomorphus cotidianus</v>
      </c>
      <c r="G143" t="str">
        <f t="shared" si="13"/>
        <v>Common_bully</v>
      </c>
      <c r="H143" t="str">
        <f t="shared" si="14"/>
        <v>Toitoi</v>
      </c>
      <c r="I143" t="str">
        <f t="shared" si="15"/>
        <v>Native</v>
      </c>
      <c r="J143" t="str">
        <f t="shared" si="16"/>
        <v>No</v>
      </c>
      <c r="N143">
        <v>1</v>
      </c>
      <c r="S143" t="str">
        <f t="shared" si="17"/>
        <v/>
      </c>
    </row>
    <row r="144" spans="1:20" x14ac:dyDescent="0.55000000000000004">
      <c r="A144">
        <v>119</v>
      </c>
      <c r="B144" s="2">
        <v>45597.395833333336</v>
      </c>
      <c r="C144" t="s">
        <v>215</v>
      </c>
      <c r="D144">
        <v>2</v>
      </c>
      <c r="E144" t="s">
        <v>49</v>
      </c>
      <c r="F144" t="str">
        <f t="shared" si="12"/>
        <v>Paranephrops planifrons</v>
      </c>
      <c r="G144" t="str">
        <f t="shared" si="13"/>
        <v>Freshwater_crayfish</v>
      </c>
      <c r="H144" t="str">
        <f t="shared" si="14"/>
        <v>Kōura</v>
      </c>
      <c r="I144" t="str">
        <f t="shared" si="15"/>
        <v>Native</v>
      </c>
      <c r="J144" t="str">
        <f t="shared" si="16"/>
        <v>Yes</v>
      </c>
      <c r="K144" t="s">
        <v>48</v>
      </c>
      <c r="L144">
        <v>42</v>
      </c>
      <c r="M144">
        <v>54</v>
      </c>
      <c r="N144">
        <v>1</v>
      </c>
      <c r="S144" t="str">
        <f t="shared" si="17"/>
        <v/>
      </c>
    </row>
    <row r="145" spans="1:20" x14ac:dyDescent="0.55000000000000004">
      <c r="A145">
        <v>119</v>
      </c>
      <c r="B145" s="2">
        <v>45597.395833333336</v>
      </c>
      <c r="C145" t="s">
        <v>215</v>
      </c>
      <c r="D145">
        <v>2</v>
      </c>
      <c r="E145" t="s">
        <v>44</v>
      </c>
      <c r="F145" t="str">
        <f t="shared" si="12"/>
        <v>Gobiomorphus cotidianus</v>
      </c>
      <c r="G145" t="str">
        <f t="shared" si="13"/>
        <v>Common_bully</v>
      </c>
      <c r="H145" t="str">
        <f t="shared" si="14"/>
        <v>Toitoi</v>
      </c>
      <c r="I145" t="str">
        <f t="shared" si="15"/>
        <v>Native</v>
      </c>
      <c r="J145" t="str">
        <f t="shared" si="16"/>
        <v>No</v>
      </c>
      <c r="N145">
        <v>85</v>
      </c>
      <c r="S145" t="str">
        <f t="shared" si="17"/>
        <v/>
      </c>
      <c r="T145" t="s">
        <v>280</v>
      </c>
    </row>
    <row r="146" spans="1:20" x14ac:dyDescent="0.55000000000000004">
      <c r="A146">
        <v>119</v>
      </c>
      <c r="B146" s="2">
        <v>45597.395833333336</v>
      </c>
      <c r="C146" t="s">
        <v>216</v>
      </c>
      <c r="D146">
        <v>2</v>
      </c>
      <c r="E146" t="s">
        <v>49</v>
      </c>
      <c r="F146" t="str">
        <f t="shared" si="12"/>
        <v>Paranephrops planifrons</v>
      </c>
      <c r="G146" t="str">
        <f t="shared" si="13"/>
        <v>Freshwater_crayfish</v>
      </c>
      <c r="H146" t="str">
        <f t="shared" si="14"/>
        <v>Kōura</v>
      </c>
      <c r="I146" t="str">
        <f t="shared" si="15"/>
        <v>Native</v>
      </c>
      <c r="J146" t="str">
        <f t="shared" si="16"/>
        <v>Yes</v>
      </c>
      <c r="K146" t="s">
        <v>48</v>
      </c>
      <c r="L146">
        <v>46</v>
      </c>
      <c r="M146">
        <v>65</v>
      </c>
      <c r="N146">
        <v>1</v>
      </c>
      <c r="S146" t="str">
        <f t="shared" si="17"/>
        <v/>
      </c>
    </row>
    <row r="147" spans="1:20" x14ac:dyDescent="0.55000000000000004">
      <c r="A147">
        <v>119</v>
      </c>
      <c r="B147" s="2">
        <v>45597.395833333336</v>
      </c>
      <c r="C147" t="s">
        <v>216</v>
      </c>
      <c r="D147">
        <v>2</v>
      </c>
      <c r="E147" t="s">
        <v>49</v>
      </c>
      <c r="F147" t="str">
        <f t="shared" si="12"/>
        <v>Paranephrops planifrons</v>
      </c>
      <c r="G147" t="str">
        <f t="shared" si="13"/>
        <v>Freshwater_crayfish</v>
      </c>
      <c r="H147" t="str">
        <f t="shared" si="14"/>
        <v>Kōura</v>
      </c>
      <c r="I147" t="str">
        <f t="shared" si="15"/>
        <v>Native</v>
      </c>
      <c r="J147" t="str">
        <f t="shared" si="16"/>
        <v>Yes</v>
      </c>
      <c r="K147" t="s">
        <v>48</v>
      </c>
      <c r="L147">
        <v>37</v>
      </c>
      <c r="M147">
        <v>34</v>
      </c>
      <c r="N147">
        <v>1</v>
      </c>
      <c r="S147" t="str">
        <f t="shared" si="17"/>
        <v/>
      </c>
    </row>
    <row r="148" spans="1:20" x14ac:dyDescent="0.55000000000000004">
      <c r="A148">
        <v>119</v>
      </c>
      <c r="B148" s="2">
        <v>45597.395833333336</v>
      </c>
      <c r="C148" t="s">
        <v>216</v>
      </c>
      <c r="D148">
        <v>2</v>
      </c>
      <c r="E148" t="s">
        <v>49</v>
      </c>
      <c r="F148" t="str">
        <f t="shared" si="12"/>
        <v>Paranephrops planifrons</v>
      </c>
      <c r="G148" t="str">
        <f t="shared" si="13"/>
        <v>Freshwater_crayfish</v>
      </c>
      <c r="H148" t="str">
        <f t="shared" si="14"/>
        <v>Kōura</v>
      </c>
      <c r="I148" t="str">
        <f t="shared" si="15"/>
        <v>Native</v>
      </c>
      <c r="J148" t="str">
        <f t="shared" si="16"/>
        <v>Yes</v>
      </c>
      <c r="K148" t="s">
        <v>48</v>
      </c>
      <c r="L148">
        <v>30</v>
      </c>
      <c r="M148">
        <v>24</v>
      </c>
      <c r="N148">
        <v>1</v>
      </c>
      <c r="S148" t="str">
        <f t="shared" si="17"/>
        <v/>
      </c>
    </row>
    <row r="149" spans="1:20" x14ac:dyDescent="0.55000000000000004">
      <c r="A149">
        <v>119</v>
      </c>
      <c r="B149" s="2">
        <v>45597.395833333336</v>
      </c>
      <c r="C149" t="s">
        <v>216</v>
      </c>
      <c r="D149">
        <v>2</v>
      </c>
      <c r="E149" t="s">
        <v>49</v>
      </c>
      <c r="F149" t="str">
        <f t="shared" si="12"/>
        <v>Paranephrops planifrons</v>
      </c>
      <c r="G149" t="str">
        <f t="shared" si="13"/>
        <v>Freshwater_crayfish</v>
      </c>
      <c r="H149" t="str">
        <f t="shared" si="14"/>
        <v>Kōura</v>
      </c>
      <c r="I149" t="str">
        <f t="shared" si="15"/>
        <v>Native</v>
      </c>
      <c r="J149" t="str">
        <f t="shared" si="16"/>
        <v>Yes</v>
      </c>
      <c r="K149" t="s">
        <v>48</v>
      </c>
      <c r="L149">
        <v>40</v>
      </c>
      <c r="M149">
        <v>50</v>
      </c>
      <c r="N149">
        <v>1</v>
      </c>
      <c r="S149" t="str">
        <f t="shared" si="17"/>
        <v/>
      </c>
    </row>
    <row r="150" spans="1:20" x14ac:dyDescent="0.55000000000000004">
      <c r="A150">
        <v>119</v>
      </c>
      <c r="B150" s="2">
        <v>45597.395833333336</v>
      </c>
      <c r="C150" t="s">
        <v>216</v>
      </c>
      <c r="D150">
        <v>2</v>
      </c>
      <c r="E150" t="s">
        <v>49</v>
      </c>
      <c r="F150" t="str">
        <f t="shared" si="12"/>
        <v>Paranephrops planifrons</v>
      </c>
      <c r="G150" t="str">
        <f t="shared" si="13"/>
        <v>Freshwater_crayfish</v>
      </c>
      <c r="H150" t="str">
        <f t="shared" si="14"/>
        <v>Kōura</v>
      </c>
      <c r="I150" t="str">
        <f t="shared" si="15"/>
        <v>Native</v>
      </c>
      <c r="J150" t="str">
        <f t="shared" si="16"/>
        <v>Yes</v>
      </c>
      <c r="K150" t="s">
        <v>48</v>
      </c>
      <c r="L150">
        <v>19</v>
      </c>
      <c r="M150">
        <v>5</v>
      </c>
      <c r="N150">
        <v>1</v>
      </c>
      <c r="S150" t="str">
        <f t="shared" si="17"/>
        <v/>
      </c>
    </row>
    <row r="151" spans="1:20" x14ac:dyDescent="0.55000000000000004">
      <c r="A151">
        <v>119</v>
      </c>
      <c r="B151" s="2">
        <v>45597.395833333336</v>
      </c>
      <c r="C151" t="s">
        <v>216</v>
      </c>
      <c r="D151">
        <v>2</v>
      </c>
      <c r="E151" t="s">
        <v>44</v>
      </c>
      <c r="F151" t="str">
        <f t="shared" si="12"/>
        <v>Gobiomorphus cotidianus</v>
      </c>
      <c r="G151" t="str">
        <f t="shared" si="13"/>
        <v>Common_bully</v>
      </c>
      <c r="H151" t="str">
        <f t="shared" si="14"/>
        <v>Toitoi</v>
      </c>
      <c r="I151" t="str">
        <f t="shared" si="15"/>
        <v>Native</v>
      </c>
      <c r="J151" t="str">
        <f t="shared" si="16"/>
        <v>No</v>
      </c>
      <c r="N151">
        <v>30</v>
      </c>
      <c r="S151" t="str">
        <f t="shared" si="17"/>
        <v/>
      </c>
      <c r="T151" t="s">
        <v>280</v>
      </c>
    </row>
    <row r="152" spans="1:20" x14ac:dyDescent="0.55000000000000004">
      <c r="A152">
        <v>119</v>
      </c>
      <c r="B152" s="2">
        <v>45597.395833333336</v>
      </c>
      <c r="C152" t="s">
        <v>215</v>
      </c>
      <c r="D152">
        <v>2</v>
      </c>
      <c r="E152" t="s">
        <v>49</v>
      </c>
      <c r="F152" t="str">
        <f t="shared" si="12"/>
        <v>Paranephrops planifrons</v>
      </c>
      <c r="G152" t="str">
        <f t="shared" si="13"/>
        <v>Freshwater_crayfish</v>
      </c>
      <c r="H152" t="str">
        <f t="shared" si="14"/>
        <v>Kōura</v>
      </c>
      <c r="I152" t="str">
        <f t="shared" si="15"/>
        <v>Native</v>
      </c>
      <c r="J152" t="str">
        <f t="shared" si="16"/>
        <v>Yes</v>
      </c>
      <c r="K152" t="s">
        <v>48</v>
      </c>
      <c r="L152">
        <v>32</v>
      </c>
      <c r="M152">
        <v>20</v>
      </c>
      <c r="N152">
        <v>1</v>
      </c>
      <c r="S152" t="str">
        <f t="shared" si="17"/>
        <v/>
      </c>
    </row>
    <row r="153" spans="1:20" x14ac:dyDescent="0.55000000000000004">
      <c r="A153">
        <v>119</v>
      </c>
      <c r="B153" s="2">
        <v>45597.395833333336</v>
      </c>
      <c r="C153" t="s">
        <v>215</v>
      </c>
      <c r="D153">
        <v>2</v>
      </c>
      <c r="E153" t="s">
        <v>44</v>
      </c>
      <c r="F153" t="str">
        <f t="shared" si="12"/>
        <v>Gobiomorphus cotidianus</v>
      </c>
      <c r="G153" t="str">
        <f t="shared" si="13"/>
        <v>Common_bully</v>
      </c>
      <c r="H153" t="str">
        <f t="shared" si="14"/>
        <v>Toitoi</v>
      </c>
      <c r="I153" t="str">
        <f t="shared" si="15"/>
        <v>Native</v>
      </c>
      <c r="J153" t="str">
        <f t="shared" si="16"/>
        <v>No</v>
      </c>
      <c r="L153">
        <v>90</v>
      </c>
      <c r="M153">
        <v>13</v>
      </c>
      <c r="N153">
        <v>1</v>
      </c>
      <c r="S153" t="str">
        <f t="shared" si="17"/>
        <v/>
      </c>
    </row>
    <row r="154" spans="1:20" x14ac:dyDescent="0.55000000000000004">
      <c r="A154">
        <v>119</v>
      </c>
      <c r="B154" s="2">
        <v>45597.395833333336</v>
      </c>
      <c r="C154" t="s">
        <v>215</v>
      </c>
      <c r="D154">
        <v>2</v>
      </c>
      <c r="E154" t="s">
        <v>44</v>
      </c>
      <c r="F154" t="str">
        <f t="shared" si="12"/>
        <v>Gobiomorphus cotidianus</v>
      </c>
      <c r="G154" t="str">
        <f t="shared" si="13"/>
        <v>Common_bully</v>
      </c>
      <c r="H154" t="str">
        <f t="shared" si="14"/>
        <v>Toitoi</v>
      </c>
      <c r="I154" t="str">
        <f t="shared" si="15"/>
        <v>Native</v>
      </c>
      <c r="J154" t="str">
        <f t="shared" si="16"/>
        <v>No</v>
      </c>
      <c r="N154">
        <v>50</v>
      </c>
      <c r="S154" t="str">
        <f t="shared" si="17"/>
        <v/>
      </c>
      <c r="T154" t="s">
        <v>280</v>
      </c>
    </row>
    <row r="155" spans="1:20" x14ac:dyDescent="0.55000000000000004">
      <c r="A155">
        <v>120</v>
      </c>
      <c r="B155" s="2">
        <v>45597.429166666669</v>
      </c>
      <c r="C155" t="s">
        <v>215</v>
      </c>
      <c r="D155">
        <v>2</v>
      </c>
      <c r="E155" t="s">
        <v>49</v>
      </c>
      <c r="F155" t="str">
        <f t="shared" si="12"/>
        <v>Paranephrops planifrons</v>
      </c>
      <c r="G155" t="str">
        <f t="shared" si="13"/>
        <v>Freshwater_crayfish</v>
      </c>
      <c r="H155" t="str">
        <f t="shared" si="14"/>
        <v>Kōura</v>
      </c>
      <c r="I155" t="str">
        <f t="shared" si="15"/>
        <v>Native</v>
      </c>
      <c r="J155" t="str">
        <f t="shared" si="16"/>
        <v>Yes</v>
      </c>
      <c r="K155" t="s">
        <v>48</v>
      </c>
      <c r="L155">
        <v>35</v>
      </c>
      <c r="M155">
        <v>36</v>
      </c>
      <c r="N155">
        <v>1</v>
      </c>
      <c r="S155" t="str">
        <f t="shared" si="17"/>
        <v/>
      </c>
    </row>
    <row r="156" spans="1:20" x14ac:dyDescent="0.55000000000000004">
      <c r="A156">
        <v>120</v>
      </c>
      <c r="B156" s="2">
        <v>45597.429166666669</v>
      </c>
      <c r="C156" t="s">
        <v>215</v>
      </c>
      <c r="D156">
        <v>2</v>
      </c>
      <c r="E156" t="s">
        <v>49</v>
      </c>
      <c r="F156" t="str">
        <f t="shared" si="12"/>
        <v>Paranephrops planifrons</v>
      </c>
      <c r="G156" t="str">
        <f t="shared" si="13"/>
        <v>Freshwater_crayfish</v>
      </c>
      <c r="H156" t="str">
        <f t="shared" si="14"/>
        <v>Kōura</v>
      </c>
      <c r="I156" t="str">
        <f t="shared" si="15"/>
        <v>Native</v>
      </c>
      <c r="J156" t="str">
        <f t="shared" si="16"/>
        <v>Yes</v>
      </c>
      <c r="K156" t="s">
        <v>48</v>
      </c>
      <c r="L156">
        <v>25</v>
      </c>
      <c r="M156">
        <v>29</v>
      </c>
      <c r="N156">
        <v>1</v>
      </c>
      <c r="S156" t="str">
        <f t="shared" si="17"/>
        <v/>
      </c>
    </row>
    <row r="157" spans="1:20" x14ac:dyDescent="0.55000000000000004">
      <c r="A157">
        <v>120</v>
      </c>
      <c r="B157" s="2">
        <v>45597.429166666669</v>
      </c>
      <c r="C157" t="s">
        <v>215</v>
      </c>
      <c r="D157">
        <v>2</v>
      </c>
      <c r="E157" t="s">
        <v>49</v>
      </c>
      <c r="F157" t="str">
        <f t="shared" si="12"/>
        <v>Paranephrops planifrons</v>
      </c>
      <c r="G157" t="str">
        <f t="shared" si="13"/>
        <v>Freshwater_crayfish</v>
      </c>
      <c r="H157" t="str">
        <f t="shared" si="14"/>
        <v>Kōura</v>
      </c>
      <c r="I157" t="str">
        <f t="shared" si="15"/>
        <v>Native</v>
      </c>
      <c r="J157" t="str">
        <f t="shared" si="16"/>
        <v>Yes</v>
      </c>
      <c r="K157" t="s">
        <v>48</v>
      </c>
      <c r="L157">
        <v>28</v>
      </c>
      <c r="M157">
        <v>17</v>
      </c>
      <c r="N157">
        <v>1</v>
      </c>
      <c r="S157" t="str">
        <f t="shared" si="17"/>
        <v/>
      </c>
    </row>
    <row r="158" spans="1:20" x14ac:dyDescent="0.55000000000000004">
      <c r="A158">
        <v>120</v>
      </c>
      <c r="B158" s="2">
        <v>45597.429166666669</v>
      </c>
      <c r="C158" t="s">
        <v>215</v>
      </c>
      <c r="D158">
        <v>2</v>
      </c>
      <c r="E158" t="s">
        <v>49</v>
      </c>
      <c r="F158" t="str">
        <f t="shared" si="12"/>
        <v>Paranephrops planifrons</v>
      </c>
      <c r="G158" t="str">
        <f t="shared" si="13"/>
        <v>Freshwater_crayfish</v>
      </c>
      <c r="H158" t="str">
        <f t="shared" si="14"/>
        <v>Kōura</v>
      </c>
      <c r="I158" t="str">
        <f t="shared" si="15"/>
        <v>Native</v>
      </c>
      <c r="J158" t="str">
        <f t="shared" si="16"/>
        <v>Yes</v>
      </c>
      <c r="K158" t="s">
        <v>48</v>
      </c>
      <c r="L158">
        <v>35</v>
      </c>
      <c r="M158">
        <v>30</v>
      </c>
      <c r="N158">
        <v>1</v>
      </c>
      <c r="S158" t="str">
        <f t="shared" si="17"/>
        <v/>
      </c>
    </row>
    <row r="159" spans="1:20" x14ac:dyDescent="0.55000000000000004">
      <c r="A159">
        <v>120</v>
      </c>
      <c r="B159" s="2">
        <v>45597.429166666669</v>
      </c>
      <c r="C159" t="s">
        <v>215</v>
      </c>
      <c r="D159">
        <v>2</v>
      </c>
      <c r="E159" t="s">
        <v>49</v>
      </c>
      <c r="F159" t="str">
        <f t="shared" si="12"/>
        <v>Paranephrops planifrons</v>
      </c>
      <c r="G159" t="str">
        <f t="shared" si="13"/>
        <v>Freshwater_crayfish</v>
      </c>
      <c r="H159" t="str">
        <f t="shared" si="14"/>
        <v>Kōura</v>
      </c>
      <c r="I159" t="str">
        <f t="shared" si="15"/>
        <v>Native</v>
      </c>
      <c r="J159" t="str">
        <f t="shared" si="16"/>
        <v>Yes</v>
      </c>
      <c r="K159" t="s">
        <v>48</v>
      </c>
      <c r="L159">
        <v>32</v>
      </c>
      <c r="M159">
        <v>25</v>
      </c>
      <c r="N159">
        <v>1</v>
      </c>
      <c r="S159" t="str">
        <f t="shared" si="17"/>
        <v/>
      </c>
    </row>
    <row r="160" spans="1:20" x14ac:dyDescent="0.55000000000000004">
      <c r="A160">
        <v>120</v>
      </c>
      <c r="B160" s="2">
        <v>45597.429166666669</v>
      </c>
      <c r="C160" t="s">
        <v>215</v>
      </c>
      <c r="D160">
        <v>2</v>
      </c>
      <c r="E160" t="s">
        <v>49</v>
      </c>
      <c r="F160" t="str">
        <f t="shared" si="12"/>
        <v>Paranephrops planifrons</v>
      </c>
      <c r="G160" t="str">
        <f t="shared" si="13"/>
        <v>Freshwater_crayfish</v>
      </c>
      <c r="H160" t="str">
        <f t="shared" si="14"/>
        <v>Kōura</v>
      </c>
      <c r="I160" t="str">
        <f t="shared" si="15"/>
        <v>Native</v>
      </c>
      <c r="J160" t="str">
        <f t="shared" si="16"/>
        <v>Yes</v>
      </c>
      <c r="K160" t="s">
        <v>48</v>
      </c>
      <c r="L160">
        <v>31</v>
      </c>
      <c r="M160">
        <v>28</v>
      </c>
      <c r="N160">
        <v>1</v>
      </c>
      <c r="S160" t="str">
        <f t="shared" si="17"/>
        <v/>
      </c>
    </row>
    <row r="161" spans="1:20" x14ac:dyDescent="0.55000000000000004">
      <c r="A161">
        <v>120</v>
      </c>
      <c r="B161" s="2">
        <v>45597.429166666669</v>
      </c>
      <c r="C161" t="s">
        <v>215</v>
      </c>
      <c r="D161">
        <v>2</v>
      </c>
      <c r="E161" t="s">
        <v>49</v>
      </c>
      <c r="F161" t="str">
        <f t="shared" si="12"/>
        <v>Paranephrops planifrons</v>
      </c>
      <c r="G161" t="str">
        <f t="shared" si="13"/>
        <v>Freshwater_crayfish</v>
      </c>
      <c r="H161" t="str">
        <f t="shared" si="14"/>
        <v>Kōura</v>
      </c>
      <c r="I161" t="str">
        <f t="shared" si="15"/>
        <v>Native</v>
      </c>
      <c r="J161" t="str">
        <f t="shared" si="16"/>
        <v>Yes</v>
      </c>
      <c r="K161" t="s">
        <v>50</v>
      </c>
      <c r="L161">
        <v>19</v>
      </c>
      <c r="M161">
        <v>5</v>
      </c>
      <c r="N161">
        <v>1</v>
      </c>
      <c r="S161" t="str">
        <f t="shared" si="17"/>
        <v/>
      </c>
    </row>
    <row r="162" spans="1:20" x14ac:dyDescent="0.55000000000000004">
      <c r="A162">
        <v>120</v>
      </c>
      <c r="B162" s="2">
        <v>45597.429166666669</v>
      </c>
      <c r="C162" t="s">
        <v>215</v>
      </c>
      <c r="D162">
        <v>2</v>
      </c>
      <c r="E162" t="s">
        <v>49</v>
      </c>
      <c r="F162" t="str">
        <f t="shared" si="12"/>
        <v>Paranephrops planifrons</v>
      </c>
      <c r="G162" t="str">
        <f t="shared" si="13"/>
        <v>Freshwater_crayfish</v>
      </c>
      <c r="H162" t="str">
        <f t="shared" si="14"/>
        <v>Kōura</v>
      </c>
      <c r="I162" t="str">
        <f t="shared" si="15"/>
        <v>Native</v>
      </c>
      <c r="J162" t="str">
        <f t="shared" si="16"/>
        <v>Yes</v>
      </c>
      <c r="K162" t="s">
        <v>48</v>
      </c>
      <c r="L162">
        <v>19</v>
      </c>
      <c r="M162">
        <v>6</v>
      </c>
      <c r="N162">
        <v>1</v>
      </c>
      <c r="S162" t="str">
        <f t="shared" si="17"/>
        <v/>
      </c>
    </row>
    <row r="163" spans="1:20" x14ac:dyDescent="0.55000000000000004">
      <c r="A163">
        <v>120</v>
      </c>
      <c r="B163" s="2">
        <v>45597.429166666669</v>
      </c>
      <c r="C163" t="s">
        <v>215</v>
      </c>
      <c r="D163">
        <v>2</v>
      </c>
      <c r="E163" t="s">
        <v>49</v>
      </c>
      <c r="F163" t="str">
        <f t="shared" si="12"/>
        <v>Paranephrops planifrons</v>
      </c>
      <c r="G163" t="str">
        <f t="shared" si="13"/>
        <v>Freshwater_crayfish</v>
      </c>
      <c r="H163" t="str">
        <f t="shared" si="14"/>
        <v>Kōura</v>
      </c>
      <c r="I163" t="str">
        <f t="shared" si="15"/>
        <v>Native</v>
      </c>
      <c r="J163" t="str">
        <f t="shared" si="16"/>
        <v>Yes</v>
      </c>
      <c r="K163" t="s">
        <v>48</v>
      </c>
      <c r="L163">
        <v>25</v>
      </c>
      <c r="M163">
        <v>12</v>
      </c>
      <c r="N163">
        <v>1</v>
      </c>
      <c r="S163" t="str">
        <f t="shared" si="17"/>
        <v/>
      </c>
    </row>
    <row r="164" spans="1:20" x14ac:dyDescent="0.55000000000000004">
      <c r="A164">
        <v>120</v>
      </c>
      <c r="B164" s="2">
        <v>45597.429166666669</v>
      </c>
      <c r="C164" t="s">
        <v>215</v>
      </c>
      <c r="D164">
        <v>2</v>
      </c>
      <c r="E164" t="s">
        <v>49</v>
      </c>
      <c r="F164" t="str">
        <f t="shared" si="12"/>
        <v>Paranephrops planifrons</v>
      </c>
      <c r="G164" t="str">
        <f t="shared" si="13"/>
        <v>Freshwater_crayfish</v>
      </c>
      <c r="H164" t="str">
        <f t="shared" si="14"/>
        <v>Kōura</v>
      </c>
      <c r="I164" t="str">
        <f t="shared" si="15"/>
        <v>Native</v>
      </c>
      <c r="J164" t="str">
        <f t="shared" si="16"/>
        <v>Yes</v>
      </c>
      <c r="K164" t="s">
        <v>48</v>
      </c>
      <c r="L164">
        <v>19</v>
      </c>
      <c r="M164">
        <v>5</v>
      </c>
      <c r="N164">
        <v>1</v>
      </c>
      <c r="S164" t="str">
        <f t="shared" si="17"/>
        <v/>
      </c>
    </row>
    <row r="165" spans="1:20" x14ac:dyDescent="0.55000000000000004">
      <c r="A165">
        <v>120</v>
      </c>
      <c r="B165" s="2">
        <v>45597.429166666669</v>
      </c>
      <c r="C165" t="s">
        <v>215</v>
      </c>
      <c r="D165">
        <v>2</v>
      </c>
      <c r="E165" t="s">
        <v>49</v>
      </c>
      <c r="F165" t="str">
        <f t="shared" si="12"/>
        <v>Paranephrops planifrons</v>
      </c>
      <c r="G165" t="str">
        <f t="shared" si="13"/>
        <v>Freshwater_crayfish</v>
      </c>
      <c r="H165" t="str">
        <f t="shared" si="14"/>
        <v>Kōura</v>
      </c>
      <c r="I165" t="str">
        <f t="shared" si="15"/>
        <v>Native</v>
      </c>
      <c r="J165" t="str">
        <f t="shared" si="16"/>
        <v>Yes</v>
      </c>
      <c r="K165" t="s">
        <v>48</v>
      </c>
      <c r="L165">
        <v>25</v>
      </c>
      <c r="M165">
        <v>12</v>
      </c>
      <c r="N165">
        <v>1</v>
      </c>
      <c r="S165" t="str">
        <f t="shared" si="17"/>
        <v/>
      </c>
    </row>
    <row r="166" spans="1:20" x14ac:dyDescent="0.55000000000000004">
      <c r="A166">
        <v>120</v>
      </c>
      <c r="B166" s="2">
        <v>45597.429166666669</v>
      </c>
      <c r="C166" t="s">
        <v>215</v>
      </c>
      <c r="D166">
        <v>2</v>
      </c>
      <c r="E166" t="s">
        <v>51</v>
      </c>
      <c r="F166" t="str">
        <f t="shared" si="12"/>
        <v>Oncorhynchus mykiss</v>
      </c>
      <c r="G166" t="str">
        <f t="shared" si="13"/>
        <v>Rainbow_trout</v>
      </c>
      <c r="H166" t="str">
        <f t="shared" si="14"/>
        <v>Rainbow_trout</v>
      </c>
      <c r="I166" t="str">
        <f t="shared" si="15"/>
        <v>Nonnative</v>
      </c>
      <c r="J166" t="str">
        <f t="shared" si="16"/>
        <v>No</v>
      </c>
      <c r="L166">
        <v>110</v>
      </c>
      <c r="M166">
        <v>15</v>
      </c>
      <c r="N166">
        <v>1</v>
      </c>
      <c r="S166" t="str">
        <f t="shared" si="17"/>
        <v/>
      </c>
    </row>
    <row r="167" spans="1:20" x14ac:dyDescent="0.55000000000000004">
      <c r="A167">
        <v>120</v>
      </c>
      <c r="B167" s="2">
        <v>45597.429166666669</v>
      </c>
      <c r="C167" t="s">
        <v>215</v>
      </c>
      <c r="D167">
        <v>2</v>
      </c>
      <c r="E167" t="s">
        <v>49</v>
      </c>
      <c r="F167" t="str">
        <f t="shared" si="12"/>
        <v>Paranephrops planifrons</v>
      </c>
      <c r="G167" t="str">
        <f t="shared" si="13"/>
        <v>Freshwater_crayfish</v>
      </c>
      <c r="H167" t="str">
        <f t="shared" si="14"/>
        <v>Kōura</v>
      </c>
      <c r="I167" t="str">
        <f t="shared" si="15"/>
        <v>Native</v>
      </c>
      <c r="J167" t="str">
        <f t="shared" si="16"/>
        <v>Yes</v>
      </c>
      <c r="K167" t="s">
        <v>48</v>
      </c>
      <c r="L167">
        <v>20</v>
      </c>
      <c r="M167">
        <v>5</v>
      </c>
      <c r="N167">
        <v>1</v>
      </c>
      <c r="S167" t="str">
        <f t="shared" si="17"/>
        <v/>
      </c>
    </row>
    <row r="168" spans="1:20" x14ac:dyDescent="0.55000000000000004">
      <c r="A168">
        <v>120</v>
      </c>
      <c r="B168" s="2">
        <v>45597.429166666669</v>
      </c>
      <c r="C168" t="s">
        <v>215</v>
      </c>
      <c r="D168">
        <v>2</v>
      </c>
      <c r="E168" t="s">
        <v>49</v>
      </c>
      <c r="F168" t="str">
        <f t="shared" si="12"/>
        <v>Paranephrops planifrons</v>
      </c>
      <c r="G168" t="str">
        <f t="shared" si="13"/>
        <v>Freshwater_crayfish</v>
      </c>
      <c r="H168" t="str">
        <f t="shared" si="14"/>
        <v>Kōura</v>
      </c>
      <c r="I168" t="str">
        <f t="shared" si="15"/>
        <v>Native</v>
      </c>
      <c r="J168" t="str">
        <f t="shared" si="16"/>
        <v>Yes</v>
      </c>
      <c r="K168" t="s">
        <v>48</v>
      </c>
      <c r="L168">
        <v>19</v>
      </c>
      <c r="M168">
        <v>7</v>
      </c>
      <c r="N168">
        <v>1</v>
      </c>
      <c r="S168" t="str">
        <f t="shared" si="17"/>
        <v/>
      </c>
    </row>
    <row r="169" spans="1:20" x14ac:dyDescent="0.55000000000000004">
      <c r="A169">
        <v>120</v>
      </c>
      <c r="B169" s="2">
        <v>45597.429166666669</v>
      </c>
      <c r="C169" t="s">
        <v>215</v>
      </c>
      <c r="D169">
        <v>2</v>
      </c>
      <c r="E169" t="s">
        <v>46</v>
      </c>
      <c r="F169" t="str">
        <f t="shared" si="12"/>
        <v>Galaxias brevipinnis</v>
      </c>
      <c r="G169" t="str">
        <f t="shared" si="13"/>
        <v>Climbing_galaxias</v>
      </c>
      <c r="H169" t="str">
        <f t="shared" si="14"/>
        <v>Kōaro</v>
      </c>
      <c r="I169" t="str">
        <f t="shared" si="15"/>
        <v>Native</v>
      </c>
      <c r="J169" t="str">
        <f t="shared" si="16"/>
        <v>Yes</v>
      </c>
      <c r="L169">
        <v>130</v>
      </c>
      <c r="M169">
        <v>23</v>
      </c>
      <c r="N169">
        <v>1</v>
      </c>
      <c r="S169" t="str">
        <f t="shared" si="17"/>
        <v/>
      </c>
    </row>
    <row r="170" spans="1:20" x14ac:dyDescent="0.55000000000000004">
      <c r="A170">
        <v>120</v>
      </c>
      <c r="B170" s="2">
        <v>45597.429166666669</v>
      </c>
      <c r="C170" t="s">
        <v>215</v>
      </c>
      <c r="D170">
        <v>2</v>
      </c>
      <c r="E170" t="s">
        <v>46</v>
      </c>
      <c r="F170" t="str">
        <f t="shared" si="12"/>
        <v>Galaxias brevipinnis</v>
      </c>
      <c r="G170" t="str">
        <f t="shared" si="13"/>
        <v>Climbing_galaxias</v>
      </c>
      <c r="H170" t="str">
        <f t="shared" si="14"/>
        <v>Kōaro</v>
      </c>
      <c r="I170" t="str">
        <f t="shared" si="15"/>
        <v>Native</v>
      </c>
      <c r="J170" t="str">
        <f t="shared" si="16"/>
        <v>Yes</v>
      </c>
      <c r="L170">
        <v>120</v>
      </c>
      <c r="M170">
        <v>15</v>
      </c>
      <c r="N170">
        <v>1</v>
      </c>
      <c r="S170" t="str">
        <f t="shared" si="17"/>
        <v/>
      </c>
    </row>
    <row r="171" spans="1:20" x14ac:dyDescent="0.55000000000000004">
      <c r="A171">
        <v>120</v>
      </c>
      <c r="B171" s="2">
        <v>45597.429166666669</v>
      </c>
      <c r="C171" t="s">
        <v>215</v>
      </c>
      <c r="D171">
        <v>2</v>
      </c>
      <c r="E171" t="s">
        <v>46</v>
      </c>
      <c r="F171" t="str">
        <f t="shared" si="12"/>
        <v>Galaxias brevipinnis</v>
      </c>
      <c r="G171" t="str">
        <f t="shared" si="13"/>
        <v>Climbing_galaxias</v>
      </c>
      <c r="H171" t="str">
        <f t="shared" si="14"/>
        <v>Kōaro</v>
      </c>
      <c r="I171" t="str">
        <f t="shared" si="15"/>
        <v>Native</v>
      </c>
      <c r="J171" t="str">
        <f t="shared" si="16"/>
        <v>Yes</v>
      </c>
      <c r="L171">
        <v>111</v>
      </c>
      <c r="M171">
        <v>14</v>
      </c>
      <c r="N171">
        <v>1</v>
      </c>
      <c r="S171" t="str">
        <f t="shared" si="17"/>
        <v/>
      </c>
    </row>
    <row r="172" spans="1:20" x14ac:dyDescent="0.55000000000000004">
      <c r="A172">
        <v>120</v>
      </c>
      <c r="B172" s="2">
        <v>45597.429166666669</v>
      </c>
      <c r="C172" t="s">
        <v>215</v>
      </c>
      <c r="D172">
        <v>2</v>
      </c>
      <c r="E172" t="s">
        <v>46</v>
      </c>
      <c r="F172" t="str">
        <f t="shared" si="12"/>
        <v>Galaxias brevipinnis</v>
      </c>
      <c r="G172" t="str">
        <f t="shared" si="13"/>
        <v>Climbing_galaxias</v>
      </c>
      <c r="H172" t="str">
        <f t="shared" si="14"/>
        <v>Kōaro</v>
      </c>
      <c r="I172" t="str">
        <f t="shared" si="15"/>
        <v>Native</v>
      </c>
      <c r="J172" t="str">
        <f t="shared" si="16"/>
        <v>Yes</v>
      </c>
      <c r="L172">
        <v>110</v>
      </c>
      <c r="M172">
        <v>13</v>
      </c>
      <c r="N172">
        <v>1</v>
      </c>
      <c r="S172" t="str">
        <f t="shared" si="17"/>
        <v/>
      </c>
    </row>
    <row r="173" spans="1:20" x14ac:dyDescent="0.55000000000000004">
      <c r="A173">
        <v>120</v>
      </c>
      <c r="B173" s="2">
        <v>45597.429166666669</v>
      </c>
      <c r="C173" t="s">
        <v>215</v>
      </c>
      <c r="D173">
        <v>2</v>
      </c>
      <c r="E173" t="s">
        <v>44</v>
      </c>
      <c r="F173" t="str">
        <f t="shared" si="12"/>
        <v>Gobiomorphus cotidianus</v>
      </c>
      <c r="G173" t="str">
        <f t="shared" si="13"/>
        <v>Common_bully</v>
      </c>
      <c r="H173" t="str">
        <f t="shared" si="14"/>
        <v>Toitoi</v>
      </c>
      <c r="I173" t="str">
        <f t="shared" si="15"/>
        <v>Native</v>
      </c>
      <c r="J173" t="str">
        <f t="shared" si="16"/>
        <v>No</v>
      </c>
      <c r="N173">
        <v>120</v>
      </c>
      <c r="S173" t="str">
        <f t="shared" si="17"/>
        <v/>
      </c>
      <c r="T173" t="s">
        <v>280</v>
      </c>
    </row>
    <row r="174" spans="1:20" x14ac:dyDescent="0.55000000000000004">
      <c r="A174">
        <v>120</v>
      </c>
      <c r="B174" s="2">
        <v>45597.429166666669</v>
      </c>
      <c r="C174" t="s">
        <v>215</v>
      </c>
      <c r="D174">
        <v>2</v>
      </c>
      <c r="E174" t="s">
        <v>49</v>
      </c>
      <c r="F174" t="str">
        <f t="shared" si="12"/>
        <v>Paranephrops planifrons</v>
      </c>
      <c r="G174" t="str">
        <f t="shared" si="13"/>
        <v>Freshwater_crayfish</v>
      </c>
      <c r="H174" t="str">
        <f t="shared" si="14"/>
        <v>Kōura</v>
      </c>
      <c r="I174" t="str">
        <f t="shared" si="15"/>
        <v>Native</v>
      </c>
      <c r="J174" t="str">
        <f t="shared" si="16"/>
        <v>Yes</v>
      </c>
      <c r="K174" t="s">
        <v>48</v>
      </c>
      <c r="L174">
        <v>33</v>
      </c>
      <c r="M174">
        <v>28</v>
      </c>
      <c r="N174">
        <v>1</v>
      </c>
      <c r="S174" t="str">
        <f t="shared" si="17"/>
        <v/>
      </c>
    </row>
    <row r="175" spans="1:20" x14ac:dyDescent="0.55000000000000004">
      <c r="A175">
        <v>120</v>
      </c>
      <c r="B175" s="2">
        <v>45597.429166666669</v>
      </c>
      <c r="C175" t="s">
        <v>215</v>
      </c>
      <c r="D175">
        <v>2</v>
      </c>
      <c r="E175" t="s">
        <v>49</v>
      </c>
      <c r="F175" t="str">
        <f t="shared" si="12"/>
        <v>Paranephrops planifrons</v>
      </c>
      <c r="G175" t="str">
        <f t="shared" si="13"/>
        <v>Freshwater_crayfish</v>
      </c>
      <c r="H175" t="str">
        <f t="shared" si="14"/>
        <v>Kōura</v>
      </c>
      <c r="I175" t="str">
        <f t="shared" si="15"/>
        <v>Native</v>
      </c>
      <c r="J175" t="str">
        <f t="shared" si="16"/>
        <v>Yes</v>
      </c>
      <c r="K175" t="s">
        <v>48</v>
      </c>
      <c r="L175">
        <v>32</v>
      </c>
      <c r="M175">
        <v>27</v>
      </c>
      <c r="N175">
        <v>1</v>
      </c>
      <c r="S175" t="str">
        <f t="shared" si="17"/>
        <v/>
      </c>
    </row>
    <row r="176" spans="1:20" x14ac:dyDescent="0.55000000000000004">
      <c r="A176">
        <v>120</v>
      </c>
      <c r="B176" s="2">
        <v>45597.429166666669</v>
      </c>
      <c r="C176" t="s">
        <v>215</v>
      </c>
      <c r="D176">
        <v>2</v>
      </c>
      <c r="E176" t="s">
        <v>49</v>
      </c>
      <c r="F176" t="str">
        <f t="shared" si="12"/>
        <v>Paranephrops planifrons</v>
      </c>
      <c r="G176" t="str">
        <f t="shared" si="13"/>
        <v>Freshwater_crayfish</v>
      </c>
      <c r="H176" t="str">
        <f t="shared" si="14"/>
        <v>Kōura</v>
      </c>
      <c r="I176" t="str">
        <f t="shared" si="15"/>
        <v>Native</v>
      </c>
      <c r="J176" t="str">
        <f t="shared" si="16"/>
        <v>Yes</v>
      </c>
      <c r="K176" t="s">
        <v>48</v>
      </c>
      <c r="L176">
        <v>35</v>
      </c>
      <c r="M176">
        <v>32</v>
      </c>
      <c r="N176">
        <v>1</v>
      </c>
      <c r="S176" t="str">
        <f t="shared" si="17"/>
        <v/>
      </c>
    </row>
    <row r="177" spans="1:20" x14ac:dyDescent="0.55000000000000004">
      <c r="A177">
        <v>120</v>
      </c>
      <c r="B177" s="2">
        <v>45597.429166666669</v>
      </c>
      <c r="C177" t="s">
        <v>215</v>
      </c>
      <c r="D177">
        <v>2</v>
      </c>
      <c r="E177" t="s">
        <v>49</v>
      </c>
      <c r="F177" t="str">
        <f t="shared" si="12"/>
        <v>Paranephrops planifrons</v>
      </c>
      <c r="G177" t="str">
        <f t="shared" si="13"/>
        <v>Freshwater_crayfish</v>
      </c>
      <c r="H177" t="str">
        <f t="shared" si="14"/>
        <v>Kōura</v>
      </c>
      <c r="I177" t="str">
        <f t="shared" si="15"/>
        <v>Native</v>
      </c>
      <c r="J177" t="str">
        <f t="shared" si="16"/>
        <v>Yes</v>
      </c>
      <c r="K177" t="s">
        <v>50</v>
      </c>
      <c r="L177">
        <v>22</v>
      </c>
      <c r="M177">
        <v>15</v>
      </c>
      <c r="N177">
        <v>1</v>
      </c>
      <c r="S177" t="str">
        <f t="shared" si="17"/>
        <v/>
      </c>
    </row>
    <row r="178" spans="1:20" x14ac:dyDescent="0.55000000000000004">
      <c r="A178">
        <v>120</v>
      </c>
      <c r="B178" s="2">
        <v>45597.429166666669</v>
      </c>
      <c r="C178" t="s">
        <v>215</v>
      </c>
      <c r="D178">
        <v>2</v>
      </c>
      <c r="E178" t="s">
        <v>49</v>
      </c>
      <c r="F178" t="str">
        <f t="shared" si="12"/>
        <v>Paranephrops planifrons</v>
      </c>
      <c r="G178" t="str">
        <f t="shared" si="13"/>
        <v>Freshwater_crayfish</v>
      </c>
      <c r="H178" t="str">
        <f t="shared" si="14"/>
        <v>Kōura</v>
      </c>
      <c r="I178" t="str">
        <f t="shared" si="15"/>
        <v>Native</v>
      </c>
      <c r="J178" t="str">
        <f t="shared" si="16"/>
        <v>Yes</v>
      </c>
      <c r="K178" t="s">
        <v>48</v>
      </c>
      <c r="L178">
        <v>20</v>
      </c>
      <c r="M178">
        <v>6</v>
      </c>
      <c r="N178">
        <v>1</v>
      </c>
      <c r="S178" t="str">
        <f t="shared" si="17"/>
        <v/>
      </c>
    </row>
    <row r="179" spans="1:20" x14ac:dyDescent="0.55000000000000004">
      <c r="A179">
        <v>120</v>
      </c>
      <c r="B179" s="2">
        <v>45597.429166666669</v>
      </c>
      <c r="C179" t="s">
        <v>215</v>
      </c>
      <c r="D179">
        <v>2</v>
      </c>
      <c r="E179" t="s">
        <v>49</v>
      </c>
      <c r="F179" t="str">
        <f t="shared" si="12"/>
        <v>Paranephrops planifrons</v>
      </c>
      <c r="G179" t="str">
        <f t="shared" si="13"/>
        <v>Freshwater_crayfish</v>
      </c>
      <c r="H179" t="str">
        <f t="shared" si="14"/>
        <v>Kōura</v>
      </c>
      <c r="I179" t="str">
        <f t="shared" si="15"/>
        <v>Native</v>
      </c>
      <c r="J179" t="str">
        <f t="shared" si="16"/>
        <v>Yes</v>
      </c>
      <c r="K179" t="s">
        <v>48</v>
      </c>
      <c r="L179">
        <v>13</v>
      </c>
      <c r="M179">
        <v>3</v>
      </c>
      <c r="N179">
        <v>1</v>
      </c>
      <c r="S179" t="str">
        <f t="shared" si="17"/>
        <v/>
      </c>
    </row>
    <row r="180" spans="1:20" x14ac:dyDescent="0.55000000000000004">
      <c r="A180">
        <v>120</v>
      </c>
      <c r="B180" s="2">
        <v>45597.429166666669</v>
      </c>
      <c r="C180" t="s">
        <v>215</v>
      </c>
      <c r="D180">
        <v>2</v>
      </c>
      <c r="E180" t="s">
        <v>46</v>
      </c>
      <c r="F180" t="str">
        <f t="shared" si="12"/>
        <v>Galaxias brevipinnis</v>
      </c>
      <c r="G180" t="str">
        <f t="shared" si="13"/>
        <v>Climbing_galaxias</v>
      </c>
      <c r="H180" t="str">
        <f t="shared" si="14"/>
        <v>Kōaro</v>
      </c>
      <c r="I180" t="str">
        <f t="shared" si="15"/>
        <v>Native</v>
      </c>
      <c r="J180" t="str">
        <f t="shared" si="16"/>
        <v>Yes</v>
      </c>
      <c r="L180">
        <v>100</v>
      </c>
      <c r="M180">
        <v>9</v>
      </c>
      <c r="N180">
        <v>1</v>
      </c>
      <c r="S180" t="str">
        <f t="shared" si="17"/>
        <v/>
      </c>
    </row>
    <row r="181" spans="1:20" x14ac:dyDescent="0.55000000000000004">
      <c r="A181">
        <v>120</v>
      </c>
      <c r="B181" s="2">
        <v>45597.429166666669</v>
      </c>
      <c r="C181" t="s">
        <v>215</v>
      </c>
      <c r="D181">
        <v>2</v>
      </c>
      <c r="E181" t="s">
        <v>46</v>
      </c>
      <c r="F181" t="str">
        <f t="shared" si="12"/>
        <v>Galaxias brevipinnis</v>
      </c>
      <c r="G181" t="str">
        <f t="shared" si="13"/>
        <v>Climbing_galaxias</v>
      </c>
      <c r="H181" t="str">
        <f t="shared" si="14"/>
        <v>Kōaro</v>
      </c>
      <c r="I181" t="str">
        <f t="shared" si="15"/>
        <v>Native</v>
      </c>
      <c r="J181" t="str">
        <f t="shared" si="16"/>
        <v>Yes</v>
      </c>
      <c r="L181">
        <v>80</v>
      </c>
      <c r="M181">
        <v>5</v>
      </c>
      <c r="N181">
        <v>1</v>
      </c>
      <c r="S181" t="str">
        <f t="shared" si="17"/>
        <v/>
      </c>
    </row>
    <row r="182" spans="1:20" x14ac:dyDescent="0.55000000000000004">
      <c r="A182">
        <v>120</v>
      </c>
      <c r="B182" s="2">
        <v>45597.429166666669</v>
      </c>
      <c r="C182" t="s">
        <v>215</v>
      </c>
      <c r="D182">
        <v>2</v>
      </c>
      <c r="E182" t="s">
        <v>247</v>
      </c>
      <c r="F182" t="str">
        <f t="shared" si="12"/>
        <v>Retropinna retropinna</v>
      </c>
      <c r="G182" t="str">
        <f t="shared" si="13"/>
        <v>Common_smelt</v>
      </c>
      <c r="H182" t="str">
        <f t="shared" si="14"/>
        <v>Common_smelt</v>
      </c>
      <c r="I182" t="str">
        <f t="shared" si="15"/>
        <v>Native</v>
      </c>
      <c r="J182" t="str">
        <f t="shared" si="16"/>
        <v>No</v>
      </c>
      <c r="L182">
        <v>55</v>
      </c>
      <c r="N182">
        <v>1</v>
      </c>
      <c r="S182" t="str">
        <f t="shared" si="17"/>
        <v/>
      </c>
    </row>
    <row r="183" spans="1:20" x14ac:dyDescent="0.55000000000000004">
      <c r="A183">
        <v>120</v>
      </c>
      <c r="B183" s="2">
        <v>45597.429166666669</v>
      </c>
      <c r="C183" t="s">
        <v>215</v>
      </c>
      <c r="D183">
        <v>2</v>
      </c>
      <c r="E183" t="s">
        <v>247</v>
      </c>
      <c r="F183" t="str">
        <f t="shared" si="12"/>
        <v>Retropinna retropinna</v>
      </c>
      <c r="G183" t="str">
        <f t="shared" si="13"/>
        <v>Common_smelt</v>
      </c>
      <c r="H183" t="str">
        <f t="shared" si="14"/>
        <v>Common_smelt</v>
      </c>
      <c r="I183" t="str">
        <f t="shared" si="15"/>
        <v>Native</v>
      </c>
      <c r="J183" t="str">
        <f t="shared" si="16"/>
        <v>No</v>
      </c>
      <c r="L183">
        <v>55</v>
      </c>
      <c r="N183">
        <v>1</v>
      </c>
      <c r="S183" t="str">
        <f t="shared" si="17"/>
        <v/>
      </c>
    </row>
    <row r="184" spans="1:20" x14ac:dyDescent="0.55000000000000004">
      <c r="A184">
        <v>120</v>
      </c>
      <c r="B184" s="2">
        <v>45597.429166666669</v>
      </c>
      <c r="C184" t="s">
        <v>215</v>
      </c>
      <c r="D184">
        <v>2</v>
      </c>
      <c r="E184" t="s">
        <v>44</v>
      </c>
      <c r="F184" t="str">
        <f t="shared" si="12"/>
        <v>Gobiomorphus cotidianus</v>
      </c>
      <c r="G184" t="str">
        <f t="shared" si="13"/>
        <v>Common_bully</v>
      </c>
      <c r="H184" t="str">
        <f t="shared" si="14"/>
        <v>Toitoi</v>
      </c>
      <c r="I184" t="str">
        <f t="shared" si="15"/>
        <v>Native</v>
      </c>
      <c r="J184" t="str">
        <f t="shared" si="16"/>
        <v>No</v>
      </c>
      <c r="N184">
        <v>50</v>
      </c>
      <c r="S184" t="str">
        <f t="shared" si="17"/>
        <v/>
      </c>
      <c r="T184" t="s">
        <v>280</v>
      </c>
    </row>
    <row r="185" spans="1:20" x14ac:dyDescent="0.55000000000000004">
      <c r="A185">
        <v>97</v>
      </c>
      <c r="B185" s="2">
        <v>45603.524305555555</v>
      </c>
      <c r="C185" t="s">
        <v>216</v>
      </c>
      <c r="D185">
        <v>2</v>
      </c>
      <c r="E185" t="s">
        <v>49</v>
      </c>
      <c r="F185" t="str">
        <f t="shared" si="12"/>
        <v>Paranephrops planifrons</v>
      </c>
      <c r="G185" t="str">
        <f t="shared" si="13"/>
        <v>Freshwater_crayfish</v>
      </c>
      <c r="H185" t="str">
        <f t="shared" si="14"/>
        <v>Kōura</v>
      </c>
      <c r="I185" t="str">
        <f t="shared" si="15"/>
        <v>Native</v>
      </c>
      <c r="J185" t="str">
        <f t="shared" si="16"/>
        <v>Yes</v>
      </c>
      <c r="K185" t="s">
        <v>50</v>
      </c>
      <c r="L185">
        <v>34</v>
      </c>
      <c r="N185">
        <v>1</v>
      </c>
      <c r="S185" t="str">
        <f t="shared" si="17"/>
        <v/>
      </c>
    </row>
    <row r="186" spans="1:20" x14ac:dyDescent="0.55000000000000004">
      <c r="A186">
        <v>97</v>
      </c>
      <c r="B186" s="2">
        <v>45603.524305555555</v>
      </c>
      <c r="C186" t="s">
        <v>216</v>
      </c>
      <c r="D186">
        <v>2</v>
      </c>
      <c r="E186" t="s">
        <v>49</v>
      </c>
      <c r="F186" t="str">
        <f t="shared" si="12"/>
        <v>Paranephrops planifrons</v>
      </c>
      <c r="G186" t="str">
        <f t="shared" si="13"/>
        <v>Freshwater_crayfish</v>
      </c>
      <c r="H186" t="str">
        <f t="shared" si="14"/>
        <v>Kōura</v>
      </c>
      <c r="I186" t="str">
        <f t="shared" si="15"/>
        <v>Native</v>
      </c>
      <c r="J186" t="str">
        <f t="shared" si="16"/>
        <v>Yes</v>
      </c>
      <c r="K186" t="s">
        <v>50</v>
      </c>
      <c r="L186">
        <v>29</v>
      </c>
      <c r="N186">
        <v>1</v>
      </c>
      <c r="S186" t="str">
        <f t="shared" si="17"/>
        <v/>
      </c>
    </row>
    <row r="187" spans="1:20" x14ac:dyDescent="0.55000000000000004">
      <c r="A187">
        <v>97</v>
      </c>
      <c r="B187" s="2">
        <v>45603.524305497682</v>
      </c>
      <c r="C187" t="s">
        <v>216</v>
      </c>
      <c r="D187">
        <v>2</v>
      </c>
      <c r="E187" t="s">
        <v>49</v>
      </c>
      <c r="F187" t="str">
        <f t="shared" si="12"/>
        <v>Paranephrops planifrons</v>
      </c>
      <c r="G187" t="str">
        <f t="shared" si="13"/>
        <v>Freshwater_crayfish</v>
      </c>
      <c r="H187" t="str">
        <f t="shared" si="14"/>
        <v>Kōura</v>
      </c>
      <c r="I187" t="str">
        <f t="shared" si="15"/>
        <v>Native</v>
      </c>
      <c r="J187" t="str">
        <f t="shared" si="16"/>
        <v>Yes</v>
      </c>
      <c r="K187" t="s">
        <v>48</v>
      </c>
      <c r="L187">
        <v>26</v>
      </c>
      <c r="N187">
        <v>1</v>
      </c>
      <c r="S187" t="str">
        <f t="shared" si="17"/>
        <v/>
      </c>
    </row>
    <row r="188" spans="1:20" x14ac:dyDescent="0.55000000000000004">
      <c r="A188">
        <v>97</v>
      </c>
      <c r="B188" s="2">
        <v>45603.524305497682</v>
      </c>
      <c r="C188" t="s">
        <v>216</v>
      </c>
      <c r="D188">
        <v>2</v>
      </c>
      <c r="E188" t="s">
        <v>49</v>
      </c>
      <c r="F188" t="str">
        <f t="shared" si="12"/>
        <v>Paranephrops planifrons</v>
      </c>
      <c r="G188" t="str">
        <f t="shared" si="13"/>
        <v>Freshwater_crayfish</v>
      </c>
      <c r="H188" t="str">
        <f t="shared" si="14"/>
        <v>Kōura</v>
      </c>
      <c r="I188" t="str">
        <f t="shared" si="15"/>
        <v>Native</v>
      </c>
      <c r="J188" t="str">
        <f t="shared" si="16"/>
        <v>Yes</v>
      </c>
      <c r="K188" t="s">
        <v>48</v>
      </c>
      <c r="L188">
        <v>31</v>
      </c>
      <c r="N188">
        <v>1</v>
      </c>
      <c r="S188" t="str">
        <f t="shared" si="17"/>
        <v/>
      </c>
    </row>
    <row r="189" spans="1:20" x14ac:dyDescent="0.55000000000000004">
      <c r="A189">
        <v>97</v>
      </c>
      <c r="B189" s="2">
        <v>45603.524305497682</v>
      </c>
      <c r="C189" t="s">
        <v>216</v>
      </c>
      <c r="D189">
        <v>2</v>
      </c>
      <c r="E189" t="s">
        <v>49</v>
      </c>
      <c r="F189" t="str">
        <f t="shared" si="12"/>
        <v>Paranephrops planifrons</v>
      </c>
      <c r="G189" t="str">
        <f t="shared" si="13"/>
        <v>Freshwater_crayfish</v>
      </c>
      <c r="H189" t="str">
        <f t="shared" si="14"/>
        <v>Kōura</v>
      </c>
      <c r="I189" t="str">
        <f t="shared" si="15"/>
        <v>Native</v>
      </c>
      <c r="J189" t="str">
        <f t="shared" si="16"/>
        <v>Yes</v>
      </c>
      <c r="K189" t="s">
        <v>48</v>
      </c>
      <c r="L189">
        <v>28</v>
      </c>
      <c r="N189">
        <v>1</v>
      </c>
      <c r="S189" t="str">
        <f t="shared" si="17"/>
        <v/>
      </c>
    </row>
    <row r="190" spans="1:20" x14ac:dyDescent="0.55000000000000004">
      <c r="A190">
        <v>97</v>
      </c>
      <c r="B190" s="2">
        <v>45603.524305497682</v>
      </c>
      <c r="C190" t="s">
        <v>216</v>
      </c>
      <c r="D190">
        <v>2</v>
      </c>
      <c r="E190" t="s">
        <v>49</v>
      </c>
      <c r="F190" t="str">
        <f t="shared" si="12"/>
        <v>Paranephrops planifrons</v>
      </c>
      <c r="G190" t="str">
        <f t="shared" si="13"/>
        <v>Freshwater_crayfish</v>
      </c>
      <c r="H190" t="str">
        <f t="shared" si="14"/>
        <v>Kōura</v>
      </c>
      <c r="I190" t="str">
        <f t="shared" si="15"/>
        <v>Native</v>
      </c>
      <c r="J190" t="str">
        <f t="shared" si="16"/>
        <v>Yes</v>
      </c>
      <c r="K190" t="s">
        <v>48</v>
      </c>
      <c r="L190">
        <v>24</v>
      </c>
      <c r="N190">
        <v>1</v>
      </c>
      <c r="S190" t="str">
        <f t="shared" si="17"/>
        <v/>
      </c>
    </row>
    <row r="191" spans="1:20" x14ac:dyDescent="0.55000000000000004">
      <c r="A191">
        <v>97</v>
      </c>
      <c r="B191" s="2">
        <v>45603.524305497682</v>
      </c>
      <c r="C191" t="s">
        <v>216</v>
      </c>
      <c r="D191">
        <v>2</v>
      </c>
      <c r="E191" t="s">
        <v>44</v>
      </c>
      <c r="F191" t="str">
        <f t="shared" si="12"/>
        <v>Gobiomorphus cotidianus</v>
      </c>
      <c r="G191" t="str">
        <f t="shared" si="13"/>
        <v>Common_bully</v>
      </c>
      <c r="H191" t="str">
        <f t="shared" si="14"/>
        <v>Toitoi</v>
      </c>
      <c r="I191" t="str">
        <f t="shared" si="15"/>
        <v>Native</v>
      </c>
      <c r="J191" t="str">
        <f t="shared" si="16"/>
        <v>No</v>
      </c>
      <c r="L191">
        <v>43</v>
      </c>
      <c r="N191">
        <v>1</v>
      </c>
      <c r="S191" t="str">
        <f t="shared" si="17"/>
        <v/>
      </c>
    </row>
    <row r="192" spans="1:20" x14ac:dyDescent="0.55000000000000004">
      <c r="A192">
        <v>97</v>
      </c>
      <c r="B192" s="2">
        <v>45603.524305497682</v>
      </c>
      <c r="C192" t="s">
        <v>215</v>
      </c>
      <c r="D192">
        <v>2</v>
      </c>
      <c r="E192" t="s">
        <v>44</v>
      </c>
      <c r="F192" t="str">
        <f t="shared" si="12"/>
        <v>Gobiomorphus cotidianus</v>
      </c>
      <c r="G192" t="str">
        <f t="shared" si="13"/>
        <v>Common_bully</v>
      </c>
      <c r="H192" t="str">
        <f t="shared" si="14"/>
        <v>Toitoi</v>
      </c>
      <c r="I192" t="str">
        <f t="shared" si="15"/>
        <v>Native</v>
      </c>
      <c r="J192" t="str">
        <f t="shared" si="16"/>
        <v>No</v>
      </c>
      <c r="R192">
        <v>1.3</v>
      </c>
      <c r="S192">
        <f t="shared" si="17"/>
        <v>307.56439999999998</v>
      </c>
    </row>
    <row r="193" spans="1:19" x14ac:dyDescent="0.55000000000000004">
      <c r="A193">
        <v>97</v>
      </c>
      <c r="B193" s="2">
        <v>45603.524305497682</v>
      </c>
      <c r="C193" t="s">
        <v>215</v>
      </c>
      <c r="D193">
        <v>2</v>
      </c>
      <c r="E193" t="s">
        <v>49</v>
      </c>
      <c r="F193" t="str">
        <f t="shared" si="12"/>
        <v>Paranephrops planifrons</v>
      </c>
      <c r="G193" t="str">
        <f t="shared" si="13"/>
        <v>Freshwater_crayfish</v>
      </c>
      <c r="H193" t="str">
        <f t="shared" si="14"/>
        <v>Kōura</v>
      </c>
      <c r="I193" t="str">
        <f t="shared" si="15"/>
        <v>Native</v>
      </c>
      <c r="J193" t="str">
        <f t="shared" si="16"/>
        <v>Yes</v>
      </c>
      <c r="K193" t="s">
        <v>48</v>
      </c>
      <c r="L193">
        <v>28</v>
      </c>
      <c r="N193">
        <v>1</v>
      </c>
      <c r="S193" t="str">
        <f t="shared" si="17"/>
        <v/>
      </c>
    </row>
    <row r="194" spans="1:19" x14ac:dyDescent="0.55000000000000004">
      <c r="A194">
        <v>97</v>
      </c>
      <c r="B194" s="2">
        <v>45603.524305497682</v>
      </c>
      <c r="C194" t="s">
        <v>215</v>
      </c>
      <c r="D194">
        <v>2</v>
      </c>
      <c r="E194" t="s">
        <v>49</v>
      </c>
      <c r="F194" t="str">
        <f t="shared" ref="F194:F257" si="18">VLOOKUP($E194, $V$1:$AA$9, 2, FALSE)</f>
        <v>Paranephrops planifrons</v>
      </c>
      <c r="G194" t="str">
        <f t="shared" ref="G194:G257" si="19">VLOOKUP($E194, $V$1:$AA$9, 3, FALSE)</f>
        <v>Freshwater_crayfish</v>
      </c>
      <c r="H194" t="str">
        <f t="shared" ref="H194:H257" si="20">VLOOKUP($E194, $V$1:$AA$9, 4, FALSE)</f>
        <v>Kōura</v>
      </c>
      <c r="I194" t="str">
        <f t="shared" ref="I194:I257" si="21">VLOOKUP($E194, $V$1:$AB$9, 5, FALSE)</f>
        <v>Native</v>
      </c>
      <c r="J194" t="str">
        <f t="shared" ref="J194:J257" si="22">VLOOKUP($E194, $V$1:$AA$9, 6, FALSE)</f>
        <v>Yes</v>
      </c>
      <c r="K194" t="s">
        <v>50</v>
      </c>
      <c r="L194">
        <v>30</v>
      </c>
      <c r="N194">
        <v>1</v>
      </c>
      <c r="O194">
        <v>1</v>
      </c>
      <c r="S194" t="str">
        <f t="shared" si="17"/>
        <v/>
      </c>
    </row>
    <row r="195" spans="1:19" x14ac:dyDescent="0.55000000000000004">
      <c r="A195">
        <v>97</v>
      </c>
      <c r="B195" s="2">
        <v>45603.524305497682</v>
      </c>
      <c r="C195" t="s">
        <v>215</v>
      </c>
      <c r="D195">
        <v>2</v>
      </c>
      <c r="E195" t="s">
        <v>49</v>
      </c>
      <c r="F195" t="str">
        <f t="shared" si="18"/>
        <v>Paranephrops planifrons</v>
      </c>
      <c r="G195" t="str">
        <f t="shared" si="19"/>
        <v>Freshwater_crayfish</v>
      </c>
      <c r="H195" t="str">
        <f t="shared" si="20"/>
        <v>Kōura</v>
      </c>
      <c r="I195" t="str">
        <f t="shared" si="21"/>
        <v>Native</v>
      </c>
      <c r="J195" t="str">
        <f t="shared" si="22"/>
        <v>Yes</v>
      </c>
      <c r="K195" t="s">
        <v>48</v>
      </c>
      <c r="L195">
        <v>22</v>
      </c>
      <c r="N195">
        <v>1</v>
      </c>
      <c r="S195" t="str">
        <f t="shared" ref="S195:S258" si="23">IF(R195&lt;&gt;"", R195*236.588, "")</f>
        <v/>
      </c>
    </row>
    <row r="196" spans="1:19" x14ac:dyDescent="0.55000000000000004">
      <c r="A196">
        <v>97</v>
      </c>
      <c r="B196" s="2">
        <v>45603.524305439816</v>
      </c>
      <c r="C196" t="s">
        <v>215</v>
      </c>
      <c r="D196">
        <v>2</v>
      </c>
      <c r="E196" t="s">
        <v>49</v>
      </c>
      <c r="F196" t="str">
        <f t="shared" si="18"/>
        <v>Paranephrops planifrons</v>
      </c>
      <c r="G196" t="str">
        <f t="shared" si="19"/>
        <v>Freshwater_crayfish</v>
      </c>
      <c r="H196" t="str">
        <f t="shared" si="20"/>
        <v>Kōura</v>
      </c>
      <c r="I196" t="str">
        <f t="shared" si="21"/>
        <v>Native</v>
      </c>
      <c r="J196" t="str">
        <f t="shared" si="22"/>
        <v>Yes</v>
      </c>
      <c r="K196" t="s">
        <v>48</v>
      </c>
      <c r="L196">
        <v>19</v>
      </c>
      <c r="N196">
        <v>1</v>
      </c>
      <c r="S196" t="str">
        <f t="shared" si="23"/>
        <v/>
      </c>
    </row>
    <row r="197" spans="1:19" x14ac:dyDescent="0.55000000000000004">
      <c r="A197">
        <v>97</v>
      </c>
      <c r="B197" s="2">
        <v>45603.524305439816</v>
      </c>
      <c r="C197" t="s">
        <v>215</v>
      </c>
      <c r="D197">
        <v>2</v>
      </c>
      <c r="E197" t="s">
        <v>49</v>
      </c>
      <c r="F197" t="str">
        <f t="shared" si="18"/>
        <v>Paranephrops planifrons</v>
      </c>
      <c r="G197" t="str">
        <f t="shared" si="19"/>
        <v>Freshwater_crayfish</v>
      </c>
      <c r="H197" t="str">
        <f t="shared" si="20"/>
        <v>Kōura</v>
      </c>
      <c r="I197" t="str">
        <f t="shared" si="21"/>
        <v>Native</v>
      </c>
      <c r="J197" t="str">
        <f t="shared" si="22"/>
        <v>Yes</v>
      </c>
      <c r="K197" t="s">
        <v>48</v>
      </c>
      <c r="L197">
        <v>21</v>
      </c>
      <c r="N197">
        <v>1</v>
      </c>
      <c r="S197" t="str">
        <f t="shared" si="23"/>
        <v/>
      </c>
    </row>
    <row r="198" spans="1:19" x14ac:dyDescent="0.55000000000000004">
      <c r="A198">
        <v>97</v>
      </c>
      <c r="B198" s="2">
        <v>45603.524305439816</v>
      </c>
      <c r="C198" t="s">
        <v>215</v>
      </c>
      <c r="D198">
        <v>2</v>
      </c>
      <c r="E198" t="s">
        <v>123</v>
      </c>
      <c r="F198" t="str">
        <f t="shared" si="18"/>
        <v>Carassius auratus</v>
      </c>
      <c r="G198" t="str">
        <f t="shared" si="19"/>
        <v>Goldfish</v>
      </c>
      <c r="H198" t="str">
        <f t="shared" si="20"/>
        <v>Morihana</v>
      </c>
      <c r="I198" t="str">
        <f t="shared" si="21"/>
        <v>Nonnative</v>
      </c>
      <c r="J198" t="str">
        <f t="shared" si="22"/>
        <v>No</v>
      </c>
      <c r="L198">
        <v>161</v>
      </c>
      <c r="N198">
        <v>1</v>
      </c>
      <c r="S198" t="str">
        <f t="shared" si="23"/>
        <v/>
      </c>
    </row>
    <row r="199" spans="1:19" x14ac:dyDescent="0.55000000000000004">
      <c r="A199">
        <v>97</v>
      </c>
      <c r="B199" s="2">
        <v>45603.524305439816</v>
      </c>
      <c r="C199" t="s">
        <v>215</v>
      </c>
      <c r="D199">
        <v>2</v>
      </c>
      <c r="E199" t="s">
        <v>44</v>
      </c>
      <c r="F199" t="str">
        <f t="shared" si="18"/>
        <v>Gobiomorphus cotidianus</v>
      </c>
      <c r="G199" t="str">
        <f t="shared" si="19"/>
        <v>Common_bully</v>
      </c>
      <c r="H199" t="str">
        <f t="shared" si="20"/>
        <v>Toitoi</v>
      </c>
      <c r="I199" t="str">
        <f t="shared" si="21"/>
        <v>Native</v>
      </c>
      <c r="J199" t="str">
        <f t="shared" si="22"/>
        <v>No</v>
      </c>
      <c r="R199">
        <v>2</v>
      </c>
      <c r="S199">
        <f t="shared" si="23"/>
        <v>473.17599999999999</v>
      </c>
    </row>
    <row r="200" spans="1:19" x14ac:dyDescent="0.55000000000000004">
      <c r="A200">
        <v>97</v>
      </c>
      <c r="B200" s="2">
        <v>45603.524305439816</v>
      </c>
      <c r="C200" t="s">
        <v>215</v>
      </c>
      <c r="D200">
        <v>2</v>
      </c>
      <c r="E200" t="s">
        <v>49</v>
      </c>
      <c r="F200" t="str">
        <f t="shared" si="18"/>
        <v>Paranephrops planifrons</v>
      </c>
      <c r="G200" t="str">
        <f t="shared" si="19"/>
        <v>Freshwater_crayfish</v>
      </c>
      <c r="H200" t="str">
        <f t="shared" si="20"/>
        <v>Kōura</v>
      </c>
      <c r="I200" t="str">
        <f t="shared" si="21"/>
        <v>Native</v>
      </c>
      <c r="J200" t="str">
        <f t="shared" si="22"/>
        <v>Yes</v>
      </c>
      <c r="K200" t="s">
        <v>48</v>
      </c>
      <c r="L200">
        <v>40</v>
      </c>
      <c r="N200">
        <v>1</v>
      </c>
      <c r="S200" t="str">
        <f t="shared" si="23"/>
        <v/>
      </c>
    </row>
    <row r="201" spans="1:19" x14ac:dyDescent="0.55000000000000004">
      <c r="A201">
        <v>97</v>
      </c>
      <c r="B201" s="2">
        <v>45603.524305439816</v>
      </c>
      <c r="C201" t="s">
        <v>215</v>
      </c>
      <c r="D201">
        <v>2</v>
      </c>
      <c r="E201" t="s">
        <v>49</v>
      </c>
      <c r="F201" t="str">
        <f t="shared" si="18"/>
        <v>Paranephrops planifrons</v>
      </c>
      <c r="G201" t="str">
        <f t="shared" si="19"/>
        <v>Freshwater_crayfish</v>
      </c>
      <c r="H201" t="str">
        <f t="shared" si="20"/>
        <v>Kōura</v>
      </c>
      <c r="I201" t="str">
        <f t="shared" si="21"/>
        <v>Native</v>
      </c>
      <c r="J201" t="str">
        <f t="shared" si="22"/>
        <v>Yes</v>
      </c>
      <c r="K201" t="s">
        <v>50</v>
      </c>
      <c r="L201">
        <v>22</v>
      </c>
      <c r="N201">
        <v>1</v>
      </c>
      <c r="S201" t="str">
        <f t="shared" si="23"/>
        <v/>
      </c>
    </row>
    <row r="202" spans="1:19" x14ac:dyDescent="0.55000000000000004">
      <c r="A202">
        <v>97</v>
      </c>
      <c r="B202" s="2">
        <v>45603.524305439816</v>
      </c>
      <c r="C202" t="s">
        <v>215</v>
      </c>
      <c r="D202">
        <v>2</v>
      </c>
      <c r="E202" t="s">
        <v>49</v>
      </c>
      <c r="F202" t="str">
        <f t="shared" si="18"/>
        <v>Paranephrops planifrons</v>
      </c>
      <c r="G202" t="str">
        <f t="shared" si="19"/>
        <v>Freshwater_crayfish</v>
      </c>
      <c r="H202" t="str">
        <f t="shared" si="20"/>
        <v>Kōura</v>
      </c>
      <c r="I202" t="str">
        <f t="shared" si="21"/>
        <v>Native</v>
      </c>
      <c r="J202" t="str">
        <f t="shared" si="22"/>
        <v>Yes</v>
      </c>
      <c r="K202" t="s">
        <v>48</v>
      </c>
      <c r="L202">
        <v>24</v>
      </c>
      <c r="N202">
        <v>1</v>
      </c>
      <c r="S202" t="str">
        <f t="shared" si="23"/>
        <v/>
      </c>
    </row>
    <row r="203" spans="1:19" x14ac:dyDescent="0.55000000000000004">
      <c r="A203">
        <v>97</v>
      </c>
      <c r="B203" s="2">
        <v>45603.524305439816</v>
      </c>
      <c r="C203" t="s">
        <v>215</v>
      </c>
      <c r="D203">
        <v>2</v>
      </c>
      <c r="E203" t="s">
        <v>49</v>
      </c>
      <c r="F203" t="str">
        <f t="shared" si="18"/>
        <v>Paranephrops planifrons</v>
      </c>
      <c r="G203" t="str">
        <f t="shared" si="19"/>
        <v>Freshwater_crayfish</v>
      </c>
      <c r="H203" t="str">
        <f t="shared" si="20"/>
        <v>Kōura</v>
      </c>
      <c r="I203" t="str">
        <f t="shared" si="21"/>
        <v>Native</v>
      </c>
      <c r="J203" t="str">
        <f t="shared" si="22"/>
        <v>Yes</v>
      </c>
      <c r="K203" t="s">
        <v>48</v>
      </c>
      <c r="L203">
        <v>20</v>
      </c>
      <c r="N203">
        <v>1</v>
      </c>
      <c r="S203" t="str">
        <f t="shared" si="23"/>
        <v/>
      </c>
    </row>
    <row r="204" spans="1:19" x14ac:dyDescent="0.55000000000000004">
      <c r="A204">
        <v>97</v>
      </c>
      <c r="B204" s="2">
        <v>45603.524305439816</v>
      </c>
      <c r="C204" t="s">
        <v>215</v>
      </c>
      <c r="D204">
        <v>2</v>
      </c>
      <c r="E204" t="s">
        <v>49</v>
      </c>
      <c r="F204" t="str">
        <f t="shared" si="18"/>
        <v>Paranephrops planifrons</v>
      </c>
      <c r="G204" t="str">
        <f t="shared" si="19"/>
        <v>Freshwater_crayfish</v>
      </c>
      <c r="H204" t="str">
        <f t="shared" si="20"/>
        <v>Kōura</v>
      </c>
      <c r="I204" t="str">
        <f t="shared" si="21"/>
        <v>Native</v>
      </c>
      <c r="J204" t="str">
        <f t="shared" si="22"/>
        <v>Yes</v>
      </c>
      <c r="K204" t="s">
        <v>48</v>
      </c>
      <c r="L204">
        <v>24</v>
      </c>
      <c r="N204">
        <v>1</v>
      </c>
      <c r="S204" t="str">
        <f t="shared" si="23"/>
        <v/>
      </c>
    </row>
    <row r="205" spans="1:19" x14ac:dyDescent="0.55000000000000004">
      <c r="A205">
        <v>98</v>
      </c>
      <c r="B205" s="2">
        <v>45603.5625</v>
      </c>
      <c r="C205" t="s">
        <v>216</v>
      </c>
      <c r="D205">
        <v>2</v>
      </c>
      <c r="E205" t="s">
        <v>49</v>
      </c>
      <c r="F205" t="str">
        <f t="shared" si="18"/>
        <v>Paranephrops planifrons</v>
      </c>
      <c r="G205" t="str">
        <f t="shared" si="19"/>
        <v>Freshwater_crayfish</v>
      </c>
      <c r="H205" t="str">
        <f t="shared" si="20"/>
        <v>Kōura</v>
      </c>
      <c r="I205" t="str">
        <f t="shared" si="21"/>
        <v>Native</v>
      </c>
      <c r="J205" t="str">
        <f t="shared" si="22"/>
        <v>Yes</v>
      </c>
      <c r="K205" t="s">
        <v>48</v>
      </c>
      <c r="L205">
        <v>48.77</v>
      </c>
      <c r="N205">
        <v>1</v>
      </c>
      <c r="S205" t="str">
        <f t="shared" si="23"/>
        <v/>
      </c>
    </row>
    <row r="206" spans="1:19" x14ac:dyDescent="0.55000000000000004">
      <c r="A206">
        <v>98</v>
      </c>
      <c r="B206" s="2">
        <v>45603.5625</v>
      </c>
      <c r="C206" t="s">
        <v>216</v>
      </c>
      <c r="D206">
        <v>2</v>
      </c>
      <c r="E206" t="s">
        <v>49</v>
      </c>
      <c r="F206" t="str">
        <f t="shared" si="18"/>
        <v>Paranephrops planifrons</v>
      </c>
      <c r="G206" t="str">
        <f t="shared" si="19"/>
        <v>Freshwater_crayfish</v>
      </c>
      <c r="H206" t="str">
        <f t="shared" si="20"/>
        <v>Kōura</v>
      </c>
      <c r="I206" t="str">
        <f t="shared" si="21"/>
        <v>Native</v>
      </c>
      <c r="J206" t="str">
        <f t="shared" si="22"/>
        <v>Yes</v>
      </c>
      <c r="K206" t="s">
        <v>48</v>
      </c>
      <c r="L206">
        <v>46.44</v>
      </c>
      <c r="N206">
        <v>1</v>
      </c>
      <c r="S206" t="str">
        <f t="shared" si="23"/>
        <v/>
      </c>
    </row>
    <row r="207" spans="1:19" x14ac:dyDescent="0.55000000000000004">
      <c r="A207">
        <v>98</v>
      </c>
      <c r="B207" s="2">
        <v>45603.5625</v>
      </c>
      <c r="C207" t="s">
        <v>216</v>
      </c>
      <c r="D207">
        <v>2</v>
      </c>
      <c r="E207" t="s">
        <v>49</v>
      </c>
      <c r="F207" t="str">
        <f t="shared" si="18"/>
        <v>Paranephrops planifrons</v>
      </c>
      <c r="G207" t="str">
        <f t="shared" si="19"/>
        <v>Freshwater_crayfish</v>
      </c>
      <c r="H207" t="str">
        <f t="shared" si="20"/>
        <v>Kōura</v>
      </c>
      <c r="I207" t="str">
        <f t="shared" si="21"/>
        <v>Native</v>
      </c>
      <c r="J207" t="str">
        <f t="shared" si="22"/>
        <v>Yes</v>
      </c>
      <c r="K207" t="s">
        <v>48</v>
      </c>
      <c r="L207">
        <v>34.01</v>
      </c>
      <c r="N207">
        <v>1</v>
      </c>
      <c r="S207" t="str">
        <f t="shared" si="23"/>
        <v/>
      </c>
    </row>
    <row r="208" spans="1:19" x14ac:dyDescent="0.55000000000000004">
      <c r="A208">
        <v>98</v>
      </c>
      <c r="B208" s="2">
        <v>45603.5625</v>
      </c>
      <c r="C208" t="s">
        <v>216</v>
      </c>
      <c r="D208">
        <v>2</v>
      </c>
      <c r="E208" t="s">
        <v>49</v>
      </c>
      <c r="F208" t="str">
        <f t="shared" si="18"/>
        <v>Paranephrops planifrons</v>
      </c>
      <c r="G208" t="str">
        <f t="shared" si="19"/>
        <v>Freshwater_crayfish</v>
      </c>
      <c r="H208" t="str">
        <f t="shared" si="20"/>
        <v>Kōura</v>
      </c>
      <c r="I208" t="str">
        <f t="shared" si="21"/>
        <v>Native</v>
      </c>
      <c r="J208" t="str">
        <f t="shared" si="22"/>
        <v>Yes</v>
      </c>
      <c r="K208" t="s">
        <v>48</v>
      </c>
      <c r="L208">
        <v>33.880000000000003</v>
      </c>
      <c r="N208">
        <v>1</v>
      </c>
      <c r="S208" t="str">
        <f t="shared" si="23"/>
        <v/>
      </c>
    </row>
    <row r="209" spans="1:19" x14ac:dyDescent="0.55000000000000004">
      <c r="A209">
        <v>98</v>
      </c>
      <c r="B209" s="2">
        <v>45603.5625</v>
      </c>
      <c r="C209" t="s">
        <v>216</v>
      </c>
      <c r="D209">
        <v>2</v>
      </c>
      <c r="E209" t="s">
        <v>49</v>
      </c>
      <c r="F209" t="str">
        <f t="shared" si="18"/>
        <v>Paranephrops planifrons</v>
      </c>
      <c r="G209" t="str">
        <f t="shared" si="19"/>
        <v>Freshwater_crayfish</v>
      </c>
      <c r="H209" t="str">
        <f t="shared" si="20"/>
        <v>Kōura</v>
      </c>
      <c r="I209" t="str">
        <f t="shared" si="21"/>
        <v>Native</v>
      </c>
      <c r="J209" t="str">
        <f t="shared" si="22"/>
        <v>Yes</v>
      </c>
      <c r="K209" t="s">
        <v>50</v>
      </c>
      <c r="L209">
        <v>26.26</v>
      </c>
      <c r="N209">
        <v>1</v>
      </c>
      <c r="S209" t="str">
        <f t="shared" si="23"/>
        <v/>
      </c>
    </row>
    <row r="210" spans="1:19" x14ac:dyDescent="0.55000000000000004">
      <c r="A210">
        <v>98</v>
      </c>
      <c r="B210" s="2">
        <v>45603.5625</v>
      </c>
      <c r="C210" t="s">
        <v>216</v>
      </c>
      <c r="D210">
        <v>2</v>
      </c>
      <c r="E210" t="s">
        <v>49</v>
      </c>
      <c r="F210" t="str">
        <f t="shared" si="18"/>
        <v>Paranephrops planifrons</v>
      </c>
      <c r="G210" t="str">
        <f t="shared" si="19"/>
        <v>Freshwater_crayfish</v>
      </c>
      <c r="H210" t="str">
        <f t="shared" si="20"/>
        <v>Kōura</v>
      </c>
      <c r="I210" t="str">
        <f t="shared" si="21"/>
        <v>Native</v>
      </c>
      <c r="J210" t="str">
        <f t="shared" si="22"/>
        <v>Yes</v>
      </c>
      <c r="K210" t="s">
        <v>50</v>
      </c>
      <c r="L210">
        <v>19.29</v>
      </c>
      <c r="N210">
        <v>1</v>
      </c>
      <c r="S210" t="str">
        <f t="shared" si="23"/>
        <v/>
      </c>
    </row>
    <row r="211" spans="1:19" x14ac:dyDescent="0.55000000000000004">
      <c r="A211">
        <v>98</v>
      </c>
      <c r="B211" s="2">
        <v>45603.5625</v>
      </c>
      <c r="C211" t="s">
        <v>216</v>
      </c>
      <c r="D211">
        <v>2</v>
      </c>
      <c r="E211" t="s">
        <v>49</v>
      </c>
      <c r="F211" t="str">
        <f t="shared" si="18"/>
        <v>Paranephrops planifrons</v>
      </c>
      <c r="G211" t="str">
        <f t="shared" si="19"/>
        <v>Freshwater_crayfish</v>
      </c>
      <c r="H211" t="str">
        <f t="shared" si="20"/>
        <v>Kōura</v>
      </c>
      <c r="I211" t="str">
        <f t="shared" si="21"/>
        <v>Native</v>
      </c>
      <c r="J211" t="str">
        <f t="shared" si="22"/>
        <v>Yes</v>
      </c>
      <c r="K211" t="s">
        <v>48</v>
      </c>
      <c r="L211">
        <v>18.690000000000001</v>
      </c>
      <c r="N211">
        <v>1</v>
      </c>
      <c r="S211" t="str">
        <f t="shared" si="23"/>
        <v/>
      </c>
    </row>
    <row r="212" spans="1:19" x14ac:dyDescent="0.55000000000000004">
      <c r="A212">
        <v>98</v>
      </c>
      <c r="B212" s="2">
        <v>45603.5625</v>
      </c>
      <c r="C212" t="s">
        <v>216</v>
      </c>
      <c r="D212">
        <v>2</v>
      </c>
      <c r="E212" t="s">
        <v>49</v>
      </c>
      <c r="F212" t="str">
        <f t="shared" si="18"/>
        <v>Paranephrops planifrons</v>
      </c>
      <c r="G212" t="str">
        <f t="shared" si="19"/>
        <v>Freshwater_crayfish</v>
      </c>
      <c r="H212" t="str">
        <f t="shared" si="20"/>
        <v>Kōura</v>
      </c>
      <c r="I212" t="str">
        <f t="shared" si="21"/>
        <v>Native</v>
      </c>
      <c r="J212" t="str">
        <f t="shared" si="22"/>
        <v>Yes</v>
      </c>
      <c r="K212" t="s">
        <v>50</v>
      </c>
      <c r="L212">
        <v>28.83</v>
      </c>
      <c r="N212">
        <v>1</v>
      </c>
      <c r="Q212">
        <v>1</v>
      </c>
      <c r="S212" t="str">
        <f t="shared" si="23"/>
        <v/>
      </c>
    </row>
    <row r="213" spans="1:19" x14ac:dyDescent="0.55000000000000004">
      <c r="A213">
        <v>98</v>
      </c>
      <c r="B213" s="2">
        <v>45603.5625</v>
      </c>
      <c r="C213" t="s">
        <v>216</v>
      </c>
      <c r="D213">
        <v>2</v>
      </c>
      <c r="E213" t="s">
        <v>49</v>
      </c>
      <c r="F213" t="str">
        <f t="shared" si="18"/>
        <v>Paranephrops planifrons</v>
      </c>
      <c r="G213" t="str">
        <f t="shared" si="19"/>
        <v>Freshwater_crayfish</v>
      </c>
      <c r="H213" t="str">
        <f t="shared" si="20"/>
        <v>Kōura</v>
      </c>
      <c r="I213" t="str">
        <f t="shared" si="21"/>
        <v>Native</v>
      </c>
      <c r="J213" t="str">
        <f t="shared" si="22"/>
        <v>Yes</v>
      </c>
      <c r="K213" t="s">
        <v>48</v>
      </c>
      <c r="L213">
        <v>27.65</v>
      </c>
      <c r="N213">
        <v>1</v>
      </c>
      <c r="S213" t="str">
        <f t="shared" si="23"/>
        <v/>
      </c>
    </row>
    <row r="214" spans="1:19" x14ac:dyDescent="0.55000000000000004">
      <c r="A214">
        <v>98</v>
      </c>
      <c r="B214" s="2">
        <v>45603.5625</v>
      </c>
      <c r="C214" t="s">
        <v>216</v>
      </c>
      <c r="D214">
        <v>2</v>
      </c>
      <c r="E214" t="s">
        <v>49</v>
      </c>
      <c r="F214" t="str">
        <f t="shared" si="18"/>
        <v>Paranephrops planifrons</v>
      </c>
      <c r="G214" t="str">
        <f t="shared" si="19"/>
        <v>Freshwater_crayfish</v>
      </c>
      <c r="H214" t="str">
        <f t="shared" si="20"/>
        <v>Kōura</v>
      </c>
      <c r="I214" t="str">
        <f t="shared" si="21"/>
        <v>Native</v>
      </c>
      <c r="J214" t="str">
        <f t="shared" si="22"/>
        <v>Yes</v>
      </c>
      <c r="K214" t="s">
        <v>48</v>
      </c>
      <c r="L214">
        <v>22.23</v>
      </c>
      <c r="N214">
        <v>1</v>
      </c>
      <c r="S214" t="str">
        <f t="shared" si="23"/>
        <v/>
      </c>
    </row>
    <row r="215" spans="1:19" x14ac:dyDescent="0.55000000000000004">
      <c r="A215">
        <v>98</v>
      </c>
      <c r="B215" s="2">
        <v>45603.5625</v>
      </c>
      <c r="C215" t="s">
        <v>216</v>
      </c>
      <c r="D215">
        <v>2</v>
      </c>
      <c r="E215" t="s">
        <v>49</v>
      </c>
      <c r="F215" t="str">
        <f t="shared" si="18"/>
        <v>Paranephrops planifrons</v>
      </c>
      <c r="G215" t="str">
        <f t="shared" si="19"/>
        <v>Freshwater_crayfish</v>
      </c>
      <c r="H215" t="str">
        <f t="shared" si="20"/>
        <v>Kōura</v>
      </c>
      <c r="I215" t="str">
        <f t="shared" si="21"/>
        <v>Native</v>
      </c>
      <c r="J215" t="str">
        <f t="shared" si="22"/>
        <v>Yes</v>
      </c>
      <c r="K215" t="s">
        <v>48</v>
      </c>
      <c r="L215">
        <v>21.88</v>
      </c>
      <c r="N215">
        <v>1</v>
      </c>
      <c r="S215" t="str">
        <f t="shared" si="23"/>
        <v/>
      </c>
    </row>
    <row r="216" spans="1:19" x14ac:dyDescent="0.55000000000000004">
      <c r="A216">
        <v>98</v>
      </c>
      <c r="B216" s="2">
        <v>45603.5625</v>
      </c>
      <c r="C216" t="s">
        <v>216</v>
      </c>
      <c r="D216">
        <v>2</v>
      </c>
      <c r="E216" t="s">
        <v>49</v>
      </c>
      <c r="F216" t="str">
        <f t="shared" si="18"/>
        <v>Paranephrops planifrons</v>
      </c>
      <c r="G216" t="str">
        <f t="shared" si="19"/>
        <v>Freshwater_crayfish</v>
      </c>
      <c r="H216" t="str">
        <f t="shared" si="20"/>
        <v>Kōura</v>
      </c>
      <c r="I216" t="str">
        <f t="shared" si="21"/>
        <v>Native</v>
      </c>
      <c r="J216" t="str">
        <f t="shared" si="22"/>
        <v>Yes</v>
      </c>
      <c r="K216" t="s">
        <v>50</v>
      </c>
      <c r="L216">
        <v>21.71</v>
      </c>
      <c r="N216">
        <v>1</v>
      </c>
      <c r="P216">
        <v>1</v>
      </c>
      <c r="S216" t="str">
        <f t="shared" si="23"/>
        <v/>
      </c>
    </row>
    <row r="217" spans="1:19" x14ac:dyDescent="0.55000000000000004">
      <c r="A217">
        <v>98</v>
      </c>
      <c r="B217" s="2">
        <v>45603.5625</v>
      </c>
      <c r="C217" t="s">
        <v>216</v>
      </c>
      <c r="D217">
        <v>2</v>
      </c>
      <c r="E217" t="s">
        <v>49</v>
      </c>
      <c r="F217" t="str">
        <f t="shared" si="18"/>
        <v>Paranephrops planifrons</v>
      </c>
      <c r="G217" t="str">
        <f t="shared" si="19"/>
        <v>Freshwater_crayfish</v>
      </c>
      <c r="H217" t="str">
        <f t="shared" si="20"/>
        <v>Kōura</v>
      </c>
      <c r="I217" t="str">
        <f t="shared" si="21"/>
        <v>Native</v>
      </c>
      <c r="J217" t="str">
        <f t="shared" si="22"/>
        <v>Yes</v>
      </c>
      <c r="K217" t="s">
        <v>48</v>
      </c>
      <c r="L217">
        <v>20.91</v>
      </c>
      <c r="N217">
        <v>1</v>
      </c>
      <c r="S217" t="str">
        <f t="shared" si="23"/>
        <v/>
      </c>
    </row>
    <row r="218" spans="1:19" x14ac:dyDescent="0.55000000000000004">
      <c r="A218">
        <v>98</v>
      </c>
      <c r="B218" s="2">
        <v>45603.5625</v>
      </c>
      <c r="C218" t="s">
        <v>216</v>
      </c>
      <c r="D218">
        <v>2</v>
      </c>
      <c r="E218" t="s">
        <v>49</v>
      </c>
      <c r="F218" t="str">
        <f t="shared" si="18"/>
        <v>Paranephrops planifrons</v>
      </c>
      <c r="G218" t="str">
        <f t="shared" si="19"/>
        <v>Freshwater_crayfish</v>
      </c>
      <c r="H218" t="str">
        <f t="shared" si="20"/>
        <v>Kōura</v>
      </c>
      <c r="I218" t="str">
        <f t="shared" si="21"/>
        <v>Native</v>
      </c>
      <c r="J218" t="str">
        <f t="shared" si="22"/>
        <v>Yes</v>
      </c>
      <c r="K218" t="s">
        <v>48</v>
      </c>
      <c r="L218">
        <v>22.44</v>
      </c>
      <c r="N218">
        <v>1</v>
      </c>
      <c r="S218" t="str">
        <f t="shared" si="23"/>
        <v/>
      </c>
    </row>
    <row r="219" spans="1:19" x14ac:dyDescent="0.55000000000000004">
      <c r="A219">
        <v>98</v>
      </c>
      <c r="B219" s="2">
        <v>45603.5625</v>
      </c>
      <c r="C219" t="s">
        <v>216</v>
      </c>
      <c r="D219">
        <v>2</v>
      </c>
      <c r="E219" t="s">
        <v>49</v>
      </c>
      <c r="F219" t="str">
        <f t="shared" si="18"/>
        <v>Paranephrops planifrons</v>
      </c>
      <c r="G219" t="str">
        <f t="shared" si="19"/>
        <v>Freshwater_crayfish</v>
      </c>
      <c r="H219" t="str">
        <f t="shared" si="20"/>
        <v>Kōura</v>
      </c>
      <c r="I219" t="str">
        <f t="shared" si="21"/>
        <v>Native</v>
      </c>
      <c r="J219" t="str">
        <f t="shared" si="22"/>
        <v>Yes</v>
      </c>
      <c r="K219" t="s">
        <v>48</v>
      </c>
      <c r="L219">
        <v>18.88</v>
      </c>
      <c r="N219">
        <v>1</v>
      </c>
      <c r="S219" t="str">
        <f t="shared" si="23"/>
        <v/>
      </c>
    </row>
    <row r="220" spans="1:19" x14ac:dyDescent="0.55000000000000004">
      <c r="A220">
        <v>98</v>
      </c>
      <c r="B220" s="2">
        <v>45603.5625</v>
      </c>
      <c r="C220" t="s">
        <v>216</v>
      </c>
      <c r="D220">
        <v>2</v>
      </c>
      <c r="E220" t="s">
        <v>49</v>
      </c>
      <c r="F220" t="str">
        <f t="shared" si="18"/>
        <v>Paranephrops planifrons</v>
      </c>
      <c r="G220" t="str">
        <f t="shared" si="19"/>
        <v>Freshwater_crayfish</v>
      </c>
      <c r="H220" t="str">
        <f t="shared" si="20"/>
        <v>Kōura</v>
      </c>
      <c r="I220" t="str">
        <f t="shared" si="21"/>
        <v>Native</v>
      </c>
      <c r="J220" t="str">
        <f t="shared" si="22"/>
        <v>Yes</v>
      </c>
      <c r="K220" t="s">
        <v>48</v>
      </c>
      <c r="L220">
        <v>25.08</v>
      </c>
      <c r="N220">
        <v>1</v>
      </c>
      <c r="S220" t="str">
        <f t="shared" si="23"/>
        <v/>
      </c>
    </row>
    <row r="221" spans="1:19" x14ac:dyDescent="0.55000000000000004">
      <c r="A221">
        <v>98</v>
      </c>
      <c r="B221" s="2">
        <v>45603.5625</v>
      </c>
      <c r="C221" t="s">
        <v>216</v>
      </c>
      <c r="D221">
        <v>2</v>
      </c>
      <c r="E221" t="s">
        <v>49</v>
      </c>
      <c r="F221" t="str">
        <f t="shared" si="18"/>
        <v>Paranephrops planifrons</v>
      </c>
      <c r="G221" t="str">
        <f t="shared" si="19"/>
        <v>Freshwater_crayfish</v>
      </c>
      <c r="H221" t="str">
        <f t="shared" si="20"/>
        <v>Kōura</v>
      </c>
      <c r="I221" t="str">
        <f t="shared" si="21"/>
        <v>Native</v>
      </c>
      <c r="J221" t="str">
        <f t="shared" si="22"/>
        <v>Yes</v>
      </c>
      <c r="K221" t="s">
        <v>48</v>
      </c>
      <c r="L221">
        <v>30.16</v>
      </c>
      <c r="N221">
        <v>1</v>
      </c>
      <c r="S221" t="str">
        <f t="shared" si="23"/>
        <v/>
      </c>
    </row>
    <row r="222" spans="1:19" x14ac:dyDescent="0.55000000000000004">
      <c r="A222">
        <v>98</v>
      </c>
      <c r="B222" s="2">
        <v>45603.5625</v>
      </c>
      <c r="C222" t="s">
        <v>216</v>
      </c>
      <c r="D222">
        <v>2</v>
      </c>
      <c r="E222" t="s">
        <v>44</v>
      </c>
      <c r="F222" t="str">
        <f t="shared" si="18"/>
        <v>Gobiomorphus cotidianus</v>
      </c>
      <c r="G222" t="str">
        <f t="shared" si="19"/>
        <v>Common_bully</v>
      </c>
      <c r="H222" t="str">
        <f t="shared" si="20"/>
        <v>Toitoi</v>
      </c>
      <c r="I222" t="str">
        <f t="shared" si="21"/>
        <v>Native</v>
      </c>
      <c r="J222" t="str">
        <f t="shared" si="22"/>
        <v>No</v>
      </c>
      <c r="N222">
        <v>27</v>
      </c>
      <c r="S222" t="str">
        <f t="shared" si="23"/>
        <v/>
      </c>
    </row>
    <row r="223" spans="1:19" x14ac:dyDescent="0.55000000000000004">
      <c r="A223">
        <v>98</v>
      </c>
      <c r="B223" s="2">
        <v>45603.5625</v>
      </c>
      <c r="C223" t="s">
        <v>215</v>
      </c>
      <c r="D223">
        <v>2</v>
      </c>
      <c r="E223" t="s">
        <v>49</v>
      </c>
      <c r="F223" t="str">
        <f t="shared" si="18"/>
        <v>Paranephrops planifrons</v>
      </c>
      <c r="G223" t="str">
        <f t="shared" si="19"/>
        <v>Freshwater_crayfish</v>
      </c>
      <c r="H223" t="str">
        <f t="shared" si="20"/>
        <v>Kōura</v>
      </c>
      <c r="I223" t="str">
        <f t="shared" si="21"/>
        <v>Native</v>
      </c>
      <c r="J223" t="str">
        <f t="shared" si="22"/>
        <v>Yes</v>
      </c>
      <c r="K223" t="s">
        <v>50</v>
      </c>
      <c r="L223">
        <v>15.15</v>
      </c>
      <c r="N223">
        <v>1</v>
      </c>
      <c r="S223" t="str">
        <f t="shared" si="23"/>
        <v/>
      </c>
    </row>
    <row r="224" spans="1:19" x14ac:dyDescent="0.55000000000000004">
      <c r="A224">
        <v>98</v>
      </c>
      <c r="B224" s="2">
        <v>45603.5625</v>
      </c>
      <c r="C224" t="s">
        <v>215</v>
      </c>
      <c r="D224">
        <v>2</v>
      </c>
      <c r="E224" t="s">
        <v>49</v>
      </c>
      <c r="F224" t="str">
        <f t="shared" si="18"/>
        <v>Paranephrops planifrons</v>
      </c>
      <c r="G224" t="str">
        <f t="shared" si="19"/>
        <v>Freshwater_crayfish</v>
      </c>
      <c r="H224" t="str">
        <f t="shared" si="20"/>
        <v>Kōura</v>
      </c>
      <c r="I224" t="str">
        <f t="shared" si="21"/>
        <v>Native</v>
      </c>
      <c r="J224" t="str">
        <f t="shared" si="22"/>
        <v>Yes</v>
      </c>
      <c r="K224" t="s">
        <v>50</v>
      </c>
      <c r="L224">
        <v>17.48</v>
      </c>
      <c r="N224">
        <v>1</v>
      </c>
      <c r="S224" t="str">
        <f t="shared" si="23"/>
        <v/>
      </c>
    </row>
    <row r="225" spans="1:19" x14ac:dyDescent="0.55000000000000004">
      <c r="A225">
        <v>98</v>
      </c>
      <c r="B225" s="2">
        <v>45603.5625</v>
      </c>
      <c r="C225" t="s">
        <v>215</v>
      </c>
      <c r="D225">
        <v>2</v>
      </c>
      <c r="E225" t="s">
        <v>49</v>
      </c>
      <c r="F225" t="str">
        <f t="shared" si="18"/>
        <v>Paranephrops planifrons</v>
      </c>
      <c r="G225" t="str">
        <f t="shared" si="19"/>
        <v>Freshwater_crayfish</v>
      </c>
      <c r="H225" t="str">
        <f t="shared" si="20"/>
        <v>Kōura</v>
      </c>
      <c r="I225" t="str">
        <f t="shared" si="21"/>
        <v>Native</v>
      </c>
      <c r="J225" t="str">
        <f t="shared" si="22"/>
        <v>Yes</v>
      </c>
      <c r="K225" t="s">
        <v>48</v>
      </c>
      <c r="L225">
        <v>12.9</v>
      </c>
      <c r="N225">
        <v>1</v>
      </c>
      <c r="S225" t="str">
        <f t="shared" si="23"/>
        <v/>
      </c>
    </row>
    <row r="226" spans="1:19" x14ac:dyDescent="0.55000000000000004">
      <c r="A226">
        <v>98</v>
      </c>
      <c r="B226" s="2">
        <v>45603.5625</v>
      </c>
      <c r="C226" t="s">
        <v>215</v>
      </c>
      <c r="D226">
        <v>2</v>
      </c>
      <c r="E226" t="s">
        <v>49</v>
      </c>
      <c r="F226" t="str">
        <f t="shared" si="18"/>
        <v>Paranephrops planifrons</v>
      </c>
      <c r="G226" t="str">
        <f t="shared" si="19"/>
        <v>Freshwater_crayfish</v>
      </c>
      <c r="H226" t="str">
        <f t="shared" si="20"/>
        <v>Kōura</v>
      </c>
      <c r="I226" t="str">
        <f t="shared" si="21"/>
        <v>Native</v>
      </c>
      <c r="J226" t="str">
        <f t="shared" si="22"/>
        <v>Yes</v>
      </c>
      <c r="K226" t="s">
        <v>50</v>
      </c>
      <c r="L226">
        <v>19.82</v>
      </c>
      <c r="N226">
        <v>1</v>
      </c>
      <c r="S226" t="str">
        <f t="shared" si="23"/>
        <v/>
      </c>
    </row>
    <row r="227" spans="1:19" x14ac:dyDescent="0.55000000000000004">
      <c r="A227">
        <v>98</v>
      </c>
      <c r="B227" s="2">
        <v>45603.5625</v>
      </c>
      <c r="C227" t="s">
        <v>215</v>
      </c>
      <c r="D227">
        <v>2</v>
      </c>
      <c r="E227" t="s">
        <v>49</v>
      </c>
      <c r="F227" t="str">
        <f t="shared" si="18"/>
        <v>Paranephrops planifrons</v>
      </c>
      <c r="G227" t="str">
        <f t="shared" si="19"/>
        <v>Freshwater_crayfish</v>
      </c>
      <c r="H227" t="str">
        <f t="shared" si="20"/>
        <v>Kōura</v>
      </c>
      <c r="I227" t="str">
        <f t="shared" si="21"/>
        <v>Native</v>
      </c>
      <c r="J227" t="str">
        <f t="shared" si="22"/>
        <v>Yes</v>
      </c>
      <c r="K227" t="s">
        <v>48</v>
      </c>
      <c r="L227">
        <v>27.12</v>
      </c>
      <c r="N227">
        <v>1</v>
      </c>
      <c r="S227" t="str">
        <f t="shared" si="23"/>
        <v/>
      </c>
    </row>
    <row r="228" spans="1:19" x14ac:dyDescent="0.55000000000000004">
      <c r="A228">
        <v>98</v>
      </c>
      <c r="B228" s="2">
        <v>45603.5625</v>
      </c>
      <c r="C228" t="s">
        <v>215</v>
      </c>
      <c r="D228">
        <v>2</v>
      </c>
      <c r="E228" t="s">
        <v>49</v>
      </c>
      <c r="F228" t="str">
        <f t="shared" si="18"/>
        <v>Paranephrops planifrons</v>
      </c>
      <c r="G228" t="str">
        <f t="shared" si="19"/>
        <v>Freshwater_crayfish</v>
      </c>
      <c r="H228" t="str">
        <f t="shared" si="20"/>
        <v>Kōura</v>
      </c>
      <c r="I228" t="str">
        <f t="shared" si="21"/>
        <v>Native</v>
      </c>
      <c r="J228" t="str">
        <f t="shared" si="22"/>
        <v>Yes</v>
      </c>
      <c r="K228" t="s">
        <v>48</v>
      </c>
      <c r="L228">
        <v>28.17</v>
      </c>
      <c r="N228">
        <v>1</v>
      </c>
      <c r="S228" t="str">
        <f t="shared" si="23"/>
        <v/>
      </c>
    </row>
    <row r="229" spans="1:19" x14ac:dyDescent="0.55000000000000004">
      <c r="A229">
        <v>98</v>
      </c>
      <c r="B229" s="2">
        <v>45603.5625</v>
      </c>
      <c r="C229" t="s">
        <v>215</v>
      </c>
      <c r="D229">
        <v>2</v>
      </c>
      <c r="E229" t="s">
        <v>49</v>
      </c>
      <c r="F229" t="str">
        <f t="shared" si="18"/>
        <v>Paranephrops planifrons</v>
      </c>
      <c r="G229" t="str">
        <f t="shared" si="19"/>
        <v>Freshwater_crayfish</v>
      </c>
      <c r="H229" t="str">
        <f t="shared" si="20"/>
        <v>Kōura</v>
      </c>
      <c r="I229" t="str">
        <f t="shared" si="21"/>
        <v>Native</v>
      </c>
      <c r="J229" t="str">
        <f t="shared" si="22"/>
        <v>Yes</v>
      </c>
      <c r="K229" t="s">
        <v>50</v>
      </c>
      <c r="L229">
        <v>18.100000000000001</v>
      </c>
      <c r="N229">
        <v>1</v>
      </c>
      <c r="S229" t="str">
        <f t="shared" si="23"/>
        <v/>
      </c>
    </row>
    <row r="230" spans="1:19" x14ac:dyDescent="0.55000000000000004">
      <c r="A230">
        <v>98</v>
      </c>
      <c r="B230" s="2">
        <v>45603.5625</v>
      </c>
      <c r="C230" t="s">
        <v>215</v>
      </c>
      <c r="D230">
        <v>2</v>
      </c>
      <c r="E230" t="s">
        <v>49</v>
      </c>
      <c r="F230" t="str">
        <f t="shared" si="18"/>
        <v>Paranephrops planifrons</v>
      </c>
      <c r="G230" t="str">
        <f t="shared" si="19"/>
        <v>Freshwater_crayfish</v>
      </c>
      <c r="H230" t="str">
        <f t="shared" si="20"/>
        <v>Kōura</v>
      </c>
      <c r="I230" t="str">
        <f t="shared" si="21"/>
        <v>Native</v>
      </c>
      <c r="J230" t="str">
        <f t="shared" si="22"/>
        <v>Yes</v>
      </c>
      <c r="L230">
        <v>8.7200000000000006</v>
      </c>
      <c r="N230">
        <v>1</v>
      </c>
      <c r="S230" t="str">
        <f t="shared" si="23"/>
        <v/>
      </c>
    </row>
    <row r="231" spans="1:19" x14ac:dyDescent="0.55000000000000004">
      <c r="A231">
        <v>98</v>
      </c>
      <c r="B231" s="2">
        <v>45603.5625</v>
      </c>
      <c r="C231" t="s">
        <v>215</v>
      </c>
      <c r="D231">
        <v>2</v>
      </c>
      <c r="E231" t="s">
        <v>49</v>
      </c>
      <c r="F231" t="str">
        <f t="shared" si="18"/>
        <v>Paranephrops planifrons</v>
      </c>
      <c r="G231" t="str">
        <f t="shared" si="19"/>
        <v>Freshwater_crayfish</v>
      </c>
      <c r="H231" t="str">
        <f t="shared" si="20"/>
        <v>Kōura</v>
      </c>
      <c r="I231" t="str">
        <f t="shared" si="21"/>
        <v>Native</v>
      </c>
      <c r="J231" t="str">
        <f t="shared" si="22"/>
        <v>Yes</v>
      </c>
      <c r="K231" t="s">
        <v>50</v>
      </c>
      <c r="L231">
        <v>18.239999999999998</v>
      </c>
      <c r="N231">
        <v>1</v>
      </c>
      <c r="S231" t="str">
        <f t="shared" si="23"/>
        <v/>
      </c>
    </row>
    <row r="232" spans="1:19" x14ac:dyDescent="0.55000000000000004">
      <c r="A232">
        <v>98</v>
      </c>
      <c r="B232" s="2">
        <v>45603.5625</v>
      </c>
      <c r="C232" t="s">
        <v>215</v>
      </c>
      <c r="D232">
        <v>2</v>
      </c>
      <c r="E232" t="s">
        <v>49</v>
      </c>
      <c r="F232" t="str">
        <f t="shared" si="18"/>
        <v>Paranephrops planifrons</v>
      </c>
      <c r="G232" t="str">
        <f t="shared" si="19"/>
        <v>Freshwater_crayfish</v>
      </c>
      <c r="H232" t="str">
        <f t="shared" si="20"/>
        <v>Kōura</v>
      </c>
      <c r="I232" t="str">
        <f t="shared" si="21"/>
        <v>Native</v>
      </c>
      <c r="J232" t="str">
        <f t="shared" si="22"/>
        <v>Yes</v>
      </c>
      <c r="K232" t="s">
        <v>50</v>
      </c>
      <c r="L232">
        <v>15.67</v>
      </c>
      <c r="N232">
        <v>1</v>
      </c>
      <c r="S232" t="str">
        <f t="shared" si="23"/>
        <v/>
      </c>
    </row>
    <row r="233" spans="1:19" x14ac:dyDescent="0.55000000000000004">
      <c r="A233">
        <v>98</v>
      </c>
      <c r="B233" s="2">
        <v>45603.5625</v>
      </c>
      <c r="C233" t="s">
        <v>215</v>
      </c>
      <c r="D233">
        <v>2</v>
      </c>
      <c r="E233" t="s">
        <v>49</v>
      </c>
      <c r="F233" t="str">
        <f t="shared" si="18"/>
        <v>Paranephrops planifrons</v>
      </c>
      <c r="G233" t="str">
        <f t="shared" si="19"/>
        <v>Freshwater_crayfish</v>
      </c>
      <c r="H233" t="str">
        <f t="shared" si="20"/>
        <v>Kōura</v>
      </c>
      <c r="I233" t="str">
        <f t="shared" si="21"/>
        <v>Native</v>
      </c>
      <c r="J233" t="str">
        <f t="shared" si="22"/>
        <v>Yes</v>
      </c>
      <c r="K233" t="s">
        <v>48</v>
      </c>
      <c r="L233">
        <v>21.52</v>
      </c>
      <c r="N233">
        <v>1</v>
      </c>
      <c r="S233" t="str">
        <f t="shared" si="23"/>
        <v/>
      </c>
    </row>
    <row r="234" spans="1:19" x14ac:dyDescent="0.55000000000000004">
      <c r="A234">
        <v>98</v>
      </c>
      <c r="B234" s="2">
        <v>45603.5625</v>
      </c>
      <c r="C234" t="s">
        <v>215</v>
      </c>
      <c r="D234">
        <v>2</v>
      </c>
      <c r="E234" t="s">
        <v>49</v>
      </c>
      <c r="F234" t="str">
        <f t="shared" si="18"/>
        <v>Paranephrops planifrons</v>
      </c>
      <c r="G234" t="str">
        <f t="shared" si="19"/>
        <v>Freshwater_crayfish</v>
      </c>
      <c r="H234" t="str">
        <f t="shared" si="20"/>
        <v>Kōura</v>
      </c>
      <c r="I234" t="str">
        <f t="shared" si="21"/>
        <v>Native</v>
      </c>
      <c r="J234" t="str">
        <f t="shared" si="22"/>
        <v>Yes</v>
      </c>
      <c r="K234" t="s">
        <v>48</v>
      </c>
      <c r="L234">
        <v>12.9</v>
      </c>
      <c r="N234">
        <v>1</v>
      </c>
      <c r="S234" t="str">
        <f t="shared" si="23"/>
        <v/>
      </c>
    </row>
    <row r="235" spans="1:19" x14ac:dyDescent="0.55000000000000004">
      <c r="A235">
        <v>98</v>
      </c>
      <c r="B235" s="2">
        <v>45603.5625</v>
      </c>
      <c r="C235" t="s">
        <v>215</v>
      </c>
      <c r="D235">
        <v>2</v>
      </c>
      <c r="E235" t="s">
        <v>49</v>
      </c>
      <c r="F235" t="str">
        <f t="shared" si="18"/>
        <v>Paranephrops planifrons</v>
      </c>
      <c r="G235" t="str">
        <f t="shared" si="19"/>
        <v>Freshwater_crayfish</v>
      </c>
      <c r="H235" t="str">
        <f t="shared" si="20"/>
        <v>Kōura</v>
      </c>
      <c r="I235" t="str">
        <f t="shared" si="21"/>
        <v>Native</v>
      </c>
      <c r="J235" t="str">
        <f t="shared" si="22"/>
        <v>Yes</v>
      </c>
      <c r="K235" t="s">
        <v>48</v>
      </c>
      <c r="L235">
        <v>17.46</v>
      </c>
      <c r="N235">
        <v>1</v>
      </c>
      <c r="S235" t="str">
        <f t="shared" si="23"/>
        <v/>
      </c>
    </row>
    <row r="236" spans="1:19" x14ac:dyDescent="0.55000000000000004">
      <c r="A236">
        <v>98</v>
      </c>
      <c r="B236" s="2">
        <v>45603.5625</v>
      </c>
      <c r="C236" t="s">
        <v>215</v>
      </c>
      <c r="D236">
        <v>2</v>
      </c>
      <c r="E236" t="s">
        <v>49</v>
      </c>
      <c r="F236" t="str">
        <f t="shared" si="18"/>
        <v>Paranephrops planifrons</v>
      </c>
      <c r="G236" t="str">
        <f t="shared" si="19"/>
        <v>Freshwater_crayfish</v>
      </c>
      <c r="H236" t="str">
        <f t="shared" si="20"/>
        <v>Kōura</v>
      </c>
      <c r="I236" t="str">
        <f t="shared" si="21"/>
        <v>Native</v>
      </c>
      <c r="J236" t="str">
        <f t="shared" si="22"/>
        <v>Yes</v>
      </c>
      <c r="K236" t="s">
        <v>50</v>
      </c>
      <c r="L236">
        <v>18.39</v>
      </c>
      <c r="N236">
        <v>1</v>
      </c>
      <c r="S236" t="str">
        <f t="shared" si="23"/>
        <v/>
      </c>
    </row>
    <row r="237" spans="1:19" x14ac:dyDescent="0.55000000000000004">
      <c r="A237">
        <v>98</v>
      </c>
      <c r="B237" s="2">
        <v>45603.5625</v>
      </c>
      <c r="C237" t="s">
        <v>215</v>
      </c>
      <c r="D237">
        <v>2</v>
      </c>
      <c r="E237" t="s">
        <v>49</v>
      </c>
      <c r="F237" t="str">
        <f t="shared" si="18"/>
        <v>Paranephrops planifrons</v>
      </c>
      <c r="G237" t="str">
        <f t="shared" si="19"/>
        <v>Freshwater_crayfish</v>
      </c>
      <c r="H237" t="str">
        <f t="shared" si="20"/>
        <v>Kōura</v>
      </c>
      <c r="I237" t="str">
        <f t="shared" si="21"/>
        <v>Native</v>
      </c>
      <c r="J237" t="str">
        <f t="shared" si="22"/>
        <v>Yes</v>
      </c>
      <c r="K237" t="s">
        <v>48</v>
      </c>
      <c r="L237">
        <v>18.38</v>
      </c>
      <c r="N237">
        <v>1</v>
      </c>
      <c r="S237" t="str">
        <f t="shared" si="23"/>
        <v/>
      </c>
    </row>
    <row r="238" spans="1:19" x14ac:dyDescent="0.55000000000000004">
      <c r="A238">
        <v>98</v>
      </c>
      <c r="B238" s="2">
        <v>45603.5625</v>
      </c>
      <c r="C238" t="s">
        <v>215</v>
      </c>
      <c r="D238">
        <v>2</v>
      </c>
      <c r="E238" t="s">
        <v>49</v>
      </c>
      <c r="F238" t="str">
        <f t="shared" si="18"/>
        <v>Paranephrops planifrons</v>
      </c>
      <c r="G238" t="str">
        <f t="shared" si="19"/>
        <v>Freshwater_crayfish</v>
      </c>
      <c r="H238" t="str">
        <f t="shared" si="20"/>
        <v>Kōura</v>
      </c>
      <c r="I238" t="str">
        <f t="shared" si="21"/>
        <v>Native</v>
      </c>
      <c r="J238" t="str">
        <f t="shared" si="22"/>
        <v>Yes</v>
      </c>
      <c r="K238" t="s">
        <v>50</v>
      </c>
      <c r="L238">
        <v>23.53</v>
      </c>
      <c r="N238">
        <v>1</v>
      </c>
      <c r="P238">
        <v>1</v>
      </c>
      <c r="S238" t="str">
        <f t="shared" si="23"/>
        <v/>
      </c>
    </row>
    <row r="239" spans="1:19" x14ac:dyDescent="0.55000000000000004">
      <c r="A239">
        <v>98</v>
      </c>
      <c r="B239" s="2">
        <v>45603.5625</v>
      </c>
      <c r="C239" t="s">
        <v>215</v>
      </c>
      <c r="D239">
        <v>2</v>
      </c>
      <c r="E239" t="s">
        <v>49</v>
      </c>
      <c r="F239" t="str">
        <f t="shared" si="18"/>
        <v>Paranephrops planifrons</v>
      </c>
      <c r="G239" t="str">
        <f t="shared" si="19"/>
        <v>Freshwater_crayfish</v>
      </c>
      <c r="H239" t="str">
        <f t="shared" si="20"/>
        <v>Kōura</v>
      </c>
      <c r="I239" t="str">
        <f t="shared" si="21"/>
        <v>Native</v>
      </c>
      <c r="J239" t="str">
        <f t="shared" si="22"/>
        <v>Yes</v>
      </c>
      <c r="K239" t="s">
        <v>48</v>
      </c>
      <c r="L239">
        <v>13.62</v>
      </c>
      <c r="N239">
        <v>1</v>
      </c>
      <c r="S239" t="str">
        <f t="shared" si="23"/>
        <v/>
      </c>
    </row>
    <row r="240" spans="1:19" x14ac:dyDescent="0.55000000000000004">
      <c r="A240">
        <v>98</v>
      </c>
      <c r="B240" s="2">
        <v>45603.5625</v>
      </c>
      <c r="C240" t="s">
        <v>215</v>
      </c>
      <c r="D240">
        <v>2</v>
      </c>
      <c r="E240" t="s">
        <v>49</v>
      </c>
      <c r="F240" t="str">
        <f t="shared" si="18"/>
        <v>Paranephrops planifrons</v>
      </c>
      <c r="G240" t="str">
        <f t="shared" si="19"/>
        <v>Freshwater_crayfish</v>
      </c>
      <c r="H240" t="str">
        <f t="shared" si="20"/>
        <v>Kōura</v>
      </c>
      <c r="I240" t="str">
        <f t="shared" si="21"/>
        <v>Native</v>
      </c>
      <c r="J240" t="str">
        <f t="shared" si="22"/>
        <v>Yes</v>
      </c>
      <c r="K240" t="s">
        <v>48</v>
      </c>
      <c r="L240">
        <v>12.04</v>
      </c>
      <c r="N240">
        <v>1</v>
      </c>
      <c r="S240" t="str">
        <f t="shared" si="23"/>
        <v/>
      </c>
    </row>
    <row r="241" spans="1:19" x14ac:dyDescent="0.55000000000000004">
      <c r="A241">
        <v>98</v>
      </c>
      <c r="B241" s="2">
        <v>45603.5625</v>
      </c>
      <c r="C241" t="s">
        <v>215</v>
      </c>
      <c r="D241">
        <v>2</v>
      </c>
      <c r="E241" t="s">
        <v>49</v>
      </c>
      <c r="F241" t="str">
        <f t="shared" si="18"/>
        <v>Paranephrops planifrons</v>
      </c>
      <c r="G241" t="str">
        <f t="shared" si="19"/>
        <v>Freshwater_crayfish</v>
      </c>
      <c r="H241" t="str">
        <f t="shared" si="20"/>
        <v>Kōura</v>
      </c>
      <c r="I241" t="str">
        <f t="shared" si="21"/>
        <v>Native</v>
      </c>
      <c r="J241" t="str">
        <f t="shared" si="22"/>
        <v>Yes</v>
      </c>
      <c r="K241" t="s">
        <v>50</v>
      </c>
      <c r="L241">
        <v>12.05</v>
      </c>
      <c r="N241">
        <v>1</v>
      </c>
      <c r="S241" t="str">
        <f t="shared" si="23"/>
        <v/>
      </c>
    </row>
    <row r="242" spans="1:19" x14ac:dyDescent="0.55000000000000004">
      <c r="A242">
        <v>98</v>
      </c>
      <c r="B242" s="2">
        <v>45603.5625</v>
      </c>
      <c r="C242" t="s">
        <v>215</v>
      </c>
      <c r="D242">
        <v>2</v>
      </c>
      <c r="E242" t="s">
        <v>49</v>
      </c>
      <c r="F242" t="str">
        <f t="shared" si="18"/>
        <v>Paranephrops planifrons</v>
      </c>
      <c r="G242" t="str">
        <f t="shared" si="19"/>
        <v>Freshwater_crayfish</v>
      </c>
      <c r="H242" t="str">
        <f t="shared" si="20"/>
        <v>Kōura</v>
      </c>
      <c r="I242" t="str">
        <f t="shared" si="21"/>
        <v>Native</v>
      </c>
      <c r="J242" t="str">
        <f t="shared" si="22"/>
        <v>Yes</v>
      </c>
      <c r="K242" t="s">
        <v>48</v>
      </c>
      <c r="L242">
        <v>13.26</v>
      </c>
      <c r="N242">
        <v>1</v>
      </c>
      <c r="S242" t="str">
        <f t="shared" si="23"/>
        <v/>
      </c>
    </row>
    <row r="243" spans="1:19" x14ac:dyDescent="0.55000000000000004">
      <c r="A243">
        <v>98</v>
      </c>
      <c r="B243" s="2">
        <v>45603.5625</v>
      </c>
      <c r="C243" t="s">
        <v>215</v>
      </c>
      <c r="D243">
        <v>2</v>
      </c>
      <c r="E243" t="s">
        <v>49</v>
      </c>
      <c r="F243" t="str">
        <f t="shared" si="18"/>
        <v>Paranephrops planifrons</v>
      </c>
      <c r="G243" t="str">
        <f t="shared" si="19"/>
        <v>Freshwater_crayfish</v>
      </c>
      <c r="H243" t="str">
        <f t="shared" si="20"/>
        <v>Kōura</v>
      </c>
      <c r="I243" t="str">
        <f t="shared" si="21"/>
        <v>Native</v>
      </c>
      <c r="J243" t="str">
        <f t="shared" si="22"/>
        <v>Yes</v>
      </c>
      <c r="K243" t="s">
        <v>48</v>
      </c>
      <c r="L243">
        <v>16.97</v>
      </c>
      <c r="N243">
        <v>1</v>
      </c>
      <c r="S243" t="str">
        <f t="shared" si="23"/>
        <v/>
      </c>
    </row>
    <row r="244" spans="1:19" x14ac:dyDescent="0.55000000000000004">
      <c r="A244">
        <v>98</v>
      </c>
      <c r="B244" s="2">
        <v>45603.5625</v>
      </c>
      <c r="C244" t="s">
        <v>215</v>
      </c>
      <c r="D244">
        <v>2</v>
      </c>
      <c r="E244" t="s">
        <v>44</v>
      </c>
      <c r="F244" t="str">
        <f t="shared" si="18"/>
        <v>Gobiomorphus cotidianus</v>
      </c>
      <c r="G244" t="str">
        <f t="shared" si="19"/>
        <v>Common_bully</v>
      </c>
      <c r="H244" t="str">
        <f t="shared" si="20"/>
        <v>Toitoi</v>
      </c>
      <c r="I244" t="str">
        <f t="shared" si="21"/>
        <v>Native</v>
      </c>
      <c r="J244" t="str">
        <f t="shared" si="22"/>
        <v>No</v>
      </c>
      <c r="R244">
        <v>1.6</v>
      </c>
      <c r="S244">
        <f t="shared" si="23"/>
        <v>378.54079999999999</v>
      </c>
    </row>
    <row r="245" spans="1:19" x14ac:dyDescent="0.55000000000000004">
      <c r="A245">
        <v>98</v>
      </c>
      <c r="B245" s="2">
        <v>45603.5625</v>
      </c>
      <c r="C245" t="s">
        <v>215</v>
      </c>
      <c r="D245">
        <v>2</v>
      </c>
      <c r="E245" t="s">
        <v>49</v>
      </c>
      <c r="F245" t="str">
        <f t="shared" si="18"/>
        <v>Paranephrops planifrons</v>
      </c>
      <c r="G245" t="str">
        <f t="shared" si="19"/>
        <v>Freshwater_crayfish</v>
      </c>
      <c r="H245" t="str">
        <f t="shared" si="20"/>
        <v>Kōura</v>
      </c>
      <c r="I245" t="str">
        <f t="shared" si="21"/>
        <v>Native</v>
      </c>
      <c r="J245" t="str">
        <f t="shared" si="22"/>
        <v>Yes</v>
      </c>
      <c r="K245" t="s">
        <v>48</v>
      </c>
      <c r="L245">
        <v>9.89</v>
      </c>
      <c r="N245">
        <v>1</v>
      </c>
      <c r="S245" t="str">
        <f t="shared" si="23"/>
        <v/>
      </c>
    </row>
    <row r="246" spans="1:19" x14ac:dyDescent="0.55000000000000004">
      <c r="A246">
        <v>98</v>
      </c>
      <c r="B246" s="2">
        <v>45603.5625</v>
      </c>
      <c r="C246" t="s">
        <v>215</v>
      </c>
      <c r="D246">
        <v>2</v>
      </c>
      <c r="E246" t="s">
        <v>49</v>
      </c>
      <c r="F246" t="str">
        <f t="shared" si="18"/>
        <v>Paranephrops planifrons</v>
      </c>
      <c r="G246" t="str">
        <f t="shared" si="19"/>
        <v>Freshwater_crayfish</v>
      </c>
      <c r="H246" t="str">
        <f t="shared" si="20"/>
        <v>Kōura</v>
      </c>
      <c r="I246" t="str">
        <f t="shared" si="21"/>
        <v>Native</v>
      </c>
      <c r="J246" t="str">
        <f t="shared" si="22"/>
        <v>Yes</v>
      </c>
      <c r="K246" t="s">
        <v>50</v>
      </c>
      <c r="L246">
        <v>15.26</v>
      </c>
      <c r="N246">
        <v>1</v>
      </c>
      <c r="S246" t="str">
        <f t="shared" si="23"/>
        <v/>
      </c>
    </row>
    <row r="247" spans="1:19" x14ac:dyDescent="0.55000000000000004">
      <c r="A247">
        <v>98</v>
      </c>
      <c r="B247" s="2">
        <v>45603.5625</v>
      </c>
      <c r="C247" t="s">
        <v>215</v>
      </c>
      <c r="D247">
        <v>2</v>
      </c>
      <c r="E247" t="s">
        <v>238</v>
      </c>
      <c r="F247" t="str">
        <f t="shared" si="18"/>
        <v>Anguilla dieffenbachii</v>
      </c>
      <c r="G247" t="str">
        <f t="shared" si="19"/>
        <v>Long_fin_eel</v>
      </c>
      <c r="H247" t="str">
        <f t="shared" si="20"/>
        <v>Tuna</v>
      </c>
      <c r="I247" t="str">
        <f t="shared" si="21"/>
        <v>Native</v>
      </c>
      <c r="J247" t="str">
        <f t="shared" si="22"/>
        <v>Yes</v>
      </c>
      <c r="L247">
        <v>850</v>
      </c>
      <c r="N247">
        <v>1</v>
      </c>
      <c r="S247" t="str">
        <f t="shared" si="23"/>
        <v/>
      </c>
    </row>
    <row r="248" spans="1:19" x14ac:dyDescent="0.55000000000000004">
      <c r="A248">
        <v>98</v>
      </c>
      <c r="B248" s="2">
        <v>45603.5625</v>
      </c>
      <c r="C248" t="s">
        <v>215</v>
      </c>
      <c r="D248">
        <v>2</v>
      </c>
      <c r="E248" t="s">
        <v>44</v>
      </c>
      <c r="F248" t="str">
        <f t="shared" si="18"/>
        <v>Gobiomorphus cotidianus</v>
      </c>
      <c r="G248" t="str">
        <f t="shared" si="19"/>
        <v>Common_bully</v>
      </c>
      <c r="H248" t="str">
        <f t="shared" si="20"/>
        <v>Toitoi</v>
      </c>
      <c r="I248" t="str">
        <f t="shared" si="21"/>
        <v>Native</v>
      </c>
      <c r="J248" t="str">
        <f t="shared" si="22"/>
        <v>No</v>
      </c>
      <c r="R248">
        <v>0.33</v>
      </c>
      <c r="S248">
        <f t="shared" si="23"/>
        <v>78.074039999999997</v>
      </c>
    </row>
    <row r="249" spans="1:19" x14ac:dyDescent="0.55000000000000004">
      <c r="A249">
        <v>99</v>
      </c>
      <c r="B249" s="2">
        <v>45603.395833333336</v>
      </c>
      <c r="C249" t="s">
        <v>216</v>
      </c>
      <c r="D249">
        <v>2</v>
      </c>
      <c r="E249" t="s">
        <v>44</v>
      </c>
      <c r="F249" t="str">
        <f t="shared" si="18"/>
        <v>Gobiomorphus cotidianus</v>
      </c>
      <c r="G249" t="str">
        <f t="shared" si="19"/>
        <v>Common_bully</v>
      </c>
      <c r="H249" t="str">
        <f t="shared" si="20"/>
        <v>Toitoi</v>
      </c>
      <c r="I249" t="str">
        <f t="shared" si="21"/>
        <v>Native</v>
      </c>
      <c r="J249" t="str">
        <f t="shared" si="22"/>
        <v>No</v>
      </c>
      <c r="L249">
        <v>72</v>
      </c>
      <c r="M249">
        <f t="shared" ref="M249:M289" si="24">50/42</f>
        <v>1.1904761904761905</v>
      </c>
      <c r="N249">
        <v>1</v>
      </c>
      <c r="S249" t="str">
        <f t="shared" si="23"/>
        <v/>
      </c>
    </row>
    <row r="250" spans="1:19" x14ac:dyDescent="0.55000000000000004">
      <c r="A250">
        <v>99</v>
      </c>
      <c r="B250" s="2">
        <v>45603.395833333336</v>
      </c>
      <c r="C250" t="s">
        <v>216</v>
      </c>
      <c r="D250">
        <v>2</v>
      </c>
      <c r="E250" t="s">
        <v>44</v>
      </c>
      <c r="F250" t="str">
        <f t="shared" si="18"/>
        <v>Gobiomorphus cotidianus</v>
      </c>
      <c r="G250" t="str">
        <f t="shared" si="19"/>
        <v>Common_bully</v>
      </c>
      <c r="H250" t="str">
        <f t="shared" si="20"/>
        <v>Toitoi</v>
      </c>
      <c r="I250" t="str">
        <f t="shared" si="21"/>
        <v>Native</v>
      </c>
      <c r="J250" t="str">
        <f t="shared" si="22"/>
        <v>No</v>
      </c>
      <c r="L250">
        <v>57</v>
      </c>
      <c r="M250">
        <f t="shared" si="24"/>
        <v>1.1904761904761905</v>
      </c>
      <c r="N250">
        <v>1</v>
      </c>
      <c r="S250" t="str">
        <f t="shared" si="23"/>
        <v/>
      </c>
    </row>
    <row r="251" spans="1:19" x14ac:dyDescent="0.55000000000000004">
      <c r="A251">
        <v>99</v>
      </c>
      <c r="B251" s="2">
        <v>45603.395833333336</v>
      </c>
      <c r="C251" t="s">
        <v>216</v>
      </c>
      <c r="D251">
        <v>2</v>
      </c>
      <c r="E251" t="s">
        <v>44</v>
      </c>
      <c r="F251" t="str">
        <f t="shared" si="18"/>
        <v>Gobiomorphus cotidianus</v>
      </c>
      <c r="G251" t="str">
        <f t="shared" si="19"/>
        <v>Common_bully</v>
      </c>
      <c r="H251" t="str">
        <f t="shared" si="20"/>
        <v>Toitoi</v>
      </c>
      <c r="I251" t="str">
        <f t="shared" si="21"/>
        <v>Native</v>
      </c>
      <c r="J251" t="str">
        <f t="shared" si="22"/>
        <v>No</v>
      </c>
      <c r="L251">
        <v>79</v>
      </c>
      <c r="M251">
        <f t="shared" si="24"/>
        <v>1.1904761904761905</v>
      </c>
      <c r="N251">
        <v>1</v>
      </c>
      <c r="S251" t="str">
        <f t="shared" si="23"/>
        <v/>
      </c>
    </row>
    <row r="252" spans="1:19" x14ac:dyDescent="0.55000000000000004">
      <c r="A252">
        <v>99</v>
      </c>
      <c r="B252" s="2">
        <v>45603.395833333336</v>
      </c>
      <c r="C252" t="s">
        <v>216</v>
      </c>
      <c r="D252">
        <v>2</v>
      </c>
      <c r="E252" t="s">
        <v>44</v>
      </c>
      <c r="F252" t="str">
        <f t="shared" si="18"/>
        <v>Gobiomorphus cotidianus</v>
      </c>
      <c r="G252" t="str">
        <f t="shared" si="19"/>
        <v>Common_bully</v>
      </c>
      <c r="H252" t="str">
        <f t="shared" si="20"/>
        <v>Toitoi</v>
      </c>
      <c r="I252" t="str">
        <f t="shared" si="21"/>
        <v>Native</v>
      </c>
      <c r="J252" t="str">
        <f t="shared" si="22"/>
        <v>No</v>
      </c>
      <c r="L252">
        <v>65</v>
      </c>
      <c r="M252">
        <f t="shared" si="24"/>
        <v>1.1904761904761905</v>
      </c>
      <c r="N252">
        <v>1</v>
      </c>
      <c r="S252" t="str">
        <f t="shared" si="23"/>
        <v/>
      </c>
    </row>
    <row r="253" spans="1:19" x14ac:dyDescent="0.55000000000000004">
      <c r="A253">
        <v>99</v>
      </c>
      <c r="B253" s="2">
        <v>45603.395833333336</v>
      </c>
      <c r="C253" t="s">
        <v>216</v>
      </c>
      <c r="D253">
        <v>2</v>
      </c>
      <c r="E253" t="s">
        <v>44</v>
      </c>
      <c r="F253" t="str">
        <f t="shared" si="18"/>
        <v>Gobiomorphus cotidianus</v>
      </c>
      <c r="G253" t="str">
        <f t="shared" si="19"/>
        <v>Common_bully</v>
      </c>
      <c r="H253" t="str">
        <f t="shared" si="20"/>
        <v>Toitoi</v>
      </c>
      <c r="I253" t="str">
        <f t="shared" si="21"/>
        <v>Native</v>
      </c>
      <c r="J253" t="str">
        <f t="shared" si="22"/>
        <v>No</v>
      </c>
      <c r="L253">
        <v>62</v>
      </c>
      <c r="M253">
        <f t="shared" si="24"/>
        <v>1.1904761904761905</v>
      </c>
      <c r="N253">
        <v>1</v>
      </c>
      <c r="S253" t="str">
        <f t="shared" si="23"/>
        <v/>
      </c>
    </row>
    <row r="254" spans="1:19" x14ac:dyDescent="0.55000000000000004">
      <c r="A254">
        <v>99</v>
      </c>
      <c r="B254" s="2">
        <v>45603.395833333336</v>
      </c>
      <c r="C254" t="s">
        <v>216</v>
      </c>
      <c r="D254">
        <v>2</v>
      </c>
      <c r="E254" t="s">
        <v>44</v>
      </c>
      <c r="F254" t="str">
        <f t="shared" si="18"/>
        <v>Gobiomorphus cotidianus</v>
      </c>
      <c r="G254" t="str">
        <f t="shared" si="19"/>
        <v>Common_bully</v>
      </c>
      <c r="H254" t="str">
        <f t="shared" si="20"/>
        <v>Toitoi</v>
      </c>
      <c r="I254" t="str">
        <f t="shared" si="21"/>
        <v>Native</v>
      </c>
      <c r="J254" t="str">
        <f t="shared" si="22"/>
        <v>No</v>
      </c>
      <c r="L254">
        <v>75</v>
      </c>
      <c r="M254">
        <f t="shared" si="24"/>
        <v>1.1904761904761905</v>
      </c>
      <c r="N254">
        <v>1</v>
      </c>
      <c r="S254" t="str">
        <f t="shared" si="23"/>
        <v/>
      </c>
    </row>
    <row r="255" spans="1:19" x14ac:dyDescent="0.55000000000000004">
      <c r="A255">
        <v>99</v>
      </c>
      <c r="B255" s="2">
        <v>45603.395833333336</v>
      </c>
      <c r="C255" t="s">
        <v>216</v>
      </c>
      <c r="D255">
        <v>2</v>
      </c>
      <c r="E255" t="s">
        <v>44</v>
      </c>
      <c r="F255" t="str">
        <f t="shared" si="18"/>
        <v>Gobiomorphus cotidianus</v>
      </c>
      <c r="G255" t="str">
        <f t="shared" si="19"/>
        <v>Common_bully</v>
      </c>
      <c r="H255" t="str">
        <f t="shared" si="20"/>
        <v>Toitoi</v>
      </c>
      <c r="I255" t="str">
        <f t="shared" si="21"/>
        <v>Native</v>
      </c>
      <c r="J255" t="str">
        <f t="shared" si="22"/>
        <v>No</v>
      </c>
      <c r="L255">
        <v>36</v>
      </c>
      <c r="M255">
        <f t="shared" si="24"/>
        <v>1.1904761904761905</v>
      </c>
      <c r="N255">
        <v>1</v>
      </c>
      <c r="S255" t="str">
        <f t="shared" si="23"/>
        <v/>
      </c>
    </row>
    <row r="256" spans="1:19" x14ac:dyDescent="0.55000000000000004">
      <c r="A256">
        <v>99</v>
      </c>
      <c r="B256" s="2">
        <v>45603.395833333336</v>
      </c>
      <c r="C256" t="s">
        <v>216</v>
      </c>
      <c r="D256">
        <v>2</v>
      </c>
      <c r="E256" t="s">
        <v>44</v>
      </c>
      <c r="F256" t="str">
        <f t="shared" si="18"/>
        <v>Gobiomorphus cotidianus</v>
      </c>
      <c r="G256" t="str">
        <f t="shared" si="19"/>
        <v>Common_bully</v>
      </c>
      <c r="H256" t="str">
        <f t="shared" si="20"/>
        <v>Toitoi</v>
      </c>
      <c r="I256" t="str">
        <f t="shared" si="21"/>
        <v>Native</v>
      </c>
      <c r="J256" t="str">
        <f t="shared" si="22"/>
        <v>No</v>
      </c>
      <c r="L256">
        <v>55</v>
      </c>
      <c r="M256">
        <f t="shared" si="24"/>
        <v>1.1904761904761905</v>
      </c>
      <c r="N256">
        <v>1</v>
      </c>
      <c r="S256" t="str">
        <f t="shared" si="23"/>
        <v/>
      </c>
    </row>
    <row r="257" spans="1:19" x14ac:dyDescent="0.55000000000000004">
      <c r="A257">
        <v>99</v>
      </c>
      <c r="B257" s="2">
        <v>45603.395833333336</v>
      </c>
      <c r="C257" t="s">
        <v>216</v>
      </c>
      <c r="D257">
        <v>2</v>
      </c>
      <c r="E257" t="s">
        <v>44</v>
      </c>
      <c r="F257" t="str">
        <f t="shared" si="18"/>
        <v>Gobiomorphus cotidianus</v>
      </c>
      <c r="G257" t="str">
        <f t="shared" si="19"/>
        <v>Common_bully</v>
      </c>
      <c r="H257" t="str">
        <f t="shared" si="20"/>
        <v>Toitoi</v>
      </c>
      <c r="I257" t="str">
        <f t="shared" si="21"/>
        <v>Native</v>
      </c>
      <c r="J257" t="str">
        <f t="shared" si="22"/>
        <v>No</v>
      </c>
      <c r="L257">
        <v>42</v>
      </c>
      <c r="M257">
        <f t="shared" si="24"/>
        <v>1.1904761904761905</v>
      </c>
      <c r="N257">
        <v>1</v>
      </c>
      <c r="S257" t="str">
        <f t="shared" si="23"/>
        <v/>
      </c>
    </row>
    <row r="258" spans="1:19" x14ac:dyDescent="0.55000000000000004">
      <c r="A258">
        <v>99</v>
      </c>
      <c r="B258" s="2">
        <v>45603.395833333336</v>
      </c>
      <c r="C258" t="s">
        <v>216</v>
      </c>
      <c r="D258">
        <v>2</v>
      </c>
      <c r="E258" t="s">
        <v>44</v>
      </c>
      <c r="F258" t="str">
        <f t="shared" ref="F258:F321" si="25">VLOOKUP($E258, $V$1:$AA$9, 2, FALSE)</f>
        <v>Gobiomorphus cotidianus</v>
      </c>
      <c r="G258" t="str">
        <f t="shared" ref="G258:G321" si="26">VLOOKUP($E258, $V$1:$AA$9, 3, FALSE)</f>
        <v>Common_bully</v>
      </c>
      <c r="H258" t="str">
        <f t="shared" ref="H258:H321" si="27">VLOOKUP($E258, $V$1:$AA$9, 4, FALSE)</f>
        <v>Toitoi</v>
      </c>
      <c r="I258" t="str">
        <f t="shared" ref="I258:I321" si="28">VLOOKUP($E258, $V$1:$AB$9, 5, FALSE)</f>
        <v>Native</v>
      </c>
      <c r="J258" t="str">
        <f t="shared" ref="J258:J321" si="29">VLOOKUP($E258, $V$1:$AA$9, 6, FALSE)</f>
        <v>No</v>
      </c>
      <c r="L258">
        <v>55</v>
      </c>
      <c r="M258">
        <f t="shared" si="24"/>
        <v>1.1904761904761905</v>
      </c>
      <c r="N258">
        <v>1</v>
      </c>
      <c r="S258" t="str">
        <f t="shared" si="23"/>
        <v/>
      </c>
    </row>
    <row r="259" spans="1:19" x14ac:dyDescent="0.55000000000000004">
      <c r="A259">
        <v>99</v>
      </c>
      <c r="B259" s="2">
        <v>45603.395833333336</v>
      </c>
      <c r="C259" t="s">
        <v>216</v>
      </c>
      <c r="D259">
        <v>2</v>
      </c>
      <c r="E259" t="s">
        <v>44</v>
      </c>
      <c r="F259" t="str">
        <f t="shared" si="25"/>
        <v>Gobiomorphus cotidianus</v>
      </c>
      <c r="G259" t="str">
        <f t="shared" si="26"/>
        <v>Common_bully</v>
      </c>
      <c r="H259" t="str">
        <f t="shared" si="27"/>
        <v>Toitoi</v>
      </c>
      <c r="I259" t="str">
        <f t="shared" si="28"/>
        <v>Native</v>
      </c>
      <c r="J259" t="str">
        <f t="shared" si="29"/>
        <v>No</v>
      </c>
      <c r="L259">
        <v>60</v>
      </c>
      <c r="M259">
        <f t="shared" si="24"/>
        <v>1.1904761904761905</v>
      </c>
      <c r="N259">
        <v>1</v>
      </c>
      <c r="S259" t="str">
        <f t="shared" ref="S259:S322" si="30">IF(R259&lt;&gt;"", R259*236.588, "")</f>
        <v/>
      </c>
    </row>
    <row r="260" spans="1:19" x14ac:dyDescent="0.55000000000000004">
      <c r="A260">
        <v>99</v>
      </c>
      <c r="B260" s="2">
        <v>45603.395833333336</v>
      </c>
      <c r="C260" t="s">
        <v>216</v>
      </c>
      <c r="D260">
        <v>2</v>
      </c>
      <c r="E260" t="s">
        <v>44</v>
      </c>
      <c r="F260" t="str">
        <f t="shared" si="25"/>
        <v>Gobiomorphus cotidianus</v>
      </c>
      <c r="G260" t="str">
        <f t="shared" si="26"/>
        <v>Common_bully</v>
      </c>
      <c r="H260" t="str">
        <f t="shared" si="27"/>
        <v>Toitoi</v>
      </c>
      <c r="I260" t="str">
        <f t="shared" si="28"/>
        <v>Native</v>
      </c>
      <c r="J260" t="str">
        <f t="shared" si="29"/>
        <v>No</v>
      </c>
      <c r="L260">
        <v>60</v>
      </c>
      <c r="M260">
        <f t="shared" si="24"/>
        <v>1.1904761904761905</v>
      </c>
      <c r="N260">
        <v>1</v>
      </c>
      <c r="S260" t="str">
        <f t="shared" si="30"/>
        <v/>
      </c>
    </row>
    <row r="261" spans="1:19" x14ac:dyDescent="0.55000000000000004">
      <c r="A261">
        <v>99</v>
      </c>
      <c r="B261" s="2">
        <v>45603.395833333336</v>
      </c>
      <c r="C261" t="s">
        <v>216</v>
      </c>
      <c r="D261">
        <v>2</v>
      </c>
      <c r="E261" t="s">
        <v>44</v>
      </c>
      <c r="F261" t="str">
        <f t="shared" si="25"/>
        <v>Gobiomorphus cotidianus</v>
      </c>
      <c r="G261" t="str">
        <f t="shared" si="26"/>
        <v>Common_bully</v>
      </c>
      <c r="H261" t="str">
        <f t="shared" si="27"/>
        <v>Toitoi</v>
      </c>
      <c r="I261" t="str">
        <f t="shared" si="28"/>
        <v>Native</v>
      </c>
      <c r="J261" t="str">
        <f t="shared" si="29"/>
        <v>No</v>
      </c>
      <c r="L261">
        <v>65</v>
      </c>
      <c r="M261">
        <f t="shared" si="24"/>
        <v>1.1904761904761905</v>
      </c>
      <c r="N261">
        <v>1</v>
      </c>
      <c r="S261" t="str">
        <f t="shared" si="30"/>
        <v/>
      </c>
    </row>
    <row r="262" spans="1:19" x14ac:dyDescent="0.55000000000000004">
      <c r="A262">
        <v>99</v>
      </c>
      <c r="B262" s="2">
        <v>45603.395833333336</v>
      </c>
      <c r="C262" t="s">
        <v>216</v>
      </c>
      <c r="D262">
        <v>2</v>
      </c>
      <c r="E262" t="s">
        <v>44</v>
      </c>
      <c r="F262" t="str">
        <f t="shared" si="25"/>
        <v>Gobiomorphus cotidianus</v>
      </c>
      <c r="G262" t="str">
        <f t="shared" si="26"/>
        <v>Common_bully</v>
      </c>
      <c r="H262" t="str">
        <f t="shared" si="27"/>
        <v>Toitoi</v>
      </c>
      <c r="I262" t="str">
        <f t="shared" si="28"/>
        <v>Native</v>
      </c>
      <c r="J262" t="str">
        <f t="shared" si="29"/>
        <v>No</v>
      </c>
      <c r="L262">
        <v>56</v>
      </c>
      <c r="M262">
        <f t="shared" si="24"/>
        <v>1.1904761904761905</v>
      </c>
      <c r="N262">
        <v>1</v>
      </c>
      <c r="S262" t="str">
        <f t="shared" si="30"/>
        <v/>
      </c>
    </row>
    <row r="263" spans="1:19" x14ac:dyDescent="0.55000000000000004">
      <c r="A263">
        <v>99</v>
      </c>
      <c r="B263" s="2">
        <v>45603.395833333336</v>
      </c>
      <c r="C263" t="s">
        <v>216</v>
      </c>
      <c r="D263">
        <v>2</v>
      </c>
      <c r="E263" t="s">
        <v>44</v>
      </c>
      <c r="F263" t="str">
        <f t="shared" si="25"/>
        <v>Gobiomorphus cotidianus</v>
      </c>
      <c r="G263" t="str">
        <f t="shared" si="26"/>
        <v>Common_bully</v>
      </c>
      <c r="H263" t="str">
        <f t="shared" si="27"/>
        <v>Toitoi</v>
      </c>
      <c r="I263" t="str">
        <f t="shared" si="28"/>
        <v>Native</v>
      </c>
      <c r="J263" t="str">
        <f t="shared" si="29"/>
        <v>No</v>
      </c>
      <c r="L263">
        <v>48</v>
      </c>
      <c r="M263">
        <f t="shared" si="24"/>
        <v>1.1904761904761905</v>
      </c>
      <c r="N263">
        <v>1</v>
      </c>
      <c r="S263" t="str">
        <f t="shared" si="30"/>
        <v/>
      </c>
    </row>
    <row r="264" spans="1:19" x14ac:dyDescent="0.55000000000000004">
      <c r="A264">
        <v>99</v>
      </c>
      <c r="B264" s="2">
        <v>45603.395833333336</v>
      </c>
      <c r="C264" t="s">
        <v>216</v>
      </c>
      <c r="D264">
        <v>2</v>
      </c>
      <c r="E264" t="s">
        <v>44</v>
      </c>
      <c r="F264" t="str">
        <f t="shared" si="25"/>
        <v>Gobiomorphus cotidianus</v>
      </c>
      <c r="G264" t="str">
        <f t="shared" si="26"/>
        <v>Common_bully</v>
      </c>
      <c r="H264" t="str">
        <f t="shared" si="27"/>
        <v>Toitoi</v>
      </c>
      <c r="I264" t="str">
        <f t="shared" si="28"/>
        <v>Native</v>
      </c>
      <c r="J264" t="str">
        <f t="shared" si="29"/>
        <v>No</v>
      </c>
      <c r="L264">
        <v>35</v>
      </c>
      <c r="M264">
        <f t="shared" si="24"/>
        <v>1.1904761904761905</v>
      </c>
      <c r="N264">
        <v>1</v>
      </c>
      <c r="S264" t="str">
        <f t="shared" si="30"/>
        <v/>
      </c>
    </row>
    <row r="265" spans="1:19" x14ac:dyDescent="0.55000000000000004">
      <c r="A265">
        <v>99</v>
      </c>
      <c r="B265" s="2">
        <v>45603.395833333336</v>
      </c>
      <c r="C265" t="s">
        <v>216</v>
      </c>
      <c r="D265">
        <v>2</v>
      </c>
      <c r="E265" t="s">
        <v>44</v>
      </c>
      <c r="F265" t="str">
        <f t="shared" si="25"/>
        <v>Gobiomorphus cotidianus</v>
      </c>
      <c r="G265" t="str">
        <f t="shared" si="26"/>
        <v>Common_bully</v>
      </c>
      <c r="H265" t="str">
        <f t="shared" si="27"/>
        <v>Toitoi</v>
      </c>
      <c r="I265" t="str">
        <f t="shared" si="28"/>
        <v>Native</v>
      </c>
      <c r="J265" t="str">
        <f t="shared" si="29"/>
        <v>No</v>
      </c>
      <c r="L265">
        <v>57</v>
      </c>
      <c r="M265">
        <f t="shared" si="24"/>
        <v>1.1904761904761905</v>
      </c>
      <c r="N265">
        <v>1</v>
      </c>
      <c r="S265" t="str">
        <f t="shared" si="30"/>
        <v/>
      </c>
    </row>
    <row r="266" spans="1:19" x14ac:dyDescent="0.55000000000000004">
      <c r="A266">
        <v>99</v>
      </c>
      <c r="B266" s="2">
        <v>45603.395833333336</v>
      </c>
      <c r="C266" t="s">
        <v>216</v>
      </c>
      <c r="D266">
        <v>2</v>
      </c>
      <c r="E266" t="s">
        <v>44</v>
      </c>
      <c r="F266" t="str">
        <f t="shared" si="25"/>
        <v>Gobiomorphus cotidianus</v>
      </c>
      <c r="G266" t="str">
        <f t="shared" si="26"/>
        <v>Common_bully</v>
      </c>
      <c r="H266" t="str">
        <f t="shared" si="27"/>
        <v>Toitoi</v>
      </c>
      <c r="I266" t="str">
        <f t="shared" si="28"/>
        <v>Native</v>
      </c>
      <c r="J266" t="str">
        <f t="shared" si="29"/>
        <v>No</v>
      </c>
      <c r="L266">
        <v>35</v>
      </c>
      <c r="M266">
        <f t="shared" si="24"/>
        <v>1.1904761904761905</v>
      </c>
      <c r="N266">
        <v>1</v>
      </c>
      <c r="S266" t="str">
        <f t="shared" si="30"/>
        <v/>
      </c>
    </row>
    <row r="267" spans="1:19" x14ac:dyDescent="0.55000000000000004">
      <c r="A267">
        <v>99</v>
      </c>
      <c r="B267" s="2">
        <v>45603.395833333336</v>
      </c>
      <c r="C267" t="s">
        <v>216</v>
      </c>
      <c r="D267">
        <v>2</v>
      </c>
      <c r="E267" t="s">
        <v>44</v>
      </c>
      <c r="F267" t="str">
        <f t="shared" si="25"/>
        <v>Gobiomorphus cotidianus</v>
      </c>
      <c r="G267" t="str">
        <f t="shared" si="26"/>
        <v>Common_bully</v>
      </c>
      <c r="H267" t="str">
        <f t="shared" si="27"/>
        <v>Toitoi</v>
      </c>
      <c r="I267" t="str">
        <f t="shared" si="28"/>
        <v>Native</v>
      </c>
      <c r="J267" t="str">
        <f t="shared" si="29"/>
        <v>No</v>
      </c>
      <c r="L267">
        <v>58</v>
      </c>
      <c r="M267">
        <f t="shared" si="24"/>
        <v>1.1904761904761905</v>
      </c>
      <c r="N267">
        <v>1</v>
      </c>
      <c r="S267" t="str">
        <f t="shared" si="30"/>
        <v/>
      </c>
    </row>
    <row r="268" spans="1:19" x14ac:dyDescent="0.55000000000000004">
      <c r="A268">
        <v>99</v>
      </c>
      <c r="B268" s="2">
        <v>45603.395833333336</v>
      </c>
      <c r="C268" t="s">
        <v>216</v>
      </c>
      <c r="D268">
        <v>2</v>
      </c>
      <c r="E268" t="s">
        <v>44</v>
      </c>
      <c r="F268" t="str">
        <f t="shared" si="25"/>
        <v>Gobiomorphus cotidianus</v>
      </c>
      <c r="G268" t="str">
        <f t="shared" si="26"/>
        <v>Common_bully</v>
      </c>
      <c r="H268" t="str">
        <f t="shared" si="27"/>
        <v>Toitoi</v>
      </c>
      <c r="I268" t="str">
        <f t="shared" si="28"/>
        <v>Native</v>
      </c>
      <c r="J268" t="str">
        <f t="shared" si="29"/>
        <v>No</v>
      </c>
      <c r="L268">
        <v>65</v>
      </c>
      <c r="M268">
        <f t="shared" si="24"/>
        <v>1.1904761904761905</v>
      </c>
      <c r="N268">
        <v>1</v>
      </c>
      <c r="S268" t="str">
        <f t="shared" si="30"/>
        <v/>
      </c>
    </row>
    <row r="269" spans="1:19" x14ac:dyDescent="0.55000000000000004">
      <c r="A269">
        <v>99</v>
      </c>
      <c r="B269" s="2">
        <v>45603.395833333336</v>
      </c>
      <c r="C269" t="s">
        <v>216</v>
      </c>
      <c r="D269">
        <v>2</v>
      </c>
      <c r="E269" t="s">
        <v>44</v>
      </c>
      <c r="F269" t="str">
        <f t="shared" si="25"/>
        <v>Gobiomorphus cotidianus</v>
      </c>
      <c r="G269" t="str">
        <f t="shared" si="26"/>
        <v>Common_bully</v>
      </c>
      <c r="H269" t="str">
        <f t="shared" si="27"/>
        <v>Toitoi</v>
      </c>
      <c r="I269" t="str">
        <f t="shared" si="28"/>
        <v>Native</v>
      </c>
      <c r="J269" t="str">
        <f t="shared" si="29"/>
        <v>No</v>
      </c>
      <c r="L269">
        <v>65</v>
      </c>
      <c r="M269">
        <f t="shared" si="24"/>
        <v>1.1904761904761905</v>
      </c>
      <c r="N269">
        <v>1</v>
      </c>
      <c r="S269" t="str">
        <f t="shared" si="30"/>
        <v/>
      </c>
    </row>
    <row r="270" spans="1:19" x14ac:dyDescent="0.55000000000000004">
      <c r="A270">
        <v>99</v>
      </c>
      <c r="B270" s="2">
        <v>45603.395833333336</v>
      </c>
      <c r="C270" t="s">
        <v>216</v>
      </c>
      <c r="D270">
        <v>2</v>
      </c>
      <c r="E270" t="s">
        <v>44</v>
      </c>
      <c r="F270" t="str">
        <f t="shared" si="25"/>
        <v>Gobiomorphus cotidianus</v>
      </c>
      <c r="G270" t="str">
        <f t="shared" si="26"/>
        <v>Common_bully</v>
      </c>
      <c r="H270" t="str">
        <f t="shared" si="27"/>
        <v>Toitoi</v>
      </c>
      <c r="I270" t="str">
        <f t="shared" si="28"/>
        <v>Native</v>
      </c>
      <c r="J270" t="str">
        <f t="shared" si="29"/>
        <v>No</v>
      </c>
      <c r="L270">
        <v>51</v>
      </c>
      <c r="M270">
        <f t="shared" si="24"/>
        <v>1.1904761904761905</v>
      </c>
      <c r="N270">
        <v>1</v>
      </c>
      <c r="S270" t="str">
        <f t="shared" si="30"/>
        <v/>
      </c>
    </row>
    <row r="271" spans="1:19" x14ac:dyDescent="0.55000000000000004">
      <c r="A271">
        <v>99</v>
      </c>
      <c r="B271" s="2">
        <v>45603.395833333336</v>
      </c>
      <c r="C271" t="s">
        <v>216</v>
      </c>
      <c r="D271">
        <v>2</v>
      </c>
      <c r="E271" t="s">
        <v>44</v>
      </c>
      <c r="F271" t="str">
        <f t="shared" si="25"/>
        <v>Gobiomorphus cotidianus</v>
      </c>
      <c r="G271" t="str">
        <f t="shared" si="26"/>
        <v>Common_bully</v>
      </c>
      <c r="H271" t="str">
        <f t="shared" si="27"/>
        <v>Toitoi</v>
      </c>
      <c r="I271" t="str">
        <f t="shared" si="28"/>
        <v>Native</v>
      </c>
      <c r="J271" t="str">
        <f t="shared" si="29"/>
        <v>No</v>
      </c>
      <c r="L271">
        <v>66</v>
      </c>
      <c r="M271">
        <f t="shared" si="24"/>
        <v>1.1904761904761905</v>
      </c>
      <c r="N271">
        <v>1</v>
      </c>
      <c r="S271" t="str">
        <f t="shared" si="30"/>
        <v/>
      </c>
    </row>
    <row r="272" spans="1:19" x14ac:dyDescent="0.55000000000000004">
      <c r="A272">
        <v>99</v>
      </c>
      <c r="B272" s="2">
        <v>45603.395833333336</v>
      </c>
      <c r="C272" t="s">
        <v>216</v>
      </c>
      <c r="D272">
        <v>2</v>
      </c>
      <c r="E272" t="s">
        <v>44</v>
      </c>
      <c r="F272" t="str">
        <f t="shared" si="25"/>
        <v>Gobiomorphus cotidianus</v>
      </c>
      <c r="G272" t="str">
        <f t="shared" si="26"/>
        <v>Common_bully</v>
      </c>
      <c r="H272" t="str">
        <f t="shared" si="27"/>
        <v>Toitoi</v>
      </c>
      <c r="I272" t="str">
        <f t="shared" si="28"/>
        <v>Native</v>
      </c>
      <c r="J272" t="str">
        <f t="shared" si="29"/>
        <v>No</v>
      </c>
      <c r="L272">
        <v>45</v>
      </c>
      <c r="M272">
        <f t="shared" si="24"/>
        <v>1.1904761904761905</v>
      </c>
      <c r="N272">
        <v>1</v>
      </c>
      <c r="S272" t="str">
        <f t="shared" si="30"/>
        <v/>
      </c>
    </row>
    <row r="273" spans="1:19" x14ac:dyDescent="0.55000000000000004">
      <c r="A273">
        <v>99</v>
      </c>
      <c r="B273" s="2">
        <v>45603.395833333336</v>
      </c>
      <c r="C273" t="s">
        <v>216</v>
      </c>
      <c r="D273">
        <v>2</v>
      </c>
      <c r="E273" t="s">
        <v>44</v>
      </c>
      <c r="F273" t="str">
        <f t="shared" si="25"/>
        <v>Gobiomorphus cotidianus</v>
      </c>
      <c r="G273" t="str">
        <f t="shared" si="26"/>
        <v>Common_bully</v>
      </c>
      <c r="H273" t="str">
        <f t="shared" si="27"/>
        <v>Toitoi</v>
      </c>
      <c r="I273" t="str">
        <f t="shared" si="28"/>
        <v>Native</v>
      </c>
      <c r="J273" t="str">
        <f t="shared" si="29"/>
        <v>No</v>
      </c>
      <c r="L273">
        <v>61</v>
      </c>
      <c r="M273">
        <f t="shared" si="24"/>
        <v>1.1904761904761905</v>
      </c>
      <c r="N273">
        <v>1</v>
      </c>
      <c r="S273" t="str">
        <f t="shared" si="30"/>
        <v/>
      </c>
    </row>
    <row r="274" spans="1:19" x14ac:dyDescent="0.55000000000000004">
      <c r="A274">
        <v>99</v>
      </c>
      <c r="B274" s="2">
        <v>45603.395833333336</v>
      </c>
      <c r="C274" t="s">
        <v>216</v>
      </c>
      <c r="D274">
        <v>2</v>
      </c>
      <c r="E274" t="s">
        <v>44</v>
      </c>
      <c r="F274" t="str">
        <f t="shared" si="25"/>
        <v>Gobiomorphus cotidianus</v>
      </c>
      <c r="G274" t="str">
        <f t="shared" si="26"/>
        <v>Common_bully</v>
      </c>
      <c r="H274" t="str">
        <f t="shared" si="27"/>
        <v>Toitoi</v>
      </c>
      <c r="I274" t="str">
        <f t="shared" si="28"/>
        <v>Native</v>
      </c>
      <c r="J274" t="str">
        <f t="shared" si="29"/>
        <v>No</v>
      </c>
      <c r="L274">
        <v>60</v>
      </c>
      <c r="M274">
        <f t="shared" si="24"/>
        <v>1.1904761904761905</v>
      </c>
      <c r="N274">
        <v>1</v>
      </c>
      <c r="S274" t="str">
        <f t="shared" si="30"/>
        <v/>
      </c>
    </row>
    <row r="275" spans="1:19" x14ac:dyDescent="0.55000000000000004">
      <c r="A275">
        <v>99</v>
      </c>
      <c r="B275" s="2">
        <v>45603.395833333336</v>
      </c>
      <c r="C275" t="s">
        <v>216</v>
      </c>
      <c r="D275">
        <v>2</v>
      </c>
      <c r="E275" t="s">
        <v>44</v>
      </c>
      <c r="F275" t="str">
        <f t="shared" si="25"/>
        <v>Gobiomorphus cotidianus</v>
      </c>
      <c r="G275" t="str">
        <f t="shared" si="26"/>
        <v>Common_bully</v>
      </c>
      <c r="H275" t="str">
        <f t="shared" si="27"/>
        <v>Toitoi</v>
      </c>
      <c r="I275" t="str">
        <f t="shared" si="28"/>
        <v>Native</v>
      </c>
      <c r="J275" t="str">
        <f t="shared" si="29"/>
        <v>No</v>
      </c>
      <c r="L275">
        <v>44</v>
      </c>
      <c r="M275">
        <f t="shared" si="24"/>
        <v>1.1904761904761905</v>
      </c>
      <c r="N275">
        <v>1</v>
      </c>
      <c r="S275" t="str">
        <f t="shared" si="30"/>
        <v/>
      </c>
    </row>
    <row r="276" spans="1:19" x14ac:dyDescent="0.55000000000000004">
      <c r="A276">
        <v>99</v>
      </c>
      <c r="B276" s="2">
        <v>45603.395833333336</v>
      </c>
      <c r="C276" t="s">
        <v>216</v>
      </c>
      <c r="D276">
        <v>2</v>
      </c>
      <c r="E276" t="s">
        <v>44</v>
      </c>
      <c r="F276" t="str">
        <f t="shared" si="25"/>
        <v>Gobiomorphus cotidianus</v>
      </c>
      <c r="G276" t="str">
        <f t="shared" si="26"/>
        <v>Common_bully</v>
      </c>
      <c r="H276" t="str">
        <f t="shared" si="27"/>
        <v>Toitoi</v>
      </c>
      <c r="I276" t="str">
        <f t="shared" si="28"/>
        <v>Native</v>
      </c>
      <c r="J276" t="str">
        <f t="shared" si="29"/>
        <v>No</v>
      </c>
      <c r="L276">
        <v>34</v>
      </c>
      <c r="M276">
        <f t="shared" si="24"/>
        <v>1.1904761904761905</v>
      </c>
      <c r="N276">
        <v>1</v>
      </c>
      <c r="S276" t="str">
        <f t="shared" si="30"/>
        <v/>
      </c>
    </row>
    <row r="277" spans="1:19" x14ac:dyDescent="0.55000000000000004">
      <c r="A277">
        <v>99</v>
      </c>
      <c r="B277" s="2">
        <v>45603.395833333336</v>
      </c>
      <c r="C277" t="s">
        <v>216</v>
      </c>
      <c r="D277">
        <v>2</v>
      </c>
      <c r="E277" t="s">
        <v>44</v>
      </c>
      <c r="F277" t="str">
        <f t="shared" si="25"/>
        <v>Gobiomorphus cotidianus</v>
      </c>
      <c r="G277" t="str">
        <f t="shared" si="26"/>
        <v>Common_bully</v>
      </c>
      <c r="H277" t="str">
        <f t="shared" si="27"/>
        <v>Toitoi</v>
      </c>
      <c r="I277" t="str">
        <f t="shared" si="28"/>
        <v>Native</v>
      </c>
      <c r="J277" t="str">
        <f t="shared" si="29"/>
        <v>No</v>
      </c>
      <c r="L277">
        <v>50</v>
      </c>
      <c r="M277">
        <f t="shared" si="24"/>
        <v>1.1904761904761905</v>
      </c>
      <c r="N277">
        <v>1</v>
      </c>
      <c r="S277" t="str">
        <f t="shared" si="30"/>
        <v/>
      </c>
    </row>
    <row r="278" spans="1:19" x14ac:dyDescent="0.55000000000000004">
      <c r="A278">
        <v>99</v>
      </c>
      <c r="B278" s="2">
        <v>45603.395833333336</v>
      </c>
      <c r="C278" t="s">
        <v>216</v>
      </c>
      <c r="D278">
        <v>2</v>
      </c>
      <c r="E278" t="s">
        <v>44</v>
      </c>
      <c r="F278" t="str">
        <f t="shared" si="25"/>
        <v>Gobiomorphus cotidianus</v>
      </c>
      <c r="G278" t="str">
        <f t="shared" si="26"/>
        <v>Common_bully</v>
      </c>
      <c r="H278" t="str">
        <f t="shared" si="27"/>
        <v>Toitoi</v>
      </c>
      <c r="I278" t="str">
        <f t="shared" si="28"/>
        <v>Native</v>
      </c>
      <c r="J278" t="str">
        <f t="shared" si="29"/>
        <v>No</v>
      </c>
      <c r="L278">
        <v>55</v>
      </c>
      <c r="M278">
        <f t="shared" si="24"/>
        <v>1.1904761904761905</v>
      </c>
      <c r="N278">
        <v>1</v>
      </c>
      <c r="S278" t="str">
        <f t="shared" si="30"/>
        <v/>
      </c>
    </row>
    <row r="279" spans="1:19" x14ac:dyDescent="0.55000000000000004">
      <c r="A279">
        <v>99</v>
      </c>
      <c r="B279" s="2">
        <v>45603.395833333336</v>
      </c>
      <c r="C279" t="s">
        <v>216</v>
      </c>
      <c r="D279">
        <v>2</v>
      </c>
      <c r="E279" t="s">
        <v>44</v>
      </c>
      <c r="F279" t="str">
        <f t="shared" si="25"/>
        <v>Gobiomorphus cotidianus</v>
      </c>
      <c r="G279" t="str">
        <f t="shared" si="26"/>
        <v>Common_bully</v>
      </c>
      <c r="H279" t="str">
        <f t="shared" si="27"/>
        <v>Toitoi</v>
      </c>
      <c r="I279" t="str">
        <f t="shared" si="28"/>
        <v>Native</v>
      </c>
      <c r="J279" t="str">
        <f t="shared" si="29"/>
        <v>No</v>
      </c>
      <c r="L279">
        <v>44</v>
      </c>
      <c r="M279">
        <f t="shared" si="24"/>
        <v>1.1904761904761905</v>
      </c>
      <c r="N279">
        <v>1</v>
      </c>
      <c r="S279" t="str">
        <f t="shared" si="30"/>
        <v/>
      </c>
    </row>
    <row r="280" spans="1:19" x14ac:dyDescent="0.55000000000000004">
      <c r="A280">
        <v>99</v>
      </c>
      <c r="B280" s="2">
        <v>45603.395833333336</v>
      </c>
      <c r="C280" t="s">
        <v>216</v>
      </c>
      <c r="D280">
        <v>2</v>
      </c>
      <c r="E280" t="s">
        <v>44</v>
      </c>
      <c r="F280" t="str">
        <f t="shared" si="25"/>
        <v>Gobiomorphus cotidianus</v>
      </c>
      <c r="G280" t="str">
        <f t="shared" si="26"/>
        <v>Common_bully</v>
      </c>
      <c r="H280" t="str">
        <f t="shared" si="27"/>
        <v>Toitoi</v>
      </c>
      <c r="I280" t="str">
        <f t="shared" si="28"/>
        <v>Native</v>
      </c>
      <c r="J280" t="str">
        <f t="shared" si="29"/>
        <v>No</v>
      </c>
      <c r="L280">
        <v>56</v>
      </c>
      <c r="M280">
        <f t="shared" si="24"/>
        <v>1.1904761904761905</v>
      </c>
      <c r="N280">
        <v>1</v>
      </c>
      <c r="S280" t="str">
        <f t="shared" si="30"/>
        <v/>
      </c>
    </row>
    <row r="281" spans="1:19" x14ac:dyDescent="0.55000000000000004">
      <c r="A281">
        <v>99</v>
      </c>
      <c r="B281" s="2">
        <v>45603.395833333336</v>
      </c>
      <c r="C281" t="s">
        <v>216</v>
      </c>
      <c r="D281">
        <v>2</v>
      </c>
      <c r="E281" t="s">
        <v>44</v>
      </c>
      <c r="F281" t="str">
        <f t="shared" si="25"/>
        <v>Gobiomorphus cotidianus</v>
      </c>
      <c r="G281" t="str">
        <f t="shared" si="26"/>
        <v>Common_bully</v>
      </c>
      <c r="H281" t="str">
        <f t="shared" si="27"/>
        <v>Toitoi</v>
      </c>
      <c r="I281" t="str">
        <f t="shared" si="28"/>
        <v>Native</v>
      </c>
      <c r="J281" t="str">
        <f t="shared" si="29"/>
        <v>No</v>
      </c>
      <c r="L281">
        <v>46</v>
      </c>
      <c r="M281">
        <f t="shared" si="24"/>
        <v>1.1904761904761905</v>
      </c>
      <c r="N281">
        <v>1</v>
      </c>
      <c r="S281" t="str">
        <f t="shared" si="30"/>
        <v/>
      </c>
    </row>
    <row r="282" spans="1:19" x14ac:dyDescent="0.55000000000000004">
      <c r="A282">
        <v>99</v>
      </c>
      <c r="B282" s="2">
        <v>45603.395833333336</v>
      </c>
      <c r="C282" t="s">
        <v>216</v>
      </c>
      <c r="D282">
        <v>2</v>
      </c>
      <c r="E282" t="s">
        <v>44</v>
      </c>
      <c r="F282" t="str">
        <f t="shared" si="25"/>
        <v>Gobiomorphus cotidianus</v>
      </c>
      <c r="G282" t="str">
        <f t="shared" si="26"/>
        <v>Common_bully</v>
      </c>
      <c r="H282" t="str">
        <f t="shared" si="27"/>
        <v>Toitoi</v>
      </c>
      <c r="I282" t="str">
        <f t="shared" si="28"/>
        <v>Native</v>
      </c>
      <c r="J282" t="str">
        <f t="shared" si="29"/>
        <v>No</v>
      </c>
      <c r="L282">
        <v>39</v>
      </c>
      <c r="M282">
        <f t="shared" si="24"/>
        <v>1.1904761904761905</v>
      </c>
      <c r="N282">
        <v>1</v>
      </c>
      <c r="S282" t="str">
        <f t="shared" si="30"/>
        <v/>
      </c>
    </row>
    <row r="283" spans="1:19" x14ac:dyDescent="0.55000000000000004">
      <c r="A283">
        <v>99</v>
      </c>
      <c r="B283" s="2">
        <v>45603.395833333336</v>
      </c>
      <c r="C283" t="s">
        <v>216</v>
      </c>
      <c r="D283">
        <v>2</v>
      </c>
      <c r="E283" t="s">
        <v>44</v>
      </c>
      <c r="F283" t="str">
        <f t="shared" si="25"/>
        <v>Gobiomorphus cotidianus</v>
      </c>
      <c r="G283" t="str">
        <f t="shared" si="26"/>
        <v>Common_bully</v>
      </c>
      <c r="H283" t="str">
        <f t="shared" si="27"/>
        <v>Toitoi</v>
      </c>
      <c r="I283" t="str">
        <f t="shared" si="28"/>
        <v>Native</v>
      </c>
      <c r="J283" t="str">
        <f t="shared" si="29"/>
        <v>No</v>
      </c>
      <c r="L283">
        <v>42</v>
      </c>
      <c r="M283">
        <f t="shared" si="24"/>
        <v>1.1904761904761905</v>
      </c>
      <c r="N283">
        <v>1</v>
      </c>
      <c r="S283" t="str">
        <f t="shared" si="30"/>
        <v/>
      </c>
    </row>
    <row r="284" spans="1:19" x14ac:dyDescent="0.55000000000000004">
      <c r="A284">
        <v>99</v>
      </c>
      <c r="B284" s="2">
        <v>45603.395833333336</v>
      </c>
      <c r="C284" t="s">
        <v>216</v>
      </c>
      <c r="D284">
        <v>2</v>
      </c>
      <c r="E284" t="s">
        <v>44</v>
      </c>
      <c r="F284" t="str">
        <f t="shared" si="25"/>
        <v>Gobiomorphus cotidianus</v>
      </c>
      <c r="G284" t="str">
        <f t="shared" si="26"/>
        <v>Common_bully</v>
      </c>
      <c r="H284" t="str">
        <f t="shared" si="27"/>
        <v>Toitoi</v>
      </c>
      <c r="I284" t="str">
        <f t="shared" si="28"/>
        <v>Native</v>
      </c>
      <c r="J284" t="str">
        <f t="shared" si="29"/>
        <v>No</v>
      </c>
      <c r="L284">
        <v>33</v>
      </c>
      <c r="M284">
        <f t="shared" si="24"/>
        <v>1.1904761904761905</v>
      </c>
      <c r="N284">
        <v>1</v>
      </c>
      <c r="S284" t="str">
        <f t="shared" si="30"/>
        <v/>
      </c>
    </row>
    <row r="285" spans="1:19" x14ac:dyDescent="0.55000000000000004">
      <c r="A285">
        <v>99</v>
      </c>
      <c r="B285" s="2">
        <v>45603.395833333336</v>
      </c>
      <c r="C285" t="s">
        <v>216</v>
      </c>
      <c r="D285">
        <v>2</v>
      </c>
      <c r="E285" t="s">
        <v>44</v>
      </c>
      <c r="F285" t="str">
        <f t="shared" si="25"/>
        <v>Gobiomorphus cotidianus</v>
      </c>
      <c r="G285" t="str">
        <f t="shared" si="26"/>
        <v>Common_bully</v>
      </c>
      <c r="H285" t="str">
        <f t="shared" si="27"/>
        <v>Toitoi</v>
      </c>
      <c r="I285" t="str">
        <f t="shared" si="28"/>
        <v>Native</v>
      </c>
      <c r="J285" t="str">
        <f t="shared" si="29"/>
        <v>No</v>
      </c>
      <c r="L285">
        <v>30</v>
      </c>
      <c r="M285">
        <f t="shared" si="24"/>
        <v>1.1904761904761905</v>
      </c>
      <c r="N285">
        <v>1</v>
      </c>
      <c r="S285" t="str">
        <f t="shared" si="30"/>
        <v/>
      </c>
    </row>
    <row r="286" spans="1:19" x14ac:dyDescent="0.55000000000000004">
      <c r="A286">
        <v>99</v>
      </c>
      <c r="B286" s="2">
        <v>45603.395833333336</v>
      </c>
      <c r="C286" t="s">
        <v>216</v>
      </c>
      <c r="D286">
        <v>2</v>
      </c>
      <c r="E286" t="s">
        <v>44</v>
      </c>
      <c r="F286" t="str">
        <f t="shared" si="25"/>
        <v>Gobiomorphus cotidianus</v>
      </c>
      <c r="G286" t="str">
        <f t="shared" si="26"/>
        <v>Common_bully</v>
      </c>
      <c r="H286" t="str">
        <f t="shared" si="27"/>
        <v>Toitoi</v>
      </c>
      <c r="I286" t="str">
        <f t="shared" si="28"/>
        <v>Native</v>
      </c>
      <c r="J286" t="str">
        <f t="shared" si="29"/>
        <v>No</v>
      </c>
      <c r="L286">
        <v>28</v>
      </c>
      <c r="M286">
        <f t="shared" si="24"/>
        <v>1.1904761904761905</v>
      </c>
      <c r="N286">
        <v>1</v>
      </c>
      <c r="S286" t="str">
        <f t="shared" si="30"/>
        <v/>
      </c>
    </row>
    <row r="287" spans="1:19" x14ac:dyDescent="0.55000000000000004">
      <c r="A287">
        <v>99</v>
      </c>
      <c r="B287" s="2">
        <v>45603.395833333336</v>
      </c>
      <c r="C287" t="s">
        <v>216</v>
      </c>
      <c r="D287">
        <v>2</v>
      </c>
      <c r="E287" t="s">
        <v>44</v>
      </c>
      <c r="F287" t="str">
        <f t="shared" si="25"/>
        <v>Gobiomorphus cotidianus</v>
      </c>
      <c r="G287" t="str">
        <f t="shared" si="26"/>
        <v>Common_bully</v>
      </c>
      <c r="H287" t="str">
        <f t="shared" si="27"/>
        <v>Toitoi</v>
      </c>
      <c r="I287" t="str">
        <f t="shared" si="28"/>
        <v>Native</v>
      </c>
      <c r="J287" t="str">
        <f t="shared" si="29"/>
        <v>No</v>
      </c>
      <c r="L287">
        <v>40</v>
      </c>
      <c r="M287">
        <f t="shared" si="24"/>
        <v>1.1904761904761905</v>
      </c>
      <c r="N287">
        <v>1</v>
      </c>
      <c r="S287" t="str">
        <f t="shared" si="30"/>
        <v/>
      </c>
    </row>
    <row r="288" spans="1:19" x14ac:dyDescent="0.55000000000000004">
      <c r="A288">
        <v>99</v>
      </c>
      <c r="B288" s="2">
        <v>45603.395833333336</v>
      </c>
      <c r="C288" t="s">
        <v>216</v>
      </c>
      <c r="D288">
        <v>2</v>
      </c>
      <c r="E288" t="s">
        <v>44</v>
      </c>
      <c r="F288" t="str">
        <f t="shared" si="25"/>
        <v>Gobiomorphus cotidianus</v>
      </c>
      <c r="G288" t="str">
        <f t="shared" si="26"/>
        <v>Common_bully</v>
      </c>
      <c r="H288" t="str">
        <f t="shared" si="27"/>
        <v>Toitoi</v>
      </c>
      <c r="I288" t="str">
        <f t="shared" si="28"/>
        <v>Native</v>
      </c>
      <c r="J288" t="str">
        <f t="shared" si="29"/>
        <v>No</v>
      </c>
      <c r="L288">
        <v>28</v>
      </c>
      <c r="M288">
        <f t="shared" si="24"/>
        <v>1.1904761904761905</v>
      </c>
      <c r="N288">
        <v>1</v>
      </c>
      <c r="S288" t="str">
        <f t="shared" si="30"/>
        <v/>
      </c>
    </row>
    <row r="289" spans="1:20" x14ac:dyDescent="0.55000000000000004">
      <c r="A289">
        <v>99</v>
      </c>
      <c r="B289" s="2">
        <v>45603.395833333336</v>
      </c>
      <c r="C289" t="s">
        <v>216</v>
      </c>
      <c r="D289">
        <v>2</v>
      </c>
      <c r="E289" t="s">
        <v>44</v>
      </c>
      <c r="F289" t="str">
        <f t="shared" si="25"/>
        <v>Gobiomorphus cotidianus</v>
      </c>
      <c r="G289" t="str">
        <f t="shared" si="26"/>
        <v>Common_bully</v>
      </c>
      <c r="H289" t="str">
        <f t="shared" si="27"/>
        <v>Toitoi</v>
      </c>
      <c r="I289" t="str">
        <f t="shared" si="28"/>
        <v>Native</v>
      </c>
      <c r="J289" t="str">
        <f t="shared" si="29"/>
        <v>No</v>
      </c>
      <c r="L289">
        <v>26</v>
      </c>
      <c r="M289">
        <f t="shared" si="24"/>
        <v>1.1904761904761905</v>
      </c>
      <c r="N289">
        <v>1</v>
      </c>
      <c r="S289" t="str">
        <f t="shared" si="30"/>
        <v/>
      </c>
    </row>
    <row r="290" spans="1:20" x14ac:dyDescent="0.55000000000000004">
      <c r="A290">
        <v>99</v>
      </c>
      <c r="B290" s="2">
        <v>45603.395833333336</v>
      </c>
      <c r="C290" t="s">
        <v>216</v>
      </c>
      <c r="D290">
        <v>2</v>
      </c>
      <c r="E290" t="s">
        <v>44</v>
      </c>
      <c r="F290" t="str">
        <f t="shared" si="25"/>
        <v>Gobiomorphus cotidianus</v>
      </c>
      <c r="G290" t="str">
        <f t="shared" si="26"/>
        <v>Common_bully</v>
      </c>
      <c r="H290" t="str">
        <f t="shared" si="27"/>
        <v>Toitoi</v>
      </c>
      <c r="I290" t="str">
        <f t="shared" si="28"/>
        <v>Native</v>
      </c>
      <c r="J290" t="str">
        <f t="shared" si="29"/>
        <v>No</v>
      </c>
      <c r="L290">
        <v>39</v>
      </c>
      <c r="M290">
        <f>50/42</f>
        <v>1.1904761904761905</v>
      </c>
      <c r="N290">
        <v>1</v>
      </c>
      <c r="S290" t="str">
        <f t="shared" si="30"/>
        <v/>
      </c>
    </row>
    <row r="291" spans="1:20" x14ac:dyDescent="0.55000000000000004">
      <c r="A291">
        <v>99</v>
      </c>
      <c r="B291" s="2">
        <v>45603.395833333336</v>
      </c>
      <c r="C291" t="s">
        <v>215</v>
      </c>
      <c r="D291">
        <v>2</v>
      </c>
      <c r="E291" t="s">
        <v>49</v>
      </c>
      <c r="F291" t="str">
        <f t="shared" si="25"/>
        <v>Paranephrops planifrons</v>
      </c>
      <c r="G291" t="str">
        <f t="shared" si="26"/>
        <v>Freshwater_crayfish</v>
      </c>
      <c r="H291" t="str">
        <f t="shared" si="27"/>
        <v>Kōura</v>
      </c>
      <c r="I291" t="str">
        <f t="shared" si="28"/>
        <v>Native</v>
      </c>
      <c r="J291" t="str">
        <f t="shared" si="29"/>
        <v>Yes</v>
      </c>
      <c r="K291" t="s">
        <v>48</v>
      </c>
      <c r="L291">
        <v>18.29</v>
      </c>
      <c r="M291">
        <v>7</v>
      </c>
      <c r="N291">
        <v>1</v>
      </c>
      <c r="S291" t="str">
        <f t="shared" si="30"/>
        <v/>
      </c>
    </row>
    <row r="292" spans="1:20" x14ac:dyDescent="0.55000000000000004">
      <c r="A292">
        <v>99</v>
      </c>
      <c r="B292" s="2">
        <v>45603.395833333336</v>
      </c>
      <c r="C292" t="s">
        <v>215</v>
      </c>
      <c r="D292">
        <v>2</v>
      </c>
      <c r="E292" t="s">
        <v>49</v>
      </c>
      <c r="F292" t="str">
        <f t="shared" si="25"/>
        <v>Paranephrops planifrons</v>
      </c>
      <c r="G292" t="str">
        <f t="shared" si="26"/>
        <v>Freshwater_crayfish</v>
      </c>
      <c r="H292" t="str">
        <f t="shared" si="27"/>
        <v>Kōura</v>
      </c>
      <c r="I292" t="str">
        <f t="shared" si="28"/>
        <v>Native</v>
      </c>
      <c r="J292" t="str">
        <f t="shared" si="29"/>
        <v>Yes</v>
      </c>
      <c r="K292" t="s">
        <v>48</v>
      </c>
      <c r="L292">
        <v>17.57</v>
      </c>
      <c r="M292">
        <v>4</v>
      </c>
      <c r="N292">
        <v>1</v>
      </c>
      <c r="S292" t="str">
        <f t="shared" si="30"/>
        <v/>
      </c>
    </row>
    <row r="293" spans="1:20" x14ac:dyDescent="0.55000000000000004">
      <c r="A293">
        <v>99</v>
      </c>
      <c r="B293" s="2">
        <v>45603.395833333336</v>
      </c>
      <c r="C293" t="s">
        <v>215</v>
      </c>
      <c r="D293">
        <v>2</v>
      </c>
      <c r="E293" t="s">
        <v>44</v>
      </c>
      <c r="F293" t="str">
        <f t="shared" si="25"/>
        <v>Gobiomorphus cotidianus</v>
      </c>
      <c r="G293" t="str">
        <f t="shared" si="26"/>
        <v>Common_bully</v>
      </c>
      <c r="H293" t="str">
        <f t="shared" si="27"/>
        <v>Toitoi</v>
      </c>
      <c r="I293" t="str">
        <f t="shared" si="28"/>
        <v>Native</v>
      </c>
      <c r="J293" t="str">
        <f t="shared" si="29"/>
        <v>No</v>
      </c>
      <c r="L293">
        <v>46</v>
      </c>
      <c r="M293">
        <f>217/100</f>
        <v>2.17</v>
      </c>
      <c r="N293">
        <v>1</v>
      </c>
      <c r="S293" t="str">
        <f t="shared" si="30"/>
        <v/>
      </c>
      <c r="T293" t="s">
        <v>281</v>
      </c>
    </row>
    <row r="294" spans="1:20" x14ac:dyDescent="0.55000000000000004">
      <c r="A294">
        <v>99</v>
      </c>
      <c r="B294" s="2">
        <v>45603.395833333336</v>
      </c>
      <c r="C294" t="s">
        <v>215</v>
      </c>
      <c r="D294">
        <v>2</v>
      </c>
      <c r="E294" t="s">
        <v>44</v>
      </c>
      <c r="F294" t="str">
        <f t="shared" si="25"/>
        <v>Gobiomorphus cotidianus</v>
      </c>
      <c r="G294" t="str">
        <f t="shared" si="26"/>
        <v>Common_bully</v>
      </c>
      <c r="H294" t="str">
        <f t="shared" si="27"/>
        <v>Toitoi</v>
      </c>
      <c r="I294" t="str">
        <f t="shared" si="28"/>
        <v>Native</v>
      </c>
      <c r="J294" t="str">
        <f t="shared" si="29"/>
        <v>No</v>
      </c>
      <c r="L294">
        <v>84</v>
      </c>
      <c r="M294">
        <f t="shared" ref="M294:M302" si="31">217/100</f>
        <v>2.17</v>
      </c>
      <c r="N294">
        <v>1</v>
      </c>
      <c r="S294" t="str">
        <f t="shared" si="30"/>
        <v/>
      </c>
      <c r="T294" t="s">
        <v>281</v>
      </c>
    </row>
    <row r="295" spans="1:20" x14ac:dyDescent="0.55000000000000004">
      <c r="A295">
        <v>99</v>
      </c>
      <c r="B295" s="2">
        <v>45603.395833333336</v>
      </c>
      <c r="C295" t="s">
        <v>215</v>
      </c>
      <c r="D295">
        <v>2</v>
      </c>
      <c r="E295" t="s">
        <v>44</v>
      </c>
      <c r="F295" t="str">
        <f t="shared" si="25"/>
        <v>Gobiomorphus cotidianus</v>
      </c>
      <c r="G295" t="str">
        <f t="shared" si="26"/>
        <v>Common_bully</v>
      </c>
      <c r="H295" t="str">
        <f t="shared" si="27"/>
        <v>Toitoi</v>
      </c>
      <c r="I295" t="str">
        <f t="shared" si="28"/>
        <v>Native</v>
      </c>
      <c r="J295" t="str">
        <f t="shared" si="29"/>
        <v>No</v>
      </c>
      <c r="L295">
        <v>72</v>
      </c>
      <c r="M295">
        <f t="shared" si="31"/>
        <v>2.17</v>
      </c>
      <c r="N295">
        <v>1</v>
      </c>
      <c r="S295" t="str">
        <f t="shared" si="30"/>
        <v/>
      </c>
      <c r="T295" t="s">
        <v>281</v>
      </c>
    </row>
    <row r="296" spans="1:20" x14ac:dyDescent="0.55000000000000004">
      <c r="A296">
        <v>99</v>
      </c>
      <c r="B296" s="2">
        <v>45603.395833333336</v>
      </c>
      <c r="C296" t="s">
        <v>215</v>
      </c>
      <c r="D296">
        <v>2</v>
      </c>
      <c r="E296" t="s">
        <v>44</v>
      </c>
      <c r="F296" t="str">
        <f t="shared" si="25"/>
        <v>Gobiomorphus cotidianus</v>
      </c>
      <c r="G296" t="str">
        <f t="shared" si="26"/>
        <v>Common_bully</v>
      </c>
      <c r="H296" t="str">
        <f t="shared" si="27"/>
        <v>Toitoi</v>
      </c>
      <c r="I296" t="str">
        <f t="shared" si="28"/>
        <v>Native</v>
      </c>
      <c r="J296" t="str">
        <f t="shared" si="29"/>
        <v>No</v>
      </c>
      <c r="L296">
        <v>44</v>
      </c>
      <c r="M296">
        <f t="shared" si="31"/>
        <v>2.17</v>
      </c>
      <c r="N296">
        <v>1</v>
      </c>
      <c r="S296" t="str">
        <f t="shared" si="30"/>
        <v/>
      </c>
      <c r="T296" t="s">
        <v>281</v>
      </c>
    </row>
    <row r="297" spans="1:20" x14ac:dyDescent="0.55000000000000004">
      <c r="A297">
        <v>99</v>
      </c>
      <c r="B297" s="2">
        <v>45603.395833333336</v>
      </c>
      <c r="C297" t="s">
        <v>215</v>
      </c>
      <c r="D297">
        <v>2</v>
      </c>
      <c r="E297" t="s">
        <v>44</v>
      </c>
      <c r="F297" t="str">
        <f t="shared" si="25"/>
        <v>Gobiomorphus cotidianus</v>
      </c>
      <c r="G297" t="str">
        <f t="shared" si="26"/>
        <v>Common_bully</v>
      </c>
      <c r="H297" t="str">
        <f t="shared" si="27"/>
        <v>Toitoi</v>
      </c>
      <c r="I297" t="str">
        <f t="shared" si="28"/>
        <v>Native</v>
      </c>
      <c r="J297" t="str">
        <f t="shared" si="29"/>
        <v>No</v>
      </c>
      <c r="L297">
        <v>50</v>
      </c>
      <c r="M297">
        <f t="shared" si="31"/>
        <v>2.17</v>
      </c>
      <c r="N297">
        <v>1</v>
      </c>
      <c r="S297" t="str">
        <f t="shared" si="30"/>
        <v/>
      </c>
      <c r="T297" t="s">
        <v>281</v>
      </c>
    </row>
    <row r="298" spans="1:20" x14ac:dyDescent="0.55000000000000004">
      <c r="A298">
        <v>99</v>
      </c>
      <c r="B298" s="2">
        <v>45603.395833333336</v>
      </c>
      <c r="C298" t="s">
        <v>215</v>
      </c>
      <c r="D298">
        <v>2</v>
      </c>
      <c r="E298" t="s">
        <v>44</v>
      </c>
      <c r="F298" t="str">
        <f t="shared" si="25"/>
        <v>Gobiomorphus cotidianus</v>
      </c>
      <c r="G298" t="str">
        <f t="shared" si="26"/>
        <v>Common_bully</v>
      </c>
      <c r="H298" t="str">
        <f t="shared" si="27"/>
        <v>Toitoi</v>
      </c>
      <c r="I298" t="str">
        <f t="shared" si="28"/>
        <v>Native</v>
      </c>
      <c r="J298" t="str">
        <f t="shared" si="29"/>
        <v>No</v>
      </c>
      <c r="L298">
        <v>56</v>
      </c>
      <c r="M298">
        <f t="shared" si="31"/>
        <v>2.17</v>
      </c>
      <c r="N298">
        <v>1</v>
      </c>
      <c r="S298" t="str">
        <f t="shared" si="30"/>
        <v/>
      </c>
      <c r="T298" t="s">
        <v>281</v>
      </c>
    </row>
    <row r="299" spans="1:20" x14ac:dyDescent="0.55000000000000004">
      <c r="A299">
        <v>99</v>
      </c>
      <c r="B299" s="2">
        <v>45603.395833333336</v>
      </c>
      <c r="C299" t="s">
        <v>215</v>
      </c>
      <c r="D299">
        <v>2</v>
      </c>
      <c r="E299" t="s">
        <v>44</v>
      </c>
      <c r="F299" t="str">
        <f t="shared" si="25"/>
        <v>Gobiomorphus cotidianus</v>
      </c>
      <c r="G299" t="str">
        <f t="shared" si="26"/>
        <v>Common_bully</v>
      </c>
      <c r="H299" t="str">
        <f t="shared" si="27"/>
        <v>Toitoi</v>
      </c>
      <c r="I299" t="str">
        <f t="shared" si="28"/>
        <v>Native</v>
      </c>
      <c r="J299" t="str">
        <f t="shared" si="29"/>
        <v>No</v>
      </c>
      <c r="L299">
        <v>39</v>
      </c>
      <c r="M299">
        <f t="shared" si="31"/>
        <v>2.17</v>
      </c>
      <c r="N299">
        <v>1</v>
      </c>
      <c r="S299" t="str">
        <f t="shared" si="30"/>
        <v/>
      </c>
      <c r="T299" t="s">
        <v>281</v>
      </c>
    </row>
    <row r="300" spans="1:20" x14ac:dyDescent="0.55000000000000004">
      <c r="A300">
        <v>99</v>
      </c>
      <c r="B300" s="2">
        <v>45603.395833333336</v>
      </c>
      <c r="C300" t="s">
        <v>215</v>
      </c>
      <c r="D300">
        <v>2</v>
      </c>
      <c r="E300" t="s">
        <v>44</v>
      </c>
      <c r="F300" t="str">
        <f t="shared" si="25"/>
        <v>Gobiomorphus cotidianus</v>
      </c>
      <c r="G300" t="str">
        <f t="shared" si="26"/>
        <v>Common_bully</v>
      </c>
      <c r="H300" t="str">
        <f t="shared" si="27"/>
        <v>Toitoi</v>
      </c>
      <c r="I300" t="str">
        <f t="shared" si="28"/>
        <v>Native</v>
      </c>
      <c r="J300" t="str">
        <f t="shared" si="29"/>
        <v>No</v>
      </c>
      <c r="L300">
        <v>53</v>
      </c>
      <c r="M300">
        <f t="shared" si="31"/>
        <v>2.17</v>
      </c>
      <c r="N300">
        <v>1</v>
      </c>
      <c r="S300" t="str">
        <f t="shared" si="30"/>
        <v/>
      </c>
      <c r="T300" t="s">
        <v>281</v>
      </c>
    </row>
    <row r="301" spans="1:20" x14ac:dyDescent="0.55000000000000004">
      <c r="A301">
        <v>99</v>
      </c>
      <c r="B301" s="2">
        <v>45603.395833333336</v>
      </c>
      <c r="C301" t="s">
        <v>215</v>
      </c>
      <c r="D301">
        <v>2</v>
      </c>
      <c r="E301" t="s">
        <v>44</v>
      </c>
      <c r="F301" t="str">
        <f t="shared" si="25"/>
        <v>Gobiomorphus cotidianus</v>
      </c>
      <c r="G301" t="str">
        <f t="shared" si="26"/>
        <v>Common_bully</v>
      </c>
      <c r="H301" t="str">
        <f t="shared" si="27"/>
        <v>Toitoi</v>
      </c>
      <c r="I301" t="str">
        <f t="shared" si="28"/>
        <v>Native</v>
      </c>
      <c r="J301" t="str">
        <f t="shared" si="29"/>
        <v>No</v>
      </c>
      <c r="L301">
        <v>63</v>
      </c>
      <c r="M301">
        <f t="shared" si="31"/>
        <v>2.17</v>
      </c>
      <c r="N301">
        <v>1</v>
      </c>
      <c r="S301" t="str">
        <f t="shared" si="30"/>
        <v/>
      </c>
      <c r="T301" t="s">
        <v>281</v>
      </c>
    </row>
    <row r="302" spans="1:20" x14ac:dyDescent="0.55000000000000004">
      <c r="A302">
        <v>99</v>
      </c>
      <c r="B302" s="2">
        <v>45603.395833333336</v>
      </c>
      <c r="C302" t="s">
        <v>215</v>
      </c>
      <c r="D302">
        <v>2</v>
      </c>
      <c r="E302" t="s">
        <v>44</v>
      </c>
      <c r="F302" t="str">
        <f t="shared" si="25"/>
        <v>Gobiomorphus cotidianus</v>
      </c>
      <c r="G302" t="str">
        <f t="shared" si="26"/>
        <v>Common_bully</v>
      </c>
      <c r="H302" t="str">
        <f t="shared" si="27"/>
        <v>Toitoi</v>
      </c>
      <c r="I302" t="str">
        <f t="shared" si="28"/>
        <v>Native</v>
      </c>
      <c r="J302" t="str">
        <f t="shared" si="29"/>
        <v>No</v>
      </c>
      <c r="L302">
        <v>56</v>
      </c>
      <c r="M302">
        <f t="shared" si="31"/>
        <v>2.17</v>
      </c>
      <c r="N302">
        <v>1</v>
      </c>
      <c r="S302" t="str">
        <f t="shared" si="30"/>
        <v/>
      </c>
      <c r="T302" t="s">
        <v>281</v>
      </c>
    </row>
    <row r="303" spans="1:20" x14ac:dyDescent="0.55000000000000004">
      <c r="A303">
        <v>99</v>
      </c>
      <c r="B303" s="2">
        <v>45603.395833333336</v>
      </c>
      <c r="C303" t="s">
        <v>215</v>
      </c>
      <c r="D303">
        <v>2</v>
      </c>
      <c r="E303" t="s">
        <v>44</v>
      </c>
      <c r="F303" t="str">
        <f t="shared" si="25"/>
        <v>Gobiomorphus cotidianus</v>
      </c>
      <c r="G303" t="str">
        <f t="shared" si="26"/>
        <v>Common_bully</v>
      </c>
      <c r="H303" t="str">
        <f t="shared" si="27"/>
        <v>Toitoi</v>
      </c>
      <c r="I303" t="str">
        <f t="shared" si="28"/>
        <v>Native</v>
      </c>
      <c r="J303" t="str">
        <f t="shared" si="29"/>
        <v>No</v>
      </c>
      <c r="M303">
        <f>217/100*90</f>
        <v>195.29999999999998</v>
      </c>
      <c r="N303">
        <v>90</v>
      </c>
      <c r="R303">
        <v>1</v>
      </c>
      <c r="S303">
        <f t="shared" si="30"/>
        <v>236.58799999999999</v>
      </c>
      <c r="T303" t="s">
        <v>281</v>
      </c>
    </row>
    <row r="304" spans="1:20" x14ac:dyDescent="0.55000000000000004">
      <c r="A304">
        <v>99</v>
      </c>
      <c r="B304" s="2">
        <v>45603.395833333336</v>
      </c>
      <c r="C304" t="s">
        <v>215</v>
      </c>
      <c r="D304">
        <v>2</v>
      </c>
      <c r="E304" t="s">
        <v>44</v>
      </c>
      <c r="F304" t="str">
        <f t="shared" si="25"/>
        <v>Gobiomorphus cotidianus</v>
      </c>
      <c r="G304" t="str">
        <f t="shared" si="26"/>
        <v>Common_bully</v>
      </c>
      <c r="H304" t="str">
        <f t="shared" si="27"/>
        <v>Toitoi</v>
      </c>
      <c r="I304" t="str">
        <f t="shared" si="28"/>
        <v>Native</v>
      </c>
      <c r="J304" t="str">
        <f t="shared" si="29"/>
        <v>No</v>
      </c>
      <c r="M304">
        <v>213</v>
      </c>
      <c r="R304">
        <v>1</v>
      </c>
      <c r="S304">
        <f t="shared" si="30"/>
        <v>236.58799999999999</v>
      </c>
    </row>
    <row r="305" spans="1:20" x14ac:dyDescent="0.55000000000000004">
      <c r="A305">
        <v>99</v>
      </c>
      <c r="B305" s="2">
        <v>45603.395833333336</v>
      </c>
      <c r="C305" t="s">
        <v>215</v>
      </c>
      <c r="D305">
        <v>2</v>
      </c>
      <c r="E305" t="s">
        <v>44</v>
      </c>
      <c r="F305" t="str">
        <f t="shared" si="25"/>
        <v>Gobiomorphus cotidianus</v>
      </c>
      <c r="G305" t="str">
        <f t="shared" si="26"/>
        <v>Common_bully</v>
      </c>
      <c r="H305" t="str">
        <f t="shared" si="27"/>
        <v>Toitoi</v>
      </c>
      <c r="I305" t="str">
        <f t="shared" si="28"/>
        <v>Native</v>
      </c>
      <c r="J305" t="str">
        <f t="shared" si="29"/>
        <v>No</v>
      </c>
      <c r="M305">
        <v>193</v>
      </c>
      <c r="R305">
        <v>1</v>
      </c>
      <c r="S305">
        <f t="shared" si="30"/>
        <v>236.58799999999999</v>
      </c>
    </row>
    <row r="306" spans="1:20" x14ac:dyDescent="0.55000000000000004">
      <c r="A306">
        <v>99</v>
      </c>
      <c r="B306" s="2">
        <v>45603.395833333336</v>
      </c>
      <c r="C306" t="s">
        <v>215</v>
      </c>
      <c r="D306">
        <v>2</v>
      </c>
      <c r="E306" t="s">
        <v>247</v>
      </c>
      <c r="F306" t="str">
        <f t="shared" si="25"/>
        <v>Retropinna retropinna</v>
      </c>
      <c r="G306" t="str">
        <f t="shared" si="26"/>
        <v>Common_smelt</v>
      </c>
      <c r="H306" t="str">
        <f t="shared" si="27"/>
        <v>Common_smelt</v>
      </c>
      <c r="I306" t="str">
        <f t="shared" si="28"/>
        <v>Native</v>
      </c>
      <c r="J306" t="str">
        <f t="shared" si="29"/>
        <v>No</v>
      </c>
      <c r="M306">
        <v>92</v>
      </c>
      <c r="R306">
        <v>0.5</v>
      </c>
      <c r="S306">
        <f t="shared" si="30"/>
        <v>118.294</v>
      </c>
    </row>
    <row r="307" spans="1:20" x14ac:dyDescent="0.55000000000000004">
      <c r="A307">
        <v>99</v>
      </c>
      <c r="B307" s="2">
        <v>45603.395833333336</v>
      </c>
      <c r="C307" t="s">
        <v>215</v>
      </c>
      <c r="D307">
        <v>2</v>
      </c>
      <c r="E307" t="s">
        <v>44</v>
      </c>
      <c r="F307" t="str">
        <f t="shared" si="25"/>
        <v>Gobiomorphus cotidianus</v>
      </c>
      <c r="G307" t="str">
        <f t="shared" si="26"/>
        <v>Common_bully</v>
      </c>
      <c r="H307" t="str">
        <f t="shared" si="27"/>
        <v>Toitoi</v>
      </c>
      <c r="I307" t="str">
        <f t="shared" si="28"/>
        <v>Native</v>
      </c>
      <c r="J307" t="str">
        <f t="shared" si="29"/>
        <v>No</v>
      </c>
      <c r="M307">
        <v>440</v>
      </c>
      <c r="R307">
        <v>2</v>
      </c>
      <c r="S307">
        <f t="shared" si="30"/>
        <v>473.17599999999999</v>
      </c>
    </row>
    <row r="308" spans="1:20" x14ac:dyDescent="0.55000000000000004">
      <c r="A308">
        <v>99</v>
      </c>
      <c r="B308" s="2">
        <v>45603.395833333336</v>
      </c>
      <c r="C308" t="s">
        <v>215</v>
      </c>
      <c r="D308">
        <v>2</v>
      </c>
      <c r="E308" t="s">
        <v>44</v>
      </c>
      <c r="F308" t="str">
        <f t="shared" si="25"/>
        <v>Gobiomorphus cotidianus</v>
      </c>
      <c r="G308" t="str">
        <f t="shared" si="26"/>
        <v>Common_bully</v>
      </c>
      <c r="H308" t="str">
        <f t="shared" si="27"/>
        <v>Toitoi</v>
      </c>
      <c r="I308" t="str">
        <f t="shared" si="28"/>
        <v>Native</v>
      </c>
      <c r="J308" t="str">
        <f t="shared" si="29"/>
        <v>No</v>
      </c>
      <c r="M308">
        <v>395</v>
      </c>
      <c r="R308">
        <v>2</v>
      </c>
      <c r="S308">
        <f t="shared" si="30"/>
        <v>473.17599999999999</v>
      </c>
    </row>
    <row r="309" spans="1:20" x14ac:dyDescent="0.55000000000000004">
      <c r="A309">
        <v>99</v>
      </c>
      <c r="B309" s="2">
        <v>45603.395833333336</v>
      </c>
      <c r="C309" t="s">
        <v>215</v>
      </c>
      <c r="D309">
        <v>2</v>
      </c>
      <c r="E309" t="s">
        <v>44</v>
      </c>
      <c r="F309" t="str">
        <f t="shared" si="25"/>
        <v>Gobiomorphus cotidianus</v>
      </c>
      <c r="G309" t="str">
        <f t="shared" si="26"/>
        <v>Common_bully</v>
      </c>
      <c r="H309" t="str">
        <f t="shared" si="27"/>
        <v>Toitoi</v>
      </c>
      <c r="I309" t="str">
        <f t="shared" si="28"/>
        <v>Native</v>
      </c>
      <c r="J309" t="str">
        <f t="shared" si="29"/>
        <v>No</v>
      </c>
      <c r="M309">
        <v>404</v>
      </c>
      <c r="R309">
        <v>2</v>
      </c>
      <c r="S309">
        <f t="shared" si="30"/>
        <v>473.17599999999999</v>
      </c>
    </row>
    <row r="310" spans="1:20" x14ac:dyDescent="0.55000000000000004">
      <c r="A310">
        <v>99</v>
      </c>
      <c r="B310" s="2">
        <v>45603.395833333336</v>
      </c>
      <c r="C310" t="s">
        <v>215</v>
      </c>
      <c r="D310">
        <v>2</v>
      </c>
      <c r="E310" t="s">
        <v>44</v>
      </c>
      <c r="F310" t="str">
        <f t="shared" si="25"/>
        <v>Gobiomorphus cotidianus</v>
      </c>
      <c r="G310" t="str">
        <f t="shared" si="26"/>
        <v>Common_bully</v>
      </c>
      <c r="H310" t="str">
        <f t="shared" si="27"/>
        <v>Toitoi</v>
      </c>
      <c r="I310" t="str">
        <f t="shared" si="28"/>
        <v>Native</v>
      </c>
      <c r="J310" t="str">
        <f t="shared" si="29"/>
        <v>No</v>
      </c>
      <c r="M310">
        <v>419</v>
      </c>
      <c r="R310">
        <v>2</v>
      </c>
      <c r="S310">
        <f t="shared" si="30"/>
        <v>473.17599999999999</v>
      </c>
    </row>
    <row r="311" spans="1:20" x14ac:dyDescent="0.55000000000000004">
      <c r="A311">
        <v>99</v>
      </c>
      <c r="B311" s="2">
        <v>45603.395833333336</v>
      </c>
      <c r="C311" t="s">
        <v>215</v>
      </c>
      <c r="D311">
        <v>2</v>
      </c>
      <c r="E311" t="s">
        <v>44</v>
      </c>
      <c r="F311" t="str">
        <f t="shared" si="25"/>
        <v>Gobiomorphus cotidianus</v>
      </c>
      <c r="G311" t="str">
        <f t="shared" si="26"/>
        <v>Common_bully</v>
      </c>
      <c r="H311" t="str">
        <f t="shared" si="27"/>
        <v>Toitoi</v>
      </c>
      <c r="I311" t="str">
        <f t="shared" si="28"/>
        <v>Native</v>
      </c>
      <c r="J311" t="str">
        <f t="shared" si="29"/>
        <v>No</v>
      </c>
      <c r="M311">
        <v>436</v>
      </c>
      <c r="R311">
        <v>2</v>
      </c>
      <c r="S311">
        <f t="shared" si="30"/>
        <v>473.17599999999999</v>
      </c>
    </row>
    <row r="312" spans="1:20" x14ac:dyDescent="0.55000000000000004">
      <c r="A312">
        <v>99</v>
      </c>
      <c r="B312" s="2">
        <v>45603.395833333336</v>
      </c>
      <c r="C312" t="s">
        <v>215</v>
      </c>
      <c r="D312">
        <v>2</v>
      </c>
      <c r="E312" t="s">
        <v>44</v>
      </c>
      <c r="F312" t="str">
        <f t="shared" si="25"/>
        <v>Gobiomorphus cotidianus</v>
      </c>
      <c r="G312" t="str">
        <f t="shared" si="26"/>
        <v>Common_bully</v>
      </c>
      <c r="H312" t="str">
        <f t="shared" si="27"/>
        <v>Toitoi</v>
      </c>
      <c r="I312" t="str">
        <f t="shared" si="28"/>
        <v>Native</v>
      </c>
      <c r="J312" t="str">
        <f t="shared" si="29"/>
        <v>No</v>
      </c>
      <c r="M312">
        <v>444</v>
      </c>
      <c r="R312">
        <v>2</v>
      </c>
      <c r="S312">
        <f t="shared" si="30"/>
        <v>473.17599999999999</v>
      </c>
    </row>
    <row r="313" spans="1:20" x14ac:dyDescent="0.55000000000000004">
      <c r="A313">
        <v>99</v>
      </c>
      <c r="B313" s="2">
        <v>45603.395833333336</v>
      </c>
      <c r="C313" t="s">
        <v>215</v>
      </c>
      <c r="D313">
        <v>2</v>
      </c>
      <c r="E313" t="s">
        <v>44</v>
      </c>
      <c r="F313" t="str">
        <f t="shared" si="25"/>
        <v>Gobiomorphus cotidianus</v>
      </c>
      <c r="G313" t="str">
        <f t="shared" si="26"/>
        <v>Common_bully</v>
      </c>
      <c r="H313" t="str">
        <f t="shared" si="27"/>
        <v>Toitoi</v>
      </c>
      <c r="I313" t="str">
        <f t="shared" si="28"/>
        <v>Native</v>
      </c>
      <c r="J313" t="str">
        <f t="shared" si="29"/>
        <v>No</v>
      </c>
      <c r="M313">
        <v>435</v>
      </c>
      <c r="R313">
        <v>2</v>
      </c>
      <c r="S313">
        <f t="shared" si="30"/>
        <v>473.17599999999999</v>
      </c>
    </row>
    <row r="314" spans="1:20" x14ac:dyDescent="0.55000000000000004">
      <c r="A314">
        <v>99</v>
      </c>
      <c r="B314" s="2">
        <v>45603.395833333336</v>
      </c>
      <c r="C314" t="s">
        <v>215</v>
      </c>
      <c r="D314">
        <v>2</v>
      </c>
      <c r="E314" t="s">
        <v>44</v>
      </c>
      <c r="F314" t="str">
        <f t="shared" si="25"/>
        <v>Gobiomorphus cotidianus</v>
      </c>
      <c r="G314" t="str">
        <f t="shared" si="26"/>
        <v>Common_bully</v>
      </c>
      <c r="H314" t="str">
        <f t="shared" si="27"/>
        <v>Toitoi</v>
      </c>
      <c r="I314" t="str">
        <f t="shared" si="28"/>
        <v>Native</v>
      </c>
      <c r="J314" t="str">
        <f t="shared" si="29"/>
        <v>No</v>
      </c>
      <c r="M314">
        <v>432</v>
      </c>
      <c r="R314">
        <v>2</v>
      </c>
      <c r="S314">
        <f t="shared" si="30"/>
        <v>473.17599999999999</v>
      </c>
    </row>
    <row r="315" spans="1:20" x14ac:dyDescent="0.55000000000000004">
      <c r="A315">
        <v>99</v>
      </c>
      <c r="B315" s="2">
        <v>45603.395833333336</v>
      </c>
      <c r="C315" t="s">
        <v>215</v>
      </c>
      <c r="D315">
        <v>2</v>
      </c>
      <c r="E315" t="s">
        <v>44</v>
      </c>
      <c r="F315" t="str">
        <f t="shared" si="25"/>
        <v>Gobiomorphus cotidianus</v>
      </c>
      <c r="G315" t="str">
        <f t="shared" si="26"/>
        <v>Common_bully</v>
      </c>
      <c r="H315" t="str">
        <f t="shared" si="27"/>
        <v>Toitoi</v>
      </c>
      <c r="I315" t="str">
        <f t="shared" si="28"/>
        <v>Native</v>
      </c>
      <c r="J315" t="str">
        <f t="shared" si="29"/>
        <v>No</v>
      </c>
      <c r="M315">
        <v>444</v>
      </c>
      <c r="R315">
        <v>2</v>
      </c>
      <c r="S315">
        <f t="shared" si="30"/>
        <v>473.17599999999999</v>
      </c>
    </row>
    <row r="316" spans="1:20" x14ac:dyDescent="0.55000000000000004">
      <c r="A316">
        <v>99</v>
      </c>
      <c r="B316" s="2">
        <v>45603.395833333336</v>
      </c>
      <c r="C316" t="s">
        <v>215</v>
      </c>
      <c r="D316">
        <v>2</v>
      </c>
      <c r="E316" t="s">
        <v>44</v>
      </c>
      <c r="F316" t="str">
        <f t="shared" si="25"/>
        <v>Gobiomorphus cotidianus</v>
      </c>
      <c r="G316" t="str">
        <f t="shared" si="26"/>
        <v>Common_bully</v>
      </c>
      <c r="H316" t="str">
        <f t="shared" si="27"/>
        <v>Toitoi</v>
      </c>
      <c r="I316" t="str">
        <f t="shared" si="28"/>
        <v>Native</v>
      </c>
      <c r="J316" t="str">
        <f t="shared" si="29"/>
        <v>No</v>
      </c>
      <c r="M316">
        <v>545</v>
      </c>
      <c r="R316">
        <v>2.5</v>
      </c>
      <c r="S316">
        <f t="shared" si="30"/>
        <v>591.47</v>
      </c>
    </row>
    <row r="317" spans="1:20" x14ac:dyDescent="0.55000000000000004">
      <c r="A317">
        <v>99</v>
      </c>
      <c r="B317" s="2">
        <v>45603.395833333336</v>
      </c>
      <c r="C317" t="s">
        <v>215</v>
      </c>
      <c r="D317">
        <v>2</v>
      </c>
      <c r="E317" t="s">
        <v>247</v>
      </c>
      <c r="F317" t="str">
        <f t="shared" si="25"/>
        <v>Retropinna retropinna</v>
      </c>
      <c r="G317" t="str">
        <f t="shared" si="26"/>
        <v>Common_smelt</v>
      </c>
      <c r="H317" t="str">
        <f t="shared" si="27"/>
        <v>Common_smelt</v>
      </c>
      <c r="I317" t="str">
        <f t="shared" si="28"/>
        <v>Native</v>
      </c>
      <c r="J317" t="str">
        <f t="shared" si="29"/>
        <v>No</v>
      </c>
      <c r="N317">
        <v>100</v>
      </c>
      <c r="S317" t="str">
        <f t="shared" si="30"/>
        <v/>
      </c>
      <c r="T317" t="s">
        <v>280</v>
      </c>
    </row>
    <row r="318" spans="1:20" x14ac:dyDescent="0.55000000000000004">
      <c r="A318">
        <v>99</v>
      </c>
      <c r="B318" s="2">
        <v>45603.395833333336</v>
      </c>
      <c r="C318" t="s">
        <v>215</v>
      </c>
      <c r="D318">
        <v>2</v>
      </c>
      <c r="E318" t="s">
        <v>49</v>
      </c>
      <c r="F318" t="str">
        <f t="shared" si="25"/>
        <v>Paranephrops planifrons</v>
      </c>
      <c r="G318" t="str">
        <f t="shared" si="26"/>
        <v>Freshwater_crayfish</v>
      </c>
      <c r="H318" t="str">
        <f t="shared" si="27"/>
        <v>Kōura</v>
      </c>
      <c r="I318" t="str">
        <f t="shared" si="28"/>
        <v>Native</v>
      </c>
      <c r="J318" t="str">
        <f t="shared" si="29"/>
        <v>Yes</v>
      </c>
      <c r="K318" t="s">
        <v>48</v>
      </c>
      <c r="L318">
        <v>48.33</v>
      </c>
      <c r="M318">
        <v>87</v>
      </c>
      <c r="N318">
        <v>1</v>
      </c>
      <c r="S318" t="str">
        <f t="shared" si="30"/>
        <v/>
      </c>
    </row>
    <row r="319" spans="1:20" x14ac:dyDescent="0.55000000000000004">
      <c r="A319">
        <v>100</v>
      </c>
      <c r="B319" s="2">
        <v>45604.4375</v>
      </c>
      <c r="C319" t="s">
        <v>216</v>
      </c>
      <c r="D319">
        <v>2</v>
      </c>
      <c r="E319" t="s">
        <v>44</v>
      </c>
      <c r="F319" t="str">
        <f t="shared" si="25"/>
        <v>Gobiomorphus cotidianus</v>
      </c>
      <c r="G319" t="str">
        <f t="shared" si="26"/>
        <v>Common_bully</v>
      </c>
      <c r="H319" t="str">
        <f t="shared" si="27"/>
        <v>Toitoi</v>
      </c>
      <c r="I319" t="str">
        <f t="shared" si="28"/>
        <v>Native</v>
      </c>
      <c r="J319" t="str">
        <f t="shared" si="29"/>
        <v>No</v>
      </c>
      <c r="L319">
        <v>53</v>
      </c>
      <c r="M319">
        <f>27/10</f>
        <v>2.7</v>
      </c>
      <c r="N319">
        <v>1</v>
      </c>
      <c r="S319" t="str">
        <f t="shared" si="30"/>
        <v/>
      </c>
    </row>
    <row r="320" spans="1:20" x14ac:dyDescent="0.55000000000000004">
      <c r="A320">
        <v>100</v>
      </c>
      <c r="B320" s="2">
        <v>45604.4375</v>
      </c>
      <c r="C320" t="s">
        <v>216</v>
      </c>
      <c r="D320">
        <v>2</v>
      </c>
      <c r="E320" t="s">
        <v>44</v>
      </c>
      <c r="F320" t="str">
        <f t="shared" si="25"/>
        <v>Gobiomorphus cotidianus</v>
      </c>
      <c r="G320" t="str">
        <f t="shared" si="26"/>
        <v>Common_bully</v>
      </c>
      <c r="H320" t="str">
        <f t="shared" si="27"/>
        <v>Toitoi</v>
      </c>
      <c r="I320" t="str">
        <f t="shared" si="28"/>
        <v>Native</v>
      </c>
      <c r="J320" t="str">
        <f t="shared" si="29"/>
        <v>No</v>
      </c>
      <c r="L320">
        <v>45</v>
      </c>
      <c r="M320">
        <f t="shared" ref="M320:M328" si="32">27/10</f>
        <v>2.7</v>
      </c>
      <c r="N320">
        <v>1</v>
      </c>
      <c r="S320" t="str">
        <f t="shared" si="30"/>
        <v/>
      </c>
    </row>
    <row r="321" spans="1:20" x14ac:dyDescent="0.55000000000000004">
      <c r="A321">
        <v>100</v>
      </c>
      <c r="B321" s="2">
        <v>45604.4375</v>
      </c>
      <c r="C321" t="s">
        <v>216</v>
      </c>
      <c r="D321">
        <v>2</v>
      </c>
      <c r="E321" t="s">
        <v>44</v>
      </c>
      <c r="F321" t="str">
        <f t="shared" si="25"/>
        <v>Gobiomorphus cotidianus</v>
      </c>
      <c r="G321" t="str">
        <f t="shared" si="26"/>
        <v>Common_bully</v>
      </c>
      <c r="H321" t="str">
        <f t="shared" si="27"/>
        <v>Toitoi</v>
      </c>
      <c r="I321" t="str">
        <f t="shared" si="28"/>
        <v>Native</v>
      </c>
      <c r="J321" t="str">
        <f t="shared" si="29"/>
        <v>No</v>
      </c>
      <c r="L321">
        <v>57</v>
      </c>
      <c r="M321">
        <f t="shared" si="32"/>
        <v>2.7</v>
      </c>
      <c r="N321">
        <v>1</v>
      </c>
      <c r="S321" t="str">
        <f t="shared" si="30"/>
        <v/>
      </c>
    </row>
    <row r="322" spans="1:20" x14ac:dyDescent="0.55000000000000004">
      <c r="A322">
        <v>100</v>
      </c>
      <c r="B322" s="2">
        <v>45604.4375</v>
      </c>
      <c r="C322" t="s">
        <v>216</v>
      </c>
      <c r="D322">
        <v>2</v>
      </c>
      <c r="E322" t="s">
        <v>44</v>
      </c>
      <c r="F322" t="str">
        <f t="shared" ref="F322:F385" si="33">VLOOKUP($E322, $V$1:$AA$9, 2, FALSE)</f>
        <v>Gobiomorphus cotidianus</v>
      </c>
      <c r="G322" t="str">
        <f t="shared" ref="G322:G385" si="34">VLOOKUP($E322, $V$1:$AA$9, 3, FALSE)</f>
        <v>Common_bully</v>
      </c>
      <c r="H322" t="str">
        <f t="shared" ref="H322:H385" si="35">VLOOKUP($E322, $V$1:$AA$9, 4, FALSE)</f>
        <v>Toitoi</v>
      </c>
      <c r="I322" t="str">
        <f t="shared" ref="I322:I385" si="36">VLOOKUP($E322, $V$1:$AB$9, 5, FALSE)</f>
        <v>Native</v>
      </c>
      <c r="J322" t="str">
        <f t="shared" ref="J322:J385" si="37">VLOOKUP($E322, $V$1:$AA$9, 6, FALSE)</f>
        <v>No</v>
      </c>
      <c r="L322">
        <v>40</v>
      </c>
      <c r="M322">
        <f t="shared" si="32"/>
        <v>2.7</v>
      </c>
      <c r="N322">
        <v>1</v>
      </c>
      <c r="S322" t="str">
        <f t="shared" si="30"/>
        <v/>
      </c>
    </row>
    <row r="323" spans="1:20" x14ac:dyDescent="0.55000000000000004">
      <c r="A323">
        <v>100</v>
      </c>
      <c r="B323" s="2">
        <v>45604.4375</v>
      </c>
      <c r="C323" t="s">
        <v>216</v>
      </c>
      <c r="D323">
        <v>2</v>
      </c>
      <c r="E323" t="s">
        <v>44</v>
      </c>
      <c r="F323" t="str">
        <f t="shared" si="33"/>
        <v>Gobiomorphus cotidianus</v>
      </c>
      <c r="G323" t="str">
        <f t="shared" si="34"/>
        <v>Common_bully</v>
      </c>
      <c r="H323" t="str">
        <f t="shared" si="35"/>
        <v>Toitoi</v>
      </c>
      <c r="I323" t="str">
        <f t="shared" si="36"/>
        <v>Native</v>
      </c>
      <c r="J323" t="str">
        <f t="shared" si="37"/>
        <v>No</v>
      </c>
      <c r="L323">
        <v>53</v>
      </c>
      <c r="M323">
        <f t="shared" si="32"/>
        <v>2.7</v>
      </c>
      <c r="N323">
        <v>1</v>
      </c>
      <c r="S323" t="str">
        <f t="shared" ref="S323:S386" si="38">IF(R323&lt;&gt;"", R323*236.588, "")</f>
        <v/>
      </c>
    </row>
    <row r="324" spans="1:20" x14ac:dyDescent="0.55000000000000004">
      <c r="A324">
        <v>100</v>
      </c>
      <c r="B324" s="2">
        <v>45604.4375</v>
      </c>
      <c r="C324" t="s">
        <v>216</v>
      </c>
      <c r="D324">
        <v>2</v>
      </c>
      <c r="E324" t="s">
        <v>44</v>
      </c>
      <c r="F324" t="str">
        <f t="shared" si="33"/>
        <v>Gobiomorphus cotidianus</v>
      </c>
      <c r="G324" t="str">
        <f t="shared" si="34"/>
        <v>Common_bully</v>
      </c>
      <c r="H324" t="str">
        <f t="shared" si="35"/>
        <v>Toitoi</v>
      </c>
      <c r="I324" t="str">
        <f t="shared" si="36"/>
        <v>Native</v>
      </c>
      <c r="J324" t="str">
        <f t="shared" si="37"/>
        <v>No</v>
      </c>
      <c r="L324">
        <v>26</v>
      </c>
      <c r="M324">
        <f t="shared" si="32"/>
        <v>2.7</v>
      </c>
      <c r="N324">
        <v>1</v>
      </c>
      <c r="S324" t="str">
        <f t="shared" si="38"/>
        <v/>
      </c>
    </row>
    <row r="325" spans="1:20" x14ac:dyDescent="0.55000000000000004">
      <c r="A325">
        <v>100</v>
      </c>
      <c r="B325" s="2">
        <v>45604.4375</v>
      </c>
      <c r="C325" t="s">
        <v>216</v>
      </c>
      <c r="D325">
        <v>2</v>
      </c>
      <c r="E325" t="s">
        <v>44</v>
      </c>
      <c r="F325" t="str">
        <f t="shared" si="33"/>
        <v>Gobiomorphus cotidianus</v>
      </c>
      <c r="G325" t="str">
        <f t="shared" si="34"/>
        <v>Common_bully</v>
      </c>
      <c r="H325" t="str">
        <f t="shared" si="35"/>
        <v>Toitoi</v>
      </c>
      <c r="I325" t="str">
        <f t="shared" si="36"/>
        <v>Native</v>
      </c>
      <c r="J325" t="str">
        <f t="shared" si="37"/>
        <v>No</v>
      </c>
      <c r="L325">
        <v>56</v>
      </c>
      <c r="M325">
        <f t="shared" si="32"/>
        <v>2.7</v>
      </c>
      <c r="N325">
        <v>1</v>
      </c>
      <c r="S325" t="str">
        <f t="shared" si="38"/>
        <v/>
      </c>
    </row>
    <row r="326" spans="1:20" x14ac:dyDescent="0.55000000000000004">
      <c r="A326">
        <v>100</v>
      </c>
      <c r="B326" s="2">
        <v>45604.4375</v>
      </c>
      <c r="C326" t="s">
        <v>216</v>
      </c>
      <c r="D326">
        <v>2</v>
      </c>
      <c r="E326" t="s">
        <v>44</v>
      </c>
      <c r="F326" t="str">
        <f t="shared" si="33"/>
        <v>Gobiomorphus cotidianus</v>
      </c>
      <c r="G326" t="str">
        <f t="shared" si="34"/>
        <v>Common_bully</v>
      </c>
      <c r="H326" t="str">
        <f t="shared" si="35"/>
        <v>Toitoi</v>
      </c>
      <c r="I326" t="str">
        <f t="shared" si="36"/>
        <v>Native</v>
      </c>
      <c r="J326" t="str">
        <f t="shared" si="37"/>
        <v>No</v>
      </c>
      <c r="L326">
        <v>46</v>
      </c>
      <c r="M326">
        <f t="shared" si="32"/>
        <v>2.7</v>
      </c>
      <c r="N326">
        <v>1</v>
      </c>
      <c r="S326" t="str">
        <f t="shared" si="38"/>
        <v/>
      </c>
    </row>
    <row r="327" spans="1:20" x14ac:dyDescent="0.55000000000000004">
      <c r="A327">
        <v>100</v>
      </c>
      <c r="B327" s="2">
        <v>45604.4375</v>
      </c>
      <c r="C327" t="s">
        <v>216</v>
      </c>
      <c r="D327">
        <v>2</v>
      </c>
      <c r="E327" t="s">
        <v>44</v>
      </c>
      <c r="F327" t="str">
        <f t="shared" si="33"/>
        <v>Gobiomorphus cotidianus</v>
      </c>
      <c r="G327" t="str">
        <f t="shared" si="34"/>
        <v>Common_bully</v>
      </c>
      <c r="H327" t="str">
        <f t="shared" si="35"/>
        <v>Toitoi</v>
      </c>
      <c r="I327" t="str">
        <f t="shared" si="36"/>
        <v>Native</v>
      </c>
      <c r="J327" t="str">
        <f t="shared" si="37"/>
        <v>No</v>
      </c>
      <c r="L327">
        <v>43</v>
      </c>
      <c r="M327">
        <f t="shared" si="32"/>
        <v>2.7</v>
      </c>
      <c r="N327">
        <v>1</v>
      </c>
      <c r="S327" t="str">
        <f t="shared" si="38"/>
        <v/>
      </c>
    </row>
    <row r="328" spans="1:20" x14ac:dyDescent="0.55000000000000004">
      <c r="A328">
        <v>100</v>
      </c>
      <c r="B328" s="2">
        <v>45604.4375</v>
      </c>
      <c r="C328" t="s">
        <v>216</v>
      </c>
      <c r="D328">
        <v>2</v>
      </c>
      <c r="E328" t="s">
        <v>44</v>
      </c>
      <c r="F328" t="str">
        <f t="shared" si="33"/>
        <v>Gobiomorphus cotidianus</v>
      </c>
      <c r="G328" t="str">
        <f t="shared" si="34"/>
        <v>Common_bully</v>
      </c>
      <c r="H328" t="str">
        <f t="shared" si="35"/>
        <v>Toitoi</v>
      </c>
      <c r="I328" t="str">
        <f t="shared" si="36"/>
        <v>Native</v>
      </c>
      <c r="J328" t="str">
        <f t="shared" si="37"/>
        <v>No</v>
      </c>
      <c r="L328">
        <v>50</v>
      </c>
      <c r="M328">
        <f t="shared" si="32"/>
        <v>2.7</v>
      </c>
      <c r="N328">
        <v>1</v>
      </c>
      <c r="S328" t="str">
        <f t="shared" si="38"/>
        <v/>
      </c>
    </row>
    <row r="329" spans="1:20" x14ac:dyDescent="0.55000000000000004">
      <c r="A329">
        <v>100</v>
      </c>
      <c r="B329" s="2">
        <v>45604.4375</v>
      </c>
      <c r="C329" t="s">
        <v>215</v>
      </c>
      <c r="D329">
        <v>2</v>
      </c>
      <c r="E329" t="s">
        <v>44</v>
      </c>
      <c r="F329" t="str">
        <f t="shared" si="33"/>
        <v>Gobiomorphus cotidianus</v>
      </c>
      <c r="G329" t="str">
        <f t="shared" si="34"/>
        <v>Common_bully</v>
      </c>
      <c r="H329" t="str">
        <f t="shared" si="35"/>
        <v>Toitoi</v>
      </c>
      <c r="I329" t="str">
        <f t="shared" si="36"/>
        <v>Native</v>
      </c>
      <c r="J329" t="str">
        <f t="shared" si="37"/>
        <v>No</v>
      </c>
      <c r="L329">
        <v>49</v>
      </c>
      <c r="M329">
        <f t="shared" ref="M329:M349" si="39">93/44</f>
        <v>2.1136363636363638</v>
      </c>
      <c r="N329">
        <v>1</v>
      </c>
      <c r="S329" t="str">
        <f t="shared" si="38"/>
        <v/>
      </c>
      <c r="T329" t="s">
        <v>281</v>
      </c>
    </row>
    <row r="330" spans="1:20" x14ac:dyDescent="0.55000000000000004">
      <c r="A330">
        <v>100</v>
      </c>
      <c r="B330" s="2">
        <v>45604.4375</v>
      </c>
      <c r="C330" t="s">
        <v>215</v>
      </c>
      <c r="D330">
        <v>2</v>
      </c>
      <c r="E330" t="s">
        <v>44</v>
      </c>
      <c r="F330" t="str">
        <f t="shared" si="33"/>
        <v>Gobiomorphus cotidianus</v>
      </c>
      <c r="G330" t="str">
        <f t="shared" si="34"/>
        <v>Common_bully</v>
      </c>
      <c r="H330" t="str">
        <f t="shared" si="35"/>
        <v>Toitoi</v>
      </c>
      <c r="I330" t="str">
        <f t="shared" si="36"/>
        <v>Native</v>
      </c>
      <c r="J330" t="str">
        <f t="shared" si="37"/>
        <v>No</v>
      </c>
      <c r="L330">
        <v>67</v>
      </c>
      <c r="M330">
        <f t="shared" si="39"/>
        <v>2.1136363636363638</v>
      </c>
      <c r="N330">
        <v>1</v>
      </c>
      <c r="S330" t="str">
        <f t="shared" si="38"/>
        <v/>
      </c>
      <c r="T330" t="s">
        <v>281</v>
      </c>
    </row>
    <row r="331" spans="1:20" x14ac:dyDescent="0.55000000000000004">
      <c r="A331">
        <v>100</v>
      </c>
      <c r="B331" s="2">
        <v>45604.4375</v>
      </c>
      <c r="C331" t="s">
        <v>215</v>
      </c>
      <c r="D331">
        <v>2</v>
      </c>
      <c r="E331" t="s">
        <v>44</v>
      </c>
      <c r="F331" t="str">
        <f t="shared" si="33"/>
        <v>Gobiomorphus cotidianus</v>
      </c>
      <c r="G331" t="str">
        <f t="shared" si="34"/>
        <v>Common_bully</v>
      </c>
      <c r="H331" t="str">
        <f t="shared" si="35"/>
        <v>Toitoi</v>
      </c>
      <c r="I331" t="str">
        <f t="shared" si="36"/>
        <v>Native</v>
      </c>
      <c r="J331" t="str">
        <f t="shared" si="37"/>
        <v>No</v>
      </c>
      <c r="L331">
        <v>57</v>
      </c>
      <c r="M331">
        <f t="shared" si="39"/>
        <v>2.1136363636363638</v>
      </c>
      <c r="N331">
        <v>1</v>
      </c>
      <c r="S331" t="str">
        <f t="shared" si="38"/>
        <v/>
      </c>
      <c r="T331" t="s">
        <v>281</v>
      </c>
    </row>
    <row r="332" spans="1:20" x14ac:dyDescent="0.55000000000000004">
      <c r="A332">
        <v>100</v>
      </c>
      <c r="B332" s="2">
        <v>45604.4375</v>
      </c>
      <c r="C332" t="s">
        <v>215</v>
      </c>
      <c r="D332">
        <v>2</v>
      </c>
      <c r="E332" t="s">
        <v>44</v>
      </c>
      <c r="F332" t="str">
        <f t="shared" si="33"/>
        <v>Gobiomorphus cotidianus</v>
      </c>
      <c r="G332" t="str">
        <f t="shared" si="34"/>
        <v>Common_bully</v>
      </c>
      <c r="H332" t="str">
        <f t="shared" si="35"/>
        <v>Toitoi</v>
      </c>
      <c r="I332" t="str">
        <f t="shared" si="36"/>
        <v>Native</v>
      </c>
      <c r="J332" t="str">
        <f t="shared" si="37"/>
        <v>No</v>
      </c>
      <c r="L332">
        <v>70</v>
      </c>
      <c r="M332">
        <f t="shared" si="39"/>
        <v>2.1136363636363638</v>
      </c>
      <c r="N332">
        <v>1</v>
      </c>
      <c r="S332" t="str">
        <f t="shared" si="38"/>
        <v/>
      </c>
      <c r="T332" t="s">
        <v>281</v>
      </c>
    </row>
    <row r="333" spans="1:20" x14ac:dyDescent="0.55000000000000004">
      <c r="A333">
        <v>100</v>
      </c>
      <c r="B333" s="2">
        <v>45604.4375</v>
      </c>
      <c r="C333" t="s">
        <v>215</v>
      </c>
      <c r="D333">
        <v>2</v>
      </c>
      <c r="E333" t="s">
        <v>44</v>
      </c>
      <c r="F333" t="str">
        <f t="shared" si="33"/>
        <v>Gobiomorphus cotidianus</v>
      </c>
      <c r="G333" t="str">
        <f t="shared" si="34"/>
        <v>Common_bully</v>
      </c>
      <c r="H333" t="str">
        <f t="shared" si="35"/>
        <v>Toitoi</v>
      </c>
      <c r="I333" t="str">
        <f t="shared" si="36"/>
        <v>Native</v>
      </c>
      <c r="J333" t="str">
        <f t="shared" si="37"/>
        <v>No</v>
      </c>
      <c r="L333">
        <v>45</v>
      </c>
      <c r="M333">
        <f t="shared" si="39"/>
        <v>2.1136363636363638</v>
      </c>
      <c r="N333">
        <v>1</v>
      </c>
      <c r="S333" t="str">
        <f t="shared" si="38"/>
        <v/>
      </c>
      <c r="T333" t="s">
        <v>281</v>
      </c>
    </row>
    <row r="334" spans="1:20" x14ac:dyDescent="0.55000000000000004">
      <c r="A334">
        <v>100</v>
      </c>
      <c r="B334" s="2">
        <v>45604.4375</v>
      </c>
      <c r="C334" t="s">
        <v>215</v>
      </c>
      <c r="D334">
        <v>2</v>
      </c>
      <c r="E334" t="s">
        <v>44</v>
      </c>
      <c r="F334" t="str">
        <f t="shared" si="33"/>
        <v>Gobiomorphus cotidianus</v>
      </c>
      <c r="G334" t="str">
        <f t="shared" si="34"/>
        <v>Common_bully</v>
      </c>
      <c r="H334" t="str">
        <f t="shared" si="35"/>
        <v>Toitoi</v>
      </c>
      <c r="I334" t="str">
        <f t="shared" si="36"/>
        <v>Native</v>
      </c>
      <c r="J334" t="str">
        <f t="shared" si="37"/>
        <v>No</v>
      </c>
      <c r="L334">
        <v>65</v>
      </c>
      <c r="M334">
        <f t="shared" si="39"/>
        <v>2.1136363636363638</v>
      </c>
      <c r="N334">
        <v>1</v>
      </c>
      <c r="S334" t="str">
        <f t="shared" si="38"/>
        <v/>
      </c>
      <c r="T334" t="s">
        <v>281</v>
      </c>
    </row>
    <row r="335" spans="1:20" x14ac:dyDescent="0.55000000000000004">
      <c r="A335">
        <v>100</v>
      </c>
      <c r="B335" s="2">
        <v>45604.4375</v>
      </c>
      <c r="C335" t="s">
        <v>215</v>
      </c>
      <c r="D335">
        <v>2</v>
      </c>
      <c r="E335" t="s">
        <v>44</v>
      </c>
      <c r="F335" t="str">
        <f t="shared" si="33"/>
        <v>Gobiomorphus cotidianus</v>
      </c>
      <c r="G335" t="str">
        <f t="shared" si="34"/>
        <v>Common_bully</v>
      </c>
      <c r="H335" t="str">
        <f t="shared" si="35"/>
        <v>Toitoi</v>
      </c>
      <c r="I335" t="str">
        <f t="shared" si="36"/>
        <v>Native</v>
      </c>
      <c r="J335" t="str">
        <f t="shared" si="37"/>
        <v>No</v>
      </c>
      <c r="L335">
        <v>53</v>
      </c>
      <c r="M335">
        <f t="shared" si="39"/>
        <v>2.1136363636363638</v>
      </c>
      <c r="N335">
        <v>1</v>
      </c>
      <c r="S335" t="str">
        <f t="shared" si="38"/>
        <v/>
      </c>
      <c r="T335" t="s">
        <v>281</v>
      </c>
    </row>
    <row r="336" spans="1:20" x14ac:dyDescent="0.55000000000000004">
      <c r="A336">
        <v>100</v>
      </c>
      <c r="B336" s="2">
        <v>45604.4375</v>
      </c>
      <c r="C336" t="s">
        <v>215</v>
      </c>
      <c r="D336">
        <v>2</v>
      </c>
      <c r="E336" t="s">
        <v>44</v>
      </c>
      <c r="F336" t="str">
        <f t="shared" si="33"/>
        <v>Gobiomorphus cotidianus</v>
      </c>
      <c r="G336" t="str">
        <f t="shared" si="34"/>
        <v>Common_bully</v>
      </c>
      <c r="H336" t="str">
        <f t="shared" si="35"/>
        <v>Toitoi</v>
      </c>
      <c r="I336" t="str">
        <f t="shared" si="36"/>
        <v>Native</v>
      </c>
      <c r="J336" t="str">
        <f t="shared" si="37"/>
        <v>No</v>
      </c>
      <c r="L336">
        <v>55</v>
      </c>
      <c r="M336">
        <f t="shared" si="39"/>
        <v>2.1136363636363638</v>
      </c>
      <c r="N336">
        <v>1</v>
      </c>
      <c r="S336" t="str">
        <f t="shared" si="38"/>
        <v/>
      </c>
      <c r="T336" t="s">
        <v>281</v>
      </c>
    </row>
    <row r="337" spans="1:20" x14ac:dyDescent="0.55000000000000004">
      <c r="A337">
        <v>100</v>
      </c>
      <c r="B337" s="2">
        <v>45604.4375</v>
      </c>
      <c r="C337" t="s">
        <v>215</v>
      </c>
      <c r="D337">
        <v>2</v>
      </c>
      <c r="E337" t="s">
        <v>44</v>
      </c>
      <c r="F337" t="str">
        <f t="shared" si="33"/>
        <v>Gobiomorphus cotidianus</v>
      </c>
      <c r="G337" t="str">
        <f t="shared" si="34"/>
        <v>Common_bully</v>
      </c>
      <c r="H337" t="str">
        <f t="shared" si="35"/>
        <v>Toitoi</v>
      </c>
      <c r="I337" t="str">
        <f t="shared" si="36"/>
        <v>Native</v>
      </c>
      <c r="J337" t="str">
        <f t="shared" si="37"/>
        <v>No</v>
      </c>
      <c r="L337">
        <v>50</v>
      </c>
      <c r="M337">
        <f t="shared" si="39"/>
        <v>2.1136363636363638</v>
      </c>
      <c r="N337">
        <v>1</v>
      </c>
      <c r="S337" t="str">
        <f t="shared" si="38"/>
        <v/>
      </c>
      <c r="T337" t="s">
        <v>281</v>
      </c>
    </row>
    <row r="338" spans="1:20" x14ac:dyDescent="0.55000000000000004">
      <c r="A338">
        <v>100</v>
      </c>
      <c r="B338" s="2">
        <v>45604.4375</v>
      </c>
      <c r="C338" t="s">
        <v>215</v>
      </c>
      <c r="D338">
        <v>2</v>
      </c>
      <c r="E338" t="s">
        <v>44</v>
      </c>
      <c r="F338" t="str">
        <f t="shared" si="33"/>
        <v>Gobiomorphus cotidianus</v>
      </c>
      <c r="G338" t="str">
        <f t="shared" si="34"/>
        <v>Common_bully</v>
      </c>
      <c r="H338" t="str">
        <f t="shared" si="35"/>
        <v>Toitoi</v>
      </c>
      <c r="I338" t="str">
        <f t="shared" si="36"/>
        <v>Native</v>
      </c>
      <c r="J338" t="str">
        <f t="shared" si="37"/>
        <v>No</v>
      </c>
      <c r="L338">
        <v>56</v>
      </c>
      <c r="M338">
        <f t="shared" si="39"/>
        <v>2.1136363636363638</v>
      </c>
      <c r="N338">
        <v>1</v>
      </c>
      <c r="S338" t="str">
        <f t="shared" si="38"/>
        <v/>
      </c>
      <c r="T338" t="s">
        <v>281</v>
      </c>
    </row>
    <row r="339" spans="1:20" x14ac:dyDescent="0.55000000000000004">
      <c r="A339">
        <v>100</v>
      </c>
      <c r="B339" s="2">
        <v>45604.4375</v>
      </c>
      <c r="C339" t="s">
        <v>215</v>
      </c>
      <c r="D339">
        <v>2</v>
      </c>
      <c r="E339" t="s">
        <v>44</v>
      </c>
      <c r="F339" t="str">
        <f t="shared" si="33"/>
        <v>Gobiomorphus cotidianus</v>
      </c>
      <c r="G339" t="str">
        <f t="shared" si="34"/>
        <v>Common_bully</v>
      </c>
      <c r="H339" t="str">
        <f t="shared" si="35"/>
        <v>Toitoi</v>
      </c>
      <c r="I339" t="str">
        <f t="shared" si="36"/>
        <v>Native</v>
      </c>
      <c r="J339" t="str">
        <f t="shared" si="37"/>
        <v>No</v>
      </c>
      <c r="L339">
        <v>60</v>
      </c>
      <c r="M339">
        <f t="shared" si="39"/>
        <v>2.1136363636363638</v>
      </c>
      <c r="N339">
        <v>1</v>
      </c>
      <c r="S339" t="str">
        <f t="shared" si="38"/>
        <v/>
      </c>
      <c r="T339" t="s">
        <v>281</v>
      </c>
    </row>
    <row r="340" spans="1:20" x14ac:dyDescent="0.55000000000000004">
      <c r="A340">
        <v>100</v>
      </c>
      <c r="B340" s="2">
        <v>45604.4375</v>
      </c>
      <c r="C340" t="s">
        <v>215</v>
      </c>
      <c r="D340">
        <v>2</v>
      </c>
      <c r="E340" t="s">
        <v>44</v>
      </c>
      <c r="F340" t="str">
        <f t="shared" si="33"/>
        <v>Gobiomorphus cotidianus</v>
      </c>
      <c r="G340" t="str">
        <f t="shared" si="34"/>
        <v>Common_bully</v>
      </c>
      <c r="H340" t="str">
        <f t="shared" si="35"/>
        <v>Toitoi</v>
      </c>
      <c r="I340" t="str">
        <f t="shared" si="36"/>
        <v>Native</v>
      </c>
      <c r="J340" t="str">
        <f t="shared" si="37"/>
        <v>No</v>
      </c>
      <c r="L340">
        <v>46</v>
      </c>
      <c r="M340">
        <f t="shared" si="39"/>
        <v>2.1136363636363638</v>
      </c>
      <c r="N340">
        <v>1</v>
      </c>
      <c r="S340" t="str">
        <f t="shared" si="38"/>
        <v/>
      </c>
      <c r="T340" t="s">
        <v>281</v>
      </c>
    </row>
    <row r="341" spans="1:20" x14ac:dyDescent="0.55000000000000004">
      <c r="A341">
        <v>100</v>
      </c>
      <c r="B341" s="2">
        <v>45604.4375</v>
      </c>
      <c r="C341" t="s">
        <v>215</v>
      </c>
      <c r="D341">
        <v>2</v>
      </c>
      <c r="E341" t="s">
        <v>44</v>
      </c>
      <c r="F341" t="str">
        <f t="shared" si="33"/>
        <v>Gobiomorphus cotidianus</v>
      </c>
      <c r="G341" t="str">
        <f t="shared" si="34"/>
        <v>Common_bully</v>
      </c>
      <c r="H341" t="str">
        <f t="shared" si="35"/>
        <v>Toitoi</v>
      </c>
      <c r="I341" t="str">
        <f t="shared" si="36"/>
        <v>Native</v>
      </c>
      <c r="J341" t="str">
        <f t="shared" si="37"/>
        <v>No</v>
      </c>
      <c r="L341">
        <v>67</v>
      </c>
      <c r="M341">
        <f t="shared" si="39"/>
        <v>2.1136363636363638</v>
      </c>
      <c r="N341">
        <v>1</v>
      </c>
      <c r="S341" t="str">
        <f t="shared" si="38"/>
        <v/>
      </c>
      <c r="T341" t="s">
        <v>281</v>
      </c>
    </row>
    <row r="342" spans="1:20" x14ac:dyDescent="0.55000000000000004">
      <c r="A342">
        <v>100</v>
      </c>
      <c r="B342" s="2">
        <v>45604.4375</v>
      </c>
      <c r="C342" t="s">
        <v>215</v>
      </c>
      <c r="D342">
        <v>2</v>
      </c>
      <c r="E342" t="s">
        <v>44</v>
      </c>
      <c r="F342" t="str">
        <f t="shared" si="33"/>
        <v>Gobiomorphus cotidianus</v>
      </c>
      <c r="G342" t="str">
        <f t="shared" si="34"/>
        <v>Common_bully</v>
      </c>
      <c r="H342" t="str">
        <f t="shared" si="35"/>
        <v>Toitoi</v>
      </c>
      <c r="I342" t="str">
        <f t="shared" si="36"/>
        <v>Native</v>
      </c>
      <c r="J342" t="str">
        <f t="shared" si="37"/>
        <v>No</v>
      </c>
      <c r="L342">
        <v>50</v>
      </c>
      <c r="M342">
        <f t="shared" si="39"/>
        <v>2.1136363636363638</v>
      </c>
      <c r="N342">
        <v>1</v>
      </c>
      <c r="S342" t="str">
        <f t="shared" si="38"/>
        <v/>
      </c>
      <c r="T342" t="s">
        <v>281</v>
      </c>
    </row>
    <row r="343" spans="1:20" x14ac:dyDescent="0.55000000000000004">
      <c r="A343">
        <v>100</v>
      </c>
      <c r="B343" s="2">
        <v>45604.4375</v>
      </c>
      <c r="C343" t="s">
        <v>215</v>
      </c>
      <c r="D343">
        <v>2</v>
      </c>
      <c r="E343" t="s">
        <v>44</v>
      </c>
      <c r="F343" t="str">
        <f t="shared" si="33"/>
        <v>Gobiomorphus cotidianus</v>
      </c>
      <c r="G343" t="str">
        <f t="shared" si="34"/>
        <v>Common_bully</v>
      </c>
      <c r="H343" t="str">
        <f t="shared" si="35"/>
        <v>Toitoi</v>
      </c>
      <c r="I343" t="str">
        <f t="shared" si="36"/>
        <v>Native</v>
      </c>
      <c r="J343" t="str">
        <f t="shared" si="37"/>
        <v>No</v>
      </c>
      <c r="L343">
        <v>48</v>
      </c>
      <c r="M343">
        <f t="shared" si="39"/>
        <v>2.1136363636363638</v>
      </c>
      <c r="N343">
        <v>1</v>
      </c>
      <c r="S343" t="str">
        <f t="shared" si="38"/>
        <v/>
      </c>
      <c r="T343" t="s">
        <v>281</v>
      </c>
    </row>
    <row r="344" spans="1:20" x14ac:dyDescent="0.55000000000000004">
      <c r="A344">
        <v>100</v>
      </c>
      <c r="B344" s="2">
        <v>45604.4375</v>
      </c>
      <c r="C344" t="s">
        <v>215</v>
      </c>
      <c r="D344">
        <v>2</v>
      </c>
      <c r="E344" t="s">
        <v>44</v>
      </c>
      <c r="F344" t="str">
        <f t="shared" si="33"/>
        <v>Gobiomorphus cotidianus</v>
      </c>
      <c r="G344" t="str">
        <f t="shared" si="34"/>
        <v>Common_bully</v>
      </c>
      <c r="H344" t="str">
        <f t="shared" si="35"/>
        <v>Toitoi</v>
      </c>
      <c r="I344" t="str">
        <f t="shared" si="36"/>
        <v>Native</v>
      </c>
      <c r="J344" t="str">
        <f t="shared" si="37"/>
        <v>No</v>
      </c>
      <c r="L344">
        <v>48</v>
      </c>
      <c r="M344">
        <f t="shared" si="39"/>
        <v>2.1136363636363638</v>
      </c>
      <c r="N344">
        <v>1</v>
      </c>
      <c r="S344" t="str">
        <f t="shared" si="38"/>
        <v/>
      </c>
      <c r="T344" t="s">
        <v>281</v>
      </c>
    </row>
    <row r="345" spans="1:20" x14ac:dyDescent="0.55000000000000004">
      <c r="A345">
        <v>100</v>
      </c>
      <c r="B345" s="2">
        <v>45604.4375</v>
      </c>
      <c r="C345" t="s">
        <v>215</v>
      </c>
      <c r="D345">
        <v>2</v>
      </c>
      <c r="E345" t="s">
        <v>44</v>
      </c>
      <c r="F345" t="str">
        <f t="shared" si="33"/>
        <v>Gobiomorphus cotidianus</v>
      </c>
      <c r="G345" t="str">
        <f t="shared" si="34"/>
        <v>Common_bully</v>
      </c>
      <c r="H345" t="str">
        <f t="shared" si="35"/>
        <v>Toitoi</v>
      </c>
      <c r="I345" t="str">
        <f t="shared" si="36"/>
        <v>Native</v>
      </c>
      <c r="J345" t="str">
        <f t="shared" si="37"/>
        <v>No</v>
      </c>
      <c r="L345">
        <v>56</v>
      </c>
      <c r="M345">
        <f t="shared" si="39"/>
        <v>2.1136363636363638</v>
      </c>
      <c r="N345">
        <v>1</v>
      </c>
      <c r="S345" t="str">
        <f t="shared" si="38"/>
        <v/>
      </c>
      <c r="T345" t="s">
        <v>281</v>
      </c>
    </row>
    <row r="346" spans="1:20" x14ac:dyDescent="0.55000000000000004">
      <c r="A346">
        <v>100</v>
      </c>
      <c r="B346" s="2">
        <v>45604.4375</v>
      </c>
      <c r="C346" t="s">
        <v>215</v>
      </c>
      <c r="D346">
        <v>2</v>
      </c>
      <c r="E346" t="s">
        <v>44</v>
      </c>
      <c r="F346" t="str">
        <f t="shared" si="33"/>
        <v>Gobiomorphus cotidianus</v>
      </c>
      <c r="G346" t="str">
        <f t="shared" si="34"/>
        <v>Common_bully</v>
      </c>
      <c r="H346" t="str">
        <f t="shared" si="35"/>
        <v>Toitoi</v>
      </c>
      <c r="I346" t="str">
        <f t="shared" si="36"/>
        <v>Native</v>
      </c>
      <c r="J346" t="str">
        <f t="shared" si="37"/>
        <v>No</v>
      </c>
      <c r="L346">
        <v>46</v>
      </c>
      <c r="M346">
        <f t="shared" si="39"/>
        <v>2.1136363636363638</v>
      </c>
      <c r="N346">
        <v>1</v>
      </c>
      <c r="S346" t="str">
        <f t="shared" si="38"/>
        <v/>
      </c>
      <c r="T346" t="s">
        <v>281</v>
      </c>
    </row>
    <row r="347" spans="1:20" x14ac:dyDescent="0.55000000000000004">
      <c r="A347">
        <v>100</v>
      </c>
      <c r="B347" s="2">
        <v>45604.4375</v>
      </c>
      <c r="C347" t="s">
        <v>215</v>
      </c>
      <c r="D347">
        <v>2</v>
      </c>
      <c r="E347" t="s">
        <v>44</v>
      </c>
      <c r="F347" t="str">
        <f t="shared" si="33"/>
        <v>Gobiomorphus cotidianus</v>
      </c>
      <c r="G347" t="str">
        <f t="shared" si="34"/>
        <v>Common_bully</v>
      </c>
      <c r="H347" t="str">
        <f t="shared" si="35"/>
        <v>Toitoi</v>
      </c>
      <c r="I347" t="str">
        <f t="shared" si="36"/>
        <v>Native</v>
      </c>
      <c r="J347" t="str">
        <f t="shared" si="37"/>
        <v>No</v>
      </c>
      <c r="L347">
        <v>50</v>
      </c>
      <c r="M347">
        <f t="shared" si="39"/>
        <v>2.1136363636363638</v>
      </c>
      <c r="N347">
        <v>1</v>
      </c>
      <c r="S347" t="str">
        <f t="shared" si="38"/>
        <v/>
      </c>
      <c r="T347" t="s">
        <v>281</v>
      </c>
    </row>
    <row r="348" spans="1:20" x14ac:dyDescent="0.55000000000000004">
      <c r="A348">
        <v>100</v>
      </c>
      <c r="B348" s="2">
        <v>45604.4375</v>
      </c>
      <c r="C348" t="s">
        <v>215</v>
      </c>
      <c r="D348">
        <v>2</v>
      </c>
      <c r="E348" t="s">
        <v>44</v>
      </c>
      <c r="F348" t="str">
        <f t="shared" si="33"/>
        <v>Gobiomorphus cotidianus</v>
      </c>
      <c r="G348" t="str">
        <f t="shared" si="34"/>
        <v>Common_bully</v>
      </c>
      <c r="H348" t="str">
        <f t="shared" si="35"/>
        <v>Toitoi</v>
      </c>
      <c r="I348" t="str">
        <f t="shared" si="36"/>
        <v>Native</v>
      </c>
      <c r="J348" t="str">
        <f t="shared" si="37"/>
        <v>No</v>
      </c>
      <c r="L348">
        <v>50</v>
      </c>
      <c r="M348">
        <f t="shared" si="39"/>
        <v>2.1136363636363638</v>
      </c>
      <c r="N348">
        <v>1</v>
      </c>
      <c r="S348" t="str">
        <f t="shared" si="38"/>
        <v/>
      </c>
      <c r="T348" t="s">
        <v>281</v>
      </c>
    </row>
    <row r="349" spans="1:20" x14ac:dyDescent="0.55000000000000004">
      <c r="A349">
        <v>100</v>
      </c>
      <c r="B349" s="2">
        <v>45604.4375</v>
      </c>
      <c r="C349" t="s">
        <v>215</v>
      </c>
      <c r="D349">
        <v>2</v>
      </c>
      <c r="E349" t="s">
        <v>44</v>
      </c>
      <c r="F349" t="str">
        <f t="shared" si="33"/>
        <v>Gobiomorphus cotidianus</v>
      </c>
      <c r="G349" t="str">
        <f t="shared" si="34"/>
        <v>Common_bully</v>
      </c>
      <c r="H349" t="str">
        <f t="shared" si="35"/>
        <v>Toitoi</v>
      </c>
      <c r="I349" t="str">
        <f t="shared" si="36"/>
        <v>Native</v>
      </c>
      <c r="J349" t="str">
        <f t="shared" si="37"/>
        <v>No</v>
      </c>
      <c r="L349">
        <v>55</v>
      </c>
      <c r="M349">
        <f t="shared" si="39"/>
        <v>2.1136363636363638</v>
      </c>
      <c r="N349">
        <v>1</v>
      </c>
      <c r="S349" t="str">
        <f t="shared" si="38"/>
        <v/>
      </c>
      <c r="T349" t="s">
        <v>281</v>
      </c>
    </row>
    <row r="350" spans="1:20" x14ac:dyDescent="0.55000000000000004">
      <c r="A350">
        <v>100</v>
      </c>
      <c r="B350" s="2">
        <v>45604.4375</v>
      </c>
      <c r="C350" t="s">
        <v>215</v>
      </c>
      <c r="D350">
        <v>2</v>
      </c>
      <c r="E350" t="s">
        <v>44</v>
      </c>
      <c r="F350" t="str">
        <f t="shared" si="33"/>
        <v>Gobiomorphus cotidianus</v>
      </c>
      <c r="G350" t="str">
        <f t="shared" si="34"/>
        <v>Common_bully</v>
      </c>
      <c r="H350" t="str">
        <f t="shared" si="35"/>
        <v>Toitoi</v>
      </c>
      <c r="I350" t="str">
        <f t="shared" si="36"/>
        <v>Native</v>
      </c>
      <c r="J350" t="str">
        <f t="shared" si="37"/>
        <v>No</v>
      </c>
      <c r="L350">
        <v>65</v>
      </c>
      <c r="M350">
        <f>93/44</f>
        <v>2.1136363636363638</v>
      </c>
      <c r="N350">
        <v>1</v>
      </c>
      <c r="S350" t="str">
        <f t="shared" si="38"/>
        <v/>
      </c>
      <c r="T350" t="s">
        <v>281</v>
      </c>
    </row>
    <row r="351" spans="1:20" x14ac:dyDescent="0.55000000000000004">
      <c r="A351">
        <v>100</v>
      </c>
      <c r="B351" s="2">
        <v>45604.4375</v>
      </c>
      <c r="C351" t="s">
        <v>215</v>
      </c>
      <c r="D351">
        <v>2</v>
      </c>
      <c r="E351" t="s">
        <v>44</v>
      </c>
      <c r="F351" t="str">
        <f t="shared" si="33"/>
        <v>Gobiomorphus cotidianus</v>
      </c>
      <c r="G351" t="str">
        <f t="shared" si="34"/>
        <v>Common_bully</v>
      </c>
      <c r="H351" t="str">
        <f t="shared" si="35"/>
        <v>Toitoi</v>
      </c>
      <c r="I351" t="str">
        <f t="shared" si="36"/>
        <v>Native</v>
      </c>
      <c r="J351" t="str">
        <f t="shared" si="37"/>
        <v>No</v>
      </c>
      <c r="M351">
        <f>M350*22</f>
        <v>46.5</v>
      </c>
      <c r="N351">
        <v>22</v>
      </c>
      <c r="R351">
        <v>0.5</v>
      </c>
      <c r="S351">
        <f t="shared" si="38"/>
        <v>118.294</v>
      </c>
      <c r="T351" t="s">
        <v>281</v>
      </c>
    </row>
    <row r="352" spans="1:20" x14ac:dyDescent="0.55000000000000004">
      <c r="A352">
        <v>100</v>
      </c>
      <c r="B352" s="2">
        <v>45604.4375</v>
      </c>
      <c r="C352" t="s">
        <v>215</v>
      </c>
      <c r="D352">
        <v>2</v>
      </c>
      <c r="E352" t="s">
        <v>123</v>
      </c>
      <c r="F352" t="str">
        <f t="shared" si="33"/>
        <v>Carassius auratus</v>
      </c>
      <c r="G352" t="str">
        <f t="shared" si="34"/>
        <v>Goldfish</v>
      </c>
      <c r="H352" t="str">
        <f t="shared" si="35"/>
        <v>Morihana</v>
      </c>
      <c r="I352" t="str">
        <f t="shared" si="36"/>
        <v>Nonnative</v>
      </c>
      <c r="J352" t="str">
        <f t="shared" si="37"/>
        <v>No</v>
      </c>
      <c r="L352">
        <v>160</v>
      </c>
      <c r="M352">
        <v>94</v>
      </c>
      <c r="N352">
        <v>1</v>
      </c>
      <c r="S352" t="str">
        <f t="shared" si="38"/>
        <v/>
      </c>
    </row>
    <row r="353" spans="1:20" x14ac:dyDescent="0.55000000000000004">
      <c r="A353">
        <v>100</v>
      </c>
      <c r="B353" s="2">
        <v>45604.4375</v>
      </c>
      <c r="C353" t="s">
        <v>215</v>
      </c>
      <c r="D353">
        <v>2</v>
      </c>
      <c r="E353" t="s">
        <v>44</v>
      </c>
      <c r="F353" t="str">
        <f t="shared" si="33"/>
        <v>Gobiomorphus cotidianus</v>
      </c>
      <c r="G353" t="str">
        <f t="shared" si="34"/>
        <v>Common_bully</v>
      </c>
      <c r="H353" t="str">
        <f t="shared" si="35"/>
        <v>Toitoi</v>
      </c>
      <c r="I353" t="str">
        <f t="shared" si="36"/>
        <v>Native</v>
      </c>
      <c r="J353" t="str">
        <f t="shared" si="37"/>
        <v>No</v>
      </c>
      <c r="M353">
        <v>43</v>
      </c>
      <c r="N353">
        <v>22</v>
      </c>
      <c r="S353" t="str">
        <f t="shared" si="38"/>
        <v/>
      </c>
    </row>
    <row r="354" spans="1:20" x14ac:dyDescent="0.55000000000000004">
      <c r="A354">
        <v>101</v>
      </c>
      <c r="B354" s="2">
        <v>45603.5</v>
      </c>
      <c r="C354" t="s">
        <v>216</v>
      </c>
      <c r="D354">
        <v>2</v>
      </c>
      <c r="E354" t="s">
        <v>44</v>
      </c>
      <c r="F354" t="str">
        <f t="shared" si="33"/>
        <v>Gobiomorphus cotidianus</v>
      </c>
      <c r="G354" t="str">
        <f t="shared" si="34"/>
        <v>Common_bully</v>
      </c>
      <c r="H354" t="str">
        <f t="shared" si="35"/>
        <v>Toitoi</v>
      </c>
      <c r="I354" t="str">
        <f t="shared" si="36"/>
        <v>Native</v>
      </c>
      <c r="J354" t="str">
        <f t="shared" si="37"/>
        <v>No</v>
      </c>
      <c r="N354">
        <v>52</v>
      </c>
      <c r="R354">
        <v>0.5</v>
      </c>
      <c r="S354">
        <f t="shared" si="38"/>
        <v>118.294</v>
      </c>
    </row>
    <row r="355" spans="1:20" x14ac:dyDescent="0.55000000000000004">
      <c r="A355">
        <v>101</v>
      </c>
      <c r="B355" s="2">
        <v>45603.5</v>
      </c>
      <c r="C355" t="s">
        <v>216</v>
      </c>
      <c r="D355">
        <v>2</v>
      </c>
      <c r="E355" t="s">
        <v>49</v>
      </c>
      <c r="F355" t="str">
        <f t="shared" si="33"/>
        <v>Paranephrops planifrons</v>
      </c>
      <c r="G355" t="str">
        <f t="shared" si="34"/>
        <v>Freshwater_crayfish</v>
      </c>
      <c r="H355" t="str">
        <f t="shared" si="35"/>
        <v>Kōura</v>
      </c>
      <c r="I355" t="str">
        <f t="shared" si="36"/>
        <v>Native</v>
      </c>
      <c r="J355" t="str">
        <f t="shared" si="37"/>
        <v>Yes</v>
      </c>
      <c r="K355" t="s">
        <v>50</v>
      </c>
      <c r="L355">
        <v>22</v>
      </c>
      <c r="N355">
        <v>1</v>
      </c>
      <c r="S355" t="str">
        <f t="shared" si="38"/>
        <v/>
      </c>
    </row>
    <row r="356" spans="1:20" x14ac:dyDescent="0.55000000000000004">
      <c r="A356">
        <v>101</v>
      </c>
      <c r="B356" s="2">
        <v>45603.5</v>
      </c>
      <c r="C356" t="s">
        <v>215</v>
      </c>
      <c r="D356">
        <v>1</v>
      </c>
      <c r="E356" t="s">
        <v>44</v>
      </c>
      <c r="F356" t="str">
        <f t="shared" si="33"/>
        <v>Gobiomorphus cotidianus</v>
      </c>
      <c r="G356" t="str">
        <f t="shared" si="34"/>
        <v>Common_bully</v>
      </c>
      <c r="H356" t="str">
        <f t="shared" si="35"/>
        <v>Toitoi</v>
      </c>
      <c r="I356" t="str">
        <f t="shared" si="36"/>
        <v>Native</v>
      </c>
      <c r="J356" t="str">
        <f t="shared" si="37"/>
        <v>No</v>
      </c>
      <c r="L356">
        <v>44</v>
      </c>
      <c r="N356">
        <v>1</v>
      </c>
      <c r="S356" t="str">
        <f t="shared" si="38"/>
        <v/>
      </c>
      <c r="T356" t="s">
        <v>241</v>
      </c>
    </row>
    <row r="357" spans="1:20" x14ac:dyDescent="0.55000000000000004">
      <c r="A357">
        <v>101</v>
      </c>
      <c r="B357" s="2">
        <v>45603.5</v>
      </c>
      <c r="C357" t="s">
        <v>215</v>
      </c>
      <c r="D357">
        <v>1</v>
      </c>
      <c r="E357" t="s">
        <v>44</v>
      </c>
      <c r="F357" t="str">
        <f t="shared" si="33"/>
        <v>Gobiomorphus cotidianus</v>
      </c>
      <c r="G357" t="str">
        <f t="shared" si="34"/>
        <v>Common_bully</v>
      </c>
      <c r="H357" t="str">
        <f t="shared" si="35"/>
        <v>Toitoi</v>
      </c>
      <c r="I357" t="str">
        <f t="shared" si="36"/>
        <v>Native</v>
      </c>
      <c r="J357" t="str">
        <f t="shared" si="37"/>
        <v>No</v>
      </c>
      <c r="L357">
        <v>50</v>
      </c>
      <c r="N357">
        <v>1</v>
      </c>
      <c r="S357" t="str">
        <f t="shared" si="38"/>
        <v/>
      </c>
      <c r="T357" t="s">
        <v>241</v>
      </c>
    </row>
    <row r="358" spans="1:20" x14ac:dyDescent="0.55000000000000004">
      <c r="A358">
        <v>101</v>
      </c>
      <c r="B358" s="2">
        <v>45603.5</v>
      </c>
      <c r="C358" t="s">
        <v>215</v>
      </c>
      <c r="D358">
        <v>1</v>
      </c>
      <c r="E358" t="s">
        <v>44</v>
      </c>
      <c r="F358" t="str">
        <f t="shared" si="33"/>
        <v>Gobiomorphus cotidianus</v>
      </c>
      <c r="G358" t="str">
        <f t="shared" si="34"/>
        <v>Common_bully</v>
      </c>
      <c r="H358" t="str">
        <f t="shared" si="35"/>
        <v>Toitoi</v>
      </c>
      <c r="I358" t="str">
        <f t="shared" si="36"/>
        <v>Native</v>
      </c>
      <c r="J358" t="str">
        <f t="shared" si="37"/>
        <v>No</v>
      </c>
      <c r="L358">
        <v>30</v>
      </c>
      <c r="N358">
        <v>1</v>
      </c>
      <c r="S358" t="str">
        <f t="shared" si="38"/>
        <v/>
      </c>
      <c r="T358" t="s">
        <v>241</v>
      </c>
    </row>
    <row r="359" spans="1:20" x14ac:dyDescent="0.55000000000000004">
      <c r="A359">
        <v>101</v>
      </c>
      <c r="B359" s="2">
        <v>45603.5</v>
      </c>
      <c r="C359" t="s">
        <v>215</v>
      </c>
      <c r="D359">
        <v>1</v>
      </c>
      <c r="E359" t="s">
        <v>44</v>
      </c>
      <c r="F359" t="str">
        <f t="shared" si="33"/>
        <v>Gobiomorphus cotidianus</v>
      </c>
      <c r="G359" t="str">
        <f t="shared" si="34"/>
        <v>Common_bully</v>
      </c>
      <c r="H359" t="str">
        <f t="shared" si="35"/>
        <v>Toitoi</v>
      </c>
      <c r="I359" t="str">
        <f t="shared" si="36"/>
        <v>Native</v>
      </c>
      <c r="J359" t="str">
        <f t="shared" si="37"/>
        <v>No</v>
      </c>
      <c r="L359">
        <v>30</v>
      </c>
      <c r="N359">
        <v>1</v>
      </c>
      <c r="S359" t="str">
        <f t="shared" si="38"/>
        <v/>
      </c>
      <c r="T359" t="s">
        <v>241</v>
      </c>
    </row>
    <row r="360" spans="1:20" x14ac:dyDescent="0.55000000000000004">
      <c r="A360">
        <v>101</v>
      </c>
      <c r="B360" s="2">
        <v>45603.5</v>
      </c>
      <c r="C360" t="s">
        <v>215</v>
      </c>
      <c r="D360">
        <v>1</v>
      </c>
      <c r="E360" t="s">
        <v>44</v>
      </c>
      <c r="F360" t="str">
        <f t="shared" si="33"/>
        <v>Gobiomorphus cotidianus</v>
      </c>
      <c r="G360" t="str">
        <f t="shared" si="34"/>
        <v>Common_bully</v>
      </c>
      <c r="H360" t="str">
        <f t="shared" si="35"/>
        <v>Toitoi</v>
      </c>
      <c r="I360" t="str">
        <f t="shared" si="36"/>
        <v>Native</v>
      </c>
      <c r="J360" t="str">
        <f t="shared" si="37"/>
        <v>No</v>
      </c>
      <c r="L360">
        <v>25</v>
      </c>
      <c r="N360">
        <v>1</v>
      </c>
      <c r="S360" t="str">
        <f t="shared" si="38"/>
        <v/>
      </c>
      <c r="T360" t="s">
        <v>241</v>
      </c>
    </row>
    <row r="361" spans="1:20" x14ac:dyDescent="0.55000000000000004">
      <c r="A361">
        <v>101</v>
      </c>
      <c r="B361" s="2">
        <v>45603.5</v>
      </c>
      <c r="C361" t="s">
        <v>215</v>
      </c>
      <c r="D361">
        <v>1</v>
      </c>
      <c r="E361" t="s">
        <v>44</v>
      </c>
      <c r="F361" t="str">
        <f t="shared" si="33"/>
        <v>Gobiomorphus cotidianus</v>
      </c>
      <c r="G361" t="str">
        <f t="shared" si="34"/>
        <v>Common_bully</v>
      </c>
      <c r="H361" t="str">
        <f t="shared" si="35"/>
        <v>Toitoi</v>
      </c>
      <c r="I361" t="str">
        <f t="shared" si="36"/>
        <v>Native</v>
      </c>
      <c r="J361" t="str">
        <f t="shared" si="37"/>
        <v>No</v>
      </c>
      <c r="L361">
        <v>20</v>
      </c>
      <c r="N361">
        <v>1</v>
      </c>
      <c r="S361" t="str">
        <f t="shared" si="38"/>
        <v/>
      </c>
      <c r="T361" t="s">
        <v>241</v>
      </c>
    </row>
    <row r="362" spans="1:20" x14ac:dyDescent="0.55000000000000004">
      <c r="A362">
        <v>101</v>
      </c>
      <c r="B362" s="2">
        <v>45603.5</v>
      </c>
      <c r="C362" t="s">
        <v>215</v>
      </c>
      <c r="D362">
        <v>1</v>
      </c>
      <c r="E362" t="s">
        <v>123</v>
      </c>
      <c r="F362" t="str">
        <f t="shared" si="33"/>
        <v>Carassius auratus</v>
      </c>
      <c r="G362" t="str">
        <f t="shared" si="34"/>
        <v>Goldfish</v>
      </c>
      <c r="H362" t="str">
        <f t="shared" si="35"/>
        <v>Morihana</v>
      </c>
      <c r="I362" t="str">
        <f t="shared" si="36"/>
        <v>Nonnative</v>
      </c>
      <c r="J362" t="str">
        <f t="shared" si="37"/>
        <v>No</v>
      </c>
      <c r="L362">
        <v>130</v>
      </c>
      <c r="N362">
        <v>1</v>
      </c>
      <c r="S362" t="str">
        <f t="shared" si="38"/>
        <v/>
      </c>
    </row>
    <row r="363" spans="1:20" x14ac:dyDescent="0.55000000000000004">
      <c r="A363">
        <v>101</v>
      </c>
      <c r="B363" s="2">
        <v>45603.5</v>
      </c>
      <c r="C363" t="s">
        <v>215</v>
      </c>
      <c r="D363">
        <v>1</v>
      </c>
      <c r="E363" t="s">
        <v>123</v>
      </c>
      <c r="F363" t="str">
        <f t="shared" si="33"/>
        <v>Carassius auratus</v>
      </c>
      <c r="G363" t="str">
        <f t="shared" si="34"/>
        <v>Goldfish</v>
      </c>
      <c r="H363" t="str">
        <f t="shared" si="35"/>
        <v>Morihana</v>
      </c>
      <c r="I363" t="str">
        <f t="shared" si="36"/>
        <v>Nonnative</v>
      </c>
      <c r="J363" t="str">
        <f t="shared" si="37"/>
        <v>No</v>
      </c>
      <c r="L363">
        <v>58</v>
      </c>
      <c r="N363">
        <v>1</v>
      </c>
      <c r="S363" t="str">
        <f t="shared" si="38"/>
        <v/>
      </c>
    </row>
    <row r="364" spans="1:20" x14ac:dyDescent="0.55000000000000004">
      <c r="A364">
        <v>101</v>
      </c>
      <c r="B364" s="2">
        <v>45603.5</v>
      </c>
      <c r="C364" t="s">
        <v>215</v>
      </c>
      <c r="D364">
        <v>1</v>
      </c>
      <c r="E364" t="s">
        <v>123</v>
      </c>
      <c r="F364" t="str">
        <f t="shared" si="33"/>
        <v>Carassius auratus</v>
      </c>
      <c r="G364" t="str">
        <f t="shared" si="34"/>
        <v>Goldfish</v>
      </c>
      <c r="H364" t="str">
        <f t="shared" si="35"/>
        <v>Morihana</v>
      </c>
      <c r="I364" t="str">
        <f t="shared" si="36"/>
        <v>Nonnative</v>
      </c>
      <c r="J364" t="str">
        <f t="shared" si="37"/>
        <v>No</v>
      </c>
      <c r="L364">
        <v>50</v>
      </c>
      <c r="N364">
        <v>1</v>
      </c>
      <c r="S364" t="str">
        <f t="shared" si="38"/>
        <v/>
      </c>
    </row>
    <row r="365" spans="1:20" x14ac:dyDescent="0.55000000000000004">
      <c r="A365">
        <v>101</v>
      </c>
      <c r="B365" s="2">
        <v>45603.5</v>
      </c>
      <c r="C365" t="s">
        <v>215</v>
      </c>
      <c r="D365">
        <v>1</v>
      </c>
      <c r="E365" t="s">
        <v>123</v>
      </c>
      <c r="F365" t="str">
        <f t="shared" si="33"/>
        <v>Carassius auratus</v>
      </c>
      <c r="G365" t="str">
        <f t="shared" si="34"/>
        <v>Goldfish</v>
      </c>
      <c r="H365" t="str">
        <f t="shared" si="35"/>
        <v>Morihana</v>
      </c>
      <c r="I365" t="str">
        <f t="shared" si="36"/>
        <v>Nonnative</v>
      </c>
      <c r="J365" t="str">
        <f t="shared" si="37"/>
        <v>No</v>
      </c>
      <c r="L365">
        <v>42</v>
      </c>
      <c r="N365">
        <v>1</v>
      </c>
      <c r="S365" t="str">
        <f t="shared" si="38"/>
        <v/>
      </c>
    </row>
    <row r="366" spans="1:20" x14ac:dyDescent="0.55000000000000004">
      <c r="A366">
        <v>101</v>
      </c>
      <c r="B366" s="2">
        <v>45603.5</v>
      </c>
      <c r="C366" t="s">
        <v>215</v>
      </c>
      <c r="D366">
        <v>1</v>
      </c>
      <c r="E366" t="s">
        <v>123</v>
      </c>
      <c r="F366" t="str">
        <f t="shared" si="33"/>
        <v>Carassius auratus</v>
      </c>
      <c r="G366" t="str">
        <f t="shared" si="34"/>
        <v>Goldfish</v>
      </c>
      <c r="H366" t="str">
        <f t="shared" si="35"/>
        <v>Morihana</v>
      </c>
      <c r="I366" t="str">
        <f t="shared" si="36"/>
        <v>Nonnative</v>
      </c>
      <c r="J366" t="str">
        <f t="shared" si="37"/>
        <v>No</v>
      </c>
      <c r="L366">
        <v>55</v>
      </c>
      <c r="N366">
        <v>1</v>
      </c>
      <c r="S366" t="str">
        <f t="shared" si="38"/>
        <v/>
      </c>
    </row>
    <row r="367" spans="1:20" x14ac:dyDescent="0.55000000000000004">
      <c r="A367">
        <v>101</v>
      </c>
      <c r="B367" s="2">
        <v>45603.5</v>
      </c>
      <c r="C367" t="s">
        <v>215</v>
      </c>
      <c r="D367">
        <v>1</v>
      </c>
      <c r="E367" t="s">
        <v>123</v>
      </c>
      <c r="F367" t="str">
        <f t="shared" si="33"/>
        <v>Carassius auratus</v>
      </c>
      <c r="G367" t="str">
        <f t="shared" si="34"/>
        <v>Goldfish</v>
      </c>
      <c r="H367" t="str">
        <f t="shared" si="35"/>
        <v>Morihana</v>
      </c>
      <c r="I367" t="str">
        <f t="shared" si="36"/>
        <v>Nonnative</v>
      </c>
      <c r="J367" t="str">
        <f t="shared" si="37"/>
        <v>No</v>
      </c>
      <c r="L367">
        <v>65</v>
      </c>
      <c r="N367">
        <v>1</v>
      </c>
      <c r="S367" t="str">
        <f t="shared" si="38"/>
        <v/>
      </c>
    </row>
    <row r="368" spans="1:20" x14ac:dyDescent="0.55000000000000004">
      <c r="A368">
        <v>101</v>
      </c>
      <c r="B368" s="2">
        <v>45603.5</v>
      </c>
      <c r="C368" t="s">
        <v>215</v>
      </c>
      <c r="D368">
        <v>1</v>
      </c>
      <c r="E368" t="s">
        <v>123</v>
      </c>
      <c r="F368" t="str">
        <f t="shared" si="33"/>
        <v>Carassius auratus</v>
      </c>
      <c r="G368" t="str">
        <f t="shared" si="34"/>
        <v>Goldfish</v>
      </c>
      <c r="H368" t="str">
        <f t="shared" si="35"/>
        <v>Morihana</v>
      </c>
      <c r="I368" t="str">
        <f t="shared" si="36"/>
        <v>Nonnative</v>
      </c>
      <c r="J368" t="str">
        <f t="shared" si="37"/>
        <v>No</v>
      </c>
      <c r="L368">
        <v>65</v>
      </c>
      <c r="N368">
        <v>1</v>
      </c>
      <c r="S368" t="str">
        <f t="shared" si="38"/>
        <v/>
      </c>
    </row>
    <row r="369" spans="1:20" x14ac:dyDescent="0.55000000000000004">
      <c r="A369">
        <v>101</v>
      </c>
      <c r="B369" s="2">
        <v>45603.5</v>
      </c>
      <c r="C369" t="s">
        <v>215</v>
      </c>
      <c r="D369">
        <v>1</v>
      </c>
      <c r="E369" t="s">
        <v>123</v>
      </c>
      <c r="F369" t="str">
        <f t="shared" si="33"/>
        <v>Carassius auratus</v>
      </c>
      <c r="G369" t="str">
        <f t="shared" si="34"/>
        <v>Goldfish</v>
      </c>
      <c r="H369" t="str">
        <f t="shared" si="35"/>
        <v>Morihana</v>
      </c>
      <c r="I369" t="str">
        <f t="shared" si="36"/>
        <v>Nonnative</v>
      </c>
      <c r="J369" t="str">
        <f t="shared" si="37"/>
        <v>No</v>
      </c>
      <c r="L369">
        <v>46</v>
      </c>
      <c r="N369">
        <v>1</v>
      </c>
      <c r="S369" t="str">
        <f t="shared" si="38"/>
        <v/>
      </c>
    </row>
    <row r="370" spans="1:20" x14ac:dyDescent="0.55000000000000004">
      <c r="A370">
        <v>101</v>
      </c>
      <c r="B370" s="2">
        <v>45603.5</v>
      </c>
      <c r="C370" t="s">
        <v>215</v>
      </c>
      <c r="D370">
        <v>1</v>
      </c>
      <c r="E370" t="s">
        <v>123</v>
      </c>
      <c r="F370" t="str">
        <f t="shared" si="33"/>
        <v>Carassius auratus</v>
      </c>
      <c r="G370" t="str">
        <f t="shared" si="34"/>
        <v>Goldfish</v>
      </c>
      <c r="H370" t="str">
        <f t="shared" si="35"/>
        <v>Morihana</v>
      </c>
      <c r="I370" t="str">
        <f t="shared" si="36"/>
        <v>Nonnative</v>
      </c>
      <c r="J370" t="str">
        <f t="shared" si="37"/>
        <v>No</v>
      </c>
      <c r="L370">
        <v>50</v>
      </c>
      <c r="N370">
        <v>1</v>
      </c>
      <c r="S370" t="str">
        <f t="shared" si="38"/>
        <v/>
      </c>
    </row>
    <row r="371" spans="1:20" x14ac:dyDescent="0.55000000000000004">
      <c r="A371">
        <v>101</v>
      </c>
      <c r="B371" s="2">
        <v>45603.5</v>
      </c>
      <c r="C371" t="s">
        <v>215</v>
      </c>
      <c r="D371">
        <v>1</v>
      </c>
      <c r="E371" t="s">
        <v>123</v>
      </c>
      <c r="F371" t="str">
        <f t="shared" si="33"/>
        <v>Carassius auratus</v>
      </c>
      <c r="G371" t="str">
        <f t="shared" si="34"/>
        <v>Goldfish</v>
      </c>
      <c r="H371" t="str">
        <f t="shared" si="35"/>
        <v>Morihana</v>
      </c>
      <c r="I371" t="str">
        <f t="shared" si="36"/>
        <v>Nonnative</v>
      </c>
      <c r="J371" t="str">
        <f t="shared" si="37"/>
        <v>No</v>
      </c>
      <c r="L371">
        <v>56</v>
      </c>
      <c r="N371">
        <v>1</v>
      </c>
      <c r="S371" t="str">
        <f t="shared" si="38"/>
        <v/>
      </c>
    </row>
    <row r="372" spans="1:20" x14ac:dyDescent="0.55000000000000004">
      <c r="A372">
        <v>101</v>
      </c>
      <c r="B372" s="2">
        <v>45603.5</v>
      </c>
      <c r="C372" t="s">
        <v>215</v>
      </c>
      <c r="D372">
        <v>1</v>
      </c>
      <c r="E372" t="s">
        <v>123</v>
      </c>
      <c r="F372" t="str">
        <f t="shared" si="33"/>
        <v>Carassius auratus</v>
      </c>
      <c r="G372" t="str">
        <f t="shared" si="34"/>
        <v>Goldfish</v>
      </c>
      <c r="H372" t="str">
        <f t="shared" si="35"/>
        <v>Morihana</v>
      </c>
      <c r="I372" t="str">
        <f t="shared" si="36"/>
        <v>Nonnative</v>
      </c>
      <c r="J372" t="str">
        <f t="shared" si="37"/>
        <v>No</v>
      </c>
      <c r="L372">
        <v>46</v>
      </c>
      <c r="N372">
        <v>1</v>
      </c>
      <c r="S372" t="str">
        <f t="shared" si="38"/>
        <v/>
      </c>
    </row>
    <row r="373" spans="1:20" x14ac:dyDescent="0.55000000000000004">
      <c r="A373">
        <v>101</v>
      </c>
      <c r="B373" s="2">
        <v>45603.5</v>
      </c>
      <c r="C373" t="s">
        <v>215</v>
      </c>
      <c r="D373">
        <v>1</v>
      </c>
      <c r="E373" t="s">
        <v>123</v>
      </c>
      <c r="F373" t="str">
        <f t="shared" si="33"/>
        <v>Carassius auratus</v>
      </c>
      <c r="G373" t="str">
        <f t="shared" si="34"/>
        <v>Goldfish</v>
      </c>
      <c r="H373" t="str">
        <f t="shared" si="35"/>
        <v>Morihana</v>
      </c>
      <c r="I373" t="str">
        <f t="shared" si="36"/>
        <v>Nonnative</v>
      </c>
      <c r="J373" t="str">
        <f t="shared" si="37"/>
        <v>No</v>
      </c>
      <c r="L373">
        <v>50</v>
      </c>
      <c r="N373">
        <v>1</v>
      </c>
      <c r="S373" t="str">
        <f t="shared" si="38"/>
        <v/>
      </c>
    </row>
    <row r="374" spans="1:20" x14ac:dyDescent="0.55000000000000004">
      <c r="A374">
        <v>101</v>
      </c>
      <c r="B374" s="2">
        <v>45603.5</v>
      </c>
      <c r="C374" t="s">
        <v>215</v>
      </c>
      <c r="D374">
        <v>1</v>
      </c>
      <c r="E374" t="s">
        <v>123</v>
      </c>
      <c r="F374" t="str">
        <f t="shared" si="33"/>
        <v>Carassius auratus</v>
      </c>
      <c r="G374" t="str">
        <f t="shared" si="34"/>
        <v>Goldfish</v>
      </c>
      <c r="H374" t="str">
        <f t="shared" si="35"/>
        <v>Morihana</v>
      </c>
      <c r="I374" t="str">
        <f t="shared" si="36"/>
        <v>Nonnative</v>
      </c>
      <c r="J374" t="str">
        <f t="shared" si="37"/>
        <v>No</v>
      </c>
      <c r="L374">
        <v>52</v>
      </c>
      <c r="N374">
        <v>1</v>
      </c>
      <c r="S374" t="str">
        <f t="shared" si="38"/>
        <v/>
      </c>
    </row>
    <row r="375" spans="1:20" x14ac:dyDescent="0.55000000000000004">
      <c r="A375">
        <v>101</v>
      </c>
      <c r="B375" s="2">
        <v>45603.5</v>
      </c>
      <c r="C375" t="s">
        <v>215</v>
      </c>
      <c r="D375">
        <v>1</v>
      </c>
      <c r="E375" t="s">
        <v>123</v>
      </c>
      <c r="F375" t="str">
        <f t="shared" si="33"/>
        <v>Carassius auratus</v>
      </c>
      <c r="G375" t="str">
        <f t="shared" si="34"/>
        <v>Goldfish</v>
      </c>
      <c r="H375" t="str">
        <f t="shared" si="35"/>
        <v>Morihana</v>
      </c>
      <c r="I375" t="str">
        <f t="shared" si="36"/>
        <v>Nonnative</v>
      </c>
      <c r="J375" t="str">
        <f t="shared" si="37"/>
        <v>No</v>
      </c>
      <c r="L375">
        <v>42</v>
      </c>
      <c r="N375">
        <v>1</v>
      </c>
      <c r="S375" t="str">
        <f t="shared" si="38"/>
        <v/>
      </c>
    </row>
    <row r="376" spans="1:20" x14ac:dyDescent="0.55000000000000004">
      <c r="A376">
        <v>101</v>
      </c>
      <c r="B376" s="2">
        <v>45603.5</v>
      </c>
      <c r="C376" t="s">
        <v>215</v>
      </c>
      <c r="D376">
        <v>1</v>
      </c>
      <c r="E376" t="s">
        <v>44</v>
      </c>
      <c r="F376" t="str">
        <f t="shared" si="33"/>
        <v>Gobiomorphus cotidianus</v>
      </c>
      <c r="G376" t="str">
        <f t="shared" si="34"/>
        <v>Common_bully</v>
      </c>
      <c r="H376" t="str">
        <f t="shared" si="35"/>
        <v>Toitoi</v>
      </c>
      <c r="I376" t="str">
        <f t="shared" si="36"/>
        <v>Native</v>
      </c>
      <c r="J376" t="str">
        <f t="shared" si="37"/>
        <v>No</v>
      </c>
      <c r="R376">
        <v>1</v>
      </c>
      <c r="S376">
        <f t="shared" si="38"/>
        <v>236.58799999999999</v>
      </c>
    </row>
    <row r="377" spans="1:20" x14ac:dyDescent="0.55000000000000004">
      <c r="A377">
        <v>101</v>
      </c>
      <c r="B377" s="2">
        <v>45603.5</v>
      </c>
      <c r="C377" t="s">
        <v>215</v>
      </c>
      <c r="D377">
        <v>1</v>
      </c>
      <c r="E377" t="s">
        <v>44</v>
      </c>
      <c r="F377" t="str">
        <f t="shared" si="33"/>
        <v>Gobiomorphus cotidianus</v>
      </c>
      <c r="G377" t="str">
        <f t="shared" si="34"/>
        <v>Common_bully</v>
      </c>
      <c r="H377" t="str">
        <f t="shared" si="35"/>
        <v>Toitoi</v>
      </c>
      <c r="I377" t="str">
        <f t="shared" si="36"/>
        <v>Native</v>
      </c>
      <c r="J377" t="str">
        <f t="shared" si="37"/>
        <v>No</v>
      </c>
      <c r="R377">
        <v>2.5</v>
      </c>
      <c r="S377">
        <f t="shared" si="38"/>
        <v>591.47</v>
      </c>
    </row>
    <row r="378" spans="1:20" x14ac:dyDescent="0.55000000000000004">
      <c r="A378">
        <v>102</v>
      </c>
      <c r="B378" s="2">
        <v>45603.477083333331</v>
      </c>
      <c r="C378" t="s">
        <v>216</v>
      </c>
      <c r="D378">
        <v>2</v>
      </c>
      <c r="E378" t="s">
        <v>49</v>
      </c>
      <c r="F378" t="str">
        <f t="shared" si="33"/>
        <v>Paranephrops planifrons</v>
      </c>
      <c r="G378" t="str">
        <f t="shared" si="34"/>
        <v>Freshwater_crayfish</v>
      </c>
      <c r="H378" t="str">
        <f t="shared" si="35"/>
        <v>Kōura</v>
      </c>
      <c r="I378" t="str">
        <f t="shared" si="36"/>
        <v>Native</v>
      </c>
      <c r="J378" t="str">
        <f t="shared" si="37"/>
        <v>Yes</v>
      </c>
      <c r="K378" t="s">
        <v>50</v>
      </c>
      <c r="L378">
        <v>45</v>
      </c>
      <c r="M378">
        <v>56</v>
      </c>
      <c r="N378">
        <v>1</v>
      </c>
      <c r="S378" t="str">
        <f t="shared" si="38"/>
        <v/>
      </c>
    </row>
    <row r="379" spans="1:20" x14ac:dyDescent="0.55000000000000004">
      <c r="A379">
        <v>102</v>
      </c>
      <c r="B379" s="2">
        <v>45603.477083333331</v>
      </c>
      <c r="C379" t="s">
        <v>216</v>
      </c>
      <c r="D379">
        <v>2</v>
      </c>
      <c r="E379" t="s">
        <v>49</v>
      </c>
      <c r="F379" t="str">
        <f t="shared" si="33"/>
        <v>Paranephrops planifrons</v>
      </c>
      <c r="G379" t="str">
        <f t="shared" si="34"/>
        <v>Freshwater_crayfish</v>
      </c>
      <c r="H379" t="str">
        <f t="shared" si="35"/>
        <v>Kōura</v>
      </c>
      <c r="I379" t="str">
        <f t="shared" si="36"/>
        <v>Native</v>
      </c>
      <c r="J379" t="str">
        <f t="shared" si="37"/>
        <v>Yes</v>
      </c>
      <c r="K379" t="s">
        <v>48</v>
      </c>
      <c r="L379">
        <v>32</v>
      </c>
      <c r="M379">
        <v>25</v>
      </c>
      <c r="N379">
        <v>1</v>
      </c>
      <c r="S379" t="str">
        <f t="shared" si="38"/>
        <v/>
      </c>
    </row>
    <row r="380" spans="1:20" x14ac:dyDescent="0.55000000000000004">
      <c r="A380">
        <v>102</v>
      </c>
      <c r="B380" s="2">
        <v>45603.477083275466</v>
      </c>
      <c r="C380" t="s">
        <v>216</v>
      </c>
      <c r="D380">
        <v>2</v>
      </c>
      <c r="E380" t="s">
        <v>49</v>
      </c>
      <c r="F380" t="str">
        <f t="shared" si="33"/>
        <v>Paranephrops planifrons</v>
      </c>
      <c r="G380" t="str">
        <f t="shared" si="34"/>
        <v>Freshwater_crayfish</v>
      </c>
      <c r="H380" t="str">
        <f t="shared" si="35"/>
        <v>Kōura</v>
      </c>
      <c r="I380" t="str">
        <f t="shared" si="36"/>
        <v>Native</v>
      </c>
      <c r="J380" t="str">
        <f t="shared" si="37"/>
        <v>Yes</v>
      </c>
      <c r="K380" t="s">
        <v>48</v>
      </c>
      <c r="L380">
        <v>35</v>
      </c>
      <c r="M380">
        <v>26</v>
      </c>
      <c r="N380">
        <v>1</v>
      </c>
      <c r="S380" t="str">
        <f t="shared" si="38"/>
        <v/>
      </c>
    </row>
    <row r="381" spans="1:20" x14ac:dyDescent="0.55000000000000004">
      <c r="A381">
        <v>102</v>
      </c>
      <c r="B381" s="2">
        <v>45603.477083275466</v>
      </c>
      <c r="C381" t="s">
        <v>216</v>
      </c>
      <c r="D381">
        <v>2</v>
      </c>
      <c r="E381" t="s">
        <v>49</v>
      </c>
      <c r="F381" t="str">
        <f t="shared" si="33"/>
        <v>Paranephrops planifrons</v>
      </c>
      <c r="G381" t="str">
        <f t="shared" si="34"/>
        <v>Freshwater_crayfish</v>
      </c>
      <c r="H381" t="str">
        <f t="shared" si="35"/>
        <v>Kōura</v>
      </c>
      <c r="I381" t="str">
        <f t="shared" si="36"/>
        <v>Native</v>
      </c>
      <c r="J381" t="str">
        <f t="shared" si="37"/>
        <v>Yes</v>
      </c>
      <c r="K381" t="s">
        <v>48</v>
      </c>
      <c r="L381">
        <v>26</v>
      </c>
      <c r="M381">
        <v>13</v>
      </c>
      <c r="N381">
        <v>1</v>
      </c>
      <c r="S381" t="str">
        <f t="shared" si="38"/>
        <v/>
      </c>
    </row>
    <row r="382" spans="1:20" x14ac:dyDescent="0.55000000000000004">
      <c r="A382">
        <v>102</v>
      </c>
      <c r="B382" s="2">
        <v>45603.477083275466</v>
      </c>
      <c r="C382" t="s">
        <v>216</v>
      </c>
      <c r="D382">
        <v>2</v>
      </c>
      <c r="E382" t="s">
        <v>49</v>
      </c>
      <c r="F382" t="str">
        <f t="shared" si="33"/>
        <v>Paranephrops planifrons</v>
      </c>
      <c r="G382" t="str">
        <f t="shared" si="34"/>
        <v>Freshwater_crayfish</v>
      </c>
      <c r="H382" t="str">
        <f t="shared" si="35"/>
        <v>Kōura</v>
      </c>
      <c r="I382" t="str">
        <f t="shared" si="36"/>
        <v>Native</v>
      </c>
      <c r="J382" t="str">
        <f t="shared" si="37"/>
        <v>Yes</v>
      </c>
      <c r="K382" t="s">
        <v>48</v>
      </c>
      <c r="L382">
        <v>20</v>
      </c>
      <c r="M382">
        <v>6</v>
      </c>
      <c r="N382">
        <v>1</v>
      </c>
      <c r="S382" t="str">
        <f t="shared" si="38"/>
        <v/>
      </c>
    </row>
    <row r="383" spans="1:20" x14ac:dyDescent="0.55000000000000004">
      <c r="A383">
        <v>102</v>
      </c>
      <c r="B383" s="2">
        <v>45603.477083275466</v>
      </c>
      <c r="C383" t="s">
        <v>216</v>
      </c>
      <c r="D383">
        <v>2</v>
      </c>
      <c r="E383" t="s">
        <v>44</v>
      </c>
      <c r="F383" t="str">
        <f t="shared" si="33"/>
        <v>Gobiomorphus cotidianus</v>
      </c>
      <c r="G383" t="str">
        <f t="shared" si="34"/>
        <v>Common_bully</v>
      </c>
      <c r="H383" t="str">
        <f t="shared" si="35"/>
        <v>Toitoi</v>
      </c>
      <c r="I383" t="str">
        <f t="shared" si="36"/>
        <v>Native</v>
      </c>
      <c r="J383" t="str">
        <f t="shared" si="37"/>
        <v>No</v>
      </c>
      <c r="M383">
        <v>31</v>
      </c>
      <c r="N383">
        <v>27</v>
      </c>
      <c r="S383" t="str">
        <f t="shared" si="38"/>
        <v/>
      </c>
    </row>
    <row r="384" spans="1:20" x14ac:dyDescent="0.55000000000000004">
      <c r="A384">
        <v>102</v>
      </c>
      <c r="B384" s="2">
        <v>45603.477083275466</v>
      </c>
      <c r="C384" t="s">
        <v>215</v>
      </c>
      <c r="D384">
        <v>2</v>
      </c>
      <c r="E384" t="s">
        <v>49</v>
      </c>
      <c r="F384" t="str">
        <f t="shared" si="33"/>
        <v>Paranephrops planifrons</v>
      </c>
      <c r="G384" t="str">
        <f t="shared" si="34"/>
        <v>Freshwater_crayfish</v>
      </c>
      <c r="H384" t="str">
        <f t="shared" si="35"/>
        <v>Kōura</v>
      </c>
      <c r="I384" t="str">
        <f t="shared" si="36"/>
        <v>Native</v>
      </c>
      <c r="J384" t="str">
        <f t="shared" si="37"/>
        <v>Yes</v>
      </c>
      <c r="K384" t="s">
        <v>50</v>
      </c>
      <c r="L384">
        <v>16</v>
      </c>
      <c r="N384">
        <v>1</v>
      </c>
      <c r="S384" t="str">
        <f t="shared" si="38"/>
        <v/>
      </c>
      <c r="T384" t="s">
        <v>243</v>
      </c>
    </row>
    <row r="385" spans="1:20" x14ac:dyDescent="0.55000000000000004">
      <c r="A385">
        <v>102</v>
      </c>
      <c r="B385" s="2">
        <v>45603.477083275466</v>
      </c>
      <c r="C385" t="s">
        <v>215</v>
      </c>
      <c r="D385">
        <v>2</v>
      </c>
      <c r="E385" t="s">
        <v>49</v>
      </c>
      <c r="F385" t="str">
        <f t="shared" si="33"/>
        <v>Paranephrops planifrons</v>
      </c>
      <c r="G385" t="str">
        <f t="shared" si="34"/>
        <v>Freshwater_crayfish</v>
      </c>
      <c r="H385" t="str">
        <f t="shared" si="35"/>
        <v>Kōura</v>
      </c>
      <c r="I385" t="str">
        <f t="shared" si="36"/>
        <v>Native</v>
      </c>
      <c r="J385" t="str">
        <f t="shared" si="37"/>
        <v>Yes</v>
      </c>
      <c r="K385" t="s">
        <v>48</v>
      </c>
      <c r="L385">
        <v>15</v>
      </c>
      <c r="N385">
        <v>1</v>
      </c>
      <c r="S385" t="str">
        <f t="shared" si="38"/>
        <v/>
      </c>
      <c r="T385" t="s">
        <v>243</v>
      </c>
    </row>
    <row r="386" spans="1:20" x14ac:dyDescent="0.55000000000000004">
      <c r="A386">
        <v>102</v>
      </c>
      <c r="B386" s="2">
        <v>45603.477083275466</v>
      </c>
      <c r="C386" t="s">
        <v>215</v>
      </c>
      <c r="D386">
        <v>2</v>
      </c>
      <c r="E386" t="s">
        <v>44</v>
      </c>
      <c r="F386" t="str">
        <f t="shared" ref="F386:F449" si="40">VLOOKUP($E386, $V$1:$AA$9, 2, FALSE)</f>
        <v>Gobiomorphus cotidianus</v>
      </c>
      <c r="G386" t="str">
        <f t="shared" ref="G386:G449" si="41">VLOOKUP($E386, $V$1:$AA$9, 3, FALSE)</f>
        <v>Common_bully</v>
      </c>
      <c r="H386" t="str">
        <f t="shared" ref="H386:H449" si="42">VLOOKUP($E386, $V$1:$AA$9, 4, FALSE)</f>
        <v>Toitoi</v>
      </c>
      <c r="I386" t="str">
        <f t="shared" ref="I386:I449" si="43">VLOOKUP($E386, $V$1:$AB$9, 5, FALSE)</f>
        <v>Native</v>
      </c>
      <c r="J386" t="str">
        <f t="shared" ref="J386:J449" si="44">VLOOKUP($E386, $V$1:$AA$9, 6, FALSE)</f>
        <v>No</v>
      </c>
      <c r="R386">
        <v>0.6</v>
      </c>
      <c r="S386">
        <f t="shared" si="38"/>
        <v>141.9528</v>
      </c>
      <c r="T386" t="s">
        <v>243</v>
      </c>
    </row>
    <row r="387" spans="1:20" x14ac:dyDescent="0.55000000000000004">
      <c r="A387">
        <v>102</v>
      </c>
      <c r="B387" s="2">
        <v>45603.477083275466</v>
      </c>
      <c r="C387" t="s">
        <v>215</v>
      </c>
      <c r="D387">
        <v>2</v>
      </c>
      <c r="E387" t="s">
        <v>49</v>
      </c>
      <c r="F387" t="str">
        <f t="shared" si="40"/>
        <v>Paranephrops planifrons</v>
      </c>
      <c r="G387" t="str">
        <f t="shared" si="41"/>
        <v>Freshwater_crayfish</v>
      </c>
      <c r="H387" t="str">
        <f t="shared" si="42"/>
        <v>Kōura</v>
      </c>
      <c r="I387" t="str">
        <f t="shared" si="43"/>
        <v>Native</v>
      </c>
      <c r="J387" t="str">
        <f t="shared" si="44"/>
        <v>Yes</v>
      </c>
      <c r="K387" t="s">
        <v>50</v>
      </c>
      <c r="L387">
        <v>19</v>
      </c>
      <c r="N387">
        <v>1</v>
      </c>
      <c r="S387" t="str">
        <f t="shared" ref="S387:S450" si="45">IF(R387&lt;&gt;"", R387*236.588, "")</f>
        <v/>
      </c>
      <c r="T387" t="s">
        <v>243</v>
      </c>
    </row>
    <row r="388" spans="1:20" x14ac:dyDescent="0.55000000000000004">
      <c r="A388">
        <v>102</v>
      </c>
      <c r="B388" s="2">
        <v>45603.477083275466</v>
      </c>
      <c r="C388" t="s">
        <v>215</v>
      </c>
      <c r="D388">
        <v>2</v>
      </c>
      <c r="E388" t="s">
        <v>44</v>
      </c>
      <c r="F388" t="str">
        <f t="shared" si="40"/>
        <v>Gobiomorphus cotidianus</v>
      </c>
      <c r="G388" t="str">
        <f t="shared" si="41"/>
        <v>Common_bully</v>
      </c>
      <c r="H388" t="str">
        <f t="shared" si="42"/>
        <v>Toitoi</v>
      </c>
      <c r="I388" t="str">
        <f t="shared" si="43"/>
        <v>Native</v>
      </c>
      <c r="J388" t="str">
        <f t="shared" si="44"/>
        <v>No</v>
      </c>
      <c r="R388">
        <v>0.6</v>
      </c>
      <c r="S388">
        <f t="shared" si="45"/>
        <v>141.9528</v>
      </c>
      <c r="T388" t="s">
        <v>243</v>
      </c>
    </row>
    <row r="389" spans="1:20" x14ac:dyDescent="0.55000000000000004">
      <c r="A389">
        <v>103</v>
      </c>
      <c r="B389" s="2">
        <v>45604.486111111109</v>
      </c>
      <c r="C389" t="s">
        <v>216</v>
      </c>
      <c r="D389">
        <v>2</v>
      </c>
      <c r="E389" t="s">
        <v>44</v>
      </c>
      <c r="F389" t="str">
        <f t="shared" si="40"/>
        <v>Gobiomorphus cotidianus</v>
      </c>
      <c r="G389" t="str">
        <f t="shared" si="41"/>
        <v>Common_bully</v>
      </c>
      <c r="H389" t="str">
        <f t="shared" si="42"/>
        <v>Toitoi</v>
      </c>
      <c r="I389" t="str">
        <f t="shared" si="43"/>
        <v>Native</v>
      </c>
      <c r="J389" t="str">
        <f t="shared" si="44"/>
        <v>No</v>
      </c>
      <c r="L389">
        <v>50</v>
      </c>
      <c r="M389">
        <f t="shared" ref="M389:M396" si="46">19/9</f>
        <v>2.1111111111111112</v>
      </c>
      <c r="N389">
        <v>1</v>
      </c>
      <c r="S389" t="str">
        <f t="shared" si="45"/>
        <v/>
      </c>
    </row>
    <row r="390" spans="1:20" x14ac:dyDescent="0.55000000000000004">
      <c r="A390">
        <v>103</v>
      </c>
      <c r="B390" s="2">
        <v>45604.486111111109</v>
      </c>
      <c r="C390" t="s">
        <v>216</v>
      </c>
      <c r="D390">
        <v>2</v>
      </c>
      <c r="E390" t="s">
        <v>44</v>
      </c>
      <c r="F390" t="str">
        <f t="shared" si="40"/>
        <v>Gobiomorphus cotidianus</v>
      </c>
      <c r="G390" t="str">
        <f t="shared" si="41"/>
        <v>Common_bully</v>
      </c>
      <c r="H390" t="str">
        <f t="shared" si="42"/>
        <v>Toitoi</v>
      </c>
      <c r="I390" t="str">
        <f t="shared" si="43"/>
        <v>Native</v>
      </c>
      <c r="J390" t="str">
        <f t="shared" si="44"/>
        <v>No</v>
      </c>
      <c r="L390">
        <v>50</v>
      </c>
      <c r="M390">
        <f t="shared" si="46"/>
        <v>2.1111111111111112</v>
      </c>
      <c r="N390">
        <v>1</v>
      </c>
      <c r="S390" t="str">
        <f t="shared" si="45"/>
        <v/>
      </c>
    </row>
    <row r="391" spans="1:20" x14ac:dyDescent="0.55000000000000004">
      <c r="A391">
        <v>103</v>
      </c>
      <c r="B391" s="2">
        <v>45604.486111053244</v>
      </c>
      <c r="C391" t="s">
        <v>216</v>
      </c>
      <c r="D391">
        <v>2</v>
      </c>
      <c r="E391" t="s">
        <v>44</v>
      </c>
      <c r="F391" t="str">
        <f t="shared" si="40"/>
        <v>Gobiomorphus cotidianus</v>
      </c>
      <c r="G391" t="str">
        <f t="shared" si="41"/>
        <v>Common_bully</v>
      </c>
      <c r="H391" t="str">
        <f t="shared" si="42"/>
        <v>Toitoi</v>
      </c>
      <c r="I391" t="str">
        <f t="shared" si="43"/>
        <v>Native</v>
      </c>
      <c r="J391" t="str">
        <f t="shared" si="44"/>
        <v>No</v>
      </c>
      <c r="L391">
        <v>64</v>
      </c>
      <c r="M391">
        <f t="shared" si="46"/>
        <v>2.1111111111111112</v>
      </c>
      <c r="N391">
        <v>1</v>
      </c>
      <c r="S391" t="str">
        <f t="shared" si="45"/>
        <v/>
      </c>
    </row>
    <row r="392" spans="1:20" x14ac:dyDescent="0.55000000000000004">
      <c r="A392">
        <v>103</v>
      </c>
      <c r="B392" s="2">
        <v>45604.486111053244</v>
      </c>
      <c r="C392" t="s">
        <v>216</v>
      </c>
      <c r="D392">
        <v>2</v>
      </c>
      <c r="E392" t="s">
        <v>44</v>
      </c>
      <c r="F392" t="str">
        <f t="shared" si="40"/>
        <v>Gobiomorphus cotidianus</v>
      </c>
      <c r="G392" t="str">
        <f t="shared" si="41"/>
        <v>Common_bully</v>
      </c>
      <c r="H392" t="str">
        <f t="shared" si="42"/>
        <v>Toitoi</v>
      </c>
      <c r="I392" t="str">
        <f t="shared" si="43"/>
        <v>Native</v>
      </c>
      <c r="J392" t="str">
        <f t="shared" si="44"/>
        <v>No</v>
      </c>
      <c r="L392">
        <v>55</v>
      </c>
      <c r="M392">
        <f t="shared" si="46"/>
        <v>2.1111111111111112</v>
      </c>
      <c r="N392">
        <v>1</v>
      </c>
      <c r="S392" t="str">
        <f t="shared" si="45"/>
        <v/>
      </c>
    </row>
    <row r="393" spans="1:20" x14ac:dyDescent="0.55000000000000004">
      <c r="A393">
        <v>103</v>
      </c>
      <c r="B393" s="2">
        <v>45604.486111053244</v>
      </c>
      <c r="C393" t="s">
        <v>216</v>
      </c>
      <c r="D393">
        <v>2</v>
      </c>
      <c r="E393" t="s">
        <v>44</v>
      </c>
      <c r="F393" t="str">
        <f t="shared" si="40"/>
        <v>Gobiomorphus cotidianus</v>
      </c>
      <c r="G393" t="str">
        <f t="shared" si="41"/>
        <v>Common_bully</v>
      </c>
      <c r="H393" t="str">
        <f t="shared" si="42"/>
        <v>Toitoi</v>
      </c>
      <c r="I393" t="str">
        <f t="shared" si="43"/>
        <v>Native</v>
      </c>
      <c r="J393" t="str">
        <f t="shared" si="44"/>
        <v>No</v>
      </c>
      <c r="L393">
        <v>62</v>
      </c>
      <c r="M393">
        <f t="shared" si="46"/>
        <v>2.1111111111111112</v>
      </c>
      <c r="N393">
        <v>1</v>
      </c>
      <c r="S393" t="str">
        <f t="shared" si="45"/>
        <v/>
      </c>
    </row>
    <row r="394" spans="1:20" x14ac:dyDescent="0.55000000000000004">
      <c r="A394">
        <v>103</v>
      </c>
      <c r="B394" s="2">
        <v>45604.486111053244</v>
      </c>
      <c r="C394" t="s">
        <v>216</v>
      </c>
      <c r="D394">
        <v>2</v>
      </c>
      <c r="E394" t="s">
        <v>44</v>
      </c>
      <c r="F394" t="str">
        <f t="shared" si="40"/>
        <v>Gobiomorphus cotidianus</v>
      </c>
      <c r="G394" t="str">
        <f t="shared" si="41"/>
        <v>Common_bully</v>
      </c>
      <c r="H394" t="str">
        <f t="shared" si="42"/>
        <v>Toitoi</v>
      </c>
      <c r="I394" t="str">
        <f t="shared" si="43"/>
        <v>Native</v>
      </c>
      <c r="J394" t="str">
        <f t="shared" si="44"/>
        <v>No</v>
      </c>
      <c r="L394">
        <v>72</v>
      </c>
      <c r="M394">
        <f t="shared" si="46"/>
        <v>2.1111111111111112</v>
      </c>
      <c r="N394">
        <v>1</v>
      </c>
      <c r="S394" t="str">
        <f t="shared" si="45"/>
        <v/>
      </c>
    </row>
    <row r="395" spans="1:20" x14ac:dyDescent="0.55000000000000004">
      <c r="A395">
        <v>103</v>
      </c>
      <c r="B395" s="2">
        <v>45604.486111053244</v>
      </c>
      <c r="C395" t="s">
        <v>216</v>
      </c>
      <c r="D395">
        <v>2</v>
      </c>
      <c r="E395" t="s">
        <v>44</v>
      </c>
      <c r="F395" t="str">
        <f t="shared" si="40"/>
        <v>Gobiomorphus cotidianus</v>
      </c>
      <c r="G395" t="str">
        <f t="shared" si="41"/>
        <v>Common_bully</v>
      </c>
      <c r="H395" t="str">
        <f t="shared" si="42"/>
        <v>Toitoi</v>
      </c>
      <c r="I395" t="str">
        <f t="shared" si="43"/>
        <v>Native</v>
      </c>
      <c r="J395" t="str">
        <f t="shared" si="44"/>
        <v>No</v>
      </c>
      <c r="L395">
        <v>57</v>
      </c>
      <c r="M395">
        <f t="shared" si="46"/>
        <v>2.1111111111111112</v>
      </c>
      <c r="N395">
        <v>1</v>
      </c>
      <c r="S395" t="str">
        <f t="shared" si="45"/>
        <v/>
      </c>
    </row>
    <row r="396" spans="1:20" x14ac:dyDescent="0.55000000000000004">
      <c r="A396">
        <v>103</v>
      </c>
      <c r="B396" s="2">
        <v>45604.486111053244</v>
      </c>
      <c r="C396" t="s">
        <v>216</v>
      </c>
      <c r="D396">
        <v>2</v>
      </c>
      <c r="E396" t="s">
        <v>44</v>
      </c>
      <c r="F396" t="str">
        <f t="shared" si="40"/>
        <v>Gobiomorphus cotidianus</v>
      </c>
      <c r="G396" t="str">
        <f t="shared" si="41"/>
        <v>Common_bully</v>
      </c>
      <c r="H396" t="str">
        <f t="shared" si="42"/>
        <v>Toitoi</v>
      </c>
      <c r="I396" t="str">
        <f t="shared" si="43"/>
        <v>Native</v>
      </c>
      <c r="J396" t="str">
        <f t="shared" si="44"/>
        <v>No</v>
      </c>
      <c r="L396">
        <v>26</v>
      </c>
      <c r="M396">
        <f t="shared" si="46"/>
        <v>2.1111111111111112</v>
      </c>
      <c r="N396">
        <v>1</v>
      </c>
      <c r="S396" t="str">
        <f t="shared" si="45"/>
        <v/>
      </c>
    </row>
    <row r="397" spans="1:20" x14ac:dyDescent="0.55000000000000004">
      <c r="A397">
        <v>103</v>
      </c>
      <c r="B397" s="2">
        <v>45604.486111053244</v>
      </c>
      <c r="C397" t="s">
        <v>216</v>
      </c>
      <c r="D397">
        <v>2</v>
      </c>
      <c r="E397" t="s">
        <v>44</v>
      </c>
      <c r="F397" t="str">
        <f t="shared" si="40"/>
        <v>Gobiomorphus cotidianus</v>
      </c>
      <c r="G397" t="str">
        <f t="shared" si="41"/>
        <v>Common_bully</v>
      </c>
      <c r="H397" t="str">
        <f t="shared" si="42"/>
        <v>Toitoi</v>
      </c>
      <c r="I397" t="str">
        <f t="shared" si="43"/>
        <v>Native</v>
      </c>
      <c r="J397" t="str">
        <f t="shared" si="44"/>
        <v>No</v>
      </c>
      <c r="L397">
        <v>33</v>
      </c>
      <c r="M397">
        <f>19/9</f>
        <v>2.1111111111111112</v>
      </c>
      <c r="N397">
        <v>1</v>
      </c>
      <c r="S397" t="str">
        <f t="shared" si="45"/>
        <v/>
      </c>
    </row>
    <row r="398" spans="1:20" x14ac:dyDescent="0.55000000000000004">
      <c r="A398">
        <v>103</v>
      </c>
      <c r="B398" s="2">
        <v>45604.486111053244</v>
      </c>
      <c r="C398" t="s">
        <v>215</v>
      </c>
      <c r="D398">
        <v>2</v>
      </c>
      <c r="E398" t="s">
        <v>49</v>
      </c>
      <c r="F398" t="str">
        <f t="shared" si="40"/>
        <v>Paranephrops planifrons</v>
      </c>
      <c r="G398" t="str">
        <f t="shared" si="41"/>
        <v>Freshwater_crayfish</v>
      </c>
      <c r="H398" t="str">
        <f t="shared" si="42"/>
        <v>Kōura</v>
      </c>
      <c r="I398" t="str">
        <f t="shared" si="43"/>
        <v>Native</v>
      </c>
      <c r="J398" t="str">
        <f t="shared" si="44"/>
        <v>Yes</v>
      </c>
      <c r="K398" t="s">
        <v>50</v>
      </c>
      <c r="L398">
        <v>46.16</v>
      </c>
      <c r="N398">
        <v>1</v>
      </c>
      <c r="P398">
        <v>1</v>
      </c>
      <c r="S398" t="str">
        <f t="shared" si="45"/>
        <v/>
      </c>
    </row>
    <row r="399" spans="1:20" x14ac:dyDescent="0.55000000000000004">
      <c r="A399">
        <v>103</v>
      </c>
      <c r="B399" s="2">
        <v>45604.486111053244</v>
      </c>
      <c r="C399" t="s">
        <v>215</v>
      </c>
      <c r="D399">
        <v>2</v>
      </c>
      <c r="E399" t="s">
        <v>49</v>
      </c>
      <c r="F399" t="str">
        <f t="shared" si="40"/>
        <v>Paranephrops planifrons</v>
      </c>
      <c r="G399" t="str">
        <f t="shared" si="41"/>
        <v>Freshwater_crayfish</v>
      </c>
      <c r="H399" t="str">
        <f t="shared" si="42"/>
        <v>Kōura</v>
      </c>
      <c r="I399" t="str">
        <f t="shared" si="43"/>
        <v>Native</v>
      </c>
      <c r="J399" t="str">
        <f t="shared" si="44"/>
        <v>Yes</v>
      </c>
      <c r="K399" t="s">
        <v>48</v>
      </c>
      <c r="L399">
        <v>23.49</v>
      </c>
      <c r="M399">
        <v>9</v>
      </c>
      <c r="N399">
        <v>1</v>
      </c>
      <c r="S399" t="str">
        <f t="shared" si="45"/>
        <v/>
      </c>
    </row>
    <row r="400" spans="1:20" x14ac:dyDescent="0.55000000000000004">
      <c r="A400">
        <v>103</v>
      </c>
      <c r="B400" s="2">
        <v>45604.486111053244</v>
      </c>
      <c r="C400" t="s">
        <v>215</v>
      </c>
      <c r="D400">
        <v>2</v>
      </c>
      <c r="E400" t="s">
        <v>247</v>
      </c>
      <c r="F400" t="str">
        <f t="shared" si="40"/>
        <v>Retropinna retropinna</v>
      </c>
      <c r="G400" t="str">
        <f t="shared" si="41"/>
        <v>Common_smelt</v>
      </c>
      <c r="H400" t="str">
        <f t="shared" si="42"/>
        <v>Common_smelt</v>
      </c>
      <c r="I400" t="str">
        <f t="shared" si="43"/>
        <v>Native</v>
      </c>
      <c r="J400" t="str">
        <f t="shared" si="44"/>
        <v>No</v>
      </c>
      <c r="N400">
        <v>40</v>
      </c>
      <c r="S400" t="str">
        <f t="shared" si="45"/>
        <v/>
      </c>
      <c r="T400" t="s">
        <v>280</v>
      </c>
    </row>
    <row r="401" spans="1:19" x14ac:dyDescent="0.55000000000000004">
      <c r="A401">
        <v>103</v>
      </c>
      <c r="B401" s="2">
        <v>45604.486111053244</v>
      </c>
      <c r="C401" t="s">
        <v>215</v>
      </c>
      <c r="D401">
        <v>2</v>
      </c>
      <c r="E401" t="s">
        <v>44</v>
      </c>
      <c r="F401" t="str">
        <f t="shared" si="40"/>
        <v>Gobiomorphus cotidianus</v>
      </c>
      <c r="G401" t="str">
        <f t="shared" si="41"/>
        <v>Common_bully</v>
      </c>
      <c r="H401" t="str">
        <f t="shared" si="42"/>
        <v>Toitoi</v>
      </c>
      <c r="I401" t="str">
        <f t="shared" si="43"/>
        <v>Native</v>
      </c>
      <c r="J401" t="str">
        <f t="shared" si="44"/>
        <v>No</v>
      </c>
      <c r="M401">
        <v>418</v>
      </c>
      <c r="R401">
        <v>2.25</v>
      </c>
      <c r="S401">
        <f t="shared" si="45"/>
        <v>532.32299999999998</v>
      </c>
    </row>
    <row r="402" spans="1:19" x14ac:dyDescent="0.55000000000000004">
      <c r="A402">
        <v>103</v>
      </c>
      <c r="B402" s="2">
        <v>45604.486111053244</v>
      </c>
      <c r="C402" t="s">
        <v>215</v>
      </c>
      <c r="D402">
        <v>2</v>
      </c>
      <c r="E402" t="s">
        <v>238</v>
      </c>
      <c r="F402" t="str">
        <f t="shared" si="40"/>
        <v>Anguilla dieffenbachii</v>
      </c>
      <c r="G402" t="str">
        <f t="shared" si="41"/>
        <v>Long_fin_eel</v>
      </c>
      <c r="H402" t="str">
        <f t="shared" si="42"/>
        <v>Tuna</v>
      </c>
      <c r="I402" t="str">
        <f t="shared" si="43"/>
        <v>Native</v>
      </c>
      <c r="J402" t="str">
        <f t="shared" si="44"/>
        <v>Yes</v>
      </c>
      <c r="L402">
        <v>800</v>
      </c>
      <c r="N402">
        <v>1</v>
      </c>
      <c r="S402" t="str">
        <f t="shared" si="45"/>
        <v/>
      </c>
    </row>
    <row r="403" spans="1:19" x14ac:dyDescent="0.55000000000000004">
      <c r="A403">
        <v>103</v>
      </c>
      <c r="B403" s="2">
        <v>45604.486111053244</v>
      </c>
      <c r="C403" t="s">
        <v>215</v>
      </c>
      <c r="D403">
        <v>2</v>
      </c>
      <c r="E403" t="s">
        <v>247</v>
      </c>
      <c r="F403" t="str">
        <f t="shared" si="40"/>
        <v>Retropinna retropinna</v>
      </c>
      <c r="G403" t="str">
        <f t="shared" si="41"/>
        <v>Common_smelt</v>
      </c>
      <c r="H403" t="str">
        <f t="shared" si="42"/>
        <v>Common_smelt</v>
      </c>
      <c r="I403" t="str">
        <f t="shared" si="43"/>
        <v>Native</v>
      </c>
      <c r="J403" t="str">
        <f t="shared" si="44"/>
        <v>No</v>
      </c>
      <c r="N403">
        <v>1</v>
      </c>
      <c r="S403" t="str">
        <f t="shared" si="45"/>
        <v/>
      </c>
    </row>
    <row r="404" spans="1:19" x14ac:dyDescent="0.55000000000000004">
      <c r="A404">
        <v>103</v>
      </c>
      <c r="B404" s="2">
        <v>45604.486111053244</v>
      </c>
      <c r="C404" t="s">
        <v>215</v>
      </c>
      <c r="D404">
        <v>2</v>
      </c>
      <c r="E404" t="s">
        <v>44</v>
      </c>
      <c r="F404" t="str">
        <f t="shared" si="40"/>
        <v>Gobiomorphus cotidianus</v>
      </c>
      <c r="G404" t="str">
        <f t="shared" si="41"/>
        <v>Common_bully</v>
      </c>
      <c r="H404" t="str">
        <f t="shared" si="42"/>
        <v>Toitoi</v>
      </c>
      <c r="I404" t="str">
        <f t="shared" si="43"/>
        <v>Native</v>
      </c>
      <c r="J404" t="str">
        <f t="shared" si="44"/>
        <v>No</v>
      </c>
      <c r="L404">
        <v>85</v>
      </c>
      <c r="M404">
        <f t="shared" ref="M404:M423" si="47">60/21</f>
        <v>2.8571428571428572</v>
      </c>
      <c r="N404">
        <v>1</v>
      </c>
      <c r="S404" t="str">
        <f t="shared" si="45"/>
        <v/>
      </c>
    </row>
    <row r="405" spans="1:19" x14ac:dyDescent="0.55000000000000004">
      <c r="A405">
        <v>103</v>
      </c>
      <c r="B405" s="2">
        <v>45604.486111053244</v>
      </c>
      <c r="C405" t="s">
        <v>215</v>
      </c>
      <c r="D405">
        <v>2</v>
      </c>
      <c r="E405" t="s">
        <v>44</v>
      </c>
      <c r="F405" t="str">
        <f t="shared" si="40"/>
        <v>Gobiomorphus cotidianus</v>
      </c>
      <c r="G405" t="str">
        <f t="shared" si="41"/>
        <v>Common_bully</v>
      </c>
      <c r="H405" t="str">
        <f t="shared" si="42"/>
        <v>Toitoi</v>
      </c>
      <c r="I405" t="str">
        <f t="shared" si="43"/>
        <v>Native</v>
      </c>
      <c r="J405" t="str">
        <f t="shared" si="44"/>
        <v>No</v>
      </c>
      <c r="L405">
        <v>65</v>
      </c>
      <c r="M405">
        <f t="shared" si="47"/>
        <v>2.8571428571428572</v>
      </c>
      <c r="N405">
        <v>1</v>
      </c>
      <c r="S405" t="str">
        <f t="shared" si="45"/>
        <v/>
      </c>
    </row>
    <row r="406" spans="1:19" x14ac:dyDescent="0.55000000000000004">
      <c r="A406">
        <v>103</v>
      </c>
      <c r="B406" s="2">
        <v>45604.486111053244</v>
      </c>
      <c r="C406" t="s">
        <v>215</v>
      </c>
      <c r="D406">
        <v>2</v>
      </c>
      <c r="E406" t="s">
        <v>44</v>
      </c>
      <c r="F406" t="str">
        <f t="shared" si="40"/>
        <v>Gobiomorphus cotidianus</v>
      </c>
      <c r="G406" t="str">
        <f t="shared" si="41"/>
        <v>Common_bully</v>
      </c>
      <c r="H406" t="str">
        <f t="shared" si="42"/>
        <v>Toitoi</v>
      </c>
      <c r="I406" t="str">
        <f t="shared" si="43"/>
        <v>Native</v>
      </c>
      <c r="J406" t="str">
        <f t="shared" si="44"/>
        <v>No</v>
      </c>
      <c r="L406">
        <v>40</v>
      </c>
      <c r="M406">
        <f t="shared" si="47"/>
        <v>2.8571428571428572</v>
      </c>
      <c r="N406">
        <v>1</v>
      </c>
      <c r="S406" t="str">
        <f t="shared" si="45"/>
        <v/>
      </c>
    </row>
    <row r="407" spans="1:19" x14ac:dyDescent="0.55000000000000004">
      <c r="A407">
        <v>103</v>
      </c>
      <c r="B407" s="2">
        <v>45604.486111053244</v>
      </c>
      <c r="C407" t="s">
        <v>215</v>
      </c>
      <c r="D407">
        <v>2</v>
      </c>
      <c r="E407" t="s">
        <v>44</v>
      </c>
      <c r="F407" t="str">
        <f t="shared" si="40"/>
        <v>Gobiomorphus cotidianus</v>
      </c>
      <c r="G407" t="str">
        <f t="shared" si="41"/>
        <v>Common_bully</v>
      </c>
      <c r="H407" t="str">
        <f t="shared" si="42"/>
        <v>Toitoi</v>
      </c>
      <c r="I407" t="str">
        <f t="shared" si="43"/>
        <v>Native</v>
      </c>
      <c r="J407" t="str">
        <f t="shared" si="44"/>
        <v>No</v>
      </c>
      <c r="L407">
        <v>50</v>
      </c>
      <c r="M407">
        <f t="shared" si="47"/>
        <v>2.8571428571428572</v>
      </c>
      <c r="N407">
        <v>1</v>
      </c>
      <c r="S407" t="str">
        <f t="shared" si="45"/>
        <v/>
      </c>
    </row>
    <row r="408" spans="1:19" x14ac:dyDescent="0.55000000000000004">
      <c r="A408">
        <v>103</v>
      </c>
      <c r="B408" s="2">
        <v>45604.486111053244</v>
      </c>
      <c r="C408" t="s">
        <v>215</v>
      </c>
      <c r="D408">
        <v>2</v>
      </c>
      <c r="E408" t="s">
        <v>44</v>
      </c>
      <c r="F408" t="str">
        <f t="shared" si="40"/>
        <v>Gobiomorphus cotidianus</v>
      </c>
      <c r="G408" t="str">
        <f t="shared" si="41"/>
        <v>Common_bully</v>
      </c>
      <c r="H408" t="str">
        <f t="shared" si="42"/>
        <v>Toitoi</v>
      </c>
      <c r="I408" t="str">
        <f t="shared" si="43"/>
        <v>Native</v>
      </c>
      <c r="J408" t="str">
        <f t="shared" si="44"/>
        <v>No</v>
      </c>
      <c r="L408">
        <v>70</v>
      </c>
      <c r="M408">
        <f t="shared" si="47"/>
        <v>2.8571428571428572</v>
      </c>
      <c r="N408">
        <v>1</v>
      </c>
      <c r="S408" t="str">
        <f t="shared" si="45"/>
        <v/>
      </c>
    </row>
    <row r="409" spans="1:19" x14ac:dyDescent="0.55000000000000004">
      <c r="A409">
        <v>103</v>
      </c>
      <c r="B409" s="2">
        <v>45604.486111053244</v>
      </c>
      <c r="C409" t="s">
        <v>215</v>
      </c>
      <c r="D409">
        <v>2</v>
      </c>
      <c r="E409" t="s">
        <v>44</v>
      </c>
      <c r="F409" t="str">
        <f t="shared" si="40"/>
        <v>Gobiomorphus cotidianus</v>
      </c>
      <c r="G409" t="str">
        <f t="shared" si="41"/>
        <v>Common_bully</v>
      </c>
      <c r="H409" t="str">
        <f t="shared" si="42"/>
        <v>Toitoi</v>
      </c>
      <c r="I409" t="str">
        <f t="shared" si="43"/>
        <v>Native</v>
      </c>
      <c r="J409" t="str">
        <f t="shared" si="44"/>
        <v>No</v>
      </c>
      <c r="L409">
        <v>65</v>
      </c>
      <c r="M409">
        <f t="shared" si="47"/>
        <v>2.8571428571428572</v>
      </c>
      <c r="N409">
        <v>1</v>
      </c>
      <c r="S409" t="str">
        <f t="shared" si="45"/>
        <v/>
      </c>
    </row>
    <row r="410" spans="1:19" x14ac:dyDescent="0.55000000000000004">
      <c r="A410">
        <v>103</v>
      </c>
      <c r="B410" s="2">
        <v>45604.486111053244</v>
      </c>
      <c r="C410" t="s">
        <v>215</v>
      </c>
      <c r="D410">
        <v>2</v>
      </c>
      <c r="E410" t="s">
        <v>44</v>
      </c>
      <c r="F410" t="str">
        <f t="shared" si="40"/>
        <v>Gobiomorphus cotidianus</v>
      </c>
      <c r="G410" t="str">
        <f t="shared" si="41"/>
        <v>Common_bully</v>
      </c>
      <c r="H410" t="str">
        <f t="shared" si="42"/>
        <v>Toitoi</v>
      </c>
      <c r="I410" t="str">
        <f t="shared" si="43"/>
        <v>Native</v>
      </c>
      <c r="J410" t="str">
        <f t="shared" si="44"/>
        <v>No</v>
      </c>
      <c r="L410">
        <v>64</v>
      </c>
      <c r="M410">
        <f t="shared" si="47"/>
        <v>2.8571428571428572</v>
      </c>
      <c r="N410">
        <v>1</v>
      </c>
      <c r="S410" t="str">
        <f t="shared" si="45"/>
        <v/>
      </c>
    </row>
    <row r="411" spans="1:19" x14ac:dyDescent="0.55000000000000004">
      <c r="A411">
        <v>103</v>
      </c>
      <c r="B411" s="2">
        <v>45604.486111053244</v>
      </c>
      <c r="C411" t="s">
        <v>215</v>
      </c>
      <c r="D411">
        <v>2</v>
      </c>
      <c r="E411" t="s">
        <v>44</v>
      </c>
      <c r="F411" t="str">
        <f t="shared" si="40"/>
        <v>Gobiomorphus cotidianus</v>
      </c>
      <c r="G411" t="str">
        <f t="shared" si="41"/>
        <v>Common_bully</v>
      </c>
      <c r="H411" t="str">
        <f t="shared" si="42"/>
        <v>Toitoi</v>
      </c>
      <c r="I411" t="str">
        <f t="shared" si="43"/>
        <v>Native</v>
      </c>
      <c r="J411" t="str">
        <f t="shared" si="44"/>
        <v>No</v>
      </c>
      <c r="L411">
        <v>59</v>
      </c>
      <c r="M411">
        <f t="shared" si="47"/>
        <v>2.8571428571428572</v>
      </c>
      <c r="N411">
        <v>1</v>
      </c>
      <c r="S411" t="str">
        <f t="shared" si="45"/>
        <v/>
      </c>
    </row>
    <row r="412" spans="1:19" x14ac:dyDescent="0.55000000000000004">
      <c r="A412">
        <v>103</v>
      </c>
      <c r="B412" s="2">
        <v>45604.486111053244</v>
      </c>
      <c r="C412" t="s">
        <v>215</v>
      </c>
      <c r="D412">
        <v>2</v>
      </c>
      <c r="E412" t="s">
        <v>44</v>
      </c>
      <c r="F412" t="str">
        <f t="shared" si="40"/>
        <v>Gobiomorphus cotidianus</v>
      </c>
      <c r="G412" t="str">
        <f t="shared" si="41"/>
        <v>Common_bully</v>
      </c>
      <c r="H412" t="str">
        <f t="shared" si="42"/>
        <v>Toitoi</v>
      </c>
      <c r="I412" t="str">
        <f t="shared" si="43"/>
        <v>Native</v>
      </c>
      <c r="J412" t="str">
        <f t="shared" si="44"/>
        <v>No</v>
      </c>
      <c r="L412">
        <v>71</v>
      </c>
      <c r="M412">
        <f t="shared" si="47"/>
        <v>2.8571428571428572</v>
      </c>
      <c r="N412">
        <v>1</v>
      </c>
      <c r="S412" t="str">
        <f t="shared" si="45"/>
        <v/>
      </c>
    </row>
    <row r="413" spans="1:19" x14ac:dyDescent="0.55000000000000004">
      <c r="A413">
        <v>103</v>
      </c>
      <c r="B413" s="2">
        <v>45604.486111053244</v>
      </c>
      <c r="C413" t="s">
        <v>215</v>
      </c>
      <c r="D413">
        <v>2</v>
      </c>
      <c r="E413" t="s">
        <v>44</v>
      </c>
      <c r="F413" t="str">
        <f t="shared" si="40"/>
        <v>Gobiomorphus cotidianus</v>
      </c>
      <c r="G413" t="str">
        <f t="shared" si="41"/>
        <v>Common_bully</v>
      </c>
      <c r="H413" t="str">
        <f t="shared" si="42"/>
        <v>Toitoi</v>
      </c>
      <c r="I413" t="str">
        <f t="shared" si="43"/>
        <v>Native</v>
      </c>
      <c r="J413" t="str">
        <f t="shared" si="44"/>
        <v>No</v>
      </c>
      <c r="L413">
        <v>32</v>
      </c>
      <c r="M413">
        <f t="shared" si="47"/>
        <v>2.8571428571428572</v>
      </c>
      <c r="N413">
        <v>1</v>
      </c>
      <c r="S413" t="str">
        <f t="shared" si="45"/>
        <v/>
      </c>
    </row>
    <row r="414" spans="1:19" x14ac:dyDescent="0.55000000000000004">
      <c r="A414">
        <v>103</v>
      </c>
      <c r="B414" s="2">
        <v>45604.486111053244</v>
      </c>
      <c r="C414" t="s">
        <v>215</v>
      </c>
      <c r="D414">
        <v>2</v>
      </c>
      <c r="E414" t="s">
        <v>44</v>
      </c>
      <c r="F414" t="str">
        <f t="shared" si="40"/>
        <v>Gobiomorphus cotidianus</v>
      </c>
      <c r="G414" t="str">
        <f t="shared" si="41"/>
        <v>Common_bully</v>
      </c>
      <c r="H414" t="str">
        <f t="shared" si="42"/>
        <v>Toitoi</v>
      </c>
      <c r="I414" t="str">
        <f t="shared" si="43"/>
        <v>Native</v>
      </c>
      <c r="J414" t="str">
        <f t="shared" si="44"/>
        <v>No</v>
      </c>
      <c r="L414">
        <v>54</v>
      </c>
      <c r="M414">
        <f t="shared" si="47"/>
        <v>2.8571428571428572</v>
      </c>
      <c r="N414">
        <v>1</v>
      </c>
      <c r="S414" t="str">
        <f t="shared" si="45"/>
        <v/>
      </c>
    </row>
    <row r="415" spans="1:19" x14ac:dyDescent="0.55000000000000004">
      <c r="A415">
        <v>103</v>
      </c>
      <c r="B415" s="2">
        <v>45604.486111053244</v>
      </c>
      <c r="C415" t="s">
        <v>215</v>
      </c>
      <c r="D415">
        <v>2</v>
      </c>
      <c r="E415" t="s">
        <v>44</v>
      </c>
      <c r="F415" t="str">
        <f t="shared" si="40"/>
        <v>Gobiomorphus cotidianus</v>
      </c>
      <c r="G415" t="str">
        <f t="shared" si="41"/>
        <v>Common_bully</v>
      </c>
      <c r="H415" t="str">
        <f t="shared" si="42"/>
        <v>Toitoi</v>
      </c>
      <c r="I415" t="str">
        <f t="shared" si="43"/>
        <v>Native</v>
      </c>
      <c r="J415" t="str">
        <f t="shared" si="44"/>
        <v>No</v>
      </c>
      <c r="L415">
        <v>59</v>
      </c>
      <c r="M415">
        <f t="shared" si="47"/>
        <v>2.8571428571428572</v>
      </c>
      <c r="N415">
        <v>1</v>
      </c>
      <c r="S415" t="str">
        <f t="shared" si="45"/>
        <v/>
      </c>
    </row>
    <row r="416" spans="1:19" x14ac:dyDescent="0.55000000000000004">
      <c r="A416">
        <v>103</v>
      </c>
      <c r="B416" s="2">
        <v>45604.486111053244</v>
      </c>
      <c r="C416" t="s">
        <v>215</v>
      </c>
      <c r="D416">
        <v>2</v>
      </c>
      <c r="E416" t="s">
        <v>44</v>
      </c>
      <c r="F416" t="str">
        <f t="shared" si="40"/>
        <v>Gobiomorphus cotidianus</v>
      </c>
      <c r="G416" t="str">
        <f t="shared" si="41"/>
        <v>Common_bully</v>
      </c>
      <c r="H416" t="str">
        <f t="shared" si="42"/>
        <v>Toitoi</v>
      </c>
      <c r="I416" t="str">
        <f t="shared" si="43"/>
        <v>Native</v>
      </c>
      <c r="J416" t="str">
        <f t="shared" si="44"/>
        <v>No</v>
      </c>
      <c r="L416">
        <v>56</v>
      </c>
      <c r="M416">
        <f t="shared" si="47"/>
        <v>2.8571428571428572</v>
      </c>
      <c r="N416">
        <v>1</v>
      </c>
      <c r="S416" t="str">
        <f t="shared" si="45"/>
        <v/>
      </c>
    </row>
    <row r="417" spans="1:19" x14ac:dyDescent="0.55000000000000004">
      <c r="A417">
        <v>103</v>
      </c>
      <c r="B417" s="2">
        <v>45604.486111053244</v>
      </c>
      <c r="C417" t="s">
        <v>215</v>
      </c>
      <c r="D417">
        <v>2</v>
      </c>
      <c r="E417" t="s">
        <v>44</v>
      </c>
      <c r="F417" t="str">
        <f t="shared" si="40"/>
        <v>Gobiomorphus cotidianus</v>
      </c>
      <c r="G417" t="str">
        <f t="shared" si="41"/>
        <v>Common_bully</v>
      </c>
      <c r="H417" t="str">
        <f t="shared" si="42"/>
        <v>Toitoi</v>
      </c>
      <c r="I417" t="str">
        <f t="shared" si="43"/>
        <v>Native</v>
      </c>
      <c r="J417" t="str">
        <f t="shared" si="44"/>
        <v>No</v>
      </c>
      <c r="L417">
        <v>48</v>
      </c>
      <c r="M417">
        <f t="shared" si="47"/>
        <v>2.8571428571428572</v>
      </c>
      <c r="N417">
        <v>1</v>
      </c>
      <c r="S417" t="str">
        <f t="shared" si="45"/>
        <v/>
      </c>
    </row>
    <row r="418" spans="1:19" x14ac:dyDescent="0.55000000000000004">
      <c r="A418">
        <v>103</v>
      </c>
      <c r="B418" s="2">
        <v>45604.486111053244</v>
      </c>
      <c r="C418" t="s">
        <v>215</v>
      </c>
      <c r="D418">
        <v>2</v>
      </c>
      <c r="E418" t="s">
        <v>44</v>
      </c>
      <c r="F418" t="str">
        <f t="shared" si="40"/>
        <v>Gobiomorphus cotidianus</v>
      </c>
      <c r="G418" t="str">
        <f t="shared" si="41"/>
        <v>Common_bully</v>
      </c>
      <c r="H418" t="str">
        <f t="shared" si="42"/>
        <v>Toitoi</v>
      </c>
      <c r="I418" t="str">
        <f t="shared" si="43"/>
        <v>Native</v>
      </c>
      <c r="J418" t="str">
        <f t="shared" si="44"/>
        <v>No</v>
      </c>
      <c r="L418">
        <v>65</v>
      </c>
      <c r="M418">
        <f t="shared" si="47"/>
        <v>2.8571428571428572</v>
      </c>
      <c r="N418">
        <v>1</v>
      </c>
      <c r="S418" t="str">
        <f t="shared" si="45"/>
        <v/>
      </c>
    </row>
    <row r="419" spans="1:19" x14ac:dyDescent="0.55000000000000004">
      <c r="A419">
        <v>103</v>
      </c>
      <c r="B419" s="2">
        <v>45604.486111053244</v>
      </c>
      <c r="C419" t="s">
        <v>215</v>
      </c>
      <c r="D419">
        <v>2</v>
      </c>
      <c r="E419" t="s">
        <v>44</v>
      </c>
      <c r="F419" t="str">
        <f t="shared" si="40"/>
        <v>Gobiomorphus cotidianus</v>
      </c>
      <c r="G419" t="str">
        <f t="shared" si="41"/>
        <v>Common_bully</v>
      </c>
      <c r="H419" t="str">
        <f t="shared" si="42"/>
        <v>Toitoi</v>
      </c>
      <c r="I419" t="str">
        <f t="shared" si="43"/>
        <v>Native</v>
      </c>
      <c r="J419" t="str">
        <f t="shared" si="44"/>
        <v>No</v>
      </c>
      <c r="L419">
        <v>30</v>
      </c>
      <c r="M419">
        <f t="shared" si="47"/>
        <v>2.8571428571428572</v>
      </c>
      <c r="N419">
        <v>1</v>
      </c>
      <c r="S419" t="str">
        <f t="shared" si="45"/>
        <v/>
      </c>
    </row>
    <row r="420" spans="1:19" x14ac:dyDescent="0.55000000000000004">
      <c r="A420">
        <v>103</v>
      </c>
      <c r="B420" s="2">
        <v>45604.486111053244</v>
      </c>
      <c r="C420" t="s">
        <v>215</v>
      </c>
      <c r="D420">
        <v>2</v>
      </c>
      <c r="E420" t="s">
        <v>44</v>
      </c>
      <c r="F420" t="str">
        <f t="shared" si="40"/>
        <v>Gobiomorphus cotidianus</v>
      </c>
      <c r="G420" t="str">
        <f t="shared" si="41"/>
        <v>Common_bully</v>
      </c>
      <c r="H420" t="str">
        <f t="shared" si="42"/>
        <v>Toitoi</v>
      </c>
      <c r="I420" t="str">
        <f t="shared" si="43"/>
        <v>Native</v>
      </c>
      <c r="J420" t="str">
        <f t="shared" si="44"/>
        <v>No</v>
      </c>
      <c r="L420">
        <v>55</v>
      </c>
      <c r="M420">
        <f t="shared" si="47"/>
        <v>2.8571428571428572</v>
      </c>
      <c r="N420">
        <v>1</v>
      </c>
      <c r="S420" t="str">
        <f t="shared" si="45"/>
        <v/>
      </c>
    </row>
    <row r="421" spans="1:19" x14ac:dyDescent="0.55000000000000004">
      <c r="A421">
        <v>103</v>
      </c>
      <c r="B421" s="2">
        <v>45604.486111053244</v>
      </c>
      <c r="C421" t="s">
        <v>215</v>
      </c>
      <c r="D421">
        <v>2</v>
      </c>
      <c r="E421" t="s">
        <v>44</v>
      </c>
      <c r="F421" t="str">
        <f t="shared" si="40"/>
        <v>Gobiomorphus cotidianus</v>
      </c>
      <c r="G421" t="str">
        <f t="shared" si="41"/>
        <v>Common_bully</v>
      </c>
      <c r="H421" t="str">
        <f t="shared" si="42"/>
        <v>Toitoi</v>
      </c>
      <c r="I421" t="str">
        <f t="shared" si="43"/>
        <v>Native</v>
      </c>
      <c r="J421" t="str">
        <f t="shared" si="44"/>
        <v>No</v>
      </c>
      <c r="L421">
        <v>56</v>
      </c>
      <c r="M421">
        <f t="shared" si="47"/>
        <v>2.8571428571428572</v>
      </c>
      <c r="N421">
        <v>1</v>
      </c>
      <c r="S421" t="str">
        <f t="shared" si="45"/>
        <v/>
      </c>
    </row>
    <row r="422" spans="1:19" x14ac:dyDescent="0.55000000000000004">
      <c r="A422">
        <v>103</v>
      </c>
      <c r="B422" s="2">
        <v>45604.486111053244</v>
      </c>
      <c r="C422" t="s">
        <v>215</v>
      </c>
      <c r="D422">
        <v>2</v>
      </c>
      <c r="E422" t="s">
        <v>44</v>
      </c>
      <c r="F422" t="str">
        <f t="shared" si="40"/>
        <v>Gobiomorphus cotidianus</v>
      </c>
      <c r="G422" t="str">
        <f t="shared" si="41"/>
        <v>Common_bully</v>
      </c>
      <c r="H422" t="str">
        <f t="shared" si="42"/>
        <v>Toitoi</v>
      </c>
      <c r="I422" t="str">
        <f t="shared" si="43"/>
        <v>Native</v>
      </c>
      <c r="J422" t="str">
        <f t="shared" si="44"/>
        <v>No</v>
      </c>
      <c r="L422">
        <v>58</v>
      </c>
      <c r="M422">
        <f t="shared" si="47"/>
        <v>2.8571428571428572</v>
      </c>
      <c r="N422">
        <v>1</v>
      </c>
      <c r="S422" t="str">
        <f t="shared" si="45"/>
        <v/>
      </c>
    </row>
    <row r="423" spans="1:19" x14ac:dyDescent="0.55000000000000004">
      <c r="A423">
        <v>103</v>
      </c>
      <c r="B423" s="2">
        <v>45604.486111053244</v>
      </c>
      <c r="C423" t="s">
        <v>215</v>
      </c>
      <c r="D423">
        <v>2</v>
      </c>
      <c r="E423" t="s">
        <v>44</v>
      </c>
      <c r="F423" t="str">
        <f t="shared" si="40"/>
        <v>Gobiomorphus cotidianus</v>
      </c>
      <c r="G423" t="str">
        <f t="shared" si="41"/>
        <v>Common_bully</v>
      </c>
      <c r="H423" t="str">
        <f t="shared" si="42"/>
        <v>Toitoi</v>
      </c>
      <c r="I423" t="str">
        <f t="shared" si="43"/>
        <v>Native</v>
      </c>
      <c r="J423" t="str">
        <f t="shared" si="44"/>
        <v>No</v>
      </c>
      <c r="L423">
        <v>66</v>
      </c>
      <c r="M423">
        <f t="shared" si="47"/>
        <v>2.8571428571428572</v>
      </c>
      <c r="N423">
        <v>1</v>
      </c>
      <c r="S423" t="str">
        <f t="shared" si="45"/>
        <v/>
      </c>
    </row>
    <row r="424" spans="1:19" x14ac:dyDescent="0.55000000000000004">
      <c r="A424">
        <v>103</v>
      </c>
      <c r="B424" s="2">
        <v>45604.486111053244</v>
      </c>
      <c r="C424" t="s">
        <v>215</v>
      </c>
      <c r="D424">
        <v>2</v>
      </c>
      <c r="E424" t="s">
        <v>44</v>
      </c>
      <c r="F424" t="str">
        <f t="shared" si="40"/>
        <v>Gobiomorphus cotidianus</v>
      </c>
      <c r="G424" t="str">
        <f t="shared" si="41"/>
        <v>Common_bully</v>
      </c>
      <c r="H424" t="str">
        <f t="shared" si="42"/>
        <v>Toitoi</v>
      </c>
      <c r="I424" t="str">
        <f t="shared" si="43"/>
        <v>Native</v>
      </c>
      <c r="J424" t="str">
        <f t="shared" si="44"/>
        <v>No</v>
      </c>
      <c r="L424">
        <v>39</v>
      </c>
      <c r="M424">
        <f>60/21</f>
        <v>2.8571428571428572</v>
      </c>
      <c r="N424">
        <v>1</v>
      </c>
      <c r="S424" t="str">
        <f t="shared" si="45"/>
        <v/>
      </c>
    </row>
    <row r="425" spans="1:19" x14ac:dyDescent="0.55000000000000004">
      <c r="A425">
        <v>103</v>
      </c>
      <c r="B425" s="2">
        <v>45604.486111053244</v>
      </c>
      <c r="C425" t="s">
        <v>215</v>
      </c>
      <c r="D425">
        <v>2</v>
      </c>
      <c r="E425" t="s">
        <v>44</v>
      </c>
      <c r="F425" t="str">
        <f t="shared" si="40"/>
        <v>Gobiomorphus cotidianus</v>
      </c>
      <c r="G425" t="str">
        <f t="shared" si="41"/>
        <v>Common_bully</v>
      </c>
      <c r="H425" t="str">
        <f t="shared" si="42"/>
        <v>Toitoi</v>
      </c>
      <c r="I425" t="str">
        <f t="shared" si="43"/>
        <v>Native</v>
      </c>
      <c r="J425" t="str">
        <f t="shared" si="44"/>
        <v>No</v>
      </c>
      <c r="M425">
        <v>248</v>
      </c>
      <c r="R425">
        <v>1.3</v>
      </c>
      <c r="S425">
        <f t="shared" si="45"/>
        <v>307.56439999999998</v>
      </c>
    </row>
    <row r="426" spans="1:19" x14ac:dyDescent="0.55000000000000004">
      <c r="A426">
        <v>104</v>
      </c>
      <c r="B426" s="2">
        <v>45604.416666666664</v>
      </c>
      <c r="C426" t="s">
        <v>216</v>
      </c>
      <c r="D426">
        <v>2</v>
      </c>
      <c r="E426" t="s">
        <v>44</v>
      </c>
      <c r="F426" t="str">
        <f t="shared" si="40"/>
        <v>Gobiomorphus cotidianus</v>
      </c>
      <c r="G426" t="str">
        <f t="shared" si="41"/>
        <v>Common_bully</v>
      </c>
      <c r="H426" t="str">
        <f t="shared" si="42"/>
        <v>Toitoi</v>
      </c>
      <c r="I426" t="str">
        <f t="shared" si="43"/>
        <v>Native</v>
      </c>
      <c r="J426" t="str">
        <f t="shared" si="44"/>
        <v>No</v>
      </c>
      <c r="L426">
        <v>45</v>
      </c>
      <c r="M426">
        <f t="shared" ref="M426:M444" si="48">28/20</f>
        <v>1.4</v>
      </c>
      <c r="N426">
        <v>1</v>
      </c>
      <c r="S426" t="str">
        <f t="shared" si="45"/>
        <v/>
      </c>
    </row>
    <row r="427" spans="1:19" x14ac:dyDescent="0.55000000000000004">
      <c r="A427">
        <v>104</v>
      </c>
      <c r="B427" s="2">
        <v>45604.416666666664</v>
      </c>
      <c r="C427" t="s">
        <v>216</v>
      </c>
      <c r="D427">
        <v>2</v>
      </c>
      <c r="E427" t="s">
        <v>44</v>
      </c>
      <c r="F427" t="str">
        <f t="shared" si="40"/>
        <v>Gobiomorphus cotidianus</v>
      </c>
      <c r="G427" t="str">
        <f t="shared" si="41"/>
        <v>Common_bully</v>
      </c>
      <c r="H427" t="str">
        <f t="shared" si="42"/>
        <v>Toitoi</v>
      </c>
      <c r="I427" t="str">
        <f t="shared" si="43"/>
        <v>Native</v>
      </c>
      <c r="J427" t="str">
        <f t="shared" si="44"/>
        <v>No</v>
      </c>
      <c r="L427">
        <v>59</v>
      </c>
      <c r="M427">
        <f t="shared" si="48"/>
        <v>1.4</v>
      </c>
      <c r="N427">
        <v>1</v>
      </c>
      <c r="S427" t="str">
        <f t="shared" si="45"/>
        <v/>
      </c>
    </row>
    <row r="428" spans="1:19" x14ac:dyDescent="0.55000000000000004">
      <c r="A428">
        <v>104</v>
      </c>
      <c r="B428" s="2">
        <v>45604.416666608799</v>
      </c>
      <c r="C428" t="s">
        <v>216</v>
      </c>
      <c r="D428">
        <v>2</v>
      </c>
      <c r="E428" t="s">
        <v>44</v>
      </c>
      <c r="F428" t="str">
        <f t="shared" si="40"/>
        <v>Gobiomorphus cotidianus</v>
      </c>
      <c r="G428" t="str">
        <f t="shared" si="41"/>
        <v>Common_bully</v>
      </c>
      <c r="H428" t="str">
        <f t="shared" si="42"/>
        <v>Toitoi</v>
      </c>
      <c r="I428" t="str">
        <f t="shared" si="43"/>
        <v>Native</v>
      </c>
      <c r="J428" t="str">
        <f t="shared" si="44"/>
        <v>No</v>
      </c>
      <c r="L428">
        <v>46</v>
      </c>
      <c r="M428">
        <f t="shared" si="48"/>
        <v>1.4</v>
      </c>
      <c r="N428">
        <v>1</v>
      </c>
      <c r="S428" t="str">
        <f t="shared" si="45"/>
        <v/>
      </c>
    </row>
    <row r="429" spans="1:19" x14ac:dyDescent="0.55000000000000004">
      <c r="A429">
        <v>104</v>
      </c>
      <c r="B429" s="2">
        <v>45604.416666608799</v>
      </c>
      <c r="C429" t="s">
        <v>216</v>
      </c>
      <c r="D429">
        <v>2</v>
      </c>
      <c r="E429" t="s">
        <v>44</v>
      </c>
      <c r="F429" t="str">
        <f t="shared" si="40"/>
        <v>Gobiomorphus cotidianus</v>
      </c>
      <c r="G429" t="str">
        <f t="shared" si="41"/>
        <v>Common_bully</v>
      </c>
      <c r="H429" t="str">
        <f t="shared" si="42"/>
        <v>Toitoi</v>
      </c>
      <c r="I429" t="str">
        <f t="shared" si="43"/>
        <v>Native</v>
      </c>
      <c r="J429" t="str">
        <f t="shared" si="44"/>
        <v>No</v>
      </c>
      <c r="L429">
        <v>56</v>
      </c>
      <c r="M429">
        <f t="shared" si="48"/>
        <v>1.4</v>
      </c>
      <c r="N429">
        <v>1</v>
      </c>
      <c r="S429" t="str">
        <f t="shared" si="45"/>
        <v/>
      </c>
    </row>
    <row r="430" spans="1:19" x14ac:dyDescent="0.55000000000000004">
      <c r="A430">
        <v>104</v>
      </c>
      <c r="B430" s="2">
        <v>45604.416666608799</v>
      </c>
      <c r="C430" t="s">
        <v>216</v>
      </c>
      <c r="D430">
        <v>2</v>
      </c>
      <c r="E430" t="s">
        <v>44</v>
      </c>
      <c r="F430" t="str">
        <f t="shared" si="40"/>
        <v>Gobiomorphus cotidianus</v>
      </c>
      <c r="G430" t="str">
        <f t="shared" si="41"/>
        <v>Common_bully</v>
      </c>
      <c r="H430" t="str">
        <f t="shared" si="42"/>
        <v>Toitoi</v>
      </c>
      <c r="I430" t="str">
        <f t="shared" si="43"/>
        <v>Native</v>
      </c>
      <c r="J430" t="str">
        <f t="shared" si="44"/>
        <v>No</v>
      </c>
      <c r="L430">
        <v>32</v>
      </c>
      <c r="M430">
        <f t="shared" si="48"/>
        <v>1.4</v>
      </c>
      <c r="N430">
        <v>1</v>
      </c>
      <c r="S430" t="str">
        <f t="shared" si="45"/>
        <v/>
      </c>
    </row>
    <row r="431" spans="1:19" x14ac:dyDescent="0.55000000000000004">
      <c r="A431">
        <v>104</v>
      </c>
      <c r="B431" s="2">
        <v>45604.416666608799</v>
      </c>
      <c r="C431" t="s">
        <v>216</v>
      </c>
      <c r="D431">
        <v>2</v>
      </c>
      <c r="E431" t="s">
        <v>44</v>
      </c>
      <c r="F431" t="str">
        <f t="shared" si="40"/>
        <v>Gobiomorphus cotidianus</v>
      </c>
      <c r="G431" t="str">
        <f t="shared" si="41"/>
        <v>Common_bully</v>
      </c>
      <c r="H431" t="str">
        <f t="shared" si="42"/>
        <v>Toitoi</v>
      </c>
      <c r="I431" t="str">
        <f t="shared" si="43"/>
        <v>Native</v>
      </c>
      <c r="J431" t="str">
        <f t="shared" si="44"/>
        <v>No</v>
      </c>
      <c r="L431">
        <v>45</v>
      </c>
      <c r="M431">
        <f t="shared" si="48"/>
        <v>1.4</v>
      </c>
      <c r="N431">
        <v>1</v>
      </c>
      <c r="S431" t="str">
        <f t="shared" si="45"/>
        <v/>
      </c>
    </row>
    <row r="432" spans="1:19" x14ac:dyDescent="0.55000000000000004">
      <c r="A432">
        <v>104</v>
      </c>
      <c r="B432" s="2">
        <v>45604.416666608799</v>
      </c>
      <c r="C432" t="s">
        <v>216</v>
      </c>
      <c r="D432">
        <v>2</v>
      </c>
      <c r="E432" t="s">
        <v>44</v>
      </c>
      <c r="F432" t="str">
        <f t="shared" si="40"/>
        <v>Gobiomorphus cotidianus</v>
      </c>
      <c r="G432" t="str">
        <f t="shared" si="41"/>
        <v>Common_bully</v>
      </c>
      <c r="H432" t="str">
        <f t="shared" si="42"/>
        <v>Toitoi</v>
      </c>
      <c r="I432" t="str">
        <f t="shared" si="43"/>
        <v>Native</v>
      </c>
      <c r="J432" t="str">
        <f t="shared" si="44"/>
        <v>No</v>
      </c>
      <c r="L432">
        <v>44</v>
      </c>
      <c r="M432">
        <f t="shared" si="48"/>
        <v>1.4</v>
      </c>
      <c r="N432">
        <v>1</v>
      </c>
      <c r="S432" t="str">
        <f t="shared" si="45"/>
        <v/>
      </c>
    </row>
    <row r="433" spans="1:19" x14ac:dyDescent="0.55000000000000004">
      <c r="A433">
        <v>104</v>
      </c>
      <c r="B433" s="2">
        <v>45604.416666608799</v>
      </c>
      <c r="C433" t="s">
        <v>216</v>
      </c>
      <c r="D433">
        <v>2</v>
      </c>
      <c r="E433" t="s">
        <v>44</v>
      </c>
      <c r="F433" t="str">
        <f t="shared" si="40"/>
        <v>Gobiomorphus cotidianus</v>
      </c>
      <c r="G433" t="str">
        <f t="shared" si="41"/>
        <v>Common_bully</v>
      </c>
      <c r="H433" t="str">
        <f t="shared" si="42"/>
        <v>Toitoi</v>
      </c>
      <c r="I433" t="str">
        <f t="shared" si="43"/>
        <v>Native</v>
      </c>
      <c r="J433" t="str">
        <f t="shared" si="44"/>
        <v>No</v>
      </c>
      <c r="L433">
        <v>42</v>
      </c>
      <c r="M433">
        <f t="shared" si="48"/>
        <v>1.4</v>
      </c>
      <c r="N433">
        <v>1</v>
      </c>
      <c r="S433" t="str">
        <f t="shared" si="45"/>
        <v/>
      </c>
    </row>
    <row r="434" spans="1:19" x14ac:dyDescent="0.55000000000000004">
      <c r="A434">
        <v>104</v>
      </c>
      <c r="B434" s="2">
        <v>45604.416666608799</v>
      </c>
      <c r="C434" t="s">
        <v>216</v>
      </c>
      <c r="D434">
        <v>2</v>
      </c>
      <c r="E434" t="s">
        <v>44</v>
      </c>
      <c r="F434" t="str">
        <f t="shared" si="40"/>
        <v>Gobiomorphus cotidianus</v>
      </c>
      <c r="G434" t="str">
        <f t="shared" si="41"/>
        <v>Common_bully</v>
      </c>
      <c r="H434" t="str">
        <f t="shared" si="42"/>
        <v>Toitoi</v>
      </c>
      <c r="I434" t="str">
        <f t="shared" si="43"/>
        <v>Native</v>
      </c>
      <c r="J434" t="str">
        <f t="shared" si="44"/>
        <v>No</v>
      </c>
      <c r="L434">
        <v>53</v>
      </c>
      <c r="M434">
        <f t="shared" si="48"/>
        <v>1.4</v>
      </c>
      <c r="N434">
        <v>1</v>
      </c>
      <c r="S434" t="str">
        <f t="shared" si="45"/>
        <v/>
      </c>
    </row>
    <row r="435" spans="1:19" x14ac:dyDescent="0.55000000000000004">
      <c r="A435">
        <v>104</v>
      </c>
      <c r="B435" s="2">
        <v>45604.416666608799</v>
      </c>
      <c r="C435" t="s">
        <v>216</v>
      </c>
      <c r="D435">
        <v>2</v>
      </c>
      <c r="E435" t="s">
        <v>44</v>
      </c>
      <c r="F435" t="str">
        <f t="shared" si="40"/>
        <v>Gobiomorphus cotidianus</v>
      </c>
      <c r="G435" t="str">
        <f t="shared" si="41"/>
        <v>Common_bully</v>
      </c>
      <c r="H435" t="str">
        <f t="shared" si="42"/>
        <v>Toitoi</v>
      </c>
      <c r="I435" t="str">
        <f t="shared" si="43"/>
        <v>Native</v>
      </c>
      <c r="J435" t="str">
        <f t="shared" si="44"/>
        <v>No</v>
      </c>
      <c r="L435">
        <v>50</v>
      </c>
      <c r="M435">
        <f t="shared" si="48"/>
        <v>1.4</v>
      </c>
      <c r="N435">
        <v>1</v>
      </c>
      <c r="S435" t="str">
        <f t="shared" si="45"/>
        <v/>
      </c>
    </row>
    <row r="436" spans="1:19" x14ac:dyDescent="0.55000000000000004">
      <c r="A436">
        <v>104</v>
      </c>
      <c r="B436" s="2">
        <v>45604.416666608799</v>
      </c>
      <c r="C436" t="s">
        <v>216</v>
      </c>
      <c r="D436">
        <v>2</v>
      </c>
      <c r="E436" t="s">
        <v>44</v>
      </c>
      <c r="F436" t="str">
        <f t="shared" si="40"/>
        <v>Gobiomorphus cotidianus</v>
      </c>
      <c r="G436" t="str">
        <f t="shared" si="41"/>
        <v>Common_bully</v>
      </c>
      <c r="H436" t="str">
        <f t="shared" si="42"/>
        <v>Toitoi</v>
      </c>
      <c r="I436" t="str">
        <f t="shared" si="43"/>
        <v>Native</v>
      </c>
      <c r="J436" t="str">
        <f t="shared" si="44"/>
        <v>No</v>
      </c>
      <c r="L436">
        <v>34</v>
      </c>
      <c r="M436">
        <f t="shared" si="48"/>
        <v>1.4</v>
      </c>
      <c r="N436">
        <v>1</v>
      </c>
      <c r="S436" t="str">
        <f t="shared" si="45"/>
        <v/>
      </c>
    </row>
    <row r="437" spans="1:19" x14ac:dyDescent="0.55000000000000004">
      <c r="A437">
        <v>104</v>
      </c>
      <c r="B437" s="2">
        <v>45604.416666608799</v>
      </c>
      <c r="C437" t="s">
        <v>216</v>
      </c>
      <c r="D437">
        <v>2</v>
      </c>
      <c r="E437" t="s">
        <v>44</v>
      </c>
      <c r="F437" t="str">
        <f t="shared" si="40"/>
        <v>Gobiomorphus cotidianus</v>
      </c>
      <c r="G437" t="str">
        <f t="shared" si="41"/>
        <v>Common_bully</v>
      </c>
      <c r="H437" t="str">
        <f t="shared" si="42"/>
        <v>Toitoi</v>
      </c>
      <c r="I437" t="str">
        <f t="shared" si="43"/>
        <v>Native</v>
      </c>
      <c r="J437" t="str">
        <f t="shared" si="44"/>
        <v>No</v>
      </c>
      <c r="L437">
        <v>60</v>
      </c>
      <c r="M437">
        <f t="shared" si="48"/>
        <v>1.4</v>
      </c>
      <c r="N437">
        <v>1</v>
      </c>
      <c r="S437" t="str">
        <f t="shared" si="45"/>
        <v/>
      </c>
    </row>
    <row r="438" spans="1:19" x14ac:dyDescent="0.55000000000000004">
      <c r="A438">
        <v>104</v>
      </c>
      <c r="B438" s="2">
        <v>45604.416666608799</v>
      </c>
      <c r="C438" t="s">
        <v>216</v>
      </c>
      <c r="D438">
        <v>2</v>
      </c>
      <c r="E438" t="s">
        <v>44</v>
      </c>
      <c r="F438" t="str">
        <f t="shared" si="40"/>
        <v>Gobiomorphus cotidianus</v>
      </c>
      <c r="G438" t="str">
        <f t="shared" si="41"/>
        <v>Common_bully</v>
      </c>
      <c r="H438" t="str">
        <f t="shared" si="42"/>
        <v>Toitoi</v>
      </c>
      <c r="I438" t="str">
        <f t="shared" si="43"/>
        <v>Native</v>
      </c>
      <c r="J438" t="str">
        <f t="shared" si="44"/>
        <v>No</v>
      </c>
      <c r="L438">
        <v>40</v>
      </c>
      <c r="M438">
        <f t="shared" si="48"/>
        <v>1.4</v>
      </c>
      <c r="N438">
        <v>1</v>
      </c>
      <c r="S438" t="str">
        <f t="shared" si="45"/>
        <v/>
      </c>
    </row>
    <row r="439" spans="1:19" x14ac:dyDescent="0.55000000000000004">
      <c r="A439">
        <v>104</v>
      </c>
      <c r="B439" s="2">
        <v>45604.416666608799</v>
      </c>
      <c r="C439" t="s">
        <v>216</v>
      </c>
      <c r="D439">
        <v>2</v>
      </c>
      <c r="E439" t="s">
        <v>44</v>
      </c>
      <c r="F439" t="str">
        <f t="shared" si="40"/>
        <v>Gobiomorphus cotidianus</v>
      </c>
      <c r="G439" t="str">
        <f t="shared" si="41"/>
        <v>Common_bully</v>
      </c>
      <c r="H439" t="str">
        <f t="shared" si="42"/>
        <v>Toitoi</v>
      </c>
      <c r="I439" t="str">
        <f t="shared" si="43"/>
        <v>Native</v>
      </c>
      <c r="J439" t="str">
        <f t="shared" si="44"/>
        <v>No</v>
      </c>
      <c r="L439">
        <v>38</v>
      </c>
      <c r="M439">
        <f t="shared" si="48"/>
        <v>1.4</v>
      </c>
      <c r="N439">
        <v>1</v>
      </c>
      <c r="S439" t="str">
        <f t="shared" si="45"/>
        <v/>
      </c>
    </row>
    <row r="440" spans="1:19" x14ac:dyDescent="0.55000000000000004">
      <c r="A440">
        <v>104</v>
      </c>
      <c r="B440" s="2">
        <v>45604.416666608799</v>
      </c>
      <c r="C440" t="s">
        <v>216</v>
      </c>
      <c r="D440">
        <v>2</v>
      </c>
      <c r="E440" t="s">
        <v>44</v>
      </c>
      <c r="F440" t="str">
        <f t="shared" si="40"/>
        <v>Gobiomorphus cotidianus</v>
      </c>
      <c r="G440" t="str">
        <f t="shared" si="41"/>
        <v>Common_bully</v>
      </c>
      <c r="H440" t="str">
        <f t="shared" si="42"/>
        <v>Toitoi</v>
      </c>
      <c r="I440" t="str">
        <f t="shared" si="43"/>
        <v>Native</v>
      </c>
      <c r="J440" t="str">
        <f t="shared" si="44"/>
        <v>No</v>
      </c>
      <c r="L440">
        <v>30</v>
      </c>
      <c r="M440">
        <f t="shared" si="48"/>
        <v>1.4</v>
      </c>
      <c r="N440">
        <v>1</v>
      </c>
      <c r="S440" t="str">
        <f t="shared" si="45"/>
        <v/>
      </c>
    </row>
    <row r="441" spans="1:19" x14ac:dyDescent="0.55000000000000004">
      <c r="A441">
        <v>104</v>
      </c>
      <c r="B441" s="2">
        <v>45604.416666608799</v>
      </c>
      <c r="C441" t="s">
        <v>216</v>
      </c>
      <c r="D441">
        <v>2</v>
      </c>
      <c r="E441" t="s">
        <v>44</v>
      </c>
      <c r="F441" t="str">
        <f t="shared" si="40"/>
        <v>Gobiomorphus cotidianus</v>
      </c>
      <c r="G441" t="str">
        <f t="shared" si="41"/>
        <v>Common_bully</v>
      </c>
      <c r="H441" t="str">
        <f t="shared" si="42"/>
        <v>Toitoi</v>
      </c>
      <c r="I441" t="str">
        <f t="shared" si="43"/>
        <v>Native</v>
      </c>
      <c r="J441" t="str">
        <f t="shared" si="44"/>
        <v>No</v>
      </c>
      <c r="L441">
        <v>41</v>
      </c>
      <c r="M441">
        <f t="shared" si="48"/>
        <v>1.4</v>
      </c>
      <c r="N441">
        <v>1</v>
      </c>
      <c r="S441" t="str">
        <f t="shared" si="45"/>
        <v/>
      </c>
    </row>
    <row r="442" spans="1:19" x14ac:dyDescent="0.55000000000000004">
      <c r="A442">
        <v>104</v>
      </c>
      <c r="B442" s="2">
        <v>45604.416666608799</v>
      </c>
      <c r="C442" t="s">
        <v>216</v>
      </c>
      <c r="D442">
        <v>2</v>
      </c>
      <c r="E442" t="s">
        <v>44</v>
      </c>
      <c r="F442" t="str">
        <f t="shared" si="40"/>
        <v>Gobiomorphus cotidianus</v>
      </c>
      <c r="G442" t="str">
        <f t="shared" si="41"/>
        <v>Common_bully</v>
      </c>
      <c r="H442" t="str">
        <f t="shared" si="42"/>
        <v>Toitoi</v>
      </c>
      <c r="I442" t="str">
        <f t="shared" si="43"/>
        <v>Native</v>
      </c>
      <c r="J442" t="str">
        <f t="shared" si="44"/>
        <v>No</v>
      </c>
      <c r="L442">
        <v>49</v>
      </c>
      <c r="M442">
        <f t="shared" si="48"/>
        <v>1.4</v>
      </c>
      <c r="N442">
        <v>1</v>
      </c>
      <c r="S442" t="str">
        <f t="shared" si="45"/>
        <v/>
      </c>
    </row>
    <row r="443" spans="1:19" x14ac:dyDescent="0.55000000000000004">
      <c r="A443">
        <v>104</v>
      </c>
      <c r="B443" s="2">
        <v>45604.416666608799</v>
      </c>
      <c r="C443" t="s">
        <v>216</v>
      </c>
      <c r="D443">
        <v>2</v>
      </c>
      <c r="E443" t="s">
        <v>44</v>
      </c>
      <c r="F443" t="str">
        <f t="shared" si="40"/>
        <v>Gobiomorphus cotidianus</v>
      </c>
      <c r="G443" t="str">
        <f t="shared" si="41"/>
        <v>Common_bully</v>
      </c>
      <c r="H443" t="str">
        <f t="shared" si="42"/>
        <v>Toitoi</v>
      </c>
      <c r="I443" t="str">
        <f t="shared" si="43"/>
        <v>Native</v>
      </c>
      <c r="J443" t="str">
        <f t="shared" si="44"/>
        <v>No</v>
      </c>
      <c r="L443">
        <v>49</v>
      </c>
      <c r="M443">
        <f t="shared" si="48"/>
        <v>1.4</v>
      </c>
      <c r="N443">
        <v>1</v>
      </c>
      <c r="S443" t="str">
        <f t="shared" si="45"/>
        <v/>
      </c>
    </row>
    <row r="444" spans="1:19" x14ac:dyDescent="0.55000000000000004">
      <c r="A444">
        <v>104</v>
      </c>
      <c r="B444" s="2">
        <v>45604.416666608799</v>
      </c>
      <c r="C444" t="s">
        <v>216</v>
      </c>
      <c r="D444">
        <v>2</v>
      </c>
      <c r="E444" t="s">
        <v>44</v>
      </c>
      <c r="F444" t="str">
        <f t="shared" si="40"/>
        <v>Gobiomorphus cotidianus</v>
      </c>
      <c r="G444" t="str">
        <f t="shared" si="41"/>
        <v>Common_bully</v>
      </c>
      <c r="H444" t="str">
        <f t="shared" si="42"/>
        <v>Toitoi</v>
      </c>
      <c r="I444" t="str">
        <f t="shared" si="43"/>
        <v>Native</v>
      </c>
      <c r="J444" t="str">
        <f t="shared" si="44"/>
        <v>No</v>
      </c>
      <c r="L444">
        <v>51</v>
      </c>
      <c r="M444">
        <f t="shared" si="48"/>
        <v>1.4</v>
      </c>
      <c r="N444">
        <v>1</v>
      </c>
      <c r="S444" t="str">
        <f t="shared" si="45"/>
        <v/>
      </c>
    </row>
    <row r="445" spans="1:19" x14ac:dyDescent="0.55000000000000004">
      <c r="A445">
        <v>104</v>
      </c>
      <c r="B445" s="2">
        <v>45604.416666608799</v>
      </c>
      <c r="C445" t="s">
        <v>216</v>
      </c>
      <c r="D445">
        <v>2</v>
      </c>
      <c r="E445" t="s">
        <v>44</v>
      </c>
      <c r="F445" t="str">
        <f t="shared" si="40"/>
        <v>Gobiomorphus cotidianus</v>
      </c>
      <c r="G445" t="str">
        <f t="shared" si="41"/>
        <v>Common_bully</v>
      </c>
      <c r="H445" t="str">
        <f t="shared" si="42"/>
        <v>Toitoi</v>
      </c>
      <c r="I445" t="str">
        <f t="shared" si="43"/>
        <v>Native</v>
      </c>
      <c r="J445" t="str">
        <f t="shared" si="44"/>
        <v>No</v>
      </c>
      <c r="L445">
        <v>36</v>
      </c>
      <c r="M445">
        <f>28/20</f>
        <v>1.4</v>
      </c>
      <c r="N445">
        <v>1</v>
      </c>
      <c r="S445" t="str">
        <f t="shared" si="45"/>
        <v/>
      </c>
    </row>
    <row r="446" spans="1:19" x14ac:dyDescent="0.55000000000000004">
      <c r="A446">
        <v>104</v>
      </c>
      <c r="B446" s="2">
        <v>45604.416666608799</v>
      </c>
      <c r="C446" t="s">
        <v>215</v>
      </c>
      <c r="D446">
        <v>2</v>
      </c>
      <c r="E446" t="s">
        <v>238</v>
      </c>
      <c r="F446" t="str">
        <f t="shared" si="40"/>
        <v>Anguilla dieffenbachii</v>
      </c>
      <c r="G446" t="str">
        <f t="shared" si="41"/>
        <v>Long_fin_eel</v>
      </c>
      <c r="H446" t="str">
        <f t="shared" si="42"/>
        <v>Tuna</v>
      </c>
      <c r="I446" t="str">
        <f t="shared" si="43"/>
        <v>Native</v>
      </c>
      <c r="J446" t="str">
        <f t="shared" si="44"/>
        <v>Yes</v>
      </c>
      <c r="L446">
        <v>1200</v>
      </c>
      <c r="N446">
        <v>1</v>
      </c>
      <c r="S446" t="str">
        <f t="shared" si="45"/>
        <v/>
      </c>
    </row>
    <row r="447" spans="1:19" x14ac:dyDescent="0.55000000000000004">
      <c r="A447">
        <v>104</v>
      </c>
      <c r="B447" s="2">
        <v>45604.416666608799</v>
      </c>
      <c r="C447" t="s">
        <v>215</v>
      </c>
      <c r="D447">
        <v>2</v>
      </c>
      <c r="E447" t="s">
        <v>238</v>
      </c>
      <c r="F447" t="str">
        <f t="shared" si="40"/>
        <v>Anguilla dieffenbachii</v>
      </c>
      <c r="G447" t="str">
        <f t="shared" si="41"/>
        <v>Long_fin_eel</v>
      </c>
      <c r="H447" t="str">
        <f t="shared" si="42"/>
        <v>Tuna</v>
      </c>
      <c r="I447" t="str">
        <f t="shared" si="43"/>
        <v>Native</v>
      </c>
      <c r="J447" t="str">
        <f t="shared" si="44"/>
        <v>Yes</v>
      </c>
      <c r="L447">
        <v>1000</v>
      </c>
      <c r="N447">
        <v>1</v>
      </c>
      <c r="S447" t="str">
        <f t="shared" si="45"/>
        <v/>
      </c>
    </row>
    <row r="448" spans="1:19" x14ac:dyDescent="0.55000000000000004">
      <c r="A448">
        <v>104</v>
      </c>
      <c r="B448" s="2">
        <v>45604.416666608799</v>
      </c>
      <c r="C448" t="s">
        <v>215</v>
      </c>
      <c r="D448">
        <v>2</v>
      </c>
      <c r="E448" t="s">
        <v>123</v>
      </c>
      <c r="F448" t="str">
        <f t="shared" si="40"/>
        <v>Carassius auratus</v>
      </c>
      <c r="G448" t="str">
        <f t="shared" si="41"/>
        <v>Goldfish</v>
      </c>
      <c r="H448" t="str">
        <f t="shared" si="42"/>
        <v>Morihana</v>
      </c>
      <c r="I448" t="str">
        <f t="shared" si="43"/>
        <v>Nonnative</v>
      </c>
      <c r="J448" t="str">
        <f t="shared" si="44"/>
        <v>No</v>
      </c>
      <c r="L448">
        <v>143</v>
      </c>
      <c r="M448">
        <v>68</v>
      </c>
      <c r="N448">
        <v>1</v>
      </c>
      <c r="S448" t="str">
        <f t="shared" si="45"/>
        <v/>
      </c>
    </row>
    <row r="449" spans="1:19" x14ac:dyDescent="0.55000000000000004">
      <c r="A449">
        <v>104</v>
      </c>
      <c r="B449" s="2">
        <v>45604.416666608799</v>
      </c>
      <c r="C449" t="s">
        <v>215</v>
      </c>
      <c r="D449">
        <v>2</v>
      </c>
      <c r="E449" t="s">
        <v>123</v>
      </c>
      <c r="F449" t="str">
        <f t="shared" si="40"/>
        <v>Carassius auratus</v>
      </c>
      <c r="G449" t="str">
        <f t="shared" si="41"/>
        <v>Goldfish</v>
      </c>
      <c r="H449" t="str">
        <f t="shared" si="42"/>
        <v>Morihana</v>
      </c>
      <c r="I449" t="str">
        <f t="shared" si="43"/>
        <v>Nonnative</v>
      </c>
      <c r="J449" t="str">
        <f t="shared" si="44"/>
        <v>No</v>
      </c>
      <c r="L449">
        <v>172</v>
      </c>
      <c r="M449">
        <v>121</v>
      </c>
      <c r="N449">
        <v>1</v>
      </c>
      <c r="S449" t="str">
        <f t="shared" si="45"/>
        <v/>
      </c>
    </row>
    <row r="450" spans="1:19" x14ac:dyDescent="0.55000000000000004">
      <c r="A450">
        <v>104</v>
      </c>
      <c r="B450" s="2">
        <v>45604.416666608799</v>
      </c>
      <c r="C450" t="s">
        <v>215</v>
      </c>
      <c r="D450">
        <v>2</v>
      </c>
      <c r="E450" t="s">
        <v>123</v>
      </c>
      <c r="F450" t="str">
        <f t="shared" ref="F450:F513" si="49">VLOOKUP($E450, $V$1:$AA$9, 2, FALSE)</f>
        <v>Carassius auratus</v>
      </c>
      <c r="G450" t="str">
        <f t="shared" ref="G450:G513" si="50">VLOOKUP($E450, $V$1:$AA$9, 3, FALSE)</f>
        <v>Goldfish</v>
      </c>
      <c r="H450" t="str">
        <f t="shared" ref="H450:H513" si="51">VLOOKUP($E450, $V$1:$AA$9, 4, FALSE)</f>
        <v>Morihana</v>
      </c>
      <c r="I450" t="str">
        <f t="shared" ref="I450:I513" si="52">VLOOKUP($E450, $V$1:$AB$9, 5, FALSE)</f>
        <v>Nonnative</v>
      </c>
      <c r="J450" t="str">
        <f t="shared" ref="J450:J513" si="53">VLOOKUP($E450, $V$1:$AA$9, 6, FALSE)</f>
        <v>No</v>
      </c>
      <c r="L450">
        <v>170</v>
      </c>
      <c r="M450">
        <v>115</v>
      </c>
      <c r="N450">
        <v>1</v>
      </c>
      <c r="S450" t="str">
        <f t="shared" si="45"/>
        <v/>
      </c>
    </row>
    <row r="451" spans="1:19" x14ac:dyDescent="0.55000000000000004">
      <c r="A451">
        <v>104</v>
      </c>
      <c r="B451" s="2">
        <v>45604.416666608799</v>
      </c>
      <c r="C451" t="s">
        <v>215</v>
      </c>
      <c r="D451">
        <v>2</v>
      </c>
      <c r="E451" t="s">
        <v>44</v>
      </c>
      <c r="F451" t="str">
        <f t="shared" si="49"/>
        <v>Gobiomorphus cotidianus</v>
      </c>
      <c r="G451" t="str">
        <f t="shared" si="50"/>
        <v>Common_bully</v>
      </c>
      <c r="H451" t="str">
        <f t="shared" si="51"/>
        <v>Toitoi</v>
      </c>
      <c r="I451" t="str">
        <f t="shared" si="52"/>
        <v>Native</v>
      </c>
      <c r="J451" t="str">
        <f t="shared" si="53"/>
        <v>No</v>
      </c>
      <c r="M451">
        <f>438-117</f>
        <v>321</v>
      </c>
      <c r="R451">
        <v>1.5</v>
      </c>
      <c r="S451">
        <f t="shared" ref="S451:S514" si="54">IF(R451&lt;&gt;"", R451*236.588, "")</f>
        <v>354.88200000000001</v>
      </c>
    </row>
    <row r="452" spans="1:19" x14ac:dyDescent="0.55000000000000004">
      <c r="A452">
        <v>104</v>
      </c>
      <c r="B452" s="2">
        <v>45604.416666608799</v>
      </c>
      <c r="C452" t="s">
        <v>215</v>
      </c>
      <c r="D452">
        <v>2</v>
      </c>
      <c r="E452" t="s">
        <v>247</v>
      </c>
      <c r="F452" t="str">
        <f t="shared" si="49"/>
        <v>Retropinna retropinna</v>
      </c>
      <c r="G452" t="str">
        <f t="shared" si="50"/>
        <v>Common_smelt</v>
      </c>
      <c r="H452" t="str">
        <f t="shared" si="51"/>
        <v>Common_smelt</v>
      </c>
      <c r="I452" t="str">
        <f t="shared" si="52"/>
        <v>Native</v>
      </c>
      <c r="J452" t="str">
        <f t="shared" si="53"/>
        <v>No</v>
      </c>
      <c r="N452">
        <v>6</v>
      </c>
      <c r="S452" t="str">
        <f t="shared" si="54"/>
        <v/>
      </c>
    </row>
    <row r="453" spans="1:19" x14ac:dyDescent="0.55000000000000004">
      <c r="A453">
        <v>104</v>
      </c>
      <c r="B453" s="2">
        <v>45604.416666608799</v>
      </c>
      <c r="C453" t="s">
        <v>215</v>
      </c>
      <c r="D453">
        <v>2</v>
      </c>
      <c r="E453" t="s">
        <v>247</v>
      </c>
      <c r="F453" t="str">
        <f t="shared" si="49"/>
        <v>Retropinna retropinna</v>
      </c>
      <c r="G453" t="str">
        <f t="shared" si="50"/>
        <v>Common_smelt</v>
      </c>
      <c r="H453" t="str">
        <f t="shared" si="51"/>
        <v>Common_smelt</v>
      </c>
      <c r="I453" t="str">
        <f t="shared" si="52"/>
        <v>Native</v>
      </c>
      <c r="J453" t="str">
        <f t="shared" si="53"/>
        <v>No</v>
      </c>
      <c r="N453">
        <v>12</v>
      </c>
      <c r="S453" t="str">
        <f t="shared" si="54"/>
        <v/>
      </c>
    </row>
    <row r="454" spans="1:19" x14ac:dyDescent="0.55000000000000004">
      <c r="A454">
        <v>104</v>
      </c>
      <c r="B454" s="2">
        <v>45604.416666608799</v>
      </c>
      <c r="C454" t="s">
        <v>215</v>
      </c>
      <c r="D454">
        <v>2</v>
      </c>
      <c r="E454" t="s">
        <v>238</v>
      </c>
      <c r="F454" t="str">
        <f t="shared" si="49"/>
        <v>Anguilla dieffenbachii</v>
      </c>
      <c r="G454" t="str">
        <f t="shared" si="50"/>
        <v>Long_fin_eel</v>
      </c>
      <c r="H454" t="str">
        <f t="shared" si="51"/>
        <v>Tuna</v>
      </c>
      <c r="I454" t="str">
        <f t="shared" si="52"/>
        <v>Native</v>
      </c>
      <c r="J454" t="str">
        <f t="shared" si="53"/>
        <v>Yes</v>
      </c>
      <c r="L454">
        <v>800</v>
      </c>
      <c r="N454">
        <v>1</v>
      </c>
      <c r="S454" t="str">
        <f t="shared" si="54"/>
        <v/>
      </c>
    </row>
    <row r="455" spans="1:19" x14ac:dyDescent="0.55000000000000004">
      <c r="A455">
        <v>104</v>
      </c>
      <c r="B455" s="2">
        <v>45604.416666608799</v>
      </c>
      <c r="C455" t="s">
        <v>215</v>
      </c>
      <c r="D455">
        <v>2</v>
      </c>
      <c r="E455" t="s">
        <v>123</v>
      </c>
      <c r="F455" t="str">
        <f t="shared" si="49"/>
        <v>Carassius auratus</v>
      </c>
      <c r="G455" t="str">
        <f t="shared" si="50"/>
        <v>Goldfish</v>
      </c>
      <c r="H455" t="str">
        <f t="shared" si="51"/>
        <v>Morihana</v>
      </c>
      <c r="I455" t="str">
        <f t="shared" si="52"/>
        <v>Nonnative</v>
      </c>
      <c r="J455" t="str">
        <f t="shared" si="53"/>
        <v>No</v>
      </c>
      <c r="L455">
        <v>55</v>
      </c>
      <c r="N455">
        <v>1</v>
      </c>
      <c r="S455" t="str">
        <f t="shared" si="54"/>
        <v/>
      </c>
    </row>
    <row r="456" spans="1:19" x14ac:dyDescent="0.55000000000000004">
      <c r="A456">
        <v>104</v>
      </c>
      <c r="B456" s="2">
        <v>45604.416666608799</v>
      </c>
      <c r="C456" t="s">
        <v>215</v>
      </c>
      <c r="D456">
        <v>2</v>
      </c>
      <c r="E456" t="s">
        <v>123</v>
      </c>
      <c r="F456" t="str">
        <f t="shared" si="49"/>
        <v>Carassius auratus</v>
      </c>
      <c r="G456" t="str">
        <f t="shared" si="50"/>
        <v>Goldfish</v>
      </c>
      <c r="H456" t="str">
        <f t="shared" si="51"/>
        <v>Morihana</v>
      </c>
      <c r="I456" t="str">
        <f t="shared" si="52"/>
        <v>Nonnative</v>
      </c>
      <c r="J456" t="str">
        <f t="shared" si="53"/>
        <v>No</v>
      </c>
      <c r="L456">
        <v>57</v>
      </c>
      <c r="M456">
        <v>5</v>
      </c>
      <c r="N456">
        <v>1</v>
      </c>
      <c r="S456" t="str">
        <f t="shared" si="54"/>
        <v/>
      </c>
    </row>
    <row r="457" spans="1:19" x14ac:dyDescent="0.55000000000000004">
      <c r="A457">
        <v>104</v>
      </c>
      <c r="B457" s="2">
        <v>45604.416666608799</v>
      </c>
      <c r="C457" t="s">
        <v>215</v>
      </c>
      <c r="D457">
        <v>2</v>
      </c>
      <c r="E457" t="s">
        <v>123</v>
      </c>
      <c r="F457" t="str">
        <f t="shared" si="49"/>
        <v>Carassius auratus</v>
      </c>
      <c r="G457" t="str">
        <f t="shared" si="50"/>
        <v>Goldfish</v>
      </c>
      <c r="H457" t="str">
        <f t="shared" si="51"/>
        <v>Morihana</v>
      </c>
      <c r="I457" t="str">
        <f t="shared" si="52"/>
        <v>Nonnative</v>
      </c>
      <c r="J457" t="str">
        <f t="shared" si="53"/>
        <v>No</v>
      </c>
      <c r="L457">
        <v>67</v>
      </c>
      <c r="M457">
        <v>5</v>
      </c>
      <c r="N457">
        <v>1</v>
      </c>
      <c r="S457" t="str">
        <f t="shared" si="54"/>
        <v/>
      </c>
    </row>
    <row r="458" spans="1:19" x14ac:dyDescent="0.55000000000000004">
      <c r="A458">
        <v>104</v>
      </c>
      <c r="B458" s="2">
        <v>45604.416666608799</v>
      </c>
      <c r="C458" t="s">
        <v>215</v>
      </c>
      <c r="D458">
        <v>2</v>
      </c>
      <c r="E458" t="s">
        <v>123</v>
      </c>
      <c r="F458" t="str">
        <f t="shared" si="49"/>
        <v>Carassius auratus</v>
      </c>
      <c r="G458" t="str">
        <f t="shared" si="50"/>
        <v>Goldfish</v>
      </c>
      <c r="H458" t="str">
        <f t="shared" si="51"/>
        <v>Morihana</v>
      </c>
      <c r="I458" t="str">
        <f t="shared" si="52"/>
        <v>Nonnative</v>
      </c>
      <c r="J458" t="str">
        <f t="shared" si="53"/>
        <v>No</v>
      </c>
      <c r="L458">
        <v>52</v>
      </c>
      <c r="M458">
        <v>3</v>
      </c>
      <c r="N458">
        <v>1</v>
      </c>
      <c r="S458" t="str">
        <f t="shared" si="54"/>
        <v/>
      </c>
    </row>
    <row r="459" spans="1:19" x14ac:dyDescent="0.55000000000000004">
      <c r="A459">
        <v>104</v>
      </c>
      <c r="B459" s="2">
        <v>45604.416666608799</v>
      </c>
      <c r="C459" t="s">
        <v>215</v>
      </c>
      <c r="D459">
        <v>2</v>
      </c>
      <c r="E459" t="s">
        <v>123</v>
      </c>
      <c r="F459" t="str">
        <f t="shared" si="49"/>
        <v>Carassius auratus</v>
      </c>
      <c r="G459" t="str">
        <f t="shared" si="50"/>
        <v>Goldfish</v>
      </c>
      <c r="H459" t="str">
        <f t="shared" si="51"/>
        <v>Morihana</v>
      </c>
      <c r="I459" t="str">
        <f t="shared" si="52"/>
        <v>Nonnative</v>
      </c>
      <c r="J459" t="str">
        <f t="shared" si="53"/>
        <v>No</v>
      </c>
      <c r="L459">
        <v>58</v>
      </c>
      <c r="M459">
        <v>3</v>
      </c>
      <c r="N459">
        <v>1</v>
      </c>
      <c r="S459" t="str">
        <f t="shared" si="54"/>
        <v/>
      </c>
    </row>
    <row r="460" spans="1:19" x14ac:dyDescent="0.55000000000000004">
      <c r="A460">
        <v>104</v>
      </c>
      <c r="B460" s="2">
        <v>45604.416666608799</v>
      </c>
      <c r="C460" t="s">
        <v>215</v>
      </c>
      <c r="D460">
        <v>2</v>
      </c>
      <c r="E460" t="s">
        <v>44</v>
      </c>
      <c r="F460" t="str">
        <f t="shared" si="49"/>
        <v>Gobiomorphus cotidianus</v>
      </c>
      <c r="G460" t="str">
        <f t="shared" si="50"/>
        <v>Common_bully</v>
      </c>
      <c r="H460" t="str">
        <f t="shared" si="51"/>
        <v>Toitoi</v>
      </c>
      <c r="I460" t="str">
        <f t="shared" si="52"/>
        <v>Native</v>
      </c>
      <c r="J460" t="str">
        <f t="shared" si="53"/>
        <v>No</v>
      </c>
      <c r="R460">
        <v>2.5</v>
      </c>
      <c r="S460">
        <f t="shared" si="54"/>
        <v>591.47</v>
      </c>
    </row>
    <row r="461" spans="1:19" x14ac:dyDescent="0.55000000000000004">
      <c r="A461">
        <v>104</v>
      </c>
      <c r="B461" s="2">
        <v>45604.416666608799</v>
      </c>
      <c r="C461" t="s">
        <v>215</v>
      </c>
      <c r="D461">
        <v>2</v>
      </c>
      <c r="E461" t="s">
        <v>44</v>
      </c>
      <c r="F461" t="str">
        <f t="shared" si="49"/>
        <v>Gobiomorphus cotidianus</v>
      </c>
      <c r="G461" t="str">
        <f t="shared" si="50"/>
        <v>Common_bully</v>
      </c>
      <c r="H461" t="str">
        <f t="shared" si="51"/>
        <v>Toitoi</v>
      </c>
      <c r="I461" t="str">
        <f t="shared" si="52"/>
        <v>Native</v>
      </c>
      <c r="J461" t="str">
        <f t="shared" si="53"/>
        <v>No</v>
      </c>
      <c r="M461">
        <f>170-117</f>
        <v>53</v>
      </c>
      <c r="R461">
        <v>0.5</v>
      </c>
      <c r="S461">
        <f t="shared" si="54"/>
        <v>118.294</v>
      </c>
    </row>
    <row r="462" spans="1:19" x14ac:dyDescent="0.55000000000000004">
      <c r="A462">
        <v>105</v>
      </c>
      <c r="B462" s="2">
        <v>45603.541666666664</v>
      </c>
      <c r="C462" t="s">
        <v>216</v>
      </c>
      <c r="D462">
        <v>2</v>
      </c>
      <c r="E462" t="s">
        <v>49</v>
      </c>
      <c r="F462" t="str">
        <f t="shared" si="49"/>
        <v>Paranephrops planifrons</v>
      </c>
      <c r="G462" t="str">
        <f t="shared" si="50"/>
        <v>Freshwater_crayfish</v>
      </c>
      <c r="H462" t="str">
        <f t="shared" si="51"/>
        <v>Kōura</v>
      </c>
      <c r="I462" t="str">
        <f t="shared" si="52"/>
        <v>Native</v>
      </c>
      <c r="J462" t="str">
        <f t="shared" si="53"/>
        <v>Yes</v>
      </c>
      <c r="K462" t="s">
        <v>48</v>
      </c>
      <c r="L462">
        <v>31</v>
      </c>
      <c r="N462">
        <v>1</v>
      </c>
      <c r="S462" t="str">
        <f t="shared" si="54"/>
        <v/>
      </c>
    </row>
    <row r="463" spans="1:19" x14ac:dyDescent="0.55000000000000004">
      <c r="A463">
        <v>105</v>
      </c>
      <c r="B463" s="2">
        <v>45603.541666666664</v>
      </c>
      <c r="C463" t="s">
        <v>216</v>
      </c>
      <c r="D463">
        <v>2</v>
      </c>
      <c r="E463" t="s">
        <v>49</v>
      </c>
      <c r="F463" t="str">
        <f t="shared" si="49"/>
        <v>Paranephrops planifrons</v>
      </c>
      <c r="G463" t="str">
        <f t="shared" si="50"/>
        <v>Freshwater_crayfish</v>
      </c>
      <c r="H463" t="str">
        <f t="shared" si="51"/>
        <v>Kōura</v>
      </c>
      <c r="I463" t="str">
        <f t="shared" si="52"/>
        <v>Native</v>
      </c>
      <c r="J463" t="str">
        <f t="shared" si="53"/>
        <v>Yes</v>
      </c>
      <c r="K463" t="s">
        <v>50</v>
      </c>
      <c r="L463">
        <v>26</v>
      </c>
      <c r="N463">
        <v>1</v>
      </c>
      <c r="S463" t="str">
        <f t="shared" si="54"/>
        <v/>
      </c>
    </row>
    <row r="464" spans="1:19" x14ac:dyDescent="0.55000000000000004">
      <c r="A464">
        <v>105</v>
      </c>
      <c r="B464" s="2">
        <v>45603.541666608799</v>
      </c>
      <c r="C464" t="s">
        <v>216</v>
      </c>
      <c r="D464">
        <v>2</v>
      </c>
      <c r="E464" t="s">
        <v>44</v>
      </c>
      <c r="F464" t="str">
        <f t="shared" si="49"/>
        <v>Gobiomorphus cotidianus</v>
      </c>
      <c r="G464" t="str">
        <f t="shared" si="50"/>
        <v>Common_bully</v>
      </c>
      <c r="H464" t="str">
        <f t="shared" si="51"/>
        <v>Toitoi</v>
      </c>
      <c r="I464" t="str">
        <f t="shared" si="52"/>
        <v>Native</v>
      </c>
      <c r="J464" t="str">
        <f t="shared" si="53"/>
        <v>No</v>
      </c>
      <c r="N464">
        <v>45</v>
      </c>
      <c r="S464" t="str">
        <f t="shared" si="54"/>
        <v/>
      </c>
    </row>
    <row r="465" spans="1:19" x14ac:dyDescent="0.55000000000000004">
      <c r="A465">
        <v>105</v>
      </c>
      <c r="B465" s="2">
        <v>45603.541666608799</v>
      </c>
      <c r="C465" t="s">
        <v>215</v>
      </c>
      <c r="D465">
        <v>2</v>
      </c>
      <c r="E465" t="s">
        <v>247</v>
      </c>
      <c r="F465" t="str">
        <f t="shared" si="49"/>
        <v>Retropinna retropinna</v>
      </c>
      <c r="G465" t="str">
        <f t="shared" si="50"/>
        <v>Common_smelt</v>
      </c>
      <c r="H465" t="str">
        <f t="shared" si="51"/>
        <v>Common_smelt</v>
      </c>
      <c r="I465" t="str">
        <f t="shared" si="52"/>
        <v>Native</v>
      </c>
      <c r="J465" t="str">
        <f t="shared" si="53"/>
        <v>No</v>
      </c>
      <c r="N465">
        <v>1</v>
      </c>
      <c r="S465" t="str">
        <f t="shared" si="54"/>
        <v/>
      </c>
    </row>
    <row r="466" spans="1:19" x14ac:dyDescent="0.55000000000000004">
      <c r="A466">
        <v>105</v>
      </c>
      <c r="B466" s="2">
        <v>45603.541666608799</v>
      </c>
      <c r="C466" t="s">
        <v>215</v>
      </c>
      <c r="D466">
        <v>2</v>
      </c>
      <c r="E466" t="s">
        <v>44</v>
      </c>
      <c r="F466" t="str">
        <f t="shared" si="49"/>
        <v>Gobiomorphus cotidianus</v>
      </c>
      <c r="G466" t="str">
        <f t="shared" si="50"/>
        <v>Common_bully</v>
      </c>
      <c r="H466" t="str">
        <f t="shared" si="51"/>
        <v>Toitoi</v>
      </c>
      <c r="I466" t="str">
        <f t="shared" si="52"/>
        <v>Native</v>
      </c>
      <c r="J466" t="str">
        <f t="shared" si="53"/>
        <v>No</v>
      </c>
      <c r="R466">
        <v>0.6</v>
      </c>
      <c r="S466">
        <f t="shared" si="54"/>
        <v>141.9528</v>
      </c>
    </row>
    <row r="467" spans="1:19" x14ac:dyDescent="0.55000000000000004">
      <c r="A467">
        <v>105</v>
      </c>
      <c r="B467" s="2">
        <v>45603.541666608799</v>
      </c>
      <c r="C467" t="s">
        <v>215</v>
      </c>
      <c r="D467">
        <v>2</v>
      </c>
      <c r="E467" t="s">
        <v>49</v>
      </c>
      <c r="F467" t="str">
        <f t="shared" si="49"/>
        <v>Paranephrops planifrons</v>
      </c>
      <c r="G467" t="str">
        <f t="shared" si="50"/>
        <v>Freshwater_crayfish</v>
      </c>
      <c r="H467" t="str">
        <f t="shared" si="51"/>
        <v>Kōura</v>
      </c>
      <c r="I467" t="str">
        <f t="shared" si="52"/>
        <v>Native</v>
      </c>
      <c r="J467" t="str">
        <f t="shared" si="53"/>
        <v>Yes</v>
      </c>
      <c r="K467" t="s">
        <v>50</v>
      </c>
      <c r="L467">
        <v>25</v>
      </c>
      <c r="N467">
        <v>1</v>
      </c>
      <c r="S467" t="str">
        <f t="shared" si="54"/>
        <v/>
      </c>
    </row>
    <row r="468" spans="1:19" x14ac:dyDescent="0.55000000000000004">
      <c r="A468">
        <v>105</v>
      </c>
      <c r="B468" s="2">
        <v>45603.541666608799</v>
      </c>
      <c r="C468" t="s">
        <v>215</v>
      </c>
      <c r="D468">
        <v>2</v>
      </c>
      <c r="E468" t="s">
        <v>123</v>
      </c>
      <c r="F468" t="str">
        <f t="shared" si="49"/>
        <v>Carassius auratus</v>
      </c>
      <c r="G468" t="str">
        <f t="shared" si="50"/>
        <v>Goldfish</v>
      </c>
      <c r="H468" t="str">
        <f t="shared" si="51"/>
        <v>Morihana</v>
      </c>
      <c r="I468" t="str">
        <f t="shared" si="52"/>
        <v>Nonnative</v>
      </c>
      <c r="J468" t="str">
        <f t="shared" si="53"/>
        <v>No</v>
      </c>
      <c r="L468">
        <v>61</v>
      </c>
      <c r="N468">
        <v>1</v>
      </c>
      <c r="S468" t="str">
        <f t="shared" si="54"/>
        <v/>
      </c>
    </row>
    <row r="469" spans="1:19" x14ac:dyDescent="0.55000000000000004">
      <c r="A469">
        <v>105</v>
      </c>
      <c r="B469" s="2">
        <v>45603.541666608799</v>
      </c>
      <c r="C469" t="s">
        <v>215</v>
      </c>
      <c r="D469">
        <v>2</v>
      </c>
      <c r="E469" t="s">
        <v>123</v>
      </c>
      <c r="F469" t="str">
        <f t="shared" si="49"/>
        <v>Carassius auratus</v>
      </c>
      <c r="G469" t="str">
        <f t="shared" si="50"/>
        <v>Goldfish</v>
      </c>
      <c r="H469" t="str">
        <f t="shared" si="51"/>
        <v>Morihana</v>
      </c>
      <c r="I469" t="str">
        <f t="shared" si="52"/>
        <v>Nonnative</v>
      </c>
      <c r="J469" t="str">
        <f t="shared" si="53"/>
        <v>No</v>
      </c>
      <c r="L469">
        <v>46</v>
      </c>
      <c r="N469">
        <v>1</v>
      </c>
      <c r="S469" t="str">
        <f t="shared" si="54"/>
        <v/>
      </c>
    </row>
    <row r="470" spans="1:19" x14ac:dyDescent="0.55000000000000004">
      <c r="A470">
        <v>105</v>
      </c>
      <c r="B470" s="2">
        <v>45603.541666608799</v>
      </c>
      <c r="C470" t="s">
        <v>215</v>
      </c>
      <c r="D470">
        <v>2</v>
      </c>
      <c r="E470" t="s">
        <v>49</v>
      </c>
      <c r="F470" t="str">
        <f t="shared" si="49"/>
        <v>Paranephrops planifrons</v>
      </c>
      <c r="G470" t="str">
        <f t="shared" si="50"/>
        <v>Freshwater_crayfish</v>
      </c>
      <c r="H470" t="str">
        <f t="shared" si="51"/>
        <v>Kōura</v>
      </c>
      <c r="I470" t="str">
        <f t="shared" si="52"/>
        <v>Native</v>
      </c>
      <c r="J470" t="str">
        <f t="shared" si="53"/>
        <v>Yes</v>
      </c>
      <c r="K470" t="s">
        <v>48</v>
      </c>
      <c r="L470">
        <v>34</v>
      </c>
      <c r="N470">
        <v>1</v>
      </c>
      <c r="S470" t="str">
        <f t="shared" si="54"/>
        <v/>
      </c>
    </row>
    <row r="471" spans="1:19" x14ac:dyDescent="0.55000000000000004">
      <c r="A471">
        <v>105</v>
      </c>
      <c r="B471" s="2">
        <v>45603.541666608799</v>
      </c>
      <c r="C471" t="s">
        <v>215</v>
      </c>
      <c r="D471">
        <v>2</v>
      </c>
      <c r="E471" t="s">
        <v>49</v>
      </c>
      <c r="F471" t="str">
        <f t="shared" si="49"/>
        <v>Paranephrops planifrons</v>
      </c>
      <c r="G471" t="str">
        <f t="shared" si="50"/>
        <v>Freshwater_crayfish</v>
      </c>
      <c r="H471" t="str">
        <f t="shared" si="51"/>
        <v>Kōura</v>
      </c>
      <c r="I471" t="str">
        <f t="shared" si="52"/>
        <v>Native</v>
      </c>
      <c r="J471" t="str">
        <f t="shared" si="53"/>
        <v>Yes</v>
      </c>
      <c r="K471" t="s">
        <v>48</v>
      </c>
      <c r="L471">
        <v>35</v>
      </c>
      <c r="N471">
        <v>1</v>
      </c>
      <c r="S471" t="str">
        <f t="shared" si="54"/>
        <v/>
      </c>
    </row>
    <row r="472" spans="1:19" x14ac:dyDescent="0.55000000000000004">
      <c r="A472">
        <v>105</v>
      </c>
      <c r="B472" s="2">
        <v>45603.541666608799</v>
      </c>
      <c r="C472" t="s">
        <v>215</v>
      </c>
      <c r="D472">
        <v>2</v>
      </c>
      <c r="E472" t="s">
        <v>49</v>
      </c>
      <c r="F472" t="str">
        <f t="shared" si="49"/>
        <v>Paranephrops planifrons</v>
      </c>
      <c r="G472" t="str">
        <f t="shared" si="50"/>
        <v>Freshwater_crayfish</v>
      </c>
      <c r="H472" t="str">
        <f t="shared" si="51"/>
        <v>Kōura</v>
      </c>
      <c r="I472" t="str">
        <f t="shared" si="52"/>
        <v>Native</v>
      </c>
      <c r="J472" t="str">
        <f t="shared" si="53"/>
        <v>Yes</v>
      </c>
      <c r="K472" t="s">
        <v>48</v>
      </c>
      <c r="L472">
        <v>19</v>
      </c>
      <c r="N472">
        <v>1</v>
      </c>
      <c r="S472" t="str">
        <f t="shared" si="54"/>
        <v/>
      </c>
    </row>
    <row r="473" spans="1:19" x14ac:dyDescent="0.55000000000000004">
      <c r="A473">
        <v>105</v>
      </c>
      <c r="B473" s="2">
        <v>45603.541666608799</v>
      </c>
      <c r="C473" t="s">
        <v>215</v>
      </c>
      <c r="D473">
        <v>2</v>
      </c>
      <c r="E473" t="s">
        <v>44</v>
      </c>
      <c r="F473" t="str">
        <f t="shared" si="49"/>
        <v>Gobiomorphus cotidianus</v>
      </c>
      <c r="G473" t="str">
        <f t="shared" si="50"/>
        <v>Common_bully</v>
      </c>
      <c r="H473" t="str">
        <f t="shared" si="51"/>
        <v>Toitoi</v>
      </c>
      <c r="I473" t="str">
        <f t="shared" si="52"/>
        <v>Native</v>
      </c>
      <c r="J473" t="str">
        <f t="shared" si="53"/>
        <v>No</v>
      </c>
      <c r="R473">
        <v>1.5</v>
      </c>
      <c r="S473">
        <f t="shared" si="54"/>
        <v>354.88200000000001</v>
      </c>
    </row>
    <row r="474" spans="1:19" x14ac:dyDescent="0.55000000000000004">
      <c r="A474">
        <v>106</v>
      </c>
      <c r="B474" s="2">
        <v>45603.4375</v>
      </c>
      <c r="C474" t="s">
        <v>216</v>
      </c>
      <c r="D474">
        <v>2</v>
      </c>
      <c r="E474" t="s">
        <v>49</v>
      </c>
      <c r="F474" t="str">
        <f t="shared" si="49"/>
        <v>Paranephrops planifrons</v>
      </c>
      <c r="G474" t="str">
        <f t="shared" si="50"/>
        <v>Freshwater_crayfish</v>
      </c>
      <c r="H474" t="str">
        <f t="shared" si="51"/>
        <v>Kōura</v>
      </c>
      <c r="I474" t="str">
        <f t="shared" si="52"/>
        <v>Native</v>
      </c>
      <c r="J474" t="str">
        <f t="shared" si="53"/>
        <v>Yes</v>
      </c>
      <c r="K474" t="s">
        <v>50</v>
      </c>
      <c r="L474">
        <v>34.25</v>
      </c>
      <c r="M474">
        <v>33</v>
      </c>
      <c r="N474">
        <v>1</v>
      </c>
      <c r="Q474">
        <v>1</v>
      </c>
      <c r="S474" t="str">
        <f t="shared" si="54"/>
        <v/>
      </c>
    </row>
    <row r="475" spans="1:19" x14ac:dyDescent="0.55000000000000004">
      <c r="A475">
        <v>106</v>
      </c>
      <c r="B475" s="2">
        <v>45603.4375</v>
      </c>
      <c r="C475" t="s">
        <v>216</v>
      </c>
      <c r="D475">
        <v>2</v>
      </c>
      <c r="E475" t="s">
        <v>49</v>
      </c>
      <c r="F475" t="str">
        <f t="shared" si="49"/>
        <v>Paranephrops planifrons</v>
      </c>
      <c r="G475" t="str">
        <f t="shared" si="50"/>
        <v>Freshwater_crayfish</v>
      </c>
      <c r="H475" t="str">
        <f t="shared" si="51"/>
        <v>Kōura</v>
      </c>
      <c r="I475" t="str">
        <f t="shared" si="52"/>
        <v>Native</v>
      </c>
      <c r="J475" t="str">
        <f t="shared" si="53"/>
        <v>Yes</v>
      </c>
      <c r="K475" t="s">
        <v>50</v>
      </c>
      <c r="L475">
        <v>31.75</v>
      </c>
      <c r="M475">
        <v>30</v>
      </c>
      <c r="N475">
        <v>1</v>
      </c>
      <c r="Q475">
        <v>1</v>
      </c>
      <c r="S475" t="str">
        <f t="shared" si="54"/>
        <v/>
      </c>
    </row>
    <row r="476" spans="1:19" x14ac:dyDescent="0.55000000000000004">
      <c r="A476">
        <v>106</v>
      </c>
      <c r="B476" s="2">
        <v>45603.4375</v>
      </c>
      <c r="C476" t="s">
        <v>216</v>
      </c>
      <c r="D476">
        <v>2</v>
      </c>
      <c r="E476" t="s">
        <v>49</v>
      </c>
      <c r="F476" t="str">
        <f t="shared" si="49"/>
        <v>Paranephrops planifrons</v>
      </c>
      <c r="G476" t="str">
        <f t="shared" si="50"/>
        <v>Freshwater_crayfish</v>
      </c>
      <c r="H476" t="str">
        <f t="shared" si="51"/>
        <v>Kōura</v>
      </c>
      <c r="I476" t="str">
        <f t="shared" si="52"/>
        <v>Native</v>
      </c>
      <c r="J476" t="str">
        <f t="shared" si="53"/>
        <v>Yes</v>
      </c>
      <c r="K476" t="s">
        <v>50</v>
      </c>
      <c r="L476">
        <v>17.89</v>
      </c>
      <c r="N476">
        <v>1</v>
      </c>
      <c r="S476" t="str">
        <f t="shared" si="54"/>
        <v/>
      </c>
    </row>
    <row r="477" spans="1:19" x14ac:dyDescent="0.55000000000000004">
      <c r="A477">
        <v>106</v>
      </c>
      <c r="B477" s="2">
        <v>45603.4375</v>
      </c>
      <c r="C477" t="s">
        <v>216</v>
      </c>
      <c r="D477">
        <v>2</v>
      </c>
      <c r="E477" t="s">
        <v>44</v>
      </c>
      <c r="F477" t="str">
        <f t="shared" si="49"/>
        <v>Gobiomorphus cotidianus</v>
      </c>
      <c r="G477" t="str">
        <f t="shared" si="50"/>
        <v>Common_bully</v>
      </c>
      <c r="H477" t="str">
        <f t="shared" si="51"/>
        <v>Toitoi</v>
      </c>
      <c r="I477" t="str">
        <f t="shared" si="52"/>
        <v>Native</v>
      </c>
      <c r="J477" t="str">
        <f t="shared" si="53"/>
        <v>No</v>
      </c>
      <c r="N477">
        <v>8</v>
      </c>
      <c r="S477" t="str">
        <f t="shared" si="54"/>
        <v/>
      </c>
    </row>
    <row r="478" spans="1:19" x14ac:dyDescent="0.55000000000000004">
      <c r="A478">
        <v>106</v>
      </c>
      <c r="B478" s="2">
        <v>45603.4375</v>
      </c>
      <c r="C478" t="s">
        <v>215</v>
      </c>
      <c r="D478">
        <v>2</v>
      </c>
      <c r="E478" t="s">
        <v>49</v>
      </c>
      <c r="F478" t="str">
        <f t="shared" si="49"/>
        <v>Paranephrops planifrons</v>
      </c>
      <c r="G478" t="str">
        <f t="shared" si="50"/>
        <v>Freshwater_crayfish</v>
      </c>
      <c r="H478" t="str">
        <f t="shared" si="51"/>
        <v>Kōura</v>
      </c>
      <c r="I478" t="str">
        <f t="shared" si="52"/>
        <v>Native</v>
      </c>
      <c r="J478" t="str">
        <f t="shared" si="53"/>
        <v>Yes</v>
      </c>
      <c r="K478" t="s">
        <v>50</v>
      </c>
      <c r="L478">
        <v>28</v>
      </c>
      <c r="N478">
        <v>1</v>
      </c>
      <c r="S478" t="str">
        <f t="shared" si="54"/>
        <v/>
      </c>
    </row>
    <row r="479" spans="1:19" x14ac:dyDescent="0.55000000000000004">
      <c r="A479">
        <v>106</v>
      </c>
      <c r="B479" s="2">
        <v>45603.4375</v>
      </c>
      <c r="C479" t="s">
        <v>215</v>
      </c>
      <c r="D479">
        <v>2</v>
      </c>
      <c r="E479" t="s">
        <v>49</v>
      </c>
      <c r="F479" t="str">
        <f t="shared" si="49"/>
        <v>Paranephrops planifrons</v>
      </c>
      <c r="G479" t="str">
        <f t="shared" si="50"/>
        <v>Freshwater_crayfish</v>
      </c>
      <c r="H479" t="str">
        <f t="shared" si="51"/>
        <v>Kōura</v>
      </c>
      <c r="I479" t="str">
        <f t="shared" si="52"/>
        <v>Native</v>
      </c>
      <c r="J479" t="str">
        <f t="shared" si="53"/>
        <v>Yes</v>
      </c>
      <c r="K479" t="s">
        <v>48</v>
      </c>
      <c r="L479">
        <v>19</v>
      </c>
      <c r="N479">
        <v>1</v>
      </c>
      <c r="S479" t="str">
        <f t="shared" si="54"/>
        <v/>
      </c>
    </row>
    <row r="480" spans="1:19" x14ac:dyDescent="0.55000000000000004">
      <c r="A480">
        <v>106</v>
      </c>
      <c r="B480" s="2">
        <v>45603.4375</v>
      </c>
      <c r="C480" t="s">
        <v>215</v>
      </c>
      <c r="D480">
        <v>2</v>
      </c>
      <c r="E480" t="s">
        <v>49</v>
      </c>
      <c r="F480" t="str">
        <f t="shared" si="49"/>
        <v>Paranephrops planifrons</v>
      </c>
      <c r="G480" t="str">
        <f t="shared" si="50"/>
        <v>Freshwater_crayfish</v>
      </c>
      <c r="H480" t="str">
        <f t="shared" si="51"/>
        <v>Kōura</v>
      </c>
      <c r="I480" t="str">
        <f t="shared" si="52"/>
        <v>Native</v>
      </c>
      <c r="J480" t="str">
        <f t="shared" si="53"/>
        <v>Yes</v>
      </c>
      <c r="K480" t="s">
        <v>48</v>
      </c>
      <c r="L480">
        <v>17</v>
      </c>
      <c r="N480">
        <v>1</v>
      </c>
      <c r="S480" t="str">
        <f t="shared" si="54"/>
        <v/>
      </c>
    </row>
    <row r="481" spans="1:19" x14ac:dyDescent="0.55000000000000004">
      <c r="A481">
        <v>106</v>
      </c>
      <c r="B481" s="2">
        <v>45603.4375</v>
      </c>
      <c r="C481" t="s">
        <v>215</v>
      </c>
      <c r="D481">
        <v>2</v>
      </c>
      <c r="E481" t="s">
        <v>49</v>
      </c>
      <c r="F481" t="str">
        <f t="shared" si="49"/>
        <v>Paranephrops planifrons</v>
      </c>
      <c r="G481" t="str">
        <f t="shared" si="50"/>
        <v>Freshwater_crayfish</v>
      </c>
      <c r="H481" t="str">
        <f t="shared" si="51"/>
        <v>Kōura</v>
      </c>
      <c r="I481" t="str">
        <f t="shared" si="52"/>
        <v>Native</v>
      </c>
      <c r="J481" t="str">
        <f t="shared" si="53"/>
        <v>Yes</v>
      </c>
      <c r="K481" t="s">
        <v>50</v>
      </c>
      <c r="L481">
        <v>22</v>
      </c>
      <c r="N481">
        <v>1</v>
      </c>
      <c r="S481" t="str">
        <f t="shared" si="54"/>
        <v/>
      </c>
    </row>
    <row r="482" spans="1:19" x14ac:dyDescent="0.55000000000000004">
      <c r="A482">
        <v>106</v>
      </c>
      <c r="B482" s="2">
        <v>45603.4375</v>
      </c>
      <c r="C482" t="s">
        <v>215</v>
      </c>
      <c r="D482">
        <v>2</v>
      </c>
      <c r="E482" t="s">
        <v>49</v>
      </c>
      <c r="F482" t="str">
        <f t="shared" si="49"/>
        <v>Paranephrops planifrons</v>
      </c>
      <c r="G482" t="str">
        <f t="shared" si="50"/>
        <v>Freshwater_crayfish</v>
      </c>
      <c r="H482" t="str">
        <f t="shared" si="51"/>
        <v>Kōura</v>
      </c>
      <c r="I482" t="str">
        <f t="shared" si="52"/>
        <v>Native</v>
      </c>
      <c r="J482" t="str">
        <f t="shared" si="53"/>
        <v>Yes</v>
      </c>
      <c r="K482" t="s">
        <v>50</v>
      </c>
      <c r="L482">
        <v>25</v>
      </c>
      <c r="N482">
        <v>1</v>
      </c>
      <c r="S482" t="str">
        <f t="shared" si="54"/>
        <v/>
      </c>
    </row>
    <row r="483" spans="1:19" x14ac:dyDescent="0.55000000000000004">
      <c r="A483">
        <v>106</v>
      </c>
      <c r="B483" s="2">
        <v>45603.4375</v>
      </c>
      <c r="C483" t="s">
        <v>215</v>
      </c>
      <c r="D483">
        <v>2</v>
      </c>
      <c r="E483" t="s">
        <v>49</v>
      </c>
      <c r="F483" t="str">
        <f t="shared" si="49"/>
        <v>Paranephrops planifrons</v>
      </c>
      <c r="G483" t="str">
        <f t="shared" si="50"/>
        <v>Freshwater_crayfish</v>
      </c>
      <c r="H483" t="str">
        <f t="shared" si="51"/>
        <v>Kōura</v>
      </c>
      <c r="I483" t="str">
        <f t="shared" si="52"/>
        <v>Native</v>
      </c>
      <c r="J483" t="str">
        <f t="shared" si="53"/>
        <v>Yes</v>
      </c>
      <c r="K483" t="s">
        <v>48</v>
      </c>
      <c r="L483">
        <v>18</v>
      </c>
      <c r="N483">
        <v>1</v>
      </c>
      <c r="S483" t="str">
        <f t="shared" si="54"/>
        <v/>
      </c>
    </row>
    <row r="484" spans="1:19" x14ac:dyDescent="0.55000000000000004">
      <c r="A484">
        <v>106</v>
      </c>
      <c r="B484" s="2">
        <v>45603.4375</v>
      </c>
      <c r="C484" t="s">
        <v>215</v>
      </c>
      <c r="D484">
        <v>2</v>
      </c>
      <c r="E484" t="s">
        <v>49</v>
      </c>
      <c r="F484" t="str">
        <f t="shared" si="49"/>
        <v>Paranephrops planifrons</v>
      </c>
      <c r="G484" t="str">
        <f t="shared" si="50"/>
        <v>Freshwater_crayfish</v>
      </c>
      <c r="H484" t="str">
        <f t="shared" si="51"/>
        <v>Kōura</v>
      </c>
      <c r="I484" t="str">
        <f t="shared" si="52"/>
        <v>Native</v>
      </c>
      <c r="J484" t="str">
        <f t="shared" si="53"/>
        <v>Yes</v>
      </c>
      <c r="K484" t="s">
        <v>48</v>
      </c>
      <c r="L484">
        <v>17</v>
      </c>
      <c r="N484">
        <v>1</v>
      </c>
      <c r="S484" t="str">
        <f t="shared" si="54"/>
        <v/>
      </c>
    </row>
    <row r="485" spans="1:19" x14ac:dyDescent="0.55000000000000004">
      <c r="A485">
        <v>106</v>
      </c>
      <c r="B485" s="2">
        <v>45603.4375</v>
      </c>
      <c r="C485" t="s">
        <v>215</v>
      </c>
      <c r="D485">
        <v>2</v>
      </c>
      <c r="E485" t="s">
        <v>49</v>
      </c>
      <c r="F485" t="str">
        <f t="shared" si="49"/>
        <v>Paranephrops planifrons</v>
      </c>
      <c r="G485" t="str">
        <f t="shared" si="50"/>
        <v>Freshwater_crayfish</v>
      </c>
      <c r="H485" t="str">
        <f t="shared" si="51"/>
        <v>Kōura</v>
      </c>
      <c r="I485" t="str">
        <f t="shared" si="52"/>
        <v>Native</v>
      </c>
      <c r="J485" t="str">
        <f t="shared" si="53"/>
        <v>Yes</v>
      </c>
      <c r="K485" t="s">
        <v>50</v>
      </c>
      <c r="L485">
        <v>18</v>
      </c>
      <c r="N485">
        <v>1</v>
      </c>
      <c r="S485" t="str">
        <f t="shared" si="54"/>
        <v/>
      </c>
    </row>
    <row r="486" spans="1:19" x14ac:dyDescent="0.55000000000000004">
      <c r="A486">
        <v>106</v>
      </c>
      <c r="B486" s="2">
        <v>45603.4375</v>
      </c>
      <c r="C486" t="s">
        <v>215</v>
      </c>
      <c r="D486">
        <v>2</v>
      </c>
      <c r="E486" t="s">
        <v>247</v>
      </c>
      <c r="F486" t="str">
        <f t="shared" si="49"/>
        <v>Retropinna retropinna</v>
      </c>
      <c r="G486" t="str">
        <f t="shared" si="50"/>
        <v>Common_smelt</v>
      </c>
      <c r="H486" t="str">
        <f t="shared" si="51"/>
        <v>Common_smelt</v>
      </c>
      <c r="I486" t="str">
        <f t="shared" si="52"/>
        <v>Native</v>
      </c>
      <c r="J486" t="str">
        <f t="shared" si="53"/>
        <v>No</v>
      </c>
      <c r="N486">
        <v>3</v>
      </c>
      <c r="S486" t="str">
        <f t="shared" si="54"/>
        <v/>
      </c>
    </row>
    <row r="487" spans="1:19" x14ac:dyDescent="0.55000000000000004">
      <c r="A487">
        <v>106</v>
      </c>
      <c r="B487" s="2">
        <v>45603.4375</v>
      </c>
      <c r="C487" t="s">
        <v>215</v>
      </c>
      <c r="D487">
        <v>2</v>
      </c>
      <c r="E487" t="s">
        <v>49</v>
      </c>
      <c r="F487" t="str">
        <f t="shared" si="49"/>
        <v>Paranephrops planifrons</v>
      </c>
      <c r="G487" t="str">
        <f t="shared" si="50"/>
        <v>Freshwater_crayfish</v>
      </c>
      <c r="H487" t="str">
        <f t="shared" si="51"/>
        <v>Kōura</v>
      </c>
      <c r="I487" t="str">
        <f t="shared" si="52"/>
        <v>Native</v>
      </c>
      <c r="J487" t="str">
        <f t="shared" si="53"/>
        <v>Yes</v>
      </c>
      <c r="K487" t="s">
        <v>48</v>
      </c>
      <c r="L487">
        <v>21</v>
      </c>
      <c r="M487">
        <v>7</v>
      </c>
      <c r="N487">
        <v>1</v>
      </c>
      <c r="S487" t="str">
        <f t="shared" si="54"/>
        <v/>
      </c>
    </row>
    <row r="488" spans="1:19" x14ac:dyDescent="0.55000000000000004">
      <c r="A488">
        <v>106</v>
      </c>
      <c r="B488" s="2">
        <v>45603.4375</v>
      </c>
      <c r="C488" t="s">
        <v>215</v>
      </c>
      <c r="D488">
        <v>2</v>
      </c>
      <c r="E488" t="s">
        <v>44</v>
      </c>
      <c r="F488" t="str">
        <f t="shared" si="49"/>
        <v>Gobiomorphus cotidianus</v>
      </c>
      <c r="G488" t="str">
        <f t="shared" si="50"/>
        <v>Common_bully</v>
      </c>
      <c r="H488" t="str">
        <f t="shared" si="51"/>
        <v>Toitoi</v>
      </c>
      <c r="I488" t="str">
        <f t="shared" si="52"/>
        <v>Native</v>
      </c>
      <c r="J488" t="str">
        <f t="shared" si="53"/>
        <v>No</v>
      </c>
      <c r="L488">
        <v>90</v>
      </c>
      <c r="N488">
        <v>1</v>
      </c>
      <c r="S488" t="str">
        <f t="shared" si="54"/>
        <v/>
      </c>
    </row>
    <row r="489" spans="1:19" x14ac:dyDescent="0.55000000000000004">
      <c r="A489">
        <v>106</v>
      </c>
      <c r="B489" s="2">
        <v>45603.4375</v>
      </c>
      <c r="C489" t="s">
        <v>215</v>
      </c>
      <c r="D489">
        <v>2</v>
      </c>
      <c r="E489" t="s">
        <v>44</v>
      </c>
      <c r="F489" t="str">
        <f t="shared" si="49"/>
        <v>Gobiomorphus cotidianus</v>
      </c>
      <c r="G489" t="str">
        <f t="shared" si="50"/>
        <v>Common_bully</v>
      </c>
      <c r="H489" t="str">
        <f t="shared" si="51"/>
        <v>Toitoi</v>
      </c>
      <c r="I489" t="str">
        <f t="shared" si="52"/>
        <v>Native</v>
      </c>
      <c r="J489" t="str">
        <f t="shared" si="53"/>
        <v>No</v>
      </c>
      <c r="L489">
        <v>59</v>
      </c>
      <c r="N489">
        <v>1</v>
      </c>
      <c r="S489" t="str">
        <f t="shared" si="54"/>
        <v/>
      </c>
    </row>
    <row r="490" spans="1:19" x14ac:dyDescent="0.55000000000000004">
      <c r="A490">
        <v>106</v>
      </c>
      <c r="B490" s="2">
        <v>45603.4375</v>
      </c>
      <c r="C490" t="s">
        <v>215</v>
      </c>
      <c r="D490">
        <v>2</v>
      </c>
      <c r="E490" t="s">
        <v>44</v>
      </c>
      <c r="F490" t="str">
        <f t="shared" si="49"/>
        <v>Gobiomorphus cotidianus</v>
      </c>
      <c r="G490" t="str">
        <f t="shared" si="50"/>
        <v>Common_bully</v>
      </c>
      <c r="H490" t="str">
        <f t="shared" si="51"/>
        <v>Toitoi</v>
      </c>
      <c r="I490" t="str">
        <f t="shared" si="52"/>
        <v>Native</v>
      </c>
      <c r="J490" t="str">
        <f t="shared" si="53"/>
        <v>No</v>
      </c>
      <c r="L490">
        <v>55</v>
      </c>
      <c r="N490">
        <v>1</v>
      </c>
      <c r="S490" t="str">
        <f t="shared" si="54"/>
        <v/>
      </c>
    </row>
    <row r="491" spans="1:19" x14ac:dyDescent="0.55000000000000004">
      <c r="A491">
        <v>106</v>
      </c>
      <c r="B491" s="2">
        <v>45603.4375</v>
      </c>
      <c r="C491" t="s">
        <v>215</v>
      </c>
      <c r="D491">
        <v>2</v>
      </c>
      <c r="E491" t="s">
        <v>44</v>
      </c>
      <c r="F491" t="str">
        <f t="shared" si="49"/>
        <v>Gobiomorphus cotidianus</v>
      </c>
      <c r="G491" t="str">
        <f t="shared" si="50"/>
        <v>Common_bully</v>
      </c>
      <c r="H491" t="str">
        <f t="shared" si="51"/>
        <v>Toitoi</v>
      </c>
      <c r="I491" t="str">
        <f t="shared" si="52"/>
        <v>Native</v>
      </c>
      <c r="J491" t="str">
        <f t="shared" si="53"/>
        <v>No</v>
      </c>
      <c r="L491">
        <v>58</v>
      </c>
      <c r="N491">
        <v>1</v>
      </c>
      <c r="S491" t="str">
        <f t="shared" si="54"/>
        <v/>
      </c>
    </row>
    <row r="492" spans="1:19" x14ac:dyDescent="0.55000000000000004">
      <c r="A492">
        <v>106</v>
      </c>
      <c r="B492" s="2">
        <v>45603.4375</v>
      </c>
      <c r="C492" t="s">
        <v>215</v>
      </c>
      <c r="D492">
        <v>2</v>
      </c>
      <c r="E492" t="s">
        <v>44</v>
      </c>
      <c r="F492" t="str">
        <f t="shared" si="49"/>
        <v>Gobiomorphus cotidianus</v>
      </c>
      <c r="G492" t="str">
        <f t="shared" si="50"/>
        <v>Common_bully</v>
      </c>
      <c r="H492" t="str">
        <f t="shared" si="51"/>
        <v>Toitoi</v>
      </c>
      <c r="I492" t="str">
        <f t="shared" si="52"/>
        <v>Native</v>
      </c>
      <c r="J492" t="str">
        <f t="shared" si="53"/>
        <v>No</v>
      </c>
      <c r="L492">
        <v>50</v>
      </c>
      <c r="N492">
        <v>1</v>
      </c>
      <c r="S492" t="str">
        <f t="shared" si="54"/>
        <v/>
      </c>
    </row>
    <row r="493" spans="1:19" x14ac:dyDescent="0.55000000000000004">
      <c r="A493">
        <v>106</v>
      </c>
      <c r="B493" s="2">
        <v>45603.4375</v>
      </c>
      <c r="C493" t="s">
        <v>215</v>
      </c>
      <c r="D493">
        <v>2</v>
      </c>
      <c r="E493" t="s">
        <v>44</v>
      </c>
      <c r="F493" t="str">
        <f t="shared" si="49"/>
        <v>Gobiomorphus cotidianus</v>
      </c>
      <c r="G493" t="str">
        <f t="shared" si="50"/>
        <v>Common_bully</v>
      </c>
      <c r="H493" t="str">
        <f t="shared" si="51"/>
        <v>Toitoi</v>
      </c>
      <c r="I493" t="str">
        <f t="shared" si="52"/>
        <v>Native</v>
      </c>
      <c r="J493" t="str">
        <f t="shared" si="53"/>
        <v>No</v>
      </c>
      <c r="L493">
        <v>49</v>
      </c>
      <c r="N493">
        <v>1</v>
      </c>
      <c r="S493" t="str">
        <f t="shared" si="54"/>
        <v/>
      </c>
    </row>
    <row r="494" spans="1:19" x14ac:dyDescent="0.55000000000000004">
      <c r="A494">
        <v>106</v>
      </c>
      <c r="B494" s="2">
        <v>45603.4375</v>
      </c>
      <c r="C494" t="s">
        <v>215</v>
      </c>
      <c r="D494">
        <v>2</v>
      </c>
      <c r="E494" t="s">
        <v>44</v>
      </c>
      <c r="F494" t="str">
        <f t="shared" si="49"/>
        <v>Gobiomorphus cotidianus</v>
      </c>
      <c r="G494" t="str">
        <f t="shared" si="50"/>
        <v>Common_bully</v>
      </c>
      <c r="H494" t="str">
        <f t="shared" si="51"/>
        <v>Toitoi</v>
      </c>
      <c r="I494" t="str">
        <f t="shared" si="52"/>
        <v>Native</v>
      </c>
      <c r="J494" t="str">
        <f t="shared" si="53"/>
        <v>No</v>
      </c>
      <c r="L494">
        <v>53</v>
      </c>
      <c r="N494">
        <v>1</v>
      </c>
      <c r="S494" t="str">
        <f t="shared" si="54"/>
        <v/>
      </c>
    </row>
    <row r="495" spans="1:19" x14ac:dyDescent="0.55000000000000004">
      <c r="A495">
        <v>106</v>
      </c>
      <c r="B495" s="2">
        <v>45603.4375</v>
      </c>
      <c r="C495" t="s">
        <v>215</v>
      </c>
      <c r="D495">
        <v>2</v>
      </c>
      <c r="E495" t="s">
        <v>44</v>
      </c>
      <c r="F495" t="str">
        <f t="shared" si="49"/>
        <v>Gobiomorphus cotidianus</v>
      </c>
      <c r="G495" t="str">
        <f t="shared" si="50"/>
        <v>Common_bully</v>
      </c>
      <c r="H495" t="str">
        <f t="shared" si="51"/>
        <v>Toitoi</v>
      </c>
      <c r="I495" t="str">
        <f t="shared" si="52"/>
        <v>Native</v>
      </c>
      <c r="J495" t="str">
        <f t="shared" si="53"/>
        <v>No</v>
      </c>
      <c r="L495">
        <v>32</v>
      </c>
      <c r="N495">
        <v>1</v>
      </c>
      <c r="S495" t="str">
        <f t="shared" si="54"/>
        <v/>
      </c>
    </row>
    <row r="496" spans="1:19" x14ac:dyDescent="0.55000000000000004">
      <c r="A496">
        <v>106</v>
      </c>
      <c r="B496" s="2">
        <v>45603.4375</v>
      </c>
      <c r="C496" t="s">
        <v>215</v>
      </c>
      <c r="D496">
        <v>2</v>
      </c>
      <c r="E496" t="s">
        <v>44</v>
      </c>
      <c r="F496" t="str">
        <f t="shared" si="49"/>
        <v>Gobiomorphus cotidianus</v>
      </c>
      <c r="G496" t="str">
        <f t="shared" si="50"/>
        <v>Common_bully</v>
      </c>
      <c r="H496" t="str">
        <f t="shared" si="51"/>
        <v>Toitoi</v>
      </c>
      <c r="I496" t="str">
        <f t="shared" si="52"/>
        <v>Native</v>
      </c>
      <c r="J496" t="str">
        <f t="shared" si="53"/>
        <v>No</v>
      </c>
      <c r="L496">
        <v>55</v>
      </c>
      <c r="N496">
        <v>1</v>
      </c>
      <c r="S496" t="str">
        <f t="shared" si="54"/>
        <v/>
      </c>
    </row>
    <row r="497" spans="1:19" x14ac:dyDescent="0.55000000000000004">
      <c r="A497">
        <v>106</v>
      </c>
      <c r="B497" s="2">
        <v>45603.4375</v>
      </c>
      <c r="C497" t="s">
        <v>215</v>
      </c>
      <c r="D497">
        <v>2</v>
      </c>
      <c r="E497" t="s">
        <v>44</v>
      </c>
      <c r="F497" t="str">
        <f t="shared" si="49"/>
        <v>Gobiomorphus cotidianus</v>
      </c>
      <c r="G497" t="str">
        <f t="shared" si="50"/>
        <v>Common_bully</v>
      </c>
      <c r="H497" t="str">
        <f t="shared" si="51"/>
        <v>Toitoi</v>
      </c>
      <c r="I497" t="str">
        <f t="shared" si="52"/>
        <v>Native</v>
      </c>
      <c r="J497" t="str">
        <f t="shared" si="53"/>
        <v>No</v>
      </c>
      <c r="L497">
        <v>41</v>
      </c>
      <c r="N497">
        <v>1</v>
      </c>
      <c r="S497" t="str">
        <f t="shared" si="54"/>
        <v/>
      </c>
    </row>
    <row r="498" spans="1:19" x14ac:dyDescent="0.55000000000000004">
      <c r="A498">
        <v>106</v>
      </c>
      <c r="B498" s="2">
        <v>45603.4375</v>
      </c>
      <c r="C498" t="s">
        <v>215</v>
      </c>
      <c r="D498">
        <v>2</v>
      </c>
      <c r="E498" t="s">
        <v>44</v>
      </c>
      <c r="F498" t="str">
        <f t="shared" si="49"/>
        <v>Gobiomorphus cotidianus</v>
      </c>
      <c r="G498" t="str">
        <f t="shared" si="50"/>
        <v>Common_bully</v>
      </c>
      <c r="H498" t="str">
        <f t="shared" si="51"/>
        <v>Toitoi</v>
      </c>
      <c r="I498" t="str">
        <f t="shared" si="52"/>
        <v>Native</v>
      </c>
      <c r="J498" t="str">
        <f t="shared" si="53"/>
        <v>No</v>
      </c>
      <c r="L498">
        <v>61</v>
      </c>
      <c r="N498">
        <v>1</v>
      </c>
      <c r="S498" t="str">
        <f t="shared" si="54"/>
        <v/>
      </c>
    </row>
    <row r="499" spans="1:19" x14ac:dyDescent="0.55000000000000004">
      <c r="A499">
        <v>106</v>
      </c>
      <c r="B499" s="2">
        <v>45603.4375</v>
      </c>
      <c r="C499" t="s">
        <v>215</v>
      </c>
      <c r="D499">
        <v>2</v>
      </c>
      <c r="E499" t="s">
        <v>44</v>
      </c>
      <c r="F499" t="str">
        <f t="shared" si="49"/>
        <v>Gobiomorphus cotidianus</v>
      </c>
      <c r="G499" t="str">
        <f t="shared" si="50"/>
        <v>Common_bully</v>
      </c>
      <c r="H499" t="str">
        <f t="shared" si="51"/>
        <v>Toitoi</v>
      </c>
      <c r="I499" t="str">
        <f t="shared" si="52"/>
        <v>Native</v>
      </c>
      <c r="J499" t="str">
        <f t="shared" si="53"/>
        <v>No</v>
      </c>
      <c r="L499">
        <v>51</v>
      </c>
      <c r="N499">
        <v>1</v>
      </c>
      <c r="S499" t="str">
        <f t="shared" si="54"/>
        <v/>
      </c>
    </row>
    <row r="500" spans="1:19" x14ac:dyDescent="0.55000000000000004">
      <c r="A500">
        <v>106</v>
      </c>
      <c r="B500" s="2">
        <v>45603.4375</v>
      </c>
      <c r="C500" t="s">
        <v>215</v>
      </c>
      <c r="D500">
        <v>2</v>
      </c>
      <c r="E500" t="s">
        <v>44</v>
      </c>
      <c r="F500" t="str">
        <f t="shared" si="49"/>
        <v>Gobiomorphus cotidianus</v>
      </c>
      <c r="G500" t="str">
        <f t="shared" si="50"/>
        <v>Common_bully</v>
      </c>
      <c r="H500" t="str">
        <f t="shared" si="51"/>
        <v>Toitoi</v>
      </c>
      <c r="I500" t="str">
        <f t="shared" si="52"/>
        <v>Native</v>
      </c>
      <c r="J500" t="str">
        <f t="shared" si="53"/>
        <v>No</v>
      </c>
      <c r="L500">
        <v>41</v>
      </c>
      <c r="N500">
        <v>1</v>
      </c>
      <c r="S500" t="str">
        <f t="shared" si="54"/>
        <v/>
      </c>
    </row>
    <row r="501" spans="1:19" x14ac:dyDescent="0.55000000000000004">
      <c r="A501">
        <v>106</v>
      </c>
      <c r="B501" s="2">
        <v>45603.4375</v>
      </c>
      <c r="C501" t="s">
        <v>215</v>
      </c>
      <c r="D501">
        <v>2</v>
      </c>
      <c r="E501" t="s">
        <v>44</v>
      </c>
      <c r="F501" t="str">
        <f t="shared" si="49"/>
        <v>Gobiomorphus cotidianus</v>
      </c>
      <c r="G501" t="str">
        <f t="shared" si="50"/>
        <v>Common_bully</v>
      </c>
      <c r="H501" t="str">
        <f t="shared" si="51"/>
        <v>Toitoi</v>
      </c>
      <c r="I501" t="str">
        <f t="shared" si="52"/>
        <v>Native</v>
      </c>
      <c r="J501" t="str">
        <f t="shared" si="53"/>
        <v>No</v>
      </c>
      <c r="L501">
        <v>57</v>
      </c>
      <c r="N501">
        <v>1</v>
      </c>
      <c r="S501" t="str">
        <f t="shared" si="54"/>
        <v/>
      </c>
    </row>
    <row r="502" spans="1:19" x14ac:dyDescent="0.55000000000000004">
      <c r="A502">
        <v>106</v>
      </c>
      <c r="B502" s="2">
        <v>45603.4375</v>
      </c>
      <c r="C502" t="s">
        <v>215</v>
      </c>
      <c r="D502">
        <v>2</v>
      </c>
      <c r="E502" t="s">
        <v>44</v>
      </c>
      <c r="F502" t="str">
        <f t="shared" si="49"/>
        <v>Gobiomorphus cotidianus</v>
      </c>
      <c r="G502" t="str">
        <f t="shared" si="50"/>
        <v>Common_bully</v>
      </c>
      <c r="H502" t="str">
        <f t="shared" si="51"/>
        <v>Toitoi</v>
      </c>
      <c r="I502" t="str">
        <f t="shared" si="52"/>
        <v>Native</v>
      </c>
      <c r="J502" t="str">
        <f t="shared" si="53"/>
        <v>No</v>
      </c>
      <c r="L502">
        <v>51</v>
      </c>
      <c r="N502">
        <v>1</v>
      </c>
      <c r="S502" t="str">
        <f t="shared" si="54"/>
        <v/>
      </c>
    </row>
    <row r="503" spans="1:19" x14ac:dyDescent="0.55000000000000004">
      <c r="A503">
        <v>106</v>
      </c>
      <c r="B503" s="2">
        <v>45603.4375</v>
      </c>
      <c r="C503" t="s">
        <v>215</v>
      </c>
      <c r="D503">
        <v>2</v>
      </c>
      <c r="E503" t="s">
        <v>44</v>
      </c>
      <c r="F503" t="str">
        <f t="shared" si="49"/>
        <v>Gobiomorphus cotidianus</v>
      </c>
      <c r="G503" t="str">
        <f t="shared" si="50"/>
        <v>Common_bully</v>
      </c>
      <c r="H503" t="str">
        <f t="shared" si="51"/>
        <v>Toitoi</v>
      </c>
      <c r="I503" t="str">
        <f t="shared" si="52"/>
        <v>Native</v>
      </c>
      <c r="J503" t="str">
        <f t="shared" si="53"/>
        <v>No</v>
      </c>
      <c r="L503">
        <v>57</v>
      </c>
      <c r="N503">
        <v>1</v>
      </c>
      <c r="S503" t="str">
        <f t="shared" si="54"/>
        <v/>
      </c>
    </row>
    <row r="504" spans="1:19" x14ac:dyDescent="0.55000000000000004">
      <c r="A504">
        <v>106</v>
      </c>
      <c r="B504" s="2">
        <v>45603.4375</v>
      </c>
      <c r="C504" t="s">
        <v>215</v>
      </c>
      <c r="D504">
        <v>2</v>
      </c>
      <c r="E504" t="s">
        <v>44</v>
      </c>
      <c r="F504" t="str">
        <f t="shared" si="49"/>
        <v>Gobiomorphus cotidianus</v>
      </c>
      <c r="G504" t="str">
        <f t="shared" si="50"/>
        <v>Common_bully</v>
      </c>
      <c r="H504" t="str">
        <f t="shared" si="51"/>
        <v>Toitoi</v>
      </c>
      <c r="I504" t="str">
        <f t="shared" si="52"/>
        <v>Native</v>
      </c>
      <c r="J504" t="str">
        <f t="shared" si="53"/>
        <v>No</v>
      </c>
      <c r="L504">
        <v>38</v>
      </c>
      <c r="N504">
        <v>1</v>
      </c>
      <c r="S504" t="str">
        <f t="shared" si="54"/>
        <v/>
      </c>
    </row>
    <row r="505" spans="1:19" x14ac:dyDescent="0.55000000000000004">
      <c r="A505">
        <v>106</v>
      </c>
      <c r="B505" s="2">
        <v>45603.4375</v>
      </c>
      <c r="C505" t="s">
        <v>215</v>
      </c>
      <c r="D505">
        <v>2</v>
      </c>
      <c r="E505" t="s">
        <v>44</v>
      </c>
      <c r="F505" t="str">
        <f t="shared" si="49"/>
        <v>Gobiomorphus cotidianus</v>
      </c>
      <c r="G505" t="str">
        <f t="shared" si="50"/>
        <v>Common_bully</v>
      </c>
      <c r="H505" t="str">
        <f t="shared" si="51"/>
        <v>Toitoi</v>
      </c>
      <c r="I505" t="str">
        <f t="shared" si="52"/>
        <v>Native</v>
      </c>
      <c r="J505" t="str">
        <f t="shared" si="53"/>
        <v>No</v>
      </c>
      <c r="L505">
        <v>65</v>
      </c>
      <c r="N505">
        <v>1</v>
      </c>
      <c r="S505" t="str">
        <f t="shared" si="54"/>
        <v/>
      </c>
    </row>
    <row r="506" spans="1:19" x14ac:dyDescent="0.55000000000000004">
      <c r="A506">
        <v>106</v>
      </c>
      <c r="B506" s="2">
        <v>45603.4375</v>
      </c>
      <c r="C506" t="s">
        <v>215</v>
      </c>
      <c r="D506">
        <v>2</v>
      </c>
      <c r="E506" t="s">
        <v>44</v>
      </c>
      <c r="F506" t="str">
        <f t="shared" si="49"/>
        <v>Gobiomorphus cotidianus</v>
      </c>
      <c r="G506" t="str">
        <f t="shared" si="50"/>
        <v>Common_bully</v>
      </c>
      <c r="H506" t="str">
        <f t="shared" si="51"/>
        <v>Toitoi</v>
      </c>
      <c r="I506" t="str">
        <f t="shared" si="52"/>
        <v>Native</v>
      </c>
      <c r="J506" t="str">
        <f t="shared" si="53"/>
        <v>No</v>
      </c>
      <c r="L506">
        <v>64</v>
      </c>
      <c r="N506">
        <v>1</v>
      </c>
      <c r="S506" t="str">
        <f t="shared" si="54"/>
        <v/>
      </c>
    </row>
    <row r="507" spans="1:19" x14ac:dyDescent="0.55000000000000004">
      <c r="A507">
        <v>106</v>
      </c>
      <c r="B507" s="2">
        <v>45603.4375</v>
      </c>
      <c r="C507" t="s">
        <v>215</v>
      </c>
      <c r="D507">
        <v>2</v>
      </c>
      <c r="E507" t="s">
        <v>44</v>
      </c>
      <c r="F507" t="str">
        <f t="shared" si="49"/>
        <v>Gobiomorphus cotidianus</v>
      </c>
      <c r="G507" t="str">
        <f t="shared" si="50"/>
        <v>Common_bully</v>
      </c>
      <c r="H507" t="str">
        <f t="shared" si="51"/>
        <v>Toitoi</v>
      </c>
      <c r="I507" t="str">
        <f t="shared" si="52"/>
        <v>Native</v>
      </c>
      <c r="J507" t="str">
        <f t="shared" si="53"/>
        <v>No</v>
      </c>
      <c r="L507">
        <v>62</v>
      </c>
      <c r="N507">
        <v>1</v>
      </c>
      <c r="S507" t="str">
        <f t="shared" si="54"/>
        <v/>
      </c>
    </row>
    <row r="508" spans="1:19" x14ac:dyDescent="0.55000000000000004">
      <c r="A508">
        <v>106</v>
      </c>
      <c r="B508" s="2">
        <v>45603.4375</v>
      </c>
      <c r="C508" t="s">
        <v>215</v>
      </c>
      <c r="D508">
        <v>2</v>
      </c>
      <c r="E508" t="s">
        <v>44</v>
      </c>
      <c r="F508" t="str">
        <f t="shared" si="49"/>
        <v>Gobiomorphus cotidianus</v>
      </c>
      <c r="G508" t="str">
        <f t="shared" si="50"/>
        <v>Common_bully</v>
      </c>
      <c r="H508" t="str">
        <f t="shared" si="51"/>
        <v>Toitoi</v>
      </c>
      <c r="I508" t="str">
        <f t="shared" si="52"/>
        <v>Native</v>
      </c>
      <c r="J508" t="str">
        <f t="shared" si="53"/>
        <v>No</v>
      </c>
      <c r="L508">
        <v>27</v>
      </c>
      <c r="N508">
        <v>1</v>
      </c>
      <c r="S508" t="str">
        <f t="shared" si="54"/>
        <v/>
      </c>
    </row>
    <row r="509" spans="1:19" x14ac:dyDescent="0.55000000000000004">
      <c r="A509">
        <v>106</v>
      </c>
      <c r="B509" s="2">
        <v>45603.4375</v>
      </c>
      <c r="C509" t="s">
        <v>215</v>
      </c>
      <c r="D509">
        <v>2</v>
      </c>
      <c r="E509" t="s">
        <v>44</v>
      </c>
      <c r="F509" t="str">
        <f t="shared" si="49"/>
        <v>Gobiomorphus cotidianus</v>
      </c>
      <c r="G509" t="str">
        <f t="shared" si="50"/>
        <v>Common_bully</v>
      </c>
      <c r="H509" t="str">
        <f t="shared" si="51"/>
        <v>Toitoi</v>
      </c>
      <c r="I509" t="str">
        <f t="shared" si="52"/>
        <v>Native</v>
      </c>
      <c r="J509" t="str">
        <f t="shared" si="53"/>
        <v>No</v>
      </c>
      <c r="L509">
        <v>38</v>
      </c>
      <c r="N509">
        <v>1</v>
      </c>
      <c r="S509" t="str">
        <f t="shared" si="54"/>
        <v/>
      </c>
    </row>
    <row r="510" spans="1:19" x14ac:dyDescent="0.55000000000000004">
      <c r="A510">
        <v>106</v>
      </c>
      <c r="B510" s="2">
        <v>45603.4375</v>
      </c>
      <c r="C510" t="s">
        <v>215</v>
      </c>
      <c r="D510">
        <v>2</v>
      </c>
      <c r="E510" t="s">
        <v>44</v>
      </c>
      <c r="F510" t="str">
        <f t="shared" si="49"/>
        <v>Gobiomorphus cotidianus</v>
      </c>
      <c r="G510" t="str">
        <f t="shared" si="50"/>
        <v>Common_bully</v>
      </c>
      <c r="H510" t="str">
        <f t="shared" si="51"/>
        <v>Toitoi</v>
      </c>
      <c r="I510" t="str">
        <f t="shared" si="52"/>
        <v>Native</v>
      </c>
      <c r="J510" t="str">
        <f t="shared" si="53"/>
        <v>No</v>
      </c>
      <c r="L510">
        <v>55</v>
      </c>
      <c r="N510">
        <v>1</v>
      </c>
      <c r="S510" t="str">
        <f t="shared" si="54"/>
        <v/>
      </c>
    </row>
    <row r="511" spans="1:19" x14ac:dyDescent="0.55000000000000004">
      <c r="A511">
        <v>106</v>
      </c>
      <c r="B511" s="2">
        <v>45603.4375</v>
      </c>
      <c r="C511" t="s">
        <v>215</v>
      </c>
      <c r="D511">
        <v>2</v>
      </c>
      <c r="E511" t="s">
        <v>44</v>
      </c>
      <c r="F511" t="str">
        <f t="shared" si="49"/>
        <v>Gobiomorphus cotidianus</v>
      </c>
      <c r="G511" t="str">
        <f t="shared" si="50"/>
        <v>Common_bully</v>
      </c>
      <c r="H511" t="str">
        <f t="shared" si="51"/>
        <v>Toitoi</v>
      </c>
      <c r="I511" t="str">
        <f t="shared" si="52"/>
        <v>Native</v>
      </c>
      <c r="J511" t="str">
        <f t="shared" si="53"/>
        <v>No</v>
      </c>
      <c r="L511">
        <v>35</v>
      </c>
      <c r="N511">
        <v>1</v>
      </c>
      <c r="S511" t="str">
        <f t="shared" si="54"/>
        <v/>
      </c>
    </row>
    <row r="512" spans="1:19" x14ac:dyDescent="0.55000000000000004">
      <c r="A512">
        <v>106</v>
      </c>
      <c r="B512" s="2">
        <v>45603.4375</v>
      </c>
      <c r="C512" t="s">
        <v>215</v>
      </c>
      <c r="D512">
        <v>2</v>
      </c>
      <c r="E512" t="s">
        <v>44</v>
      </c>
      <c r="F512" t="str">
        <f t="shared" si="49"/>
        <v>Gobiomorphus cotidianus</v>
      </c>
      <c r="G512" t="str">
        <f t="shared" si="50"/>
        <v>Common_bully</v>
      </c>
      <c r="H512" t="str">
        <f t="shared" si="51"/>
        <v>Toitoi</v>
      </c>
      <c r="I512" t="str">
        <f t="shared" si="52"/>
        <v>Native</v>
      </c>
      <c r="J512" t="str">
        <f t="shared" si="53"/>
        <v>No</v>
      </c>
      <c r="L512">
        <v>52</v>
      </c>
      <c r="N512">
        <v>1</v>
      </c>
      <c r="S512" t="str">
        <f t="shared" si="54"/>
        <v/>
      </c>
    </row>
    <row r="513" spans="1:19" x14ac:dyDescent="0.55000000000000004">
      <c r="A513">
        <v>106</v>
      </c>
      <c r="B513" s="2">
        <v>45603.4375</v>
      </c>
      <c r="C513" t="s">
        <v>215</v>
      </c>
      <c r="D513">
        <v>2</v>
      </c>
      <c r="E513" t="s">
        <v>44</v>
      </c>
      <c r="F513" t="str">
        <f t="shared" si="49"/>
        <v>Gobiomorphus cotidianus</v>
      </c>
      <c r="G513" t="str">
        <f t="shared" si="50"/>
        <v>Common_bully</v>
      </c>
      <c r="H513" t="str">
        <f t="shared" si="51"/>
        <v>Toitoi</v>
      </c>
      <c r="I513" t="str">
        <f t="shared" si="52"/>
        <v>Native</v>
      </c>
      <c r="J513" t="str">
        <f t="shared" si="53"/>
        <v>No</v>
      </c>
      <c r="L513">
        <v>43</v>
      </c>
      <c r="N513">
        <v>1</v>
      </c>
      <c r="S513" t="str">
        <f t="shared" si="54"/>
        <v/>
      </c>
    </row>
    <row r="514" spans="1:19" x14ac:dyDescent="0.55000000000000004">
      <c r="A514">
        <v>106</v>
      </c>
      <c r="B514" s="2">
        <v>45603.4375</v>
      </c>
      <c r="C514" t="s">
        <v>215</v>
      </c>
      <c r="D514">
        <v>2</v>
      </c>
      <c r="E514" t="s">
        <v>44</v>
      </c>
      <c r="F514" t="str">
        <f t="shared" ref="F514:F577" si="55">VLOOKUP($E514, $V$1:$AA$9, 2, FALSE)</f>
        <v>Gobiomorphus cotidianus</v>
      </c>
      <c r="G514" t="str">
        <f t="shared" ref="G514:G577" si="56">VLOOKUP($E514, $V$1:$AA$9, 3, FALSE)</f>
        <v>Common_bully</v>
      </c>
      <c r="H514" t="str">
        <f t="shared" ref="H514:H577" si="57">VLOOKUP($E514, $V$1:$AA$9, 4, FALSE)</f>
        <v>Toitoi</v>
      </c>
      <c r="I514" t="str">
        <f t="shared" ref="I514:I577" si="58">VLOOKUP($E514, $V$1:$AB$9, 5, FALSE)</f>
        <v>Native</v>
      </c>
      <c r="J514" t="str">
        <f t="shared" ref="J514:J577" si="59">VLOOKUP($E514, $V$1:$AA$9, 6, FALSE)</f>
        <v>No</v>
      </c>
      <c r="L514">
        <v>67</v>
      </c>
      <c r="N514">
        <v>1</v>
      </c>
      <c r="S514" t="str">
        <f t="shared" si="54"/>
        <v/>
      </c>
    </row>
    <row r="515" spans="1:19" x14ac:dyDescent="0.55000000000000004">
      <c r="A515">
        <v>106</v>
      </c>
      <c r="B515" s="2">
        <v>45603.4375</v>
      </c>
      <c r="C515" t="s">
        <v>215</v>
      </c>
      <c r="D515">
        <v>2</v>
      </c>
      <c r="E515" t="s">
        <v>44</v>
      </c>
      <c r="F515" t="str">
        <f t="shared" si="55"/>
        <v>Gobiomorphus cotidianus</v>
      </c>
      <c r="G515" t="str">
        <f t="shared" si="56"/>
        <v>Common_bully</v>
      </c>
      <c r="H515" t="str">
        <f t="shared" si="57"/>
        <v>Toitoi</v>
      </c>
      <c r="I515" t="str">
        <f t="shared" si="58"/>
        <v>Native</v>
      </c>
      <c r="J515" t="str">
        <f t="shared" si="59"/>
        <v>No</v>
      </c>
      <c r="L515">
        <v>50</v>
      </c>
      <c r="N515">
        <v>1</v>
      </c>
      <c r="S515" t="str">
        <f t="shared" ref="S515:S578" si="60">IF(R515&lt;&gt;"", R515*236.588, "")</f>
        <v/>
      </c>
    </row>
    <row r="516" spans="1:19" x14ac:dyDescent="0.55000000000000004">
      <c r="A516">
        <v>106</v>
      </c>
      <c r="B516" s="2">
        <v>45603.4375</v>
      </c>
      <c r="C516" t="s">
        <v>215</v>
      </c>
      <c r="D516">
        <v>2</v>
      </c>
      <c r="E516" t="s">
        <v>44</v>
      </c>
      <c r="F516" t="str">
        <f t="shared" si="55"/>
        <v>Gobiomorphus cotidianus</v>
      </c>
      <c r="G516" t="str">
        <f t="shared" si="56"/>
        <v>Common_bully</v>
      </c>
      <c r="H516" t="str">
        <f t="shared" si="57"/>
        <v>Toitoi</v>
      </c>
      <c r="I516" t="str">
        <f t="shared" si="58"/>
        <v>Native</v>
      </c>
      <c r="J516" t="str">
        <f t="shared" si="59"/>
        <v>No</v>
      </c>
      <c r="L516">
        <v>38</v>
      </c>
      <c r="N516">
        <v>1</v>
      </c>
      <c r="S516" t="str">
        <f t="shared" si="60"/>
        <v/>
      </c>
    </row>
    <row r="517" spans="1:19" x14ac:dyDescent="0.55000000000000004">
      <c r="A517">
        <v>106</v>
      </c>
      <c r="B517" s="2">
        <v>45603.4375</v>
      </c>
      <c r="C517" t="s">
        <v>215</v>
      </c>
      <c r="D517">
        <v>2</v>
      </c>
      <c r="E517" t="s">
        <v>44</v>
      </c>
      <c r="F517" t="str">
        <f t="shared" si="55"/>
        <v>Gobiomorphus cotidianus</v>
      </c>
      <c r="G517" t="str">
        <f t="shared" si="56"/>
        <v>Common_bully</v>
      </c>
      <c r="H517" t="str">
        <f t="shared" si="57"/>
        <v>Toitoi</v>
      </c>
      <c r="I517" t="str">
        <f t="shared" si="58"/>
        <v>Native</v>
      </c>
      <c r="J517" t="str">
        <f t="shared" si="59"/>
        <v>No</v>
      </c>
      <c r="L517">
        <v>40</v>
      </c>
      <c r="N517">
        <v>1</v>
      </c>
      <c r="S517" t="str">
        <f t="shared" si="60"/>
        <v/>
      </c>
    </row>
    <row r="518" spans="1:19" x14ac:dyDescent="0.55000000000000004">
      <c r="A518">
        <v>106</v>
      </c>
      <c r="B518" s="2">
        <v>45603.4375</v>
      </c>
      <c r="C518" t="s">
        <v>215</v>
      </c>
      <c r="D518">
        <v>2</v>
      </c>
      <c r="E518" t="s">
        <v>44</v>
      </c>
      <c r="F518" t="str">
        <f t="shared" si="55"/>
        <v>Gobiomorphus cotidianus</v>
      </c>
      <c r="G518" t="str">
        <f t="shared" si="56"/>
        <v>Common_bully</v>
      </c>
      <c r="H518" t="str">
        <f t="shared" si="57"/>
        <v>Toitoi</v>
      </c>
      <c r="I518" t="str">
        <f t="shared" si="58"/>
        <v>Native</v>
      </c>
      <c r="J518" t="str">
        <f t="shared" si="59"/>
        <v>No</v>
      </c>
      <c r="L518">
        <v>57</v>
      </c>
      <c r="N518">
        <v>1</v>
      </c>
      <c r="S518" t="str">
        <f t="shared" si="60"/>
        <v/>
      </c>
    </row>
    <row r="519" spans="1:19" x14ac:dyDescent="0.55000000000000004">
      <c r="A519">
        <v>106</v>
      </c>
      <c r="B519" s="2">
        <v>45603.4375</v>
      </c>
      <c r="C519" t="s">
        <v>215</v>
      </c>
      <c r="D519">
        <v>2</v>
      </c>
      <c r="E519" t="s">
        <v>44</v>
      </c>
      <c r="F519" t="str">
        <f t="shared" si="55"/>
        <v>Gobiomorphus cotidianus</v>
      </c>
      <c r="G519" t="str">
        <f t="shared" si="56"/>
        <v>Common_bully</v>
      </c>
      <c r="H519" t="str">
        <f t="shared" si="57"/>
        <v>Toitoi</v>
      </c>
      <c r="I519" t="str">
        <f t="shared" si="58"/>
        <v>Native</v>
      </c>
      <c r="J519" t="str">
        <f t="shared" si="59"/>
        <v>No</v>
      </c>
      <c r="M519">
        <v>195</v>
      </c>
      <c r="R519">
        <v>1</v>
      </c>
      <c r="S519">
        <f t="shared" si="60"/>
        <v>236.58799999999999</v>
      </c>
    </row>
    <row r="520" spans="1:19" x14ac:dyDescent="0.55000000000000004">
      <c r="A520">
        <v>106</v>
      </c>
      <c r="B520" s="2">
        <v>45603.4375</v>
      </c>
      <c r="C520" t="s">
        <v>215</v>
      </c>
      <c r="D520">
        <v>2</v>
      </c>
      <c r="E520" t="s">
        <v>44</v>
      </c>
      <c r="F520" t="str">
        <f t="shared" si="55"/>
        <v>Gobiomorphus cotidianus</v>
      </c>
      <c r="G520" t="str">
        <f t="shared" si="56"/>
        <v>Common_bully</v>
      </c>
      <c r="H520" t="str">
        <f t="shared" si="57"/>
        <v>Toitoi</v>
      </c>
      <c r="I520" t="str">
        <f t="shared" si="58"/>
        <v>Native</v>
      </c>
      <c r="J520" t="str">
        <f t="shared" si="59"/>
        <v>No</v>
      </c>
      <c r="M520">
        <v>183</v>
      </c>
      <c r="R520">
        <v>1</v>
      </c>
      <c r="S520">
        <f t="shared" si="60"/>
        <v>236.58799999999999</v>
      </c>
    </row>
    <row r="521" spans="1:19" x14ac:dyDescent="0.55000000000000004">
      <c r="A521">
        <v>106</v>
      </c>
      <c r="B521" s="2">
        <v>45603.4375</v>
      </c>
      <c r="C521" t="s">
        <v>215</v>
      </c>
      <c r="D521">
        <v>2</v>
      </c>
      <c r="E521" t="s">
        <v>44</v>
      </c>
      <c r="F521" t="str">
        <f t="shared" si="55"/>
        <v>Gobiomorphus cotidianus</v>
      </c>
      <c r="G521" t="str">
        <f t="shared" si="56"/>
        <v>Common_bully</v>
      </c>
      <c r="H521" t="str">
        <f t="shared" si="57"/>
        <v>Toitoi</v>
      </c>
      <c r="I521" t="str">
        <f t="shared" si="58"/>
        <v>Native</v>
      </c>
      <c r="J521" t="str">
        <f t="shared" si="59"/>
        <v>No</v>
      </c>
      <c r="M521">
        <v>159</v>
      </c>
      <c r="R521">
        <v>1</v>
      </c>
      <c r="S521">
        <f t="shared" si="60"/>
        <v>236.58799999999999</v>
      </c>
    </row>
    <row r="522" spans="1:19" x14ac:dyDescent="0.55000000000000004">
      <c r="A522">
        <v>106</v>
      </c>
      <c r="B522" s="2">
        <v>45603.4375</v>
      </c>
      <c r="C522" t="s">
        <v>215</v>
      </c>
      <c r="D522">
        <v>2</v>
      </c>
      <c r="E522" t="s">
        <v>44</v>
      </c>
      <c r="F522" t="str">
        <f t="shared" si="55"/>
        <v>Gobiomorphus cotidianus</v>
      </c>
      <c r="G522" t="str">
        <f t="shared" si="56"/>
        <v>Common_bully</v>
      </c>
      <c r="H522" t="str">
        <f t="shared" si="57"/>
        <v>Toitoi</v>
      </c>
      <c r="I522" t="str">
        <f t="shared" si="58"/>
        <v>Native</v>
      </c>
      <c r="J522" t="str">
        <f t="shared" si="59"/>
        <v>No</v>
      </c>
      <c r="M522">
        <v>110</v>
      </c>
      <c r="R522">
        <v>0.5</v>
      </c>
      <c r="S522">
        <f t="shared" si="60"/>
        <v>118.294</v>
      </c>
    </row>
    <row r="523" spans="1:19" x14ac:dyDescent="0.55000000000000004">
      <c r="A523">
        <v>106</v>
      </c>
      <c r="B523" s="2">
        <v>45603.4375</v>
      </c>
      <c r="C523" t="s">
        <v>215</v>
      </c>
      <c r="D523">
        <v>2</v>
      </c>
      <c r="E523" t="s">
        <v>49</v>
      </c>
      <c r="F523" t="str">
        <f t="shared" si="55"/>
        <v>Paranephrops planifrons</v>
      </c>
      <c r="G523" t="str">
        <f t="shared" si="56"/>
        <v>Freshwater_crayfish</v>
      </c>
      <c r="H523" t="str">
        <f t="shared" si="57"/>
        <v>Kōura</v>
      </c>
      <c r="I523" t="str">
        <f t="shared" si="58"/>
        <v>Native</v>
      </c>
      <c r="J523" t="str">
        <f t="shared" si="59"/>
        <v>Yes</v>
      </c>
      <c r="K523" t="s">
        <v>48</v>
      </c>
      <c r="L523">
        <v>15</v>
      </c>
      <c r="M523">
        <v>2</v>
      </c>
      <c r="N523">
        <v>1</v>
      </c>
      <c r="S523" t="str">
        <f t="shared" si="60"/>
        <v/>
      </c>
    </row>
    <row r="524" spans="1:19" x14ac:dyDescent="0.55000000000000004">
      <c r="A524">
        <v>106</v>
      </c>
      <c r="B524" s="2">
        <v>45603.4375</v>
      </c>
      <c r="C524" t="s">
        <v>215</v>
      </c>
      <c r="D524">
        <v>2</v>
      </c>
      <c r="E524" t="s">
        <v>49</v>
      </c>
      <c r="F524" t="str">
        <f t="shared" si="55"/>
        <v>Paranephrops planifrons</v>
      </c>
      <c r="G524" t="str">
        <f t="shared" si="56"/>
        <v>Freshwater_crayfish</v>
      </c>
      <c r="H524" t="str">
        <f t="shared" si="57"/>
        <v>Kōura</v>
      </c>
      <c r="I524" t="str">
        <f t="shared" si="58"/>
        <v>Native</v>
      </c>
      <c r="J524" t="str">
        <f t="shared" si="59"/>
        <v>Yes</v>
      </c>
      <c r="K524" t="s">
        <v>48</v>
      </c>
      <c r="L524">
        <v>15</v>
      </c>
      <c r="M524">
        <v>3</v>
      </c>
      <c r="N524">
        <v>1</v>
      </c>
      <c r="S524" t="str">
        <f t="shared" si="60"/>
        <v/>
      </c>
    </row>
    <row r="525" spans="1:19" x14ac:dyDescent="0.55000000000000004">
      <c r="A525">
        <v>106</v>
      </c>
      <c r="B525" s="2">
        <v>45603.4375</v>
      </c>
      <c r="C525" t="s">
        <v>215</v>
      </c>
      <c r="D525">
        <v>2</v>
      </c>
      <c r="E525" t="s">
        <v>49</v>
      </c>
      <c r="F525" t="str">
        <f t="shared" si="55"/>
        <v>Paranephrops planifrons</v>
      </c>
      <c r="G525" t="str">
        <f t="shared" si="56"/>
        <v>Freshwater_crayfish</v>
      </c>
      <c r="H525" t="str">
        <f t="shared" si="57"/>
        <v>Kōura</v>
      </c>
      <c r="I525" t="str">
        <f t="shared" si="58"/>
        <v>Native</v>
      </c>
      <c r="J525" t="str">
        <f t="shared" si="59"/>
        <v>Yes</v>
      </c>
      <c r="K525" t="s">
        <v>48</v>
      </c>
      <c r="L525">
        <v>15</v>
      </c>
      <c r="M525">
        <v>4</v>
      </c>
      <c r="N525">
        <v>1</v>
      </c>
      <c r="S525" t="str">
        <f t="shared" si="60"/>
        <v/>
      </c>
    </row>
    <row r="526" spans="1:19" x14ac:dyDescent="0.55000000000000004">
      <c r="A526">
        <v>106</v>
      </c>
      <c r="B526" s="2">
        <v>45603.4375</v>
      </c>
      <c r="C526" t="s">
        <v>215</v>
      </c>
      <c r="D526">
        <v>2</v>
      </c>
      <c r="E526" t="s">
        <v>44</v>
      </c>
      <c r="F526" t="str">
        <f t="shared" si="55"/>
        <v>Gobiomorphus cotidianus</v>
      </c>
      <c r="G526" t="str">
        <f t="shared" si="56"/>
        <v>Common_bully</v>
      </c>
      <c r="H526" t="str">
        <f t="shared" si="57"/>
        <v>Toitoi</v>
      </c>
      <c r="I526" t="str">
        <f t="shared" si="58"/>
        <v>Native</v>
      </c>
      <c r="J526" t="str">
        <f t="shared" si="59"/>
        <v>No</v>
      </c>
      <c r="M526">
        <v>206</v>
      </c>
      <c r="R526">
        <v>1</v>
      </c>
      <c r="S526">
        <f t="shared" si="60"/>
        <v>236.58799999999999</v>
      </c>
    </row>
    <row r="527" spans="1:19" x14ac:dyDescent="0.55000000000000004">
      <c r="A527">
        <v>106</v>
      </c>
      <c r="B527" s="2">
        <v>45603.4375</v>
      </c>
      <c r="C527" t="s">
        <v>215</v>
      </c>
      <c r="D527">
        <v>2</v>
      </c>
      <c r="E527" t="s">
        <v>44</v>
      </c>
      <c r="F527" t="str">
        <f t="shared" si="55"/>
        <v>Gobiomorphus cotidianus</v>
      </c>
      <c r="G527" t="str">
        <f t="shared" si="56"/>
        <v>Common_bully</v>
      </c>
      <c r="H527" t="str">
        <f t="shared" si="57"/>
        <v>Toitoi</v>
      </c>
      <c r="I527" t="str">
        <f t="shared" si="58"/>
        <v>Native</v>
      </c>
      <c r="J527" t="str">
        <f t="shared" si="59"/>
        <v>No</v>
      </c>
      <c r="M527">
        <v>231</v>
      </c>
      <c r="R527">
        <v>1</v>
      </c>
      <c r="S527">
        <f t="shared" si="60"/>
        <v>236.58799999999999</v>
      </c>
    </row>
    <row r="528" spans="1:19" x14ac:dyDescent="0.55000000000000004">
      <c r="A528">
        <v>107</v>
      </c>
      <c r="B528" s="2">
        <v>45604.388888888891</v>
      </c>
      <c r="C528" t="s">
        <v>216</v>
      </c>
      <c r="D528">
        <v>2</v>
      </c>
      <c r="E528" t="s">
        <v>49</v>
      </c>
      <c r="F528" t="str">
        <f t="shared" si="55"/>
        <v>Paranephrops planifrons</v>
      </c>
      <c r="G528" t="str">
        <f t="shared" si="56"/>
        <v>Freshwater_crayfish</v>
      </c>
      <c r="H528" t="str">
        <f t="shared" si="57"/>
        <v>Kōura</v>
      </c>
      <c r="I528" t="str">
        <f t="shared" si="58"/>
        <v>Native</v>
      </c>
      <c r="J528" t="str">
        <f t="shared" si="59"/>
        <v>Yes</v>
      </c>
      <c r="K528" t="s">
        <v>48</v>
      </c>
      <c r="L528">
        <v>33.64</v>
      </c>
      <c r="N528">
        <v>1</v>
      </c>
      <c r="S528" t="str">
        <f t="shared" si="60"/>
        <v/>
      </c>
    </row>
    <row r="529" spans="1:19" x14ac:dyDescent="0.55000000000000004">
      <c r="A529">
        <v>107</v>
      </c>
      <c r="B529" s="2">
        <v>45604.388888888891</v>
      </c>
      <c r="C529" t="s">
        <v>216</v>
      </c>
      <c r="D529">
        <v>2</v>
      </c>
      <c r="E529" t="s">
        <v>44</v>
      </c>
      <c r="F529" t="str">
        <f t="shared" si="55"/>
        <v>Gobiomorphus cotidianus</v>
      </c>
      <c r="G529" t="str">
        <f t="shared" si="56"/>
        <v>Common_bully</v>
      </c>
      <c r="H529" t="str">
        <f t="shared" si="57"/>
        <v>Toitoi</v>
      </c>
      <c r="I529" t="str">
        <f t="shared" si="58"/>
        <v>Native</v>
      </c>
      <c r="J529" t="str">
        <f t="shared" si="59"/>
        <v>No</v>
      </c>
      <c r="L529">
        <v>50</v>
      </c>
      <c r="N529">
        <v>1</v>
      </c>
      <c r="S529" t="str">
        <f t="shared" si="60"/>
        <v/>
      </c>
    </row>
    <row r="530" spans="1:19" x14ac:dyDescent="0.55000000000000004">
      <c r="A530">
        <v>107</v>
      </c>
      <c r="B530" s="2">
        <v>45604.388888888891</v>
      </c>
      <c r="C530" t="s">
        <v>215</v>
      </c>
      <c r="D530">
        <v>2</v>
      </c>
      <c r="E530" t="s">
        <v>44</v>
      </c>
      <c r="F530" t="str">
        <f t="shared" si="55"/>
        <v>Gobiomorphus cotidianus</v>
      </c>
      <c r="G530" t="str">
        <f t="shared" si="56"/>
        <v>Common_bully</v>
      </c>
      <c r="H530" t="str">
        <f t="shared" si="57"/>
        <v>Toitoi</v>
      </c>
      <c r="I530" t="str">
        <f t="shared" si="58"/>
        <v>Native</v>
      </c>
      <c r="J530" t="str">
        <f t="shared" si="59"/>
        <v>No</v>
      </c>
      <c r="L530">
        <v>68</v>
      </c>
      <c r="N530">
        <v>1</v>
      </c>
      <c r="S530" t="str">
        <f t="shared" si="60"/>
        <v/>
      </c>
    </row>
    <row r="531" spans="1:19" x14ac:dyDescent="0.55000000000000004">
      <c r="A531">
        <v>107</v>
      </c>
      <c r="B531" s="2">
        <v>45604.388888888891</v>
      </c>
      <c r="C531" t="s">
        <v>215</v>
      </c>
      <c r="D531">
        <v>2</v>
      </c>
      <c r="E531" t="s">
        <v>44</v>
      </c>
      <c r="F531" t="str">
        <f t="shared" si="55"/>
        <v>Gobiomorphus cotidianus</v>
      </c>
      <c r="G531" t="str">
        <f t="shared" si="56"/>
        <v>Common_bully</v>
      </c>
      <c r="H531" t="str">
        <f t="shared" si="57"/>
        <v>Toitoi</v>
      </c>
      <c r="I531" t="str">
        <f t="shared" si="58"/>
        <v>Native</v>
      </c>
      <c r="J531" t="str">
        <f t="shared" si="59"/>
        <v>No</v>
      </c>
      <c r="L531">
        <v>64</v>
      </c>
      <c r="N531">
        <v>1</v>
      </c>
      <c r="S531" t="str">
        <f t="shared" si="60"/>
        <v/>
      </c>
    </row>
    <row r="532" spans="1:19" x14ac:dyDescent="0.55000000000000004">
      <c r="A532">
        <v>107</v>
      </c>
      <c r="B532" s="2">
        <v>45604.388888888891</v>
      </c>
      <c r="C532" t="s">
        <v>215</v>
      </c>
      <c r="D532">
        <v>2</v>
      </c>
      <c r="E532" t="s">
        <v>44</v>
      </c>
      <c r="F532" t="str">
        <f t="shared" si="55"/>
        <v>Gobiomorphus cotidianus</v>
      </c>
      <c r="G532" t="str">
        <f t="shared" si="56"/>
        <v>Common_bully</v>
      </c>
      <c r="H532" t="str">
        <f t="shared" si="57"/>
        <v>Toitoi</v>
      </c>
      <c r="I532" t="str">
        <f t="shared" si="58"/>
        <v>Native</v>
      </c>
      <c r="J532" t="str">
        <f t="shared" si="59"/>
        <v>No</v>
      </c>
      <c r="L532">
        <v>65</v>
      </c>
      <c r="N532">
        <v>1</v>
      </c>
      <c r="S532" t="str">
        <f t="shared" si="60"/>
        <v/>
      </c>
    </row>
    <row r="533" spans="1:19" x14ac:dyDescent="0.55000000000000004">
      <c r="A533">
        <v>107</v>
      </c>
      <c r="B533" s="2">
        <v>45604.388888888891</v>
      </c>
      <c r="C533" t="s">
        <v>215</v>
      </c>
      <c r="D533">
        <v>2</v>
      </c>
      <c r="E533" t="s">
        <v>44</v>
      </c>
      <c r="F533" t="str">
        <f t="shared" si="55"/>
        <v>Gobiomorphus cotidianus</v>
      </c>
      <c r="G533" t="str">
        <f t="shared" si="56"/>
        <v>Common_bully</v>
      </c>
      <c r="H533" t="str">
        <f t="shared" si="57"/>
        <v>Toitoi</v>
      </c>
      <c r="I533" t="str">
        <f t="shared" si="58"/>
        <v>Native</v>
      </c>
      <c r="J533" t="str">
        <f t="shared" si="59"/>
        <v>No</v>
      </c>
      <c r="L533">
        <v>49</v>
      </c>
      <c r="N533">
        <v>1</v>
      </c>
      <c r="S533" t="str">
        <f t="shared" si="60"/>
        <v/>
      </c>
    </row>
    <row r="534" spans="1:19" x14ac:dyDescent="0.55000000000000004">
      <c r="A534">
        <v>107</v>
      </c>
      <c r="B534" s="2">
        <v>45604.388888888891</v>
      </c>
      <c r="C534" t="s">
        <v>215</v>
      </c>
      <c r="D534">
        <v>2</v>
      </c>
      <c r="E534" t="s">
        <v>44</v>
      </c>
      <c r="F534" t="str">
        <f t="shared" si="55"/>
        <v>Gobiomorphus cotidianus</v>
      </c>
      <c r="G534" t="str">
        <f t="shared" si="56"/>
        <v>Common_bully</v>
      </c>
      <c r="H534" t="str">
        <f t="shared" si="57"/>
        <v>Toitoi</v>
      </c>
      <c r="I534" t="str">
        <f t="shared" si="58"/>
        <v>Native</v>
      </c>
      <c r="J534" t="str">
        <f t="shared" si="59"/>
        <v>No</v>
      </c>
      <c r="L534">
        <v>48</v>
      </c>
      <c r="N534">
        <v>1</v>
      </c>
      <c r="S534" t="str">
        <f t="shared" si="60"/>
        <v/>
      </c>
    </row>
    <row r="535" spans="1:19" x14ac:dyDescent="0.55000000000000004">
      <c r="A535">
        <v>107</v>
      </c>
      <c r="B535" s="2">
        <v>45604.388888888891</v>
      </c>
      <c r="C535" t="s">
        <v>215</v>
      </c>
      <c r="D535">
        <v>2</v>
      </c>
      <c r="E535" t="s">
        <v>44</v>
      </c>
      <c r="F535" t="str">
        <f t="shared" si="55"/>
        <v>Gobiomorphus cotidianus</v>
      </c>
      <c r="G535" t="str">
        <f t="shared" si="56"/>
        <v>Common_bully</v>
      </c>
      <c r="H535" t="str">
        <f t="shared" si="57"/>
        <v>Toitoi</v>
      </c>
      <c r="I535" t="str">
        <f t="shared" si="58"/>
        <v>Native</v>
      </c>
      <c r="J535" t="str">
        <f t="shared" si="59"/>
        <v>No</v>
      </c>
      <c r="L535">
        <v>50</v>
      </c>
      <c r="N535">
        <v>1</v>
      </c>
      <c r="S535" t="str">
        <f t="shared" si="60"/>
        <v/>
      </c>
    </row>
    <row r="536" spans="1:19" x14ac:dyDescent="0.55000000000000004">
      <c r="A536">
        <v>107</v>
      </c>
      <c r="B536" s="2">
        <v>45604.388888888891</v>
      </c>
      <c r="C536" t="s">
        <v>215</v>
      </c>
      <c r="D536">
        <v>2</v>
      </c>
      <c r="E536" t="s">
        <v>44</v>
      </c>
      <c r="F536" t="str">
        <f t="shared" si="55"/>
        <v>Gobiomorphus cotidianus</v>
      </c>
      <c r="G536" t="str">
        <f t="shared" si="56"/>
        <v>Common_bully</v>
      </c>
      <c r="H536" t="str">
        <f t="shared" si="57"/>
        <v>Toitoi</v>
      </c>
      <c r="I536" t="str">
        <f t="shared" si="58"/>
        <v>Native</v>
      </c>
      <c r="J536" t="str">
        <f t="shared" si="59"/>
        <v>No</v>
      </c>
      <c r="L536">
        <v>55</v>
      </c>
      <c r="N536">
        <v>1</v>
      </c>
      <c r="S536" t="str">
        <f t="shared" si="60"/>
        <v/>
      </c>
    </row>
    <row r="537" spans="1:19" x14ac:dyDescent="0.55000000000000004">
      <c r="A537">
        <v>107</v>
      </c>
      <c r="B537" s="2">
        <v>45604.388888888891</v>
      </c>
      <c r="C537" t="s">
        <v>215</v>
      </c>
      <c r="D537">
        <v>2</v>
      </c>
      <c r="E537" t="s">
        <v>44</v>
      </c>
      <c r="F537" t="str">
        <f t="shared" si="55"/>
        <v>Gobiomorphus cotidianus</v>
      </c>
      <c r="G537" t="str">
        <f t="shared" si="56"/>
        <v>Common_bully</v>
      </c>
      <c r="H537" t="str">
        <f t="shared" si="57"/>
        <v>Toitoi</v>
      </c>
      <c r="I537" t="str">
        <f t="shared" si="58"/>
        <v>Native</v>
      </c>
      <c r="J537" t="str">
        <f t="shared" si="59"/>
        <v>No</v>
      </c>
      <c r="L537">
        <v>30</v>
      </c>
      <c r="N537">
        <v>1</v>
      </c>
      <c r="S537" t="str">
        <f t="shared" si="60"/>
        <v/>
      </c>
    </row>
    <row r="538" spans="1:19" x14ac:dyDescent="0.55000000000000004">
      <c r="A538">
        <v>107</v>
      </c>
      <c r="B538" s="2">
        <v>45604.388888888891</v>
      </c>
      <c r="C538" t="s">
        <v>215</v>
      </c>
      <c r="D538">
        <v>2</v>
      </c>
      <c r="E538" t="s">
        <v>44</v>
      </c>
      <c r="F538" t="str">
        <f t="shared" si="55"/>
        <v>Gobiomorphus cotidianus</v>
      </c>
      <c r="G538" t="str">
        <f t="shared" si="56"/>
        <v>Common_bully</v>
      </c>
      <c r="H538" t="str">
        <f t="shared" si="57"/>
        <v>Toitoi</v>
      </c>
      <c r="I538" t="str">
        <f t="shared" si="58"/>
        <v>Native</v>
      </c>
      <c r="J538" t="str">
        <f t="shared" si="59"/>
        <v>No</v>
      </c>
      <c r="L538">
        <v>52</v>
      </c>
      <c r="N538">
        <v>1</v>
      </c>
      <c r="S538" t="str">
        <f t="shared" si="60"/>
        <v/>
      </c>
    </row>
    <row r="539" spans="1:19" x14ac:dyDescent="0.55000000000000004">
      <c r="A539">
        <v>107</v>
      </c>
      <c r="B539" s="2">
        <v>45604.388888888891</v>
      </c>
      <c r="C539" t="s">
        <v>215</v>
      </c>
      <c r="D539">
        <v>2</v>
      </c>
      <c r="E539" t="s">
        <v>44</v>
      </c>
      <c r="F539" t="str">
        <f t="shared" si="55"/>
        <v>Gobiomorphus cotidianus</v>
      </c>
      <c r="G539" t="str">
        <f t="shared" si="56"/>
        <v>Common_bully</v>
      </c>
      <c r="H539" t="str">
        <f t="shared" si="57"/>
        <v>Toitoi</v>
      </c>
      <c r="I539" t="str">
        <f t="shared" si="58"/>
        <v>Native</v>
      </c>
      <c r="J539" t="str">
        <f t="shared" si="59"/>
        <v>No</v>
      </c>
      <c r="L539">
        <v>70</v>
      </c>
      <c r="N539">
        <v>1</v>
      </c>
      <c r="S539" t="str">
        <f t="shared" si="60"/>
        <v/>
      </c>
    </row>
    <row r="540" spans="1:19" x14ac:dyDescent="0.55000000000000004">
      <c r="A540">
        <v>107</v>
      </c>
      <c r="B540" s="2">
        <v>45604.388888888891</v>
      </c>
      <c r="C540" t="s">
        <v>215</v>
      </c>
      <c r="D540">
        <v>2</v>
      </c>
      <c r="E540" t="s">
        <v>44</v>
      </c>
      <c r="F540" t="str">
        <f t="shared" si="55"/>
        <v>Gobiomorphus cotidianus</v>
      </c>
      <c r="G540" t="str">
        <f t="shared" si="56"/>
        <v>Common_bully</v>
      </c>
      <c r="H540" t="str">
        <f t="shared" si="57"/>
        <v>Toitoi</v>
      </c>
      <c r="I540" t="str">
        <f t="shared" si="58"/>
        <v>Native</v>
      </c>
      <c r="J540" t="str">
        <f t="shared" si="59"/>
        <v>No</v>
      </c>
      <c r="L540">
        <v>34</v>
      </c>
      <c r="N540">
        <v>1</v>
      </c>
      <c r="S540" t="str">
        <f t="shared" si="60"/>
        <v/>
      </c>
    </row>
    <row r="541" spans="1:19" x14ac:dyDescent="0.55000000000000004">
      <c r="A541">
        <v>107</v>
      </c>
      <c r="B541" s="2">
        <v>45604.388888888891</v>
      </c>
      <c r="C541" t="s">
        <v>215</v>
      </c>
      <c r="D541">
        <v>2</v>
      </c>
      <c r="E541" t="s">
        <v>44</v>
      </c>
      <c r="F541" t="str">
        <f t="shared" si="55"/>
        <v>Gobiomorphus cotidianus</v>
      </c>
      <c r="G541" t="str">
        <f t="shared" si="56"/>
        <v>Common_bully</v>
      </c>
      <c r="H541" t="str">
        <f t="shared" si="57"/>
        <v>Toitoi</v>
      </c>
      <c r="I541" t="str">
        <f t="shared" si="58"/>
        <v>Native</v>
      </c>
      <c r="J541" t="str">
        <f t="shared" si="59"/>
        <v>No</v>
      </c>
      <c r="L541">
        <v>56</v>
      </c>
      <c r="N541">
        <v>1</v>
      </c>
      <c r="S541" t="str">
        <f t="shared" si="60"/>
        <v/>
      </c>
    </row>
    <row r="542" spans="1:19" x14ac:dyDescent="0.55000000000000004">
      <c r="A542">
        <v>107</v>
      </c>
      <c r="B542" s="2">
        <v>45604.388888888891</v>
      </c>
      <c r="C542" t="s">
        <v>215</v>
      </c>
      <c r="D542">
        <v>2</v>
      </c>
      <c r="E542" t="s">
        <v>44</v>
      </c>
      <c r="F542" t="str">
        <f t="shared" si="55"/>
        <v>Gobiomorphus cotidianus</v>
      </c>
      <c r="G542" t="str">
        <f t="shared" si="56"/>
        <v>Common_bully</v>
      </c>
      <c r="H542" t="str">
        <f t="shared" si="57"/>
        <v>Toitoi</v>
      </c>
      <c r="I542" t="str">
        <f t="shared" si="58"/>
        <v>Native</v>
      </c>
      <c r="J542" t="str">
        <f t="shared" si="59"/>
        <v>No</v>
      </c>
      <c r="L542">
        <v>30</v>
      </c>
      <c r="N542">
        <v>1</v>
      </c>
      <c r="S542" t="str">
        <f t="shared" si="60"/>
        <v/>
      </c>
    </row>
    <row r="543" spans="1:19" x14ac:dyDescent="0.55000000000000004">
      <c r="A543">
        <v>107</v>
      </c>
      <c r="B543" s="2">
        <v>45604.388888888891</v>
      </c>
      <c r="C543" t="s">
        <v>215</v>
      </c>
      <c r="D543">
        <v>2</v>
      </c>
      <c r="E543" t="s">
        <v>44</v>
      </c>
      <c r="F543" t="str">
        <f t="shared" si="55"/>
        <v>Gobiomorphus cotidianus</v>
      </c>
      <c r="G543" t="str">
        <f t="shared" si="56"/>
        <v>Common_bully</v>
      </c>
      <c r="H543" t="str">
        <f t="shared" si="57"/>
        <v>Toitoi</v>
      </c>
      <c r="I543" t="str">
        <f t="shared" si="58"/>
        <v>Native</v>
      </c>
      <c r="J543" t="str">
        <f t="shared" si="59"/>
        <v>No</v>
      </c>
      <c r="L543">
        <v>70</v>
      </c>
      <c r="N543">
        <v>1</v>
      </c>
      <c r="S543" t="str">
        <f t="shared" si="60"/>
        <v/>
      </c>
    </row>
    <row r="544" spans="1:19" x14ac:dyDescent="0.55000000000000004">
      <c r="A544">
        <v>107</v>
      </c>
      <c r="B544" s="2">
        <v>45604.388888888891</v>
      </c>
      <c r="C544" t="s">
        <v>215</v>
      </c>
      <c r="D544">
        <v>2</v>
      </c>
      <c r="E544" t="s">
        <v>44</v>
      </c>
      <c r="F544" t="str">
        <f t="shared" si="55"/>
        <v>Gobiomorphus cotidianus</v>
      </c>
      <c r="G544" t="str">
        <f t="shared" si="56"/>
        <v>Common_bully</v>
      </c>
      <c r="H544" t="str">
        <f t="shared" si="57"/>
        <v>Toitoi</v>
      </c>
      <c r="I544" t="str">
        <f t="shared" si="58"/>
        <v>Native</v>
      </c>
      <c r="J544" t="str">
        <f t="shared" si="59"/>
        <v>No</v>
      </c>
      <c r="L544">
        <v>55</v>
      </c>
      <c r="N544">
        <v>1</v>
      </c>
      <c r="S544" t="str">
        <f t="shared" si="60"/>
        <v/>
      </c>
    </row>
    <row r="545" spans="1:19" x14ac:dyDescent="0.55000000000000004">
      <c r="A545">
        <v>107</v>
      </c>
      <c r="B545" s="2">
        <v>45604.388888888891</v>
      </c>
      <c r="C545" t="s">
        <v>215</v>
      </c>
      <c r="D545">
        <v>2</v>
      </c>
      <c r="E545" t="s">
        <v>44</v>
      </c>
      <c r="F545" t="str">
        <f t="shared" si="55"/>
        <v>Gobiomorphus cotidianus</v>
      </c>
      <c r="G545" t="str">
        <f t="shared" si="56"/>
        <v>Common_bully</v>
      </c>
      <c r="H545" t="str">
        <f t="shared" si="57"/>
        <v>Toitoi</v>
      </c>
      <c r="I545" t="str">
        <f t="shared" si="58"/>
        <v>Native</v>
      </c>
      <c r="J545" t="str">
        <f t="shared" si="59"/>
        <v>No</v>
      </c>
      <c r="L545">
        <v>46</v>
      </c>
      <c r="N545">
        <v>1</v>
      </c>
      <c r="S545" t="str">
        <f t="shared" si="60"/>
        <v/>
      </c>
    </row>
    <row r="546" spans="1:19" x14ac:dyDescent="0.55000000000000004">
      <c r="A546">
        <v>107</v>
      </c>
      <c r="B546" s="2">
        <v>45604.388888888891</v>
      </c>
      <c r="C546" t="s">
        <v>215</v>
      </c>
      <c r="D546">
        <v>2</v>
      </c>
      <c r="E546" t="s">
        <v>44</v>
      </c>
      <c r="F546" t="str">
        <f t="shared" si="55"/>
        <v>Gobiomorphus cotidianus</v>
      </c>
      <c r="G546" t="str">
        <f t="shared" si="56"/>
        <v>Common_bully</v>
      </c>
      <c r="H546" t="str">
        <f t="shared" si="57"/>
        <v>Toitoi</v>
      </c>
      <c r="I546" t="str">
        <f t="shared" si="58"/>
        <v>Native</v>
      </c>
      <c r="J546" t="str">
        <f t="shared" si="59"/>
        <v>No</v>
      </c>
      <c r="L546">
        <v>70</v>
      </c>
      <c r="N546">
        <v>1</v>
      </c>
      <c r="S546" t="str">
        <f t="shared" si="60"/>
        <v/>
      </c>
    </row>
    <row r="547" spans="1:19" x14ac:dyDescent="0.55000000000000004">
      <c r="A547">
        <v>107</v>
      </c>
      <c r="B547" s="2">
        <v>45604.388888888891</v>
      </c>
      <c r="C547" t="s">
        <v>215</v>
      </c>
      <c r="D547">
        <v>2</v>
      </c>
      <c r="E547" t="s">
        <v>44</v>
      </c>
      <c r="F547" t="str">
        <f t="shared" si="55"/>
        <v>Gobiomorphus cotidianus</v>
      </c>
      <c r="G547" t="str">
        <f t="shared" si="56"/>
        <v>Common_bully</v>
      </c>
      <c r="H547" t="str">
        <f t="shared" si="57"/>
        <v>Toitoi</v>
      </c>
      <c r="I547" t="str">
        <f t="shared" si="58"/>
        <v>Native</v>
      </c>
      <c r="J547" t="str">
        <f t="shared" si="59"/>
        <v>No</v>
      </c>
      <c r="L547">
        <v>65</v>
      </c>
      <c r="N547">
        <v>1</v>
      </c>
      <c r="S547" t="str">
        <f t="shared" si="60"/>
        <v/>
      </c>
    </row>
    <row r="548" spans="1:19" x14ac:dyDescent="0.55000000000000004">
      <c r="A548">
        <v>107</v>
      </c>
      <c r="B548" s="2">
        <v>45604.388888888891</v>
      </c>
      <c r="C548" t="s">
        <v>215</v>
      </c>
      <c r="D548">
        <v>2</v>
      </c>
      <c r="E548" t="s">
        <v>44</v>
      </c>
      <c r="F548" t="str">
        <f t="shared" si="55"/>
        <v>Gobiomorphus cotidianus</v>
      </c>
      <c r="G548" t="str">
        <f t="shared" si="56"/>
        <v>Common_bully</v>
      </c>
      <c r="H548" t="str">
        <f t="shared" si="57"/>
        <v>Toitoi</v>
      </c>
      <c r="I548" t="str">
        <f t="shared" si="58"/>
        <v>Native</v>
      </c>
      <c r="J548" t="str">
        <f t="shared" si="59"/>
        <v>No</v>
      </c>
      <c r="L548">
        <v>52</v>
      </c>
      <c r="N548">
        <v>1</v>
      </c>
      <c r="S548" t="str">
        <f t="shared" si="60"/>
        <v/>
      </c>
    </row>
    <row r="549" spans="1:19" x14ac:dyDescent="0.55000000000000004">
      <c r="A549">
        <v>107</v>
      </c>
      <c r="B549" s="2">
        <v>45604.388888888891</v>
      </c>
      <c r="C549" t="s">
        <v>215</v>
      </c>
      <c r="D549">
        <v>2</v>
      </c>
      <c r="E549" t="s">
        <v>44</v>
      </c>
      <c r="F549" t="str">
        <f t="shared" si="55"/>
        <v>Gobiomorphus cotidianus</v>
      </c>
      <c r="G549" t="str">
        <f t="shared" si="56"/>
        <v>Common_bully</v>
      </c>
      <c r="H549" t="str">
        <f t="shared" si="57"/>
        <v>Toitoi</v>
      </c>
      <c r="I549" t="str">
        <f t="shared" si="58"/>
        <v>Native</v>
      </c>
      <c r="J549" t="str">
        <f t="shared" si="59"/>
        <v>No</v>
      </c>
      <c r="L549">
        <v>32</v>
      </c>
      <c r="N549">
        <v>1</v>
      </c>
      <c r="S549" t="str">
        <f t="shared" si="60"/>
        <v/>
      </c>
    </row>
    <row r="550" spans="1:19" x14ac:dyDescent="0.55000000000000004">
      <c r="A550">
        <v>107</v>
      </c>
      <c r="B550" s="2">
        <v>45604.388888888891</v>
      </c>
      <c r="C550" t="s">
        <v>215</v>
      </c>
      <c r="D550">
        <v>2</v>
      </c>
      <c r="E550" t="s">
        <v>44</v>
      </c>
      <c r="F550" t="str">
        <f t="shared" si="55"/>
        <v>Gobiomorphus cotidianus</v>
      </c>
      <c r="G550" t="str">
        <f t="shared" si="56"/>
        <v>Common_bully</v>
      </c>
      <c r="H550" t="str">
        <f t="shared" si="57"/>
        <v>Toitoi</v>
      </c>
      <c r="I550" t="str">
        <f t="shared" si="58"/>
        <v>Native</v>
      </c>
      <c r="J550" t="str">
        <f t="shared" si="59"/>
        <v>No</v>
      </c>
      <c r="L550">
        <v>30</v>
      </c>
      <c r="N550">
        <v>1</v>
      </c>
      <c r="S550" t="str">
        <f t="shared" si="60"/>
        <v/>
      </c>
    </row>
    <row r="551" spans="1:19" x14ac:dyDescent="0.55000000000000004">
      <c r="A551">
        <v>107</v>
      </c>
      <c r="B551" s="2">
        <v>45604.388888888891</v>
      </c>
      <c r="C551" t="s">
        <v>215</v>
      </c>
      <c r="D551">
        <v>2</v>
      </c>
      <c r="E551" t="s">
        <v>44</v>
      </c>
      <c r="F551" t="str">
        <f t="shared" si="55"/>
        <v>Gobiomorphus cotidianus</v>
      </c>
      <c r="G551" t="str">
        <f t="shared" si="56"/>
        <v>Common_bully</v>
      </c>
      <c r="H551" t="str">
        <f t="shared" si="57"/>
        <v>Toitoi</v>
      </c>
      <c r="I551" t="str">
        <f t="shared" si="58"/>
        <v>Native</v>
      </c>
      <c r="J551" t="str">
        <f t="shared" si="59"/>
        <v>No</v>
      </c>
      <c r="L551">
        <v>30</v>
      </c>
      <c r="N551">
        <v>1</v>
      </c>
      <c r="S551" t="str">
        <f t="shared" si="60"/>
        <v/>
      </c>
    </row>
    <row r="552" spans="1:19" x14ac:dyDescent="0.55000000000000004">
      <c r="A552">
        <v>107</v>
      </c>
      <c r="B552" s="2">
        <v>45604.388888888891</v>
      </c>
      <c r="C552" t="s">
        <v>215</v>
      </c>
      <c r="D552">
        <v>2</v>
      </c>
      <c r="E552" t="s">
        <v>44</v>
      </c>
      <c r="F552" t="str">
        <f t="shared" si="55"/>
        <v>Gobiomorphus cotidianus</v>
      </c>
      <c r="G552" t="str">
        <f t="shared" si="56"/>
        <v>Common_bully</v>
      </c>
      <c r="H552" t="str">
        <f t="shared" si="57"/>
        <v>Toitoi</v>
      </c>
      <c r="I552" t="str">
        <f t="shared" si="58"/>
        <v>Native</v>
      </c>
      <c r="J552" t="str">
        <f t="shared" si="59"/>
        <v>No</v>
      </c>
      <c r="L552">
        <v>42</v>
      </c>
      <c r="N552">
        <v>1</v>
      </c>
      <c r="S552" t="str">
        <f t="shared" si="60"/>
        <v/>
      </c>
    </row>
    <row r="553" spans="1:19" x14ac:dyDescent="0.55000000000000004">
      <c r="A553">
        <v>107</v>
      </c>
      <c r="B553" s="2">
        <v>45604.388888888891</v>
      </c>
      <c r="C553" t="s">
        <v>215</v>
      </c>
      <c r="D553">
        <v>2</v>
      </c>
      <c r="E553" t="s">
        <v>44</v>
      </c>
      <c r="F553" t="str">
        <f t="shared" si="55"/>
        <v>Gobiomorphus cotidianus</v>
      </c>
      <c r="G553" t="str">
        <f t="shared" si="56"/>
        <v>Common_bully</v>
      </c>
      <c r="H553" t="str">
        <f t="shared" si="57"/>
        <v>Toitoi</v>
      </c>
      <c r="I553" t="str">
        <f t="shared" si="58"/>
        <v>Native</v>
      </c>
      <c r="J553" t="str">
        <f t="shared" si="59"/>
        <v>No</v>
      </c>
      <c r="L553">
        <v>42</v>
      </c>
      <c r="N553">
        <v>1</v>
      </c>
      <c r="S553" t="str">
        <f t="shared" si="60"/>
        <v/>
      </c>
    </row>
    <row r="554" spans="1:19" x14ac:dyDescent="0.55000000000000004">
      <c r="A554">
        <v>107</v>
      </c>
      <c r="B554" s="2">
        <v>45604.388888888891</v>
      </c>
      <c r="C554" t="s">
        <v>215</v>
      </c>
      <c r="D554">
        <v>2</v>
      </c>
      <c r="E554" t="s">
        <v>44</v>
      </c>
      <c r="F554" t="str">
        <f t="shared" si="55"/>
        <v>Gobiomorphus cotidianus</v>
      </c>
      <c r="G554" t="str">
        <f t="shared" si="56"/>
        <v>Common_bully</v>
      </c>
      <c r="H554" t="str">
        <f t="shared" si="57"/>
        <v>Toitoi</v>
      </c>
      <c r="I554" t="str">
        <f t="shared" si="58"/>
        <v>Native</v>
      </c>
      <c r="J554" t="str">
        <f t="shared" si="59"/>
        <v>No</v>
      </c>
      <c r="L554">
        <v>75</v>
      </c>
      <c r="N554">
        <v>1</v>
      </c>
      <c r="S554" t="str">
        <f t="shared" si="60"/>
        <v/>
      </c>
    </row>
    <row r="555" spans="1:19" x14ac:dyDescent="0.55000000000000004">
      <c r="A555">
        <v>107</v>
      </c>
      <c r="B555" s="2">
        <v>45604.388888888891</v>
      </c>
      <c r="C555" t="s">
        <v>215</v>
      </c>
      <c r="D555">
        <v>2</v>
      </c>
      <c r="E555" t="s">
        <v>44</v>
      </c>
      <c r="F555" t="str">
        <f t="shared" si="55"/>
        <v>Gobiomorphus cotidianus</v>
      </c>
      <c r="G555" t="str">
        <f t="shared" si="56"/>
        <v>Common_bully</v>
      </c>
      <c r="H555" t="str">
        <f t="shared" si="57"/>
        <v>Toitoi</v>
      </c>
      <c r="I555" t="str">
        <f t="shared" si="58"/>
        <v>Native</v>
      </c>
      <c r="J555" t="str">
        <f t="shared" si="59"/>
        <v>No</v>
      </c>
      <c r="L555">
        <v>60</v>
      </c>
      <c r="N555">
        <v>1</v>
      </c>
      <c r="S555" t="str">
        <f t="shared" si="60"/>
        <v/>
      </c>
    </row>
    <row r="556" spans="1:19" x14ac:dyDescent="0.55000000000000004">
      <c r="A556">
        <v>107</v>
      </c>
      <c r="B556" s="2">
        <v>45604.388888888891</v>
      </c>
      <c r="C556" t="s">
        <v>215</v>
      </c>
      <c r="D556">
        <v>2</v>
      </c>
      <c r="E556" t="s">
        <v>44</v>
      </c>
      <c r="F556" t="str">
        <f t="shared" si="55"/>
        <v>Gobiomorphus cotidianus</v>
      </c>
      <c r="G556" t="str">
        <f t="shared" si="56"/>
        <v>Common_bully</v>
      </c>
      <c r="H556" t="str">
        <f t="shared" si="57"/>
        <v>Toitoi</v>
      </c>
      <c r="I556" t="str">
        <f t="shared" si="58"/>
        <v>Native</v>
      </c>
      <c r="J556" t="str">
        <f t="shared" si="59"/>
        <v>No</v>
      </c>
      <c r="L556">
        <v>40</v>
      </c>
      <c r="N556">
        <v>1</v>
      </c>
      <c r="S556" t="str">
        <f t="shared" si="60"/>
        <v/>
      </c>
    </row>
    <row r="557" spans="1:19" x14ac:dyDescent="0.55000000000000004">
      <c r="A557">
        <v>107</v>
      </c>
      <c r="B557" s="2">
        <v>45604.388888888891</v>
      </c>
      <c r="C557" t="s">
        <v>215</v>
      </c>
      <c r="D557">
        <v>2</v>
      </c>
      <c r="E557" t="s">
        <v>44</v>
      </c>
      <c r="F557" t="str">
        <f t="shared" si="55"/>
        <v>Gobiomorphus cotidianus</v>
      </c>
      <c r="G557" t="str">
        <f t="shared" si="56"/>
        <v>Common_bully</v>
      </c>
      <c r="H557" t="str">
        <f t="shared" si="57"/>
        <v>Toitoi</v>
      </c>
      <c r="I557" t="str">
        <f t="shared" si="58"/>
        <v>Native</v>
      </c>
      <c r="J557" t="str">
        <f t="shared" si="59"/>
        <v>No</v>
      </c>
      <c r="L557">
        <v>26</v>
      </c>
      <c r="N557">
        <v>1</v>
      </c>
      <c r="S557" t="str">
        <f t="shared" si="60"/>
        <v/>
      </c>
    </row>
    <row r="558" spans="1:19" x14ac:dyDescent="0.55000000000000004">
      <c r="A558">
        <v>107</v>
      </c>
      <c r="B558" s="2">
        <v>45604.388888888891</v>
      </c>
      <c r="C558" t="s">
        <v>215</v>
      </c>
      <c r="D558">
        <v>2</v>
      </c>
      <c r="E558" t="s">
        <v>44</v>
      </c>
      <c r="F558" t="str">
        <f t="shared" si="55"/>
        <v>Gobiomorphus cotidianus</v>
      </c>
      <c r="G558" t="str">
        <f t="shared" si="56"/>
        <v>Common_bully</v>
      </c>
      <c r="H558" t="str">
        <f t="shared" si="57"/>
        <v>Toitoi</v>
      </c>
      <c r="I558" t="str">
        <f t="shared" si="58"/>
        <v>Native</v>
      </c>
      <c r="J558" t="str">
        <f t="shared" si="59"/>
        <v>No</v>
      </c>
      <c r="L558">
        <v>50</v>
      </c>
      <c r="N558">
        <v>1</v>
      </c>
      <c r="S558" t="str">
        <f t="shared" si="60"/>
        <v/>
      </c>
    </row>
    <row r="559" spans="1:19" x14ac:dyDescent="0.55000000000000004">
      <c r="A559">
        <v>107</v>
      </c>
      <c r="B559" s="2">
        <v>45604.388888888891</v>
      </c>
      <c r="C559" t="s">
        <v>215</v>
      </c>
      <c r="D559">
        <v>2</v>
      </c>
      <c r="E559" t="s">
        <v>44</v>
      </c>
      <c r="F559" t="str">
        <f t="shared" si="55"/>
        <v>Gobiomorphus cotidianus</v>
      </c>
      <c r="G559" t="str">
        <f t="shared" si="56"/>
        <v>Common_bully</v>
      </c>
      <c r="H559" t="str">
        <f t="shared" si="57"/>
        <v>Toitoi</v>
      </c>
      <c r="I559" t="str">
        <f t="shared" si="58"/>
        <v>Native</v>
      </c>
      <c r="J559" t="str">
        <f t="shared" si="59"/>
        <v>No</v>
      </c>
      <c r="L559">
        <v>27</v>
      </c>
      <c r="N559">
        <v>1</v>
      </c>
      <c r="S559" t="str">
        <f t="shared" si="60"/>
        <v/>
      </c>
    </row>
    <row r="560" spans="1:19" x14ac:dyDescent="0.55000000000000004">
      <c r="A560">
        <v>107</v>
      </c>
      <c r="B560" s="2">
        <v>45604.388888888891</v>
      </c>
      <c r="C560" t="s">
        <v>215</v>
      </c>
      <c r="D560">
        <v>2</v>
      </c>
      <c r="E560" t="s">
        <v>44</v>
      </c>
      <c r="F560" t="str">
        <f t="shared" si="55"/>
        <v>Gobiomorphus cotidianus</v>
      </c>
      <c r="G560" t="str">
        <f t="shared" si="56"/>
        <v>Common_bully</v>
      </c>
      <c r="H560" t="str">
        <f t="shared" si="57"/>
        <v>Toitoi</v>
      </c>
      <c r="I560" t="str">
        <f t="shared" si="58"/>
        <v>Native</v>
      </c>
      <c r="J560" t="str">
        <f t="shared" si="59"/>
        <v>No</v>
      </c>
      <c r="R560">
        <v>1</v>
      </c>
      <c r="S560">
        <f t="shared" si="60"/>
        <v>236.58799999999999</v>
      </c>
    </row>
    <row r="561" spans="1:19" x14ac:dyDescent="0.55000000000000004">
      <c r="A561">
        <v>107</v>
      </c>
      <c r="B561" s="2">
        <v>45604.388888888891</v>
      </c>
      <c r="C561" t="s">
        <v>215</v>
      </c>
      <c r="D561">
        <v>2</v>
      </c>
      <c r="E561" t="s">
        <v>44</v>
      </c>
      <c r="F561" t="str">
        <f t="shared" si="55"/>
        <v>Gobiomorphus cotidianus</v>
      </c>
      <c r="G561" t="str">
        <f t="shared" si="56"/>
        <v>Common_bully</v>
      </c>
      <c r="H561" t="str">
        <f t="shared" si="57"/>
        <v>Toitoi</v>
      </c>
      <c r="I561" t="str">
        <f t="shared" si="58"/>
        <v>Native</v>
      </c>
      <c r="J561" t="str">
        <f t="shared" si="59"/>
        <v>No</v>
      </c>
      <c r="M561">
        <f>533-90</f>
        <v>443</v>
      </c>
      <c r="R561">
        <v>2.5</v>
      </c>
      <c r="S561">
        <f t="shared" si="60"/>
        <v>591.47</v>
      </c>
    </row>
    <row r="562" spans="1:19" x14ac:dyDescent="0.55000000000000004">
      <c r="A562">
        <v>108</v>
      </c>
      <c r="B562" s="2">
        <v>45604.458333333336</v>
      </c>
      <c r="C562" t="s">
        <v>216</v>
      </c>
      <c r="D562">
        <v>2</v>
      </c>
      <c r="E562" t="s">
        <v>44</v>
      </c>
      <c r="F562" t="str">
        <f t="shared" si="55"/>
        <v>Gobiomorphus cotidianus</v>
      </c>
      <c r="G562" t="str">
        <f t="shared" si="56"/>
        <v>Common_bully</v>
      </c>
      <c r="H562" t="str">
        <f t="shared" si="57"/>
        <v>Toitoi</v>
      </c>
      <c r="I562" t="str">
        <f t="shared" si="58"/>
        <v>Native</v>
      </c>
      <c r="J562" t="str">
        <f t="shared" si="59"/>
        <v>No</v>
      </c>
      <c r="L562">
        <v>51</v>
      </c>
      <c r="M562">
        <f>21/9</f>
        <v>2.3333333333333335</v>
      </c>
      <c r="N562">
        <v>1</v>
      </c>
      <c r="S562" t="str">
        <f t="shared" si="60"/>
        <v/>
      </c>
    </row>
    <row r="563" spans="1:19" x14ac:dyDescent="0.55000000000000004">
      <c r="A563">
        <v>108</v>
      </c>
      <c r="B563" s="2">
        <v>45604.458333333336</v>
      </c>
      <c r="C563" t="s">
        <v>216</v>
      </c>
      <c r="D563">
        <v>2</v>
      </c>
      <c r="E563" t="s">
        <v>44</v>
      </c>
      <c r="F563" t="str">
        <f t="shared" si="55"/>
        <v>Gobiomorphus cotidianus</v>
      </c>
      <c r="G563" t="str">
        <f t="shared" si="56"/>
        <v>Common_bully</v>
      </c>
      <c r="H563" t="str">
        <f t="shared" si="57"/>
        <v>Toitoi</v>
      </c>
      <c r="I563" t="str">
        <f t="shared" si="58"/>
        <v>Native</v>
      </c>
      <c r="J563" t="str">
        <f t="shared" si="59"/>
        <v>No</v>
      </c>
      <c r="L563">
        <v>56</v>
      </c>
      <c r="M563">
        <f t="shared" ref="M563:M570" si="61">21/9</f>
        <v>2.3333333333333335</v>
      </c>
      <c r="N563">
        <v>1</v>
      </c>
      <c r="S563" t="str">
        <f t="shared" si="60"/>
        <v/>
      </c>
    </row>
    <row r="564" spans="1:19" x14ac:dyDescent="0.55000000000000004">
      <c r="A564">
        <v>108</v>
      </c>
      <c r="B564" s="2">
        <v>45604.458333333336</v>
      </c>
      <c r="C564" t="s">
        <v>216</v>
      </c>
      <c r="D564">
        <v>2</v>
      </c>
      <c r="E564" t="s">
        <v>44</v>
      </c>
      <c r="F564" t="str">
        <f t="shared" si="55"/>
        <v>Gobiomorphus cotidianus</v>
      </c>
      <c r="G564" t="str">
        <f t="shared" si="56"/>
        <v>Common_bully</v>
      </c>
      <c r="H564" t="str">
        <f t="shared" si="57"/>
        <v>Toitoi</v>
      </c>
      <c r="I564" t="str">
        <f t="shared" si="58"/>
        <v>Native</v>
      </c>
      <c r="J564" t="str">
        <f t="shared" si="59"/>
        <v>No</v>
      </c>
      <c r="L564">
        <v>45</v>
      </c>
      <c r="M564">
        <f t="shared" si="61"/>
        <v>2.3333333333333335</v>
      </c>
      <c r="N564">
        <v>1</v>
      </c>
      <c r="S564" t="str">
        <f t="shared" si="60"/>
        <v/>
      </c>
    </row>
    <row r="565" spans="1:19" x14ac:dyDescent="0.55000000000000004">
      <c r="A565">
        <v>108</v>
      </c>
      <c r="B565" s="2">
        <v>45604.458333333336</v>
      </c>
      <c r="C565" t="s">
        <v>216</v>
      </c>
      <c r="D565">
        <v>2</v>
      </c>
      <c r="E565" t="s">
        <v>44</v>
      </c>
      <c r="F565" t="str">
        <f t="shared" si="55"/>
        <v>Gobiomorphus cotidianus</v>
      </c>
      <c r="G565" t="str">
        <f t="shared" si="56"/>
        <v>Common_bully</v>
      </c>
      <c r="H565" t="str">
        <f t="shared" si="57"/>
        <v>Toitoi</v>
      </c>
      <c r="I565" t="str">
        <f t="shared" si="58"/>
        <v>Native</v>
      </c>
      <c r="J565" t="str">
        <f t="shared" si="59"/>
        <v>No</v>
      </c>
      <c r="L565">
        <v>63</v>
      </c>
      <c r="M565">
        <f t="shared" si="61"/>
        <v>2.3333333333333335</v>
      </c>
      <c r="N565">
        <v>1</v>
      </c>
      <c r="S565" t="str">
        <f t="shared" si="60"/>
        <v/>
      </c>
    </row>
    <row r="566" spans="1:19" x14ac:dyDescent="0.55000000000000004">
      <c r="A566">
        <v>108</v>
      </c>
      <c r="B566" s="2">
        <v>45604.458333333336</v>
      </c>
      <c r="C566" t="s">
        <v>216</v>
      </c>
      <c r="D566">
        <v>2</v>
      </c>
      <c r="E566" t="s">
        <v>44</v>
      </c>
      <c r="F566" t="str">
        <f t="shared" si="55"/>
        <v>Gobiomorphus cotidianus</v>
      </c>
      <c r="G566" t="str">
        <f t="shared" si="56"/>
        <v>Common_bully</v>
      </c>
      <c r="H566" t="str">
        <f t="shared" si="57"/>
        <v>Toitoi</v>
      </c>
      <c r="I566" t="str">
        <f t="shared" si="58"/>
        <v>Native</v>
      </c>
      <c r="J566" t="str">
        <f t="shared" si="59"/>
        <v>No</v>
      </c>
      <c r="L566">
        <v>63</v>
      </c>
      <c r="M566">
        <f t="shared" si="61"/>
        <v>2.3333333333333335</v>
      </c>
      <c r="N566">
        <v>1</v>
      </c>
      <c r="S566" t="str">
        <f t="shared" si="60"/>
        <v/>
      </c>
    </row>
    <row r="567" spans="1:19" x14ac:dyDescent="0.55000000000000004">
      <c r="A567">
        <v>108</v>
      </c>
      <c r="B567" s="2">
        <v>45604.458333333336</v>
      </c>
      <c r="C567" t="s">
        <v>216</v>
      </c>
      <c r="D567">
        <v>2</v>
      </c>
      <c r="E567" t="s">
        <v>44</v>
      </c>
      <c r="F567" t="str">
        <f t="shared" si="55"/>
        <v>Gobiomorphus cotidianus</v>
      </c>
      <c r="G567" t="str">
        <f t="shared" si="56"/>
        <v>Common_bully</v>
      </c>
      <c r="H567" t="str">
        <f t="shared" si="57"/>
        <v>Toitoi</v>
      </c>
      <c r="I567" t="str">
        <f t="shared" si="58"/>
        <v>Native</v>
      </c>
      <c r="J567" t="str">
        <f t="shared" si="59"/>
        <v>No</v>
      </c>
      <c r="L567">
        <v>70</v>
      </c>
      <c r="M567">
        <f t="shared" si="61"/>
        <v>2.3333333333333335</v>
      </c>
      <c r="N567">
        <v>1</v>
      </c>
      <c r="S567" t="str">
        <f t="shared" si="60"/>
        <v/>
      </c>
    </row>
    <row r="568" spans="1:19" x14ac:dyDescent="0.55000000000000004">
      <c r="A568">
        <v>108</v>
      </c>
      <c r="B568" s="2">
        <v>45604.458333333336</v>
      </c>
      <c r="C568" t="s">
        <v>216</v>
      </c>
      <c r="D568">
        <v>2</v>
      </c>
      <c r="E568" t="s">
        <v>44</v>
      </c>
      <c r="F568" t="str">
        <f t="shared" si="55"/>
        <v>Gobiomorphus cotidianus</v>
      </c>
      <c r="G568" t="str">
        <f t="shared" si="56"/>
        <v>Common_bully</v>
      </c>
      <c r="H568" t="str">
        <f t="shared" si="57"/>
        <v>Toitoi</v>
      </c>
      <c r="I568" t="str">
        <f t="shared" si="58"/>
        <v>Native</v>
      </c>
      <c r="J568" t="str">
        <f t="shared" si="59"/>
        <v>No</v>
      </c>
      <c r="L568">
        <v>65</v>
      </c>
      <c r="M568">
        <f t="shared" si="61"/>
        <v>2.3333333333333335</v>
      </c>
      <c r="N568">
        <v>1</v>
      </c>
      <c r="S568" t="str">
        <f t="shared" si="60"/>
        <v/>
      </c>
    </row>
    <row r="569" spans="1:19" x14ac:dyDescent="0.55000000000000004">
      <c r="A569">
        <v>108</v>
      </c>
      <c r="B569" s="2">
        <v>45604.458333333336</v>
      </c>
      <c r="C569" t="s">
        <v>216</v>
      </c>
      <c r="D569">
        <v>2</v>
      </c>
      <c r="E569" t="s">
        <v>44</v>
      </c>
      <c r="F569" t="str">
        <f t="shared" si="55"/>
        <v>Gobiomorphus cotidianus</v>
      </c>
      <c r="G569" t="str">
        <f t="shared" si="56"/>
        <v>Common_bully</v>
      </c>
      <c r="H569" t="str">
        <f t="shared" si="57"/>
        <v>Toitoi</v>
      </c>
      <c r="I569" t="str">
        <f t="shared" si="58"/>
        <v>Native</v>
      </c>
      <c r="J569" t="str">
        <f t="shared" si="59"/>
        <v>No</v>
      </c>
      <c r="L569">
        <v>49</v>
      </c>
      <c r="M569">
        <f t="shared" si="61"/>
        <v>2.3333333333333335</v>
      </c>
      <c r="N569">
        <v>1</v>
      </c>
      <c r="S569" t="str">
        <f t="shared" si="60"/>
        <v/>
      </c>
    </row>
    <row r="570" spans="1:19" x14ac:dyDescent="0.55000000000000004">
      <c r="A570">
        <v>108</v>
      </c>
      <c r="B570" s="2">
        <v>45604.458333333336</v>
      </c>
      <c r="C570" t="s">
        <v>216</v>
      </c>
      <c r="D570">
        <v>2</v>
      </c>
      <c r="E570" t="s">
        <v>44</v>
      </c>
      <c r="F570" t="str">
        <f t="shared" si="55"/>
        <v>Gobiomorphus cotidianus</v>
      </c>
      <c r="G570" t="str">
        <f t="shared" si="56"/>
        <v>Common_bully</v>
      </c>
      <c r="H570" t="str">
        <f t="shared" si="57"/>
        <v>Toitoi</v>
      </c>
      <c r="I570" t="str">
        <f t="shared" si="58"/>
        <v>Native</v>
      </c>
      <c r="J570" t="str">
        <f t="shared" si="59"/>
        <v>No</v>
      </c>
      <c r="L570">
        <v>30</v>
      </c>
      <c r="M570">
        <f t="shared" si="61"/>
        <v>2.3333333333333335</v>
      </c>
      <c r="N570">
        <v>1</v>
      </c>
      <c r="S570" t="str">
        <f t="shared" si="60"/>
        <v/>
      </c>
    </row>
    <row r="571" spans="1:19" x14ac:dyDescent="0.55000000000000004">
      <c r="A571">
        <v>108</v>
      </c>
      <c r="B571" s="2">
        <v>45604.458333333336</v>
      </c>
      <c r="C571" t="s">
        <v>215</v>
      </c>
      <c r="D571">
        <v>2</v>
      </c>
      <c r="E571" t="s">
        <v>123</v>
      </c>
      <c r="F571" t="str">
        <f t="shared" si="55"/>
        <v>Carassius auratus</v>
      </c>
      <c r="G571" t="str">
        <f t="shared" si="56"/>
        <v>Goldfish</v>
      </c>
      <c r="H571" t="str">
        <f t="shared" si="57"/>
        <v>Morihana</v>
      </c>
      <c r="I571" t="str">
        <f t="shared" si="58"/>
        <v>Nonnative</v>
      </c>
      <c r="J571" t="str">
        <f t="shared" si="59"/>
        <v>No</v>
      </c>
      <c r="L571">
        <v>39</v>
      </c>
      <c r="M571">
        <v>1</v>
      </c>
      <c r="N571">
        <v>1</v>
      </c>
      <c r="S571" t="str">
        <f t="shared" si="60"/>
        <v/>
      </c>
    </row>
    <row r="572" spans="1:19" x14ac:dyDescent="0.55000000000000004">
      <c r="A572">
        <v>108</v>
      </c>
      <c r="B572" s="2">
        <v>45604.458333333336</v>
      </c>
      <c r="C572" t="s">
        <v>215</v>
      </c>
      <c r="D572">
        <v>2</v>
      </c>
      <c r="E572" t="s">
        <v>123</v>
      </c>
      <c r="F572" t="str">
        <f t="shared" si="55"/>
        <v>Carassius auratus</v>
      </c>
      <c r="G572" t="str">
        <f t="shared" si="56"/>
        <v>Goldfish</v>
      </c>
      <c r="H572" t="str">
        <f t="shared" si="57"/>
        <v>Morihana</v>
      </c>
      <c r="I572" t="str">
        <f t="shared" si="58"/>
        <v>Nonnative</v>
      </c>
      <c r="J572" t="str">
        <f t="shared" si="59"/>
        <v>No</v>
      </c>
      <c r="L572">
        <v>49</v>
      </c>
      <c r="M572">
        <v>1</v>
      </c>
      <c r="N572">
        <v>1</v>
      </c>
      <c r="S572" t="str">
        <f t="shared" si="60"/>
        <v/>
      </c>
    </row>
    <row r="573" spans="1:19" x14ac:dyDescent="0.55000000000000004">
      <c r="A573">
        <v>108</v>
      </c>
      <c r="B573" s="2">
        <v>45604.458333333336</v>
      </c>
      <c r="C573" t="s">
        <v>215</v>
      </c>
      <c r="D573">
        <v>2</v>
      </c>
      <c r="E573" t="s">
        <v>49</v>
      </c>
      <c r="F573" t="str">
        <f t="shared" si="55"/>
        <v>Paranephrops planifrons</v>
      </c>
      <c r="G573" t="str">
        <f t="shared" si="56"/>
        <v>Freshwater_crayfish</v>
      </c>
      <c r="H573" t="str">
        <f t="shared" si="57"/>
        <v>Kōura</v>
      </c>
      <c r="I573" t="str">
        <f t="shared" si="58"/>
        <v>Native</v>
      </c>
      <c r="J573" t="str">
        <f t="shared" si="59"/>
        <v>Yes</v>
      </c>
      <c r="L573">
        <v>22.85</v>
      </c>
      <c r="M573">
        <v>9</v>
      </c>
      <c r="N573">
        <v>1</v>
      </c>
      <c r="S573" t="str">
        <f t="shared" si="60"/>
        <v/>
      </c>
    </row>
    <row r="574" spans="1:19" x14ac:dyDescent="0.55000000000000004">
      <c r="A574">
        <v>108</v>
      </c>
      <c r="B574" s="2">
        <v>45604.458333333336</v>
      </c>
      <c r="C574" t="s">
        <v>215</v>
      </c>
      <c r="D574">
        <v>2</v>
      </c>
      <c r="E574" t="s">
        <v>44</v>
      </c>
      <c r="F574" t="str">
        <f t="shared" si="55"/>
        <v>Gobiomorphus cotidianus</v>
      </c>
      <c r="G574" t="str">
        <f t="shared" si="56"/>
        <v>Common_bully</v>
      </c>
      <c r="H574" t="str">
        <f t="shared" si="57"/>
        <v>Toitoi</v>
      </c>
      <c r="I574" t="str">
        <f t="shared" si="58"/>
        <v>Native</v>
      </c>
      <c r="J574" t="str">
        <f t="shared" si="59"/>
        <v>No</v>
      </c>
      <c r="L574">
        <v>61</v>
      </c>
      <c r="M574">
        <f t="shared" ref="M574:M603" si="62">66/30</f>
        <v>2.2000000000000002</v>
      </c>
      <c r="N574">
        <v>1</v>
      </c>
      <c r="S574" t="str">
        <f t="shared" si="60"/>
        <v/>
      </c>
    </row>
    <row r="575" spans="1:19" x14ac:dyDescent="0.55000000000000004">
      <c r="A575">
        <v>108</v>
      </c>
      <c r="B575" s="2">
        <v>45604.458333333336</v>
      </c>
      <c r="C575" t="s">
        <v>215</v>
      </c>
      <c r="D575">
        <v>2</v>
      </c>
      <c r="E575" t="s">
        <v>44</v>
      </c>
      <c r="F575" t="str">
        <f t="shared" si="55"/>
        <v>Gobiomorphus cotidianus</v>
      </c>
      <c r="G575" t="str">
        <f t="shared" si="56"/>
        <v>Common_bully</v>
      </c>
      <c r="H575" t="str">
        <f t="shared" si="57"/>
        <v>Toitoi</v>
      </c>
      <c r="I575" t="str">
        <f t="shared" si="58"/>
        <v>Native</v>
      </c>
      <c r="J575" t="str">
        <f t="shared" si="59"/>
        <v>No</v>
      </c>
      <c r="L575">
        <v>46</v>
      </c>
      <c r="M575">
        <f t="shared" si="62"/>
        <v>2.2000000000000002</v>
      </c>
      <c r="N575">
        <v>1</v>
      </c>
      <c r="S575" t="str">
        <f t="shared" si="60"/>
        <v/>
      </c>
    </row>
    <row r="576" spans="1:19" x14ac:dyDescent="0.55000000000000004">
      <c r="A576">
        <v>108</v>
      </c>
      <c r="B576" s="2">
        <v>45604.458333333336</v>
      </c>
      <c r="C576" t="s">
        <v>215</v>
      </c>
      <c r="D576">
        <v>2</v>
      </c>
      <c r="E576" t="s">
        <v>44</v>
      </c>
      <c r="F576" t="str">
        <f t="shared" si="55"/>
        <v>Gobiomorphus cotidianus</v>
      </c>
      <c r="G576" t="str">
        <f t="shared" si="56"/>
        <v>Common_bully</v>
      </c>
      <c r="H576" t="str">
        <f t="shared" si="57"/>
        <v>Toitoi</v>
      </c>
      <c r="I576" t="str">
        <f t="shared" si="58"/>
        <v>Native</v>
      </c>
      <c r="J576" t="str">
        <f t="shared" si="59"/>
        <v>No</v>
      </c>
      <c r="L576">
        <v>61</v>
      </c>
      <c r="M576">
        <f t="shared" si="62"/>
        <v>2.2000000000000002</v>
      </c>
      <c r="N576">
        <v>1</v>
      </c>
      <c r="S576" t="str">
        <f t="shared" si="60"/>
        <v/>
      </c>
    </row>
    <row r="577" spans="1:19" x14ac:dyDescent="0.55000000000000004">
      <c r="A577">
        <v>108</v>
      </c>
      <c r="B577" s="2">
        <v>45604.458333333336</v>
      </c>
      <c r="C577" t="s">
        <v>215</v>
      </c>
      <c r="D577">
        <v>2</v>
      </c>
      <c r="E577" t="s">
        <v>44</v>
      </c>
      <c r="F577" t="str">
        <f t="shared" si="55"/>
        <v>Gobiomorphus cotidianus</v>
      </c>
      <c r="G577" t="str">
        <f t="shared" si="56"/>
        <v>Common_bully</v>
      </c>
      <c r="H577" t="str">
        <f t="shared" si="57"/>
        <v>Toitoi</v>
      </c>
      <c r="I577" t="str">
        <f t="shared" si="58"/>
        <v>Native</v>
      </c>
      <c r="J577" t="str">
        <f t="shared" si="59"/>
        <v>No</v>
      </c>
      <c r="L577">
        <v>50</v>
      </c>
      <c r="M577">
        <f t="shared" si="62"/>
        <v>2.2000000000000002</v>
      </c>
      <c r="N577">
        <v>1</v>
      </c>
      <c r="S577" t="str">
        <f t="shared" si="60"/>
        <v/>
      </c>
    </row>
    <row r="578" spans="1:19" x14ac:dyDescent="0.55000000000000004">
      <c r="A578">
        <v>108</v>
      </c>
      <c r="B578" s="2">
        <v>45604.458333333336</v>
      </c>
      <c r="C578" t="s">
        <v>215</v>
      </c>
      <c r="D578">
        <v>2</v>
      </c>
      <c r="E578" t="s">
        <v>44</v>
      </c>
      <c r="F578" t="str">
        <f t="shared" ref="F578:F641" si="63">VLOOKUP($E578, $V$1:$AA$9, 2, FALSE)</f>
        <v>Gobiomorphus cotidianus</v>
      </c>
      <c r="G578" t="str">
        <f t="shared" ref="G578:G641" si="64">VLOOKUP($E578, $V$1:$AA$9, 3, FALSE)</f>
        <v>Common_bully</v>
      </c>
      <c r="H578" t="str">
        <f t="shared" ref="H578:H641" si="65">VLOOKUP($E578, $V$1:$AA$9, 4, FALSE)</f>
        <v>Toitoi</v>
      </c>
      <c r="I578" t="str">
        <f t="shared" ref="I578:I641" si="66">VLOOKUP($E578, $V$1:$AB$9, 5, FALSE)</f>
        <v>Native</v>
      </c>
      <c r="J578" t="str">
        <f t="shared" ref="J578:J641" si="67">VLOOKUP($E578, $V$1:$AA$9, 6, FALSE)</f>
        <v>No</v>
      </c>
      <c r="L578">
        <v>59</v>
      </c>
      <c r="M578">
        <f t="shared" si="62"/>
        <v>2.2000000000000002</v>
      </c>
      <c r="N578">
        <v>1</v>
      </c>
      <c r="S578" t="str">
        <f t="shared" si="60"/>
        <v/>
      </c>
    </row>
    <row r="579" spans="1:19" x14ac:dyDescent="0.55000000000000004">
      <c r="A579">
        <v>108</v>
      </c>
      <c r="B579" s="2">
        <v>45604.458333333336</v>
      </c>
      <c r="C579" t="s">
        <v>215</v>
      </c>
      <c r="D579">
        <v>2</v>
      </c>
      <c r="E579" t="s">
        <v>44</v>
      </c>
      <c r="F579" t="str">
        <f t="shared" si="63"/>
        <v>Gobiomorphus cotidianus</v>
      </c>
      <c r="G579" t="str">
        <f t="shared" si="64"/>
        <v>Common_bully</v>
      </c>
      <c r="H579" t="str">
        <f t="shared" si="65"/>
        <v>Toitoi</v>
      </c>
      <c r="I579" t="str">
        <f t="shared" si="66"/>
        <v>Native</v>
      </c>
      <c r="J579" t="str">
        <f t="shared" si="67"/>
        <v>No</v>
      </c>
      <c r="L579">
        <v>51</v>
      </c>
      <c r="M579">
        <f t="shared" si="62"/>
        <v>2.2000000000000002</v>
      </c>
      <c r="N579">
        <v>1</v>
      </c>
      <c r="S579" t="str">
        <f t="shared" ref="S579:S642" si="68">IF(R579&lt;&gt;"", R579*236.588, "")</f>
        <v/>
      </c>
    </row>
    <row r="580" spans="1:19" x14ac:dyDescent="0.55000000000000004">
      <c r="A580">
        <v>108</v>
      </c>
      <c r="B580" s="2">
        <v>45604.458333333336</v>
      </c>
      <c r="C580" t="s">
        <v>215</v>
      </c>
      <c r="D580">
        <v>2</v>
      </c>
      <c r="E580" t="s">
        <v>44</v>
      </c>
      <c r="F580" t="str">
        <f t="shared" si="63"/>
        <v>Gobiomorphus cotidianus</v>
      </c>
      <c r="G580" t="str">
        <f t="shared" si="64"/>
        <v>Common_bully</v>
      </c>
      <c r="H580" t="str">
        <f t="shared" si="65"/>
        <v>Toitoi</v>
      </c>
      <c r="I580" t="str">
        <f t="shared" si="66"/>
        <v>Native</v>
      </c>
      <c r="J580" t="str">
        <f t="shared" si="67"/>
        <v>No</v>
      </c>
      <c r="L580">
        <v>54</v>
      </c>
      <c r="M580">
        <f t="shared" si="62"/>
        <v>2.2000000000000002</v>
      </c>
      <c r="N580">
        <v>1</v>
      </c>
      <c r="S580" t="str">
        <f t="shared" si="68"/>
        <v/>
      </c>
    </row>
    <row r="581" spans="1:19" x14ac:dyDescent="0.55000000000000004">
      <c r="A581">
        <v>108</v>
      </c>
      <c r="B581" s="2">
        <v>45604.458333333336</v>
      </c>
      <c r="C581" t="s">
        <v>215</v>
      </c>
      <c r="D581">
        <v>2</v>
      </c>
      <c r="E581" t="s">
        <v>44</v>
      </c>
      <c r="F581" t="str">
        <f t="shared" si="63"/>
        <v>Gobiomorphus cotidianus</v>
      </c>
      <c r="G581" t="str">
        <f t="shared" si="64"/>
        <v>Common_bully</v>
      </c>
      <c r="H581" t="str">
        <f t="shared" si="65"/>
        <v>Toitoi</v>
      </c>
      <c r="I581" t="str">
        <f t="shared" si="66"/>
        <v>Native</v>
      </c>
      <c r="J581" t="str">
        <f t="shared" si="67"/>
        <v>No</v>
      </c>
      <c r="L581">
        <v>50</v>
      </c>
      <c r="M581">
        <f t="shared" si="62"/>
        <v>2.2000000000000002</v>
      </c>
      <c r="N581">
        <v>1</v>
      </c>
      <c r="S581" t="str">
        <f t="shared" si="68"/>
        <v/>
      </c>
    </row>
    <row r="582" spans="1:19" x14ac:dyDescent="0.55000000000000004">
      <c r="A582">
        <v>108</v>
      </c>
      <c r="B582" s="2">
        <v>45604.458333333336</v>
      </c>
      <c r="C582" t="s">
        <v>215</v>
      </c>
      <c r="D582">
        <v>2</v>
      </c>
      <c r="E582" t="s">
        <v>44</v>
      </c>
      <c r="F582" t="str">
        <f t="shared" si="63"/>
        <v>Gobiomorphus cotidianus</v>
      </c>
      <c r="G582" t="str">
        <f t="shared" si="64"/>
        <v>Common_bully</v>
      </c>
      <c r="H582" t="str">
        <f t="shared" si="65"/>
        <v>Toitoi</v>
      </c>
      <c r="I582" t="str">
        <f t="shared" si="66"/>
        <v>Native</v>
      </c>
      <c r="J582" t="str">
        <f t="shared" si="67"/>
        <v>No</v>
      </c>
      <c r="L582">
        <v>45</v>
      </c>
      <c r="M582">
        <f t="shared" si="62"/>
        <v>2.2000000000000002</v>
      </c>
      <c r="N582">
        <v>1</v>
      </c>
      <c r="S582" t="str">
        <f t="shared" si="68"/>
        <v/>
      </c>
    </row>
    <row r="583" spans="1:19" x14ac:dyDescent="0.55000000000000004">
      <c r="A583">
        <v>108</v>
      </c>
      <c r="B583" s="2">
        <v>45604.458333333336</v>
      </c>
      <c r="C583" t="s">
        <v>215</v>
      </c>
      <c r="D583">
        <v>2</v>
      </c>
      <c r="E583" t="s">
        <v>44</v>
      </c>
      <c r="F583" t="str">
        <f t="shared" si="63"/>
        <v>Gobiomorphus cotidianus</v>
      </c>
      <c r="G583" t="str">
        <f t="shared" si="64"/>
        <v>Common_bully</v>
      </c>
      <c r="H583" t="str">
        <f t="shared" si="65"/>
        <v>Toitoi</v>
      </c>
      <c r="I583" t="str">
        <f t="shared" si="66"/>
        <v>Native</v>
      </c>
      <c r="J583" t="str">
        <f t="shared" si="67"/>
        <v>No</v>
      </c>
      <c r="L583">
        <v>41</v>
      </c>
      <c r="M583">
        <f t="shared" si="62"/>
        <v>2.2000000000000002</v>
      </c>
      <c r="N583">
        <v>1</v>
      </c>
      <c r="S583" t="str">
        <f t="shared" si="68"/>
        <v/>
      </c>
    </row>
    <row r="584" spans="1:19" x14ac:dyDescent="0.55000000000000004">
      <c r="A584">
        <v>108</v>
      </c>
      <c r="B584" s="2">
        <v>45604.458333333336</v>
      </c>
      <c r="C584" t="s">
        <v>215</v>
      </c>
      <c r="D584">
        <v>2</v>
      </c>
      <c r="E584" t="s">
        <v>44</v>
      </c>
      <c r="F584" t="str">
        <f t="shared" si="63"/>
        <v>Gobiomorphus cotidianus</v>
      </c>
      <c r="G584" t="str">
        <f t="shared" si="64"/>
        <v>Common_bully</v>
      </c>
      <c r="H584" t="str">
        <f t="shared" si="65"/>
        <v>Toitoi</v>
      </c>
      <c r="I584" t="str">
        <f t="shared" si="66"/>
        <v>Native</v>
      </c>
      <c r="J584" t="str">
        <f t="shared" si="67"/>
        <v>No</v>
      </c>
      <c r="L584">
        <v>59</v>
      </c>
      <c r="M584">
        <f t="shared" si="62"/>
        <v>2.2000000000000002</v>
      </c>
      <c r="N584">
        <v>1</v>
      </c>
      <c r="S584" t="str">
        <f t="shared" si="68"/>
        <v/>
      </c>
    </row>
    <row r="585" spans="1:19" x14ac:dyDescent="0.55000000000000004">
      <c r="A585">
        <v>108</v>
      </c>
      <c r="B585" s="2">
        <v>45604.458333333336</v>
      </c>
      <c r="C585" t="s">
        <v>215</v>
      </c>
      <c r="D585">
        <v>2</v>
      </c>
      <c r="E585" t="s">
        <v>44</v>
      </c>
      <c r="F585" t="str">
        <f t="shared" si="63"/>
        <v>Gobiomorphus cotidianus</v>
      </c>
      <c r="G585" t="str">
        <f t="shared" si="64"/>
        <v>Common_bully</v>
      </c>
      <c r="H585" t="str">
        <f t="shared" si="65"/>
        <v>Toitoi</v>
      </c>
      <c r="I585" t="str">
        <f t="shared" si="66"/>
        <v>Native</v>
      </c>
      <c r="J585" t="str">
        <f t="shared" si="67"/>
        <v>No</v>
      </c>
      <c r="L585">
        <v>31</v>
      </c>
      <c r="M585">
        <f t="shared" si="62"/>
        <v>2.2000000000000002</v>
      </c>
      <c r="N585">
        <v>1</v>
      </c>
      <c r="S585" t="str">
        <f t="shared" si="68"/>
        <v/>
      </c>
    </row>
    <row r="586" spans="1:19" x14ac:dyDescent="0.55000000000000004">
      <c r="A586">
        <v>108</v>
      </c>
      <c r="B586" s="2">
        <v>45604.458333333336</v>
      </c>
      <c r="C586" t="s">
        <v>215</v>
      </c>
      <c r="D586">
        <v>2</v>
      </c>
      <c r="E586" t="s">
        <v>44</v>
      </c>
      <c r="F586" t="str">
        <f t="shared" si="63"/>
        <v>Gobiomorphus cotidianus</v>
      </c>
      <c r="G586" t="str">
        <f t="shared" si="64"/>
        <v>Common_bully</v>
      </c>
      <c r="H586" t="str">
        <f t="shared" si="65"/>
        <v>Toitoi</v>
      </c>
      <c r="I586" t="str">
        <f t="shared" si="66"/>
        <v>Native</v>
      </c>
      <c r="J586" t="str">
        <f t="shared" si="67"/>
        <v>No</v>
      </c>
      <c r="L586">
        <v>55</v>
      </c>
      <c r="M586">
        <f t="shared" si="62"/>
        <v>2.2000000000000002</v>
      </c>
      <c r="N586">
        <v>1</v>
      </c>
      <c r="S586" t="str">
        <f t="shared" si="68"/>
        <v/>
      </c>
    </row>
    <row r="587" spans="1:19" x14ac:dyDescent="0.55000000000000004">
      <c r="A587">
        <v>108</v>
      </c>
      <c r="B587" s="2">
        <v>45604.458333333336</v>
      </c>
      <c r="C587" t="s">
        <v>215</v>
      </c>
      <c r="D587">
        <v>2</v>
      </c>
      <c r="E587" t="s">
        <v>44</v>
      </c>
      <c r="F587" t="str">
        <f t="shared" si="63"/>
        <v>Gobiomorphus cotidianus</v>
      </c>
      <c r="G587" t="str">
        <f t="shared" si="64"/>
        <v>Common_bully</v>
      </c>
      <c r="H587" t="str">
        <f t="shared" si="65"/>
        <v>Toitoi</v>
      </c>
      <c r="I587" t="str">
        <f t="shared" si="66"/>
        <v>Native</v>
      </c>
      <c r="J587" t="str">
        <f t="shared" si="67"/>
        <v>No</v>
      </c>
      <c r="L587">
        <v>50</v>
      </c>
      <c r="M587">
        <f t="shared" si="62"/>
        <v>2.2000000000000002</v>
      </c>
      <c r="N587">
        <v>1</v>
      </c>
      <c r="S587" t="str">
        <f t="shared" si="68"/>
        <v/>
      </c>
    </row>
    <row r="588" spans="1:19" x14ac:dyDescent="0.55000000000000004">
      <c r="A588">
        <v>108</v>
      </c>
      <c r="B588" s="2">
        <v>45604.458333333336</v>
      </c>
      <c r="C588" t="s">
        <v>215</v>
      </c>
      <c r="D588">
        <v>2</v>
      </c>
      <c r="E588" t="s">
        <v>44</v>
      </c>
      <c r="F588" t="str">
        <f t="shared" si="63"/>
        <v>Gobiomorphus cotidianus</v>
      </c>
      <c r="G588" t="str">
        <f t="shared" si="64"/>
        <v>Common_bully</v>
      </c>
      <c r="H588" t="str">
        <f t="shared" si="65"/>
        <v>Toitoi</v>
      </c>
      <c r="I588" t="str">
        <f t="shared" si="66"/>
        <v>Native</v>
      </c>
      <c r="J588" t="str">
        <f t="shared" si="67"/>
        <v>No</v>
      </c>
      <c r="L588">
        <v>50</v>
      </c>
      <c r="M588">
        <f t="shared" si="62"/>
        <v>2.2000000000000002</v>
      </c>
      <c r="N588">
        <v>1</v>
      </c>
      <c r="S588" t="str">
        <f t="shared" si="68"/>
        <v/>
      </c>
    </row>
    <row r="589" spans="1:19" x14ac:dyDescent="0.55000000000000004">
      <c r="A589">
        <v>108</v>
      </c>
      <c r="B589" s="2">
        <v>45604.458333333336</v>
      </c>
      <c r="C589" t="s">
        <v>215</v>
      </c>
      <c r="D589">
        <v>2</v>
      </c>
      <c r="E589" t="s">
        <v>44</v>
      </c>
      <c r="F589" t="str">
        <f t="shared" si="63"/>
        <v>Gobiomorphus cotidianus</v>
      </c>
      <c r="G589" t="str">
        <f t="shared" si="64"/>
        <v>Common_bully</v>
      </c>
      <c r="H589" t="str">
        <f t="shared" si="65"/>
        <v>Toitoi</v>
      </c>
      <c r="I589" t="str">
        <f t="shared" si="66"/>
        <v>Native</v>
      </c>
      <c r="J589" t="str">
        <f t="shared" si="67"/>
        <v>No</v>
      </c>
      <c r="L589">
        <v>57</v>
      </c>
      <c r="M589">
        <f t="shared" si="62"/>
        <v>2.2000000000000002</v>
      </c>
      <c r="N589">
        <v>1</v>
      </c>
      <c r="S589" t="str">
        <f t="shared" si="68"/>
        <v/>
      </c>
    </row>
    <row r="590" spans="1:19" x14ac:dyDescent="0.55000000000000004">
      <c r="A590">
        <v>108</v>
      </c>
      <c r="B590" s="2">
        <v>45604.458333333336</v>
      </c>
      <c r="C590" t="s">
        <v>215</v>
      </c>
      <c r="D590">
        <v>2</v>
      </c>
      <c r="E590" t="s">
        <v>44</v>
      </c>
      <c r="F590" t="str">
        <f t="shared" si="63"/>
        <v>Gobiomorphus cotidianus</v>
      </c>
      <c r="G590" t="str">
        <f t="shared" si="64"/>
        <v>Common_bully</v>
      </c>
      <c r="H590" t="str">
        <f t="shared" si="65"/>
        <v>Toitoi</v>
      </c>
      <c r="I590" t="str">
        <f t="shared" si="66"/>
        <v>Native</v>
      </c>
      <c r="J590" t="str">
        <f t="shared" si="67"/>
        <v>No</v>
      </c>
      <c r="L590">
        <v>60</v>
      </c>
      <c r="M590">
        <f t="shared" si="62"/>
        <v>2.2000000000000002</v>
      </c>
      <c r="N590">
        <v>1</v>
      </c>
      <c r="S590" t="str">
        <f t="shared" si="68"/>
        <v/>
      </c>
    </row>
    <row r="591" spans="1:19" x14ac:dyDescent="0.55000000000000004">
      <c r="A591">
        <v>108</v>
      </c>
      <c r="B591" s="2">
        <v>45604.458333333336</v>
      </c>
      <c r="C591" t="s">
        <v>215</v>
      </c>
      <c r="D591">
        <v>2</v>
      </c>
      <c r="E591" t="s">
        <v>44</v>
      </c>
      <c r="F591" t="str">
        <f t="shared" si="63"/>
        <v>Gobiomorphus cotidianus</v>
      </c>
      <c r="G591" t="str">
        <f t="shared" si="64"/>
        <v>Common_bully</v>
      </c>
      <c r="H591" t="str">
        <f t="shared" si="65"/>
        <v>Toitoi</v>
      </c>
      <c r="I591" t="str">
        <f t="shared" si="66"/>
        <v>Native</v>
      </c>
      <c r="J591" t="str">
        <f t="shared" si="67"/>
        <v>No</v>
      </c>
      <c r="L591">
        <v>41</v>
      </c>
      <c r="M591">
        <f t="shared" si="62"/>
        <v>2.2000000000000002</v>
      </c>
      <c r="N591">
        <v>1</v>
      </c>
      <c r="S591" t="str">
        <f t="shared" si="68"/>
        <v/>
      </c>
    </row>
    <row r="592" spans="1:19" x14ac:dyDescent="0.55000000000000004">
      <c r="A592">
        <v>108</v>
      </c>
      <c r="B592" s="2">
        <v>45604.458333333336</v>
      </c>
      <c r="C592" t="s">
        <v>215</v>
      </c>
      <c r="D592">
        <v>2</v>
      </c>
      <c r="E592" t="s">
        <v>44</v>
      </c>
      <c r="F592" t="str">
        <f t="shared" si="63"/>
        <v>Gobiomorphus cotidianus</v>
      </c>
      <c r="G592" t="str">
        <f t="shared" si="64"/>
        <v>Common_bully</v>
      </c>
      <c r="H592" t="str">
        <f t="shared" si="65"/>
        <v>Toitoi</v>
      </c>
      <c r="I592" t="str">
        <f t="shared" si="66"/>
        <v>Native</v>
      </c>
      <c r="J592" t="str">
        <f t="shared" si="67"/>
        <v>No</v>
      </c>
      <c r="L592">
        <v>66</v>
      </c>
      <c r="M592">
        <f t="shared" si="62"/>
        <v>2.2000000000000002</v>
      </c>
      <c r="N592">
        <v>1</v>
      </c>
      <c r="S592" t="str">
        <f t="shared" si="68"/>
        <v/>
      </c>
    </row>
    <row r="593" spans="1:19" x14ac:dyDescent="0.55000000000000004">
      <c r="A593">
        <v>108</v>
      </c>
      <c r="B593" s="2">
        <v>45604.458333333336</v>
      </c>
      <c r="C593" t="s">
        <v>215</v>
      </c>
      <c r="D593">
        <v>2</v>
      </c>
      <c r="E593" t="s">
        <v>44</v>
      </c>
      <c r="F593" t="str">
        <f t="shared" si="63"/>
        <v>Gobiomorphus cotidianus</v>
      </c>
      <c r="G593" t="str">
        <f t="shared" si="64"/>
        <v>Common_bully</v>
      </c>
      <c r="H593" t="str">
        <f t="shared" si="65"/>
        <v>Toitoi</v>
      </c>
      <c r="I593" t="str">
        <f t="shared" si="66"/>
        <v>Native</v>
      </c>
      <c r="J593" t="str">
        <f t="shared" si="67"/>
        <v>No</v>
      </c>
      <c r="L593">
        <v>55</v>
      </c>
      <c r="M593">
        <f t="shared" si="62"/>
        <v>2.2000000000000002</v>
      </c>
      <c r="N593">
        <v>1</v>
      </c>
      <c r="S593" t="str">
        <f t="shared" si="68"/>
        <v/>
      </c>
    </row>
    <row r="594" spans="1:19" x14ac:dyDescent="0.55000000000000004">
      <c r="A594">
        <v>108</v>
      </c>
      <c r="B594" s="2">
        <v>45604.458333333336</v>
      </c>
      <c r="C594" t="s">
        <v>215</v>
      </c>
      <c r="D594">
        <v>2</v>
      </c>
      <c r="E594" t="s">
        <v>44</v>
      </c>
      <c r="F594" t="str">
        <f t="shared" si="63"/>
        <v>Gobiomorphus cotidianus</v>
      </c>
      <c r="G594" t="str">
        <f t="shared" si="64"/>
        <v>Common_bully</v>
      </c>
      <c r="H594" t="str">
        <f t="shared" si="65"/>
        <v>Toitoi</v>
      </c>
      <c r="I594" t="str">
        <f t="shared" si="66"/>
        <v>Native</v>
      </c>
      <c r="J594" t="str">
        <f t="shared" si="67"/>
        <v>No</v>
      </c>
      <c r="L594">
        <v>44</v>
      </c>
      <c r="M594">
        <f t="shared" si="62"/>
        <v>2.2000000000000002</v>
      </c>
      <c r="N594">
        <v>1</v>
      </c>
      <c r="S594" t="str">
        <f t="shared" si="68"/>
        <v/>
      </c>
    </row>
    <row r="595" spans="1:19" x14ac:dyDescent="0.55000000000000004">
      <c r="A595">
        <v>108</v>
      </c>
      <c r="B595" s="2">
        <v>45604.458333333336</v>
      </c>
      <c r="C595" t="s">
        <v>215</v>
      </c>
      <c r="D595">
        <v>2</v>
      </c>
      <c r="E595" t="s">
        <v>44</v>
      </c>
      <c r="F595" t="str">
        <f t="shared" si="63"/>
        <v>Gobiomorphus cotidianus</v>
      </c>
      <c r="G595" t="str">
        <f t="shared" si="64"/>
        <v>Common_bully</v>
      </c>
      <c r="H595" t="str">
        <f t="shared" si="65"/>
        <v>Toitoi</v>
      </c>
      <c r="I595" t="str">
        <f t="shared" si="66"/>
        <v>Native</v>
      </c>
      <c r="J595" t="str">
        <f t="shared" si="67"/>
        <v>No</v>
      </c>
      <c r="L595">
        <v>26</v>
      </c>
      <c r="M595">
        <f t="shared" si="62"/>
        <v>2.2000000000000002</v>
      </c>
      <c r="N595">
        <v>1</v>
      </c>
      <c r="S595" t="str">
        <f t="shared" si="68"/>
        <v/>
      </c>
    </row>
    <row r="596" spans="1:19" x14ac:dyDescent="0.55000000000000004">
      <c r="A596">
        <v>108</v>
      </c>
      <c r="B596" s="2">
        <v>45604.458333333336</v>
      </c>
      <c r="C596" t="s">
        <v>215</v>
      </c>
      <c r="D596">
        <v>2</v>
      </c>
      <c r="E596" t="s">
        <v>44</v>
      </c>
      <c r="F596" t="str">
        <f t="shared" si="63"/>
        <v>Gobiomorphus cotidianus</v>
      </c>
      <c r="G596" t="str">
        <f t="shared" si="64"/>
        <v>Common_bully</v>
      </c>
      <c r="H596" t="str">
        <f t="shared" si="65"/>
        <v>Toitoi</v>
      </c>
      <c r="I596" t="str">
        <f t="shared" si="66"/>
        <v>Native</v>
      </c>
      <c r="J596" t="str">
        <f t="shared" si="67"/>
        <v>No</v>
      </c>
      <c r="L596">
        <v>70</v>
      </c>
      <c r="M596">
        <f t="shared" si="62"/>
        <v>2.2000000000000002</v>
      </c>
      <c r="N596">
        <v>1</v>
      </c>
      <c r="S596" t="str">
        <f t="shared" si="68"/>
        <v/>
      </c>
    </row>
    <row r="597" spans="1:19" x14ac:dyDescent="0.55000000000000004">
      <c r="A597">
        <v>108</v>
      </c>
      <c r="B597" s="2">
        <v>45604.458333333336</v>
      </c>
      <c r="C597" t="s">
        <v>215</v>
      </c>
      <c r="D597">
        <v>2</v>
      </c>
      <c r="E597" t="s">
        <v>44</v>
      </c>
      <c r="F597" t="str">
        <f t="shared" si="63"/>
        <v>Gobiomorphus cotidianus</v>
      </c>
      <c r="G597" t="str">
        <f t="shared" si="64"/>
        <v>Common_bully</v>
      </c>
      <c r="H597" t="str">
        <f t="shared" si="65"/>
        <v>Toitoi</v>
      </c>
      <c r="I597" t="str">
        <f t="shared" si="66"/>
        <v>Native</v>
      </c>
      <c r="J597" t="str">
        <f t="shared" si="67"/>
        <v>No</v>
      </c>
      <c r="L597">
        <v>62</v>
      </c>
      <c r="M597">
        <f t="shared" si="62"/>
        <v>2.2000000000000002</v>
      </c>
      <c r="N597">
        <v>1</v>
      </c>
      <c r="S597" t="str">
        <f t="shared" si="68"/>
        <v/>
      </c>
    </row>
    <row r="598" spans="1:19" x14ac:dyDescent="0.55000000000000004">
      <c r="A598">
        <v>108</v>
      </c>
      <c r="B598" s="2">
        <v>45604.458333333336</v>
      </c>
      <c r="C598" t="s">
        <v>215</v>
      </c>
      <c r="D598">
        <v>2</v>
      </c>
      <c r="E598" t="s">
        <v>44</v>
      </c>
      <c r="F598" t="str">
        <f t="shared" si="63"/>
        <v>Gobiomorphus cotidianus</v>
      </c>
      <c r="G598" t="str">
        <f t="shared" si="64"/>
        <v>Common_bully</v>
      </c>
      <c r="H598" t="str">
        <f t="shared" si="65"/>
        <v>Toitoi</v>
      </c>
      <c r="I598" t="str">
        <f t="shared" si="66"/>
        <v>Native</v>
      </c>
      <c r="J598" t="str">
        <f t="shared" si="67"/>
        <v>No</v>
      </c>
      <c r="L598">
        <v>74</v>
      </c>
      <c r="M598">
        <f t="shared" si="62"/>
        <v>2.2000000000000002</v>
      </c>
      <c r="N598">
        <v>1</v>
      </c>
      <c r="S598" t="str">
        <f t="shared" si="68"/>
        <v/>
      </c>
    </row>
    <row r="599" spans="1:19" x14ac:dyDescent="0.55000000000000004">
      <c r="A599">
        <v>108</v>
      </c>
      <c r="B599" s="2">
        <v>45604.458333333336</v>
      </c>
      <c r="C599" t="s">
        <v>215</v>
      </c>
      <c r="D599">
        <v>2</v>
      </c>
      <c r="E599" t="s">
        <v>44</v>
      </c>
      <c r="F599" t="str">
        <f t="shared" si="63"/>
        <v>Gobiomorphus cotidianus</v>
      </c>
      <c r="G599" t="str">
        <f t="shared" si="64"/>
        <v>Common_bully</v>
      </c>
      <c r="H599" t="str">
        <f t="shared" si="65"/>
        <v>Toitoi</v>
      </c>
      <c r="I599" t="str">
        <f t="shared" si="66"/>
        <v>Native</v>
      </c>
      <c r="J599" t="str">
        <f t="shared" si="67"/>
        <v>No</v>
      </c>
      <c r="L599">
        <v>52</v>
      </c>
      <c r="M599">
        <f t="shared" si="62"/>
        <v>2.2000000000000002</v>
      </c>
      <c r="N599">
        <v>1</v>
      </c>
      <c r="S599" t="str">
        <f t="shared" si="68"/>
        <v/>
      </c>
    </row>
    <row r="600" spans="1:19" x14ac:dyDescent="0.55000000000000004">
      <c r="A600">
        <v>108</v>
      </c>
      <c r="B600" s="2">
        <v>45604.458333333336</v>
      </c>
      <c r="C600" t="s">
        <v>215</v>
      </c>
      <c r="D600">
        <v>2</v>
      </c>
      <c r="E600" t="s">
        <v>44</v>
      </c>
      <c r="F600" t="str">
        <f t="shared" si="63"/>
        <v>Gobiomorphus cotidianus</v>
      </c>
      <c r="G600" t="str">
        <f t="shared" si="64"/>
        <v>Common_bully</v>
      </c>
      <c r="H600" t="str">
        <f t="shared" si="65"/>
        <v>Toitoi</v>
      </c>
      <c r="I600" t="str">
        <f t="shared" si="66"/>
        <v>Native</v>
      </c>
      <c r="J600" t="str">
        <f t="shared" si="67"/>
        <v>No</v>
      </c>
      <c r="L600">
        <v>69</v>
      </c>
      <c r="M600">
        <f t="shared" si="62"/>
        <v>2.2000000000000002</v>
      </c>
      <c r="N600">
        <v>1</v>
      </c>
      <c r="S600" t="str">
        <f t="shared" si="68"/>
        <v/>
      </c>
    </row>
    <row r="601" spans="1:19" x14ac:dyDescent="0.55000000000000004">
      <c r="A601">
        <v>108</v>
      </c>
      <c r="B601" s="2">
        <v>45604.458333333336</v>
      </c>
      <c r="C601" t="s">
        <v>215</v>
      </c>
      <c r="D601">
        <v>2</v>
      </c>
      <c r="E601" t="s">
        <v>44</v>
      </c>
      <c r="F601" t="str">
        <f t="shared" si="63"/>
        <v>Gobiomorphus cotidianus</v>
      </c>
      <c r="G601" t="str">
        <f t="shared" si="64"/>
        <v>Common_bully</v>
      </c>
      <c r="H601" t="str">
        <f t="shared" si="65"/>
        <v>Toitoi</v>
      </c>
      <c r="I601" t="str">
        <f t="shared" si="66"/>
        <v>Native</v>
      </c>
      <c r="J601" t="str">
        <f t="shared" si="67"/>
        <v>No</v>
      </c>
      <c r="L601">
        <v>55</v>
      </c>
      <c r="M601">
        <f t="shared" si="62"/>
        <v>2.2000000000000002</v>
      </c>
      <c r="N601">
        <v>1</v>
      </c>
      <c r="S601" t="str">
        <f t="shared" si="68"/>
        <v/>
      </c>
    </row>
    <row r="602" spans="1:19" x14ac:dyDescent="0.55000000000000004">
      <c r="A602">
        <v>108</v>
      </c>
      <c r="B602" s="2">
        <v>45604.458333333336</v>
      </c>
      <c r="C602" t="s">
        <v>215</v>
      </c>
      <c r="D602">
        <v>2</v>
      </c>
      <c r="E602" t="s">
        <v>44</v>
      </c>
      <c r="F602" t="str">
        <f t="shared" si="63"/>
        <v>Gobiomorphus cotidianus</v>
      </c>
      <c r="G602" t="str">
        <f t="shared" si="64"/>
        <v>Common_bully</v>
      </c>
      <c r="H602" t="str">
        <f t="shared" si="65"/>
        <v>Toitoi</v>
      </c>
      <c r="I602" t="str">
        <f t="shared" si="66"/>
        <v>Native</v>
      </c>
      <c r="J602" t="str">
        <f t="shared" si="67"/>
        <v>No</v>
      </c>
      <c r="L602">
        <v>60</v>
      </c>
      <c r="M602">
        <f t="shared" si="62"/>
        <v>2.2000000000000002</v>
      </c>
      <c r="N602">
        <v>1</v>
      </c>
      <c r="S602" t="str">
        <f t="shared" si="68"/>
        <v/>
      </c>
    </row>
    <row r="603" spans="1:19" x14ac:dyDescent="0.55000000000000004">
      <c r="A603">
        <v>108</v>
      </c>
      <c r="B603" s="2">
        <v>45604.458333333336</v>
      </c>
      <c r="C603" t="s">
        <v>215</v>
      </c>
      <c r="D603">
        <v>2</v>
      </c>
      <c r="E603" t="s">
        <v>44</v>
      </c>
      <c r="F603" t="str">
        <f t="shared" si="63"/>
        <v>Gobiomorphus cotidianus</v>
      </c>
      <c r="G603" t="str">
        <f t="shared" si="64"/>
        <v>Common_bully</v>
      </c>
      <c r="H603" t="str">
        <f t="shared" si="65"/>
        <v>Toitoi</v>
      </c>
      <c r="I603" t="str">
        <f t="shared" si="66"/>
        <v>Native</v>
      </c>
      <c r="J603" t="str">
        <f t="shared" si="67"/>
        <v>No</v>
      </c>
      <c r="L603">
        <v>55</v>
      </c>
      <c r="M603">
        <f t="shared" si="62"/>
        <v>2.2000000000000002</v>
      </c>
      <c r="N603">
        <v>1</v>
      </c>
      <c r="S603" t="str">
        <f t="shared" si="68"/>
        <v/>
      </c>
    </row>
    <row r="604" spans="1:19" x14ac:dyDescent="0.55000000000000004">
      <c r="A604">
        <v>108</v>
      </c>
      <c r="B604" s="2">
        <v>45604.458333333336</v>
      </c>
      <c r="C604" t="s">
        <v>215</v>
      </c>
      <c r="D604">
        <v>2</v>
      </c>
      <c r="E604" t="s">
        <v>44</v>
      </c>
      <c r="F604" t="str">
        <f t="shared" si="63"/>
        <v>Gobiomorphus cotidianus</v>
      </c>
      <c r="G604" t="str">
        <f t="shared" si="64"/>
        <v>Common_bully</v>
      </c>
      <c r="H604" t="str">
        <f t="shared" si="65"/>
        <v>Toitoi</v>
      </c>
      <c r="I604" t="str">
        <f t="shared" si="66"/>
        <v>Native</v>
      </c>
      <c r="J604" t="str">
        <f t="shared" si="67"/>
        <v>No</v>
      </c>
      <c r="L604">
        <v>44</v>
      </c>
      <c r="M604">
        <f>66/30</f>
        <v>2.2000000000000002</v>
      </c>
      <c r="N604">
        <v>1</v>
      </c>
      <c r="S604" t="str">
        <f t="shared" si="68"/>
        <v/>
      </c>
    </row>
    <row r="605" spans="1:19" x14ac:dyDescent="0.55000000000000004">
      <c r="A605">
        <v>108</v>
      </c>
      <c r="B605" s="2">
        <v>45604.458333333336</v>
      </c>
      <c r="C605" t="s">
        <v>215</v>
      </c>
      <c r="D605">
        <v>2</v>
      </c>
      <c r="E605" t="s">
        <v>44</v>
      </c>
      <c r="F605" t="str">
        <f t="shared" si="63"/>
        <v>Gobiomorphus cotidianus</v>
      </c>
      <c r="G605" t="str">
        <f t="shared" si="64"/>
        <v>Common_bully</v>
      </c>
      <c r="H605" t="str">
        <f t="shared" si="65"/>
        <v>Toitoi</v>
      </c>
      <c r="I605" t="str">
        <f t="shared" si="66"/>
        <v>Native</v>
      </c>
      <c r="J605" t="str">
        <f t="shared" si="67"/>
        <v>No</v>
      </c>
      <c r="M605">
        <v>196</v>
      </c>
      <c r="R605">
        <v>1</v>
      </c>
      <c r="S605">
        <f t="shared" si="68"/>
        <v>236.58799999999999</v>
      </c>
    </row>
    <row r="606" spans="1:19" x14ac:dyDescent="0.55000000000000004">
      <c r="A606">
        <v>108</v>
      </c>
      <c r="B606" s="2">
        <v>45604.458333333336</v>
      </c>
      <c r="C606" t="s">
        <v>215</v>
      </c>
      <c r="D606">
        <v>2</v>
      </c>
      <c r="E606" t="s">
        <v>49</v>
      </c>
      <c r="F606" t="str">
        <f t="shared" si="63"/>
        <v>Paranephrops planifrons</v>
      </c>
      <c r="G606" t="str">
        <f t="shared" si="64"/>
        <v>Freshwater_crayfish</v>
      </c>
      <c r="H606" t="str">
        <f t="shared" si="65"/>
        <v>Kōura</v>
      </c>
      <c r="I606" t="str">
        <f t="shared" si="66"/>
        <v>Native</v>
      </c>
      <c r="J606" t="str">
        <f t="shared" si="67"/>
        <v>Yes</v>
      </c>
      <c r="K606" t="s">
        <v>50</v>
      </c>
      <c r="L606">
        <v>27.85</v>
      </c>
      <c r="M606">
        <v>14</v>
      </c>
      <c r="N606">
        <v>1</v>
      </c>
      <c r="O606">
        <v>1</v>
      </c>
      <c r="S606" t="str">
        <f t="shared" si="68"/>
        <v/>
      </c>
    </row>
    <row r="607" spans="1:19" x14ac:dyDescent="0.55000000000000004">
      <c r="A607">
        <v>108</v>
      </c>
      <c r="B607" s="2">
        <v>45604.458333333336</v>
      </c>
      <c r="C607" t="s">
        <v>215</v>
      </c>
      <c r="D607">
        <v>2</v>
      </c>
      <c r="E607" t="s">
        <v>123</v>
      </c>
      <c r="F607" t="str">
        <f t="shared" si="63"/>
        <v>Carassius auratus</v>
      </c>
      <c r="G607" t="str">
        <f t="shared" si="64"/>
        <v>Goldfish</v>
      </c>
      <c r="H607" t="str">
        <f t="shared" si="65"/>
        <v>Morihana</v>
      </c>
      <c r="I607" t="str">
        <f t="shared" si="66"/>
        <v>Nonnative</v>
      </c>
      <c r="J607" t="str">
        <f t="shared" si="67"/>
        <v>No</v>
      </c>
      <c r="L607">
        <v>65</v>
      </c>
      <c r="M607">
        <v>5</v>
      </c>
      <c r="N607">
        <v>1</v>
      </c>
      <c r="S607" t="str">
        <f t="shared" si="68"/>
        <v/>
      </c>
    </row>
    <row r="608" spans="1:19" x14ac:dyDescent="0.55000000000000004">
      <c r="A608">
        <v>108</v>
      </c>
      <c r="B608" s="2">
        <v>45604.458333333336</v>
      </c>
      <c r="C608" t="s">
        <v>215</v>
      </c>
      <c r="D608">
        <v>2</v>
      </c>
      <c r="E608" t="s">
        <v>123</v>
      </c>
      <c r="F608" t="str">
        <f t="shared" si="63"/>
        <v>Carassius auratus</v>
      </c>
      <c r="G608" t="str">
        <f t="shared" si="64"/>
        <v>Goldfish</v>
      </c>
      <c r="H608" t="str">
        <f t="shared" si="65"/>
        <v>Morihana</v>
      </c>
      <c r="I608" t="str">
        <f t="shared" si="66"/>
        <v>Nonnative</v>
      </c>
      <c r="J608" t="str">
        <f t="shared" si="67"/>
        <v>No</v>
      </c>
      <c r="L608">
        <v>50</v>
      </c>
      <c r="M608">
        <v>1</v>
      </c>
      <c r="N608">
        <v>1</v>
      </c>
      <c r="S608" t="str">
        <f t="shared" si="68"/>
        <v/>
      </c>
    </row>
    <row r="609" spans="1:19" x14ac:dyDescent="0.55000000000000004">
      <c r="A609">
        <v>108</v>
      </c>
      <c r="B609" s="2">
        <v>45604.458333333336</v>
      </c>
      <c r="C609" t="s">
        <v>215</v>
      </c>
      <c r="D609">
        <v>2</v>
      </c>
      <c r="E609" t="s">
        <v>44</v>
      </c>
      <c r="F609" t="str">
        <f t="shared" si="63"/>
        <v>Gobiomorphus cotidianus</v>
      </c>
      <c r="G609" t="str">
        <f t="shared" si="64"/>
        <v>Common_bully</v>
      </c>
      <c r="H609" t="str">
        <f t="shared" si="65"/>
        <v>Toitoi</v>
      </c>
      <c r="I609" t="str">
        <f t="shared" si="66"/>
        <v>Native</v>
      </c>
      <c r="J609" t="str">
        <f t="shared" si="67"/>
        <v>No</v>
      </c>
      <c r="M609">
        <v>168</v>
      </c>
      <c r="R609">
        <v>0.75</v>
      </c>
      <c r="S609">
        <f t="shared" si="68"/>
        <v>177.441</v>
      </c>
    </row>
    <row r="610" spans="1:19" x14ac:dyDescent="0.55000000000000004">
      <c r="A610">
        <v>85</v>
      </c>
      <c r="B610" s="2">
        <v>45637.409722222219</v>
      </c>
      <c r="C610" t="s">
        <v>216</v>
      </c>
      <c r="D610">
        <v>2</v>
      </c>
      <c r="E610" t="s">
        <v>44</v>
      </c>
      <c r="F610" t="str">
        <f t="shared" si="63"/>
        <v>Gobiomorphus cotidianus</v>
      </c>
      <c r="G610" t="str">
        <f t="shared" si="64"/>
        <v>Common_bully</v>
      </c>
      <c r="H610" t="str">
        <f t="shared" si="65"/>
        <v>Toitoi</v>
      </c>
      <c r="I610" t="str">
        <f t="shared" si="66"/>
        <v>Native</v>
      </c>
      <c r="J610" t="str">
        <f t="shared" si="67"/>
        <v>No</v>
      </c>
      <c r="L610">
        <v>52</v>
      </c>
      <c r="M610">
        <f>19/5</f>
        <v>3.8</v>
      </c>
      <c r="N610">
        <v>1</v>
      </c>
      <c r="S610" t="str">
        <f t="shared" si="68"/>
        <v/>
      </c>
    </row>
    <row r="611" spans="1:19" x14ac:dyDescent="0.55000000000000004">
      <c r="A611">
        <v>85</v>
      </c>
      <c r="B611" s="2">
        <v>45637.409722222219</v>
      </c>
      <c r="C611" t="s">
        <v>216</v>
      </c>
      <c r="D611">
        <v>2</v>
      </c>
      <c r="E611" t="s">
        <v>44</v>
      </c>
      <c r="F611" t="str">
        <f t="shared" si="63"/>
        <v>Gobiomorphus cotidianus</v>
      </c>
      <c r="G611" t="str">
        <f t="shared" si="64"/>
        <v>Common_bully</v>
      </c>
      <c r="H611" t="str">
        <f t="shared" si="65"/>
        <v>Toitoi</v>
      </c>
      <c r="I611" t="str">
        <f t="shared" si="66"/>
        <v>Native</v>
      </c>
      <c r="J611" t="str">
        <f t="shared" si="67"/>
        <v>No</v>
      </c>
      <c r="L611">
        <v>30</v>
      </c>
      <c r="M611">
        <f t="shared" ref="M611:M614" si="69">19/5</f>
        <v>3.8</v>
      </c>
      <c r="N611">
        <v>1</v>
      </c>
      <c r="S611" t="str">
        <f t="shared" si="68"/>
        <v/>
      </c>
    </row>
    <row r="612" spans="1:19" x14ac:dyDescent="0.55000000000000004">
      <c r="A612">
        <v>85</v>
      </c>
      <c r="B612" s="2">
        <v>45637.409722164353</v>
      </c>
      <c r="C612" t="s">
        <v>216</v>
      </c>
      <c r="D612">
        <v>2</v>
      </c>
      <c r="E612" t="s">
        <v>44</v>
      </c>
      <c r="F612" t="str">
        <f t="shared" si="63"/>
        <v>Gobiomorphus cotidianus</v>
      </c>
      <c r="G612" t="str">
        <f t="shared" si="64"/>
        <v>Common_bully</v>
      </c>
      <c r="H612" t="str">
        <f t="shared" si="65"/>
        <v>Toitoi</v>
      </c>
      <c r="I612" t="str">
        <f t="shared" si="66"/>
        <v>Native</v>
      </c>
      <c r="J612" t="str">
        <f t="shared" si="67"/>
        <v>No</v>
      </c>
      <c r="L612">
        <v>34</v>
      </c>
      <c r="M612">
        <f t="shared" si="69"/>
        <v>3.8</v>
      </c>
      <c r="N612">
        <v>1</v>
      </c>
      <c r="S612" t="str">
        <f t="shared" si="68"/>
        <v/>
      </c>
    </row>
    <row r="613" spans="1:19" x14ac:dyDescent="0.55000000000000004">
      <c r="A613">
        <v>85</v>
      </c>
      <c r="B613" s="2">
        <v>45637.409722164353</v>
      </c>
      <c r="C613" t="s">
        <v>216</v>
      </c>
      <c r="D613">
        <v>2</v>
      </c>
      <c r="E613" t="s">
        <v>44</v>
      </c>
      <c r="F613" t="str">
        <f t="shared" si="63"/>
        <v>Gobiomorphus cotidianus</v>
      </c>
      <c r="G613" t="str">
        <f t="shared" si="64"/>
        <v>Common_bully</v>
      </c>
      <c r="H613" t="str">
        <f t="shared" si="65"/>
        <v>Toitoi</v>
      </c>
      <c r="I613" t="str">
        <f t="shared" si="66"/>
        <v>Native</v>
      </c>
      <c r="J613" t="str">
        <f t="shared" si="67"/>
        <v>No</v>
      </c>
      <c r="L613">
        <v>49</v>
      </c>
      <c r="M613">
        <f t="shared" si="69"/>
        <v>3.8</v>
      </c>
      <c r="N613">
        <v>1</v>
      </c>
      <c r="S613" t="str">
        <f t="shared" si="68"/>
        <v/>
      </c>
    </row>
    <row r="614" spans="1:19" x14ac:dyDescent="0.55000000000000004">
      <c r="A614">
        <v>85</v>
      </c>
      <c r="B614" s="2">
        <v>45637.409722164353</v>
      </c>
      <c r="C614" t="s">
        <v>216</v>
      </c>
      <c r="D614">
        <v>2</v>
      </c>
      <c r="E614" t="s">
        <v>44</v>
      </c>
      <c r="F614" t="str">
        <f t="shared" si="63"/>
        <v>Gobiomorphus cotidianus</v>
      </c>
      <c r="G614" t="str">
        <f t="shared" si="64"/>
        <v>Common_bully</v>
      </c>
      <c r="H614" t="str">
        <f t="shared" si="65"/>
        <v>Toitoi</v>
      </c>
      <c r="I614" t="str">
        <f t="shared" si="66"/>
        <v>Native</v>
      </c>
      <c r="J614" t="str">
        <f t="shared" si="67"/>
        <v>No</v>
      </c>
      <c r="L614">
        <v>44</v>
      </c>
      <c r="M614">
        <f t="shared" si="69"/>
        <v>3.8</v>
      </c>
      <c r="N614">
        <v>1</v>
      </c>
      <c r="S614" t="str">
        <f t="shared" si="68"/>
        <v/>
      </c>
    </row>
    <row r="615" spans="1:19" x14ac:dyDescent="0.55000000000000004">
      <c r="A615">
        <v>85</v>
      </c>
      <c r="B615" s="2">
        <v>45637.409722164353</v>
      </c>
      <c r="C615" t="s">
        <v>215</v>
      </c>
      <c r="D615">
        <v>2</v>
      </c>
      <c r="E615" t="s">
        <v>123</v>
      </c>
      <c r="F615" t="str">
        <f t="shared" si="63"/>
        <v>Carassius auratus</v>
      </c>
      <c r="G615" t="str">
        <f t="shared" si="64"/>
        <v>Goldfish</v>
      </c>
      <c r="H615" t="str">
        <f t="shared" si="65"/>
        <v>Morihana</v>
      </c>
      <c r="I615" t="str">
        <f t="shared" si="66"/>
        <v>Nonnative</v>
      </c>
      <c r="J615" t="str">
        <f t="shared" si="67"/>
        <v>No</v>
      </c>
      <c r="L615">
        <v>162</v>
      </c>
      <c r="M615">
        <v>102</v>
      </c>
      <c r="N615">
        <v>1</v>
      </c>
      <c r="S615" t="str">
        <f t="shared" si="68"/>
        <v/>
      </c>
    </row>
    <row r="616" spans="1:19" x14ac:dyDescent="0.55000000000000004">
      <c r="A616">
        <v>85</v>
      </c>
      <c r="B616" s="2">
        <v>45637.409722164353</v>
      </c>
      <c r="C616" t="s">
        <v>215</v>
      </c>
      <c r="D616">
        <v>2</v>
      </c>
      <c r="E616" t="s">
        <v>123</v>
      </c>
      <c r="F616" t="str">
        <f t="shared" si="63"/>
        <v>Carassius auratus</v>
      </c>
      <c r="G616" t="str">
        <f t="shared" si="64"/>
        <v>Goldfish</v>
      </c>
      <c r="H616" t="str">
        <f t="shared" si="65"/>
        <v>Morihana</v>
      </c>
      <c r="I616" t="str">
        <f t="shared" si="66"/>
        <v>Nonnative</v>
      </c>
      <c r="J616" t="str">
        <f t="shared" si="67"/>
        <v>No</v>
      </c>
      <c r="L616">
        <v>96</v>
      </c>
      <c r="M616">
        <v>24</v>
      </c>
      <c r="N616">
        <v>1</v>
      </c>
      <c r="S616" t="str">
        <f t="shared" si="68"/>
        <v/>
      </c>
    </row>
    <row r="617" spans="1:19" x14ac:dyDescent="0.55000000000000004">
      <c r="A617">
        <v>85</v>
      </c>
      <c r="B617" s="2">
        <v>45637.409722164353</v>
      </c>
      <c r="C617" t="s">
        <v>215</v>
      </c>
      <c r="D617">
        <v>2</v>
      </c>
      <c r="E617" t="s">
        <v>123</v>
      </c>
      <c r="F617" t="str">
        <f t="shared" si="63"/>
        <v>Carassius auratus</v>
      </c>
      <c r="G617" t="str">
        <f t="shared" si="64"/>
        <v>Goldfish</v>
      </c>
      <c r="H617" t="str">
        <f t="shared" si="65"/>
        <v>Morihana</v>
      </c>
      <c r="I617" t="str">
        <f t="shared" si="66"/>
        <v>Nonnative</v>
      </c>
      <c r="J617" t="str">
        <f t="shared" si="67"/>
        <v>No</v>
      </c>
      <c r="L617">
        <v>50</v>
      </c>
      <c r="M617">
        <v>7</v>
      </c>
      <c r="N617">
        <v>1</v>
      </c>
      <c r="S617" t="str">
        <f t="shared" si="68"/>
        <v/>
      </c>
    </row>
    <row r="618" spans="1:19" x14ac:dyDescent="0.55000000000000004">
      <c r="A618">
        <v>85</v>
      </c>
      <c r="B618" s="2">
        <v>45637.409722164353</v>
      </c>
      <c r="C618" t="s">
        <v>215</v>
      </c>
      <c r="D618">
        <v>2</v>
      </c>
      <c r="E618" t="s">
        <v>49</v>
      </c>
      <c r="F618" t="str">
        <f t="shared" si="63"/>
        <v>Paranephrops planifrons</v>
      </c>
      <c r="G618" t="str">
        <f t="shared" si="64"/>
        <v>Freshwater_crayfish</v>
      </c>
      <c r="H618" t="str">
        <f t="shared" si="65"/>
        <v>Kōura</v>
      </c>
      <c r="I618" t="str">
        <f t="shared" si="66"/>
        <v>Native</v>
      </c>
      <c r="J618" t="str">
        <f t="shared" si="67"/>
        <v>Yes</v>
      </c>
      <c r="K618" t="s">
        <v>50</v>
      </c>
      <c r="L618">
        <v>31.35</v>
      </c>
      <c r="M618">
        <v>28</v>
      </c>
      <c r="N618">
        <v>1</v>
      </c>
      <c r="O618">
        <v>1</v>
      </c>
      <c r="S618" t="str">
        <f t="shared" si="68"/>
        <v/>
      </c>
    </row>
    <row r="619" spans="1:19" x14ac:dyDescent="0.55000000000000004">
      <c r="A619">
        <v>85</v>
      </c>
      <c r="B619" s="2">
        <v>45637.409722164353</v>
      </c>
      <c r="C619" t="s">
        <v>215</v>
      </c>
      <c r="D619">
        <v>2</v>
      </c>
      <c r="E619" t="s">
        <v>49</v>
      </c>
      <c r="F619" t="str">
        <f t="shared" si="63"/>
        <v>Paranephrops planifrons</v>
      </c>
      <c r="G619" t="str">
        <f t="shared" si="64"/>
        <v>Freshwater_crayfish</v>
      </c>
      <c r="H619" t="str">
        <f t="shared" si="65"/>
        <v>Kōura</v>
      </c>
      <c r="I619" t="str">
        <f t="shared" si="66"/>
        <v>Native</v>
      </c>
      <c r="J619" t="str">
        <f t="shared" si="67"/>
        <v>Yes</v>
      </c>
      <c r="K619" t="s">
        <v>48</v>
      </c>
      <c r="L619">
        <v>20.09</v>
      </c>
      <c r="M619">
        <v>9</v>
      </c>
      <c r="N619">
        <v>1</v>
      </c>
      <c r="S619" t="str">
        <f t="shared" si="68"/>
        <v/>
      </c>
    </row>
    <row r="620" spans="1:19" x14ac:dyDescent="0.55000000000000004">
      <c r="A620">
        <v>85</v>
      </c>
      <c r="B620" s="2">
        <v>45637.409722164353</v>
      </c>
      <c r="C620" t="s">
        <v>215</v>
      </c>
      <c r="D620">
        <v>2</v>
      </c>
      <c r="E620" t="s">
        <v>247</v>
      </c>
      <c r="F620" t="str">
        <f t="shared" si="63"/>
        <v>Retropinna retropinna</v>
      </c>
      <c r="G620" t="str">
        <f t="shared" si="64"/>
        <v>Common_smelt</v>
      </c>
      <c r="H620" t="str">
        <f t="shared" si="65"/>
        <v>Common_smelt</v>
      </c>
      <c r="I620" t="str">
        <f t="shared" si="66"/>
        <v>Native</v>
      </c>
      <c r="J620" t="str">
        <f t="shared" si="67"/>
        <v>No</v>
      </c>
      <c r="M620">
        <f>194-117</f>
        <v>77</v>
      </c>
      <c r="N620">
        <v>65</v>
      </c>
      <c r="S620" t="str">
        <f t="shared" si="68"/>
        <v/>
      </c>
    </row>
    <row r="621" spans="1:19" x14ac:dyDescent="0.55000000000000004">
      <c r="A621">
        <v>85</v>
      </c>
      <c r="B621" s="2">
        <v>45637.409722164353</v>
      </c>
      <c r="C621" t="s">
        <v>215</v>
      </c>
      <c r="D621">
        <v>2</v>
      </c>
      <c r="E621" t="s">
        <v>44</v>
      </c>
      <c r="F621" t="str">
        <f t="shared" si="63"/>
        <v>Gobiomorphus cotidianus</v>
      </c>
      <c r="G621" t="str">
        <f t="shared" si="64"/>
        <v>Common_bully</v>
      </c>
      <c r="H621" t="str">
        <f t="shared" si="65"/>
        <v>Toitoi</v>
      </c>
      <c r="I621" t="str">
        <f t="shared" si="66"/>
        <v>Native</v>
      </c>
      <c r="J621" t="str">
        <f t="shared" si="67"/>
        <v>No</v>
      </c>
      <c r="L621">
        <v>45</v>
      </c>
      <c r="M621">
        <f t="shared" ref="M621:M652" si="70">(158-117)/33</f>
        <v>1.2424242424242424</v>
      </c>
      <c r="N621">
        <v>1</v>
      </c>
      <c r="S621" t="str">
        <f t="shared" si="68"/>
        <v/>
      </c>
    </row>
    <row r="622" spans="1:19" x14ac:dyDescent="0.55000000000000004">
      <c r="A622">
        <v>85</v>
      </c>
      <c r="B622" s="2">
        <v>45637.409722164353</v>
      </c>
      <c r="C622" t="s">
        <v>215</v>
      </c>
      <c r="D622">
        <v>2</v>
      </c>
      <c r="E622" t="s">
        <v>44</v>
      </c>
      <c r="F622" t="str">
        <f t="shared" si="63"/>
        <v>Gobiomorphus cotidianus</v>
      </c>
      <c r="G622" t="str">
        <f t="shared" si="64"/>
        <v>Common_bully</v>
      </c>
      <c r="H622" t="str">
        <f t="shared" si="65"/>
        <v>Toitoi</v>
      </c>
      <c r="I622" t="str">
        <f t="shared" si="66"/>
        <v>Native</v>
      </c>
      <c r="J622" t="str">
        <f t="shared" si="67"/>
        <v>No</v>
      </c>
      <c r="L622">
        <v>36</v>
      </c>
      <c r="M622">
        <f t="shared" si="70"/>
        <v>1.2424242424242424</v>
      </c>
      <c r="N622">
        <v>1</v>
      </c>
      <c r="S622" t="str">
        <f t="shared" si="68"/>
        <v/>
      </c>
    </row>
    <row r="623" spans="1:19" x14ac:dyDescent="0.55000000000000004">
      <c r="A623">
        <v>85</v>
      </c>
      <c r="B623" s="2">
        <v>45637.409722164353</v>
      </c>
      <c r="C623" t="s">
        <v>215</v>
      </c>
      <c r="D623">
        <v>2</v>
      </c>
      <c r="E623" t="s">
        <v>44</v>
      </c>
      <c r="F623" t="str">
        <f t="shared" si="63"/>
        <v>Gobiomorphus cotidianus</v>
      </c>
      <c r="G623" t="str">
        <f t="shared" si="64"/>
        <v>Common_bully</v>
      </c>
      <c r="H623" t="str">
        <f t="shared" si="65"/>
        <v>Toitoi</v>
      </c>
      <c r="I623" t="str">
        <f t="shared" si="66"/>
        <v>Native</v>
      </c>
      <c r="J623" t="str">
        <f t="shared" si="67"/>
        <v>No</v>
      </c>
      <c r="L623">
        <v>75</v>
      </c>
      <c r="M623">
        <f t="shared" si="70"/>
        <v>1.2424242424242424</v>
      </c>
      <c r="N623">
        <v>1</v>
      </c>
      <c r="S623" t="str">
        <f t="shared" si="68"/>
        <v/>
      </c>
    </row>
    <row r="624" spans="1:19" x14ac:dyDescent="0.55000000000000004">
      <c r="A624">
        <v>85</v>
      </c>
      <c r="B624" s="2">
        <v>45637.409722164353</v>
      </c>
      <c r="C624" t="s">
        <v>215</v>
      </c>
      <c r="D624">
        <v>2</v>
      </c>
      <c r="E624" t="s">
        <v>44</v>
      </c>
      <c r="F624" t="str">
        <f t="shared" si="63"/>
        <v>Gobiomorphus cotidianus</v>
      </c>
      <c r="G624" t="str">
        <f t="shared" si="64"/>
        <v>Common_bully</v>
      </c>
      <c r="H624" t="str">
        <f t="shared" si="65"/>
        <v>Toitoi</v>
      </c>
      <c r="I624" t="str">
        <f t="shared" si="66"/>
        <v>Native</v>
      </c>
      <c r="J624" t="str">
        <f t="shared" si="67"/>
        <v>No</v>
      </c>
      <c r="L624">
        <v>36</v>
      </c>
      <c r="M624">
        <f t="shared" si="70"/>
        <v>1.2424242424242424</v>
      </c>
      <c r="N624">
        <v>1</v>
      </c>
      <c r="S624" t="str">
        <f t="shared" si="68"/>
        <v/>
      </c>
    </row>
    <row r="625" spans="1:19" x14ac:dyDescent="0.55000000000000004">
      <c r="A625">
        <v>85</v>
      </c>
      <c r="B625" s="2">
        <v>45637.409722164353</v>
      </c>
      <c r="C625" t="s">
        <v>215</v>
      </c>
      <c r="D625">
        <v>2</v>
      </c>
      <c r="E625" t="s">
        <v>44</v>
      </c>
      <c r="F625" t="str">
        <f t="shared" si="63"/>
        <v>Gobiomorphus cotidianus</v>
      </c>
      <c r="G625" t="str">
        <f t="shared" si="64"/>
        <v>Common_bully</v>
      </c>
      <c r="H625" t="str">
        <f t="shared" si="65"/>
        <v>Toitoi</v>
      </c>
      <c r="I625" t="str">
        <f t="shared" si="66"/>
        <v>Native</v>
      </c>
      <c r="J625" t="str">
        <f t="shared" si="67"/>
        <v>No</v>
      </c>
      <c r="L625">
        <v>34</v>
      </c>
      <c r="M625">
        <f t="shared" si="70"/>
        <v>1.2424242424242424</v>
      </c>
      <c r="N625">
        <v>1</v>
      </c>
      <c r="S625" t="str">
        <f t="shared" si="68"/>
        <v/>
      </c>
    </row>
    <row r="626" spans="1:19" x14ac:dyDescent="0.55000000000000004">
      <c r="A626">
        <v>85</v>
      </c>
      <c r="B626" s="2">
        <v>45637.409722164353</v>
      </c>
      <c r="C626" t="s">
        <v>215</v>
      </c>
      <c r="D626">
        <v>2</v>
      </c>
      <c r="E626" t="s">
        <v>44</v>
      </c>
      <c r="F626" t="str">
        <f t="shared" si="63"/>
        <v>Gobiomorphus cotidianus</v>
      </c>
      <c r="G626" t="str">
        <f t="shared" si="64"/>
        <v>Common_bully</v>
      </c>
      <c r="H626" t="str">
        <f t="shared" si="65"/>
        <v>Toitoi</v>
      </c>
      <c r="I626" t="str">
        <f t="shared" si="66"/>
        <v>Native</v>
      </c>
      <c r="J626" t="str">
        <f t="shared" si="67"/>
        <v>No</v>
      </c>
      <c r="L626">
        <v>30</v>
      </c>
      <c r="M626">
        <f t="shared" si="70"/>
        <v>1.2424242424242424</v>
      </c>
      <c r="N626">
        <v>1</v>
      </c>
      <c r="S626" t="str">
        <f t="shared" si="68"/>
        <v/>
      </c>
    </row>
    <row r="627" spans="1:19" x14ac:dyDescent="0.55000000000000004">
      <c r="A627">
        <v>85</v>
      </c>
      <c r="B627" s="2">
        <v>45637.409722164353</v>
      </c>
      <c r="C627" t="s">
        <v>215</v>
      </c>
      <c r="D627">
        <v>2</v>
      </c>
      <c r="E627" t="s">
        <v>44</v>
      </c>
      <c r="F627" t="str">
        <f t="shared" si="63"/>
        <v>Gobiomorphus cotidianus</v>
      </c>
      <c r="G627" t="str">
        <f t="shared" si="64"/>
        <v>Common_bully</v>
      </c>
      <c r="H627" t="str">
        <f t="shared" si="65"/>
        <v>Toitoi</v>
      </c>
      <c r="I627" t="str">
        <f t="shared" si="66"/>
        <v>Native</v>
      </c>
      <c r="J627" t="str">
        <f t="shared" si="67"/>
        <v>No</v>
      </c>
      <c r="L627">
        <v>70</v>
      </c>
      <c r="M627">
        <f t="shared" si="70"/>
        <v>1.2424242424242424</v>
      </c>
      <c r="N627">
        <v>1</v>
      </c>
      <c r="S627" t="str">
        <f t="shared" si="68"/>
        <v/>
      </c>
    </row>
    <row r="628" spans="1:19" x14ac:dyDescent="0.55000000000000004">
      <c r="A628">
        <v>85</v>
      </c>
      <c r="B628" s="2">
        <v>45637.409722164353</v>
      </c>
      <c r="C628" t="s">
        <v>215</v>
      </c>
      <c r="D628">
        <v>2</v>
      </c>
      <c r="E628" t="s">
        <v>44</v>
      </c>
      <c r="F628" t="str">
        <f t="shared" si="63"/>
        <v>Gobiomorphus cotidianus</v>
      </c>
      <c r="G628" t="str">
        <f t="shared" si="64"/>
        <v>Common_bully</v>
      </c>
      <c r="H628" t="str">
        <f t="shared" si="65"/>
        <v>Toitoi</v>
      </c>
      <c r="I628" t="str">
        <f t="shared" si="66"/>
        <v>Native</v>
      </c>
      <c r="J628" t="str">
        <f t="shared" si="67"/>
        <v>No</v>
      </c>
      <c r="L628">
        <v>30</v>
      </c>
      <c r="M628">
        <f t="shared" si="70"/>
        <v>1.2424242424242424</v>
      </c>
      <c r="N628">
        <v>1</v>
      </c>
      <c r="S628" t="str">
        <f t="shared" si="68"/>
        <v/>
      </c>
    </row>
    <row r="629" spans="1:19" x14ac:dyDescent="0.55000000000000004">
      <c r="A629">
        <v>85</v>
      </c>
      <c r="B629" s="2">
        <v>45637.409722164353</v>
      </c>
      <c r="C629" t="s">
        <v>215</v>
      </c>
      <c r="D629">
        <v>2</v>
      </c>
      <c r="E629" t="s">
        <v>44</v>
      </c>
      <c r="F629" t="str">
        <f t="shared" si="63"/>
        <v>Gobiomorphus cotidianus</v>
      </c>
      <c r="G629" t="str">
        <f t="shared" si="64"/>
        <v>Common_bully</v>
      </c>
      <c r="H629" t="str">
        <f t="shared" si="65"/>
        <v>Toitoi</v>
      </c>
      <c r="I629" t="str">
        <f t="shared" si="66"/>
        <v>Native</v>
      </c>
      <c r="J629" t="str">
        <f t="shared" si="67"/>
        <v>No</v>
      </c>
      <c r="L629">
        <v>48</v>
      </c>
      <c r="M629">
        <f t="shared" si="70"/>
        <v>1.2424242424242424</v>
      </c>
      <c r="N629">
        <v>1</v>
      </c>
      <c r="S629" t="str">
        <f t="shared" si="68"/>
        <v/>
      </c>
    </row>
    <row r="630" spans="1:19" x14ac:dyDescent="0.55000000000000004">
      <c r="A630">
        <v>85</v>
      </c>
      <c r="B630" s="2">
        <v>45637.409722164353</v>
      </c>
      <c r="C630" t="s">
        <v>215</v>
      </c>
      <c r="D630">
        <v>2</v>
      </c>
      <c r="E630" t="s">
        <v>44</v>
      </c>
      <c r="F630" t="str">
        <f t="shared" si="63"/>
        <v>Gobiomorphus cotidianus</v>
      </c>
      <c r="G630" t="str">
        <f t="shared" si="64"/>
        <v>Common_bully</v>
      </c>
      <c r="H630" t="str">
        <f t="shared" si="65"/>
        <v>Toitoi</v>
      </c>
      <c r="I630" t="str">
        <f t="shared" si="66"/>
        <v>Native</v>
      </c>
      <c r="J630" t="str">
        <f t="shared" si="67"/>
        <v>No</v>
      </c>
      <c r="L630">
        <v>35</v>
      </c>
      <c r="M630">
        <f t="shared" si="70"/>
        <v>1.2424242424242424</v>
      </c>
      <c r="N630">
        <v>1</v>
      </c>
      <c r="S630" t="str">
        <f t="shared" si="68"/>
        <v/>
      </c>
    </row>
    <row r="631" spans="1:19" x14ac:dyDescent="0.55000000000000004">
      <c r="A631">
        <v>85</v>
      </c>
      <c r="B631" s="2">
        <v>45637.409722164353</v>
      </c>
      <c r="C631" t="s">
        <v>215</v>
      </c>
      <c r="D631">
        <v>2</v>
      </c>
      <c r="E631" t="s">
        <v>44</v>
      </c>
      <c r="F631" t="str">
        <f t="shared" si="63"/>
        <v>Gobiomorphus cotidianus</v>
      </c>
      <c r="G631" t="str">
        <f t="shared" si="64"/>
        <v>Common_bully</v>
      </c>
      <c r="H631" t="str">
        <f t="shared" si="65"/>
        <v>Toitoi</v>
      </c>
      <c r="I631" t="str">
        <f t="shared" si="66"/>
        <v>Native</v>
      </c>
      <c r="J631" t="str">
        <f t="shared" si="67"/>
        <v>No</v>
      </c>
      <c r="L631">
        <v>33</v>
      </c>
      <c r="M631">
        <f t="shared" si="70"/>
        <v>1.2424242424242424</v>
      </c>
      <c r="N631">
        <v>1</v>
      </c>
      <c r="S631" t="str">
        <f t="shared" si="68"/>
        <v/>
      </c>
    </row>
    <row r="632" spans="1:19" x14ac:dyDescent="0.55000000000000004">
      <c r="A632">
        <v>85</v>
      </c>
      <c r="B632" s="2">
        <v>45637.409722164353</v>
      </c>
      <c r="C632" t="s">
        <v>215</v>
      </c>
      <c r="D632">
        <v>2</v>
      </c>
      <c r="E632" t="s">
        <v>44</v>
      </c>
      <c r="F632" t="str">
        <f t="shared" si="63"/>
        <v>Gobiomorphus cotidianus</v>
      </c>
      <c r="G632" t="str">
        <f t="shared" si="64"/>
        <v>Common_bully</v>
      </c>
      <c r="H632" t="str">
        <f t="shared" si="65"/>
        <v>Toitoi</v>
      </c>
      <c r="I632" t="str">
        <f t="shared" si="66"/>
        <v>Native</v>
      </c>
      <c r="J632" t="str">
        <f t="shared" si="67"/>
        <v>No</v>
      </c>
      <c r="L632">
        <v>27</v>
      </c>
      <c r="M632">
        <f t="shared" si="70"/>
        <v>1.2424242424242424</v>
      </c>
      <c r="N632">
        <v>1</v>
      </c>
      <c r="S632" t="str">
        <f t="shared" si="68"/>
        <v/>
      </c>
    </row>
    <row r="633" spans="1:19" x14ac:dyDescent="0.55000000000000004">
      <c r="A633">
        <v>85</v>
      </c>
      <c r="B633" s="2">
        <v>45637.409722164353</v>
      </c>
      <c r="C633" t="s">
        <v>215</v>
      </c>
      <c r="D633">
        <v>2</v>
      </c>
      <c r="E633" t="s">
        <v>44</v>
      </c>
      <c r="F633" t="str">
        <f t="shared" si="63"/>
        <v>Gobiomorphus cotidianus</v>
      </c>
      <c r="G633" t="str">
        <f t="shared" si="64"/>
        <v>Common_bully</v>
      </c>
      <c r="H633" t="str">
        <f t="shared" si="65"/>
        <v>Toitoi</v>
      </c>
      <c r="I633" t="str">
        <f t="shared" si="66"/>
        <v>Native</v>
      </c>
      <c r="J633" t="str">
        <f t="shared" si="67"/>
        <v>No</v>
      </c>
      <c r="L633">
        <v>39</v>
      </c>
      <c r="M633">
        <f t="shared" si="70"/>
        <v>1.2424242424242424</v>
      </c>
      <c r="N633">
        <v>1</v>
      </c>
      <c r="S633" t="str">
        <f t="shared" si="68"/>
        <v/>
      </c>
    </row>
    <row r="634" spans="1:19" x14ac:dyDescent="0.55000000000000004">
      <c r="A634">
        <v>85</v>
      </c>
      <c r="B634" s="2">
        <v>45637.409722164353</v>
      </c>
      <c r="C634" t="s">
        <v>215</v>
      </c>
      <c r="D634">
        <v>2</v>
      </c>
      <c r="E634" t="s">
        <v>44</v>
      </c>
      <c r="F634" t="str">
        <f t="shared" si="63"/>
        <v>Gobiomorphus cotidianus</v>
      </c>
      <c r="G634" t="str">
        <f t="shared" si="64"/>
        <v>Common_bully</v>
      </c>
      <c r="H634" t="str">
        <f t="shared" si="65"/>
        <v>Toitoi</v>
      </c>
      <c r="I634" t="str">
        <f t="shared" si="66"/>
        <v>Native</v>
      </c>
      <c r="J634" t="str">
        <f t="shared" si="67"/>
        <v>No</v>
      </c>
      <c r="L634">
        <v>36</v>
      </c>
      <c r="M634">
        <f t="shared" si="70"/>
        <v>1.2424242424242424</v>
      </c>
      <c r="N634">
        <v>1</v>
      </c>
      <c r="S634" t="str">
        <f t="shared" si="68"/>
        <v/>
      </c>
    </row>
    <row r="635" spans="1:19" x14ac:dyDescent="0.55000000000000004">
      <c r="A635">
        <v>85</v>
      </c>
      <c r="B635" s="2">
        <v>45637.409722164353</v>
      </c>
      <c r="C635" t="s">
        <v>215</v>
      </c>
      <c r="D635">
        <v>2</v>
      </c>
      <c r="E635" t="s">
        <v>44</v>
      </c>
      <c r="F635" t="str">
        <f t="shared" si="63"/>
        <v>Gobiomorphus cotidianus</v>
      </c>
      <c r="G635" t="str">
        <f t="shared" si="64"/>
        <v>Common_bully</v>
      </c>
      <c r="H635" t="str">
        <f t="shared" si="65"/>
        <v>Toitoi</v>
      </c>
      <c r="I635" t="str">
        <f t="shared" si="66"/>
        <v>Native</v>
      </c>
      <c r="J635" t="str">
        <f t="shared" si="67"/>
        <v>No</v>
      </c>
      <c r="L635">
        <v>41</v>
      </c>
      <c r="M635">
        <f t="shared" si="70"/>
        <v>1.2424242424242424</v>
      </c>
      <c r="N635">
        <v>1</v>
      </c>
      <c r="S635" t="str">
        <f t="shared" si="68"/>
        <v/>
      </c>
    </row>
    <row r="636" spans="1:19" x14ac:dyDescent="0.55000000000000004">
      <c r="A636">
        <v>85</v>
      </c>
      <c r="B636" s="2">
        <v>45637.409722164353</v>
      </c>
      <c r="C636" t="s">
        <v>215</v>
      </c>
      <c r="D636">
        <v>2</v>
      </c>
      <c r="E636" t="s">
        <v>44</v>
      </c>
      <c r="F636" t="str">
        <f t="shared" si="63"/>
        <v>Gobiomorphus cotidianus</v>
      </c>
      <c r="G636" t="str">
        <f t="shared" si="64"/>
        <v>Common_bully</v>
      </c>
      <c r="H636" t="str">
        <f t="shared" si="65"/>
        <v>Toitoi</v>
      </c>
      <c r="I636" t="str">
        <f t="shared" si="66"/>
        <v>Native</v>
      </c>
      <c r="J636" t="str">
        <f t="shared" si="67"/>
        <v>No</v>
      </c>
      <c r="L636">
        <v>32</v>
      </c>
      <c r="M636">
        <f t="shared" si="70"/>
        <v>1.2424242424242424</v>
      </c>
      <c r="N636">
        <v>1</v>
      </c>
      <c r="S636" t="str">
        <f t="shared" si="68"/>
        <v/>
      </c>
    </row>
    <row r="637" spans="1:19" x14ac:dyDescent="0.55000000000000004">
      <c r="A637">
        <v>85</v>
      </c>
      <c r="B637" s="2">
        <v>45637.409722164353</v>
      </c>
      <c r="C637" t="s">
        <v>215</v>
      </c>
      <c r="D637">
        <v>2</v>
      </c>
      <c r="E637" t="s">
        <v>44</v>
      </c>
      <c r="F637" t="str">
        <f t="shared" si="63"/>
        <v>Gobiomorphus cotidianus</v>
      </c>
      <c r="G637" t="str">
        <f t="shared" si="64"/>
        <v>Common_bully</v>
      </c>
      <c r="H637" t="str">
        <f t="shared" si="65"/>
        <v>Toitoi</v>
      </c>
      <c r="I637" t="str">
        <f t="shared" si="66"/>
        <v>Native</v>
      </c>
      <c r="J637" t="str">
        <f t="shared" si="67"/>
        <v>No</v>
      </c>
      <c r="L637">
        <v>33</v>
      </c>
      <c r="M637">
        <f t="shared" si="70"/>
        <v>1.2424242424242424</v>
      </c>
      <c r="N637">
        <v>1</v>
      </c>
      <c r="S637" t="str">
        <f t="shared" si="68"/>
        <v/>
      </c>
    </row>
    <row r="638" spans="1:19" x14ac:dyDescent="0.55000000000000004">
      <c r="A638">
        <v>85</v>
      </c>
      <c r="B638" s="2">
        <v>45637.409722164353</v>
      </c>
      <c r="C638" t="s">
        <v>215</v>
      </c>
      <c r="D638">
        <v>2</v>
      </c>
      <c r="E638" t="s">
        <v>44</v>
      </c>
      <c r="F638" t="str">
        <f t="shared" si="63"/>
        <v>Gobiomorphus cotidianus</v>
      </c>
      <c r="G638" t="str">
        <f t="shared" si="64"/>
        <v>Common_bully</v>
      </c>
      <c r="H638" t="str">
        <f t="shared" si="65"/>
        <v>Toitoi</v>
      </c>
      <c r="I638" t="str">
        <f t="shared" si="66"/>
        <v>Native</v>
      </c>
      <c r="J638" t="str">
        <f t="shared" si="67"/>
        <v>No</v>
      </c>
      <c r="L638">
        <v>38</v>
      </c>
      <c r="M638">
        <f t="shared" si="70"/>
        <v>1.2424242424242424</v>
      </c>
      <c r="N638">
        <v>1</v>
      </c>
      <c r="S638" t="str">
        <f t="shared" si="68"/>
        <v/>
      </c>
    </row>
    <row r="639" spans="1:19" x14ac:dyDescent="0.55000000000000004">
      <c r="A639">
        <v>85</v>
      </c>
      <c r="B639" s="2">
        <v>45637.409722164353</v>
      </c>
      <c r="C639" t="s">
        <v>215</v>
      </c>
      <c r="D639">
        <v>2</v>
      </c>
      <c r="E639" t="s">
        <v>44</v>
      </c>
      <c r="F639" t="str">
        <f t="shared" si="63"/>
        <v>Gobiomorphus cotidianus</v>
      </c>
      <c r="G639" t="str">
        <f t="shared" si="64"/>
        <v>Common_bully</v>
      </c>
      <c r="H639" t="str">
        <f t="shared" si="65"/>
        <v>Toitoi</v>
      </c>
      <c r="I639" t="str">
        <f t="shared" si="66"/>
        <v>Native</v>
      </c>
      <c r="J639" t="str">
        <f t="shared" si="67"/>
        <v>No</v>
      </c>
      <c r="L639">
        <v>40</v>
      </c>
      <c r="M639">
        <f t="shared" si="70"/>
        <v>1.2424242424242424</v>
      </c>
      <c r="N639">
        <v>1</v>
      </c>
      <c r="S639" t="str">
        <f t="shared" si="68"/>
        <v/>
      </c>
    </row>
    <row r="640" spans="1:19" x14ac:dyDescent="0.55000000000000004">
      <c r="A640">
        <v>85</v>
      </c>
      <c r="B640" s="2">
        <v>45637.409722164353</v>
      </c>
      <c r="C640" t="s">
        <v>215</v>
      </c>
      <c r="D640">
        <v>2</v>
      </c>
      <c r="E640" t="s">
        <v>44</v>
      </c>
      <c r="F640" t="str">
        <f t="shared" si="63"/>
        <v>Gobiomorphus cotidianus</v>
      </c>
      <c r="G640" t="str">
        <f t="shared" si="64"/>
        <v>Common_bully</v>
      </c>
      <c r="H640" t="str">
        <f t="shared" si="65"/>
        <v>Toitoi</v>
      </c>
      <c r="I640" t="str">
        <f t="shared" si="66"/>
        <v>Native</v>
      </c>
      <c r="J640" t="str">
        <f t="shared" si="67"/>
        <v>No</v>
      </c>
      <c r="L640">
        <v>48</v>
      </c>
      <c r="M640">
        <f t="shared" si="70"/>
        <v>1.2424242424242424</v>
      </c>
      <c r="N640">
        <v>1</v>
      </c>
      <c r="S640" t="str">
        <f t="shared" si="68"/>
        <v/>
      </c>
    </row>
    <row r="641" spans="1:19" x14ac:dyDescent="0.55000000000000004">
      <c r="A641">
        <v>85</v>
      </c>
      <c r="B641" s="2">
        <v>45637.409722164353</v>
      </c>
      <c r="C641" t="s">
        <v>215</v>
      </c>
      <c r="D641">
        <v>2</v>
      </c>
      <c r="E641" t="s">
        <v>44</v>
      </c>
      <c r="F641" t="str">
        <f t="shared" si="63"/>
        <v>Gobiomorphus cotidianus</v>
      </c>
      <c r="G641" t="str">
        <f t="shared" si="64"/>
        <v>Common_bully</v>
      </c>
      <c r="H641" t="str">
        <f t="shared" si="65"/>
        <v>Toitoi</v>
      </c>
      <c r="I641" t="str">
        <f t="shared" si="66"/>
        <v>Native</v>
      </c>
      <c r="J641" t="str">
        <f t="shared" si="67"/>
        <v>No</v>
      </c>
      <c r="L641">
        <v>55</v>
      </c>
      <c r="M641">
        <f t="shared" si="70"/>
        <v>1.2424242424242424</v>
      </c>
      <c r="N641">
        <v>1</v>
      </c>
      <c r="S641" t="str">
        <f t="shared" si="68"/>
        <v/>
      </c>
    </row>
    <row r="642" spans="1:19" x14ac:dyDescent="0.55000000000000004">
      <c r="A642">
        <v>85</v>
      </c>
      <c r="B642" s="2">
        <v>45637.409722164353</v>
      </c>
      <c r="C642" t="s">
        <v>215</v>
      </c>
      <c r="D642">
        <v>2</v>
      </c>
      <c r="E642" t="s">
        <v>44</v>
      </c>
      <c r="F642" t="str">
        <f t="shared" ref="F642:F705" si="71">VLOOKUP($E642, $V$1:$AA$9, 2, FALSE)</f>
        <v>Gobiomorphus cotidianus</v>
      </c>
      <c r="G642" t="str">
        <f t="shared" ref="G642:G705" si="72">VLOOKUP($E642, $V$1:$AA$9, 3, FALSE)</f>
        <v>Common_bully</v>
      </c>
      <c r="H642" t="str">
        <f t="shared" ref="H642:H705" si="73">VLOOKUP($E642, $V$1:$AA$9, 4, FALSE)</f>
        <v>Toitoi</v>
      </c>
      <c r="I642" t="str">
        <f t="shared" ref="I642:I705" si="74">VLOOKUP($E642, $V$1:$AB$9, 5, FALSE)</f>
        <v>Native</v>
      </c>
      <c r="J642" t="str">
        <f t="shared" ref="J642:J705" si="75">VLOOKUP($E642, $V$1:$AA$9, 6, FALSE)</f>
        <v>No</v>
      </c>
      <c r="L642">
        <v>46</v>
      </c>
      <c r="M642">
        <f t="shared" si="70"/>
        <v>1.2424242424242424</v>
      </c>
      <c r="N642">
        <v>1</v>
      </c>
      <c r="S642" t="str">
        <f t="shared" si="68"/>
        <v/>
      </c>
    </row>
    <row r="643" spans="1:19" x14ac:dyDescent="0.55000000000000004">
      <c r="A643">
        <v>85</v>
      </c>
      <c r="B643" s="2">
        <v>45637.409722164353</v>
      </c>
      <c r="C643" t="s">
        <v>215</v>
      </c>
      <c r="D643">
        <v>2</v>
      </c>
      <c r="E643" t="s">
        <v>44</v>
      </c>
      <c r="F643" t="str">
        <f t="shared" si="71"/>
        <v>Gobiomorphus cotidianus</v>
      </c>
      <c r="G643" t="str">
        <f t="shared" si="72"/>
        <v>Common_bully</v>
      </c>
      <c r="H643" t="str">
        <f t="shared" si="73"/>
        <v>Toitoi</v>
      </c>
      <c r="I643" t="str">
        <f t="shared" si="74"/>
        <v>Native</v>
      </c>
      <c r="J643" t="str">
        <f t="shared" si="75"/>
        <v>No</v>
      </c>
      <c r="L643">
        <v>47</v>
      </c>
      <c r="M643">
        <f t="shared" si="70"/>
        <v>1.2424242424242424</v>
      </c>
      <c r="N643">
        <v>1</v>
      </c>
      <c r="S643" t="str">
        <f t="shared" ref="S643:S706" si="76">IF(R643&lt;&gt;"", R643*236.588, "")</f>
        <v/>
      </c>
    </row>
    <row r="644" spans="1:19" x14ac:dyDescent="0.55000000000000004">
      <c r="A644">
        <v>85</v>
      </c>
      <c r="B644" s="2">
        <v>45637.409722164353</v>
      </c>
      <c r="C644" t="s">
        <v>215</v>
      </c>
      <c r="D644">
        <v>2</v>
      </c>
      <c r="E644" t="s">
        <v>44</v>
      </c>
      <c r="F644" t="str">
        <f t="shared" si="71"/>
        <v>Gobiomorphus cotidianus</v>
      </c>
      <c r="G644" t="str">
        <f t="shared" si="72"/>
        <v>Common_bully</v>
      </c>
      <c r="H644" t="str">
        <f t="shared" si="73"/>
        <v>Toitoi</v>
      </c>
      <c r="I644" t="str">
        <f t="shared" si="74"/>
        <v>Native</v>
      </c>
      <c r="J644" t="str">
        <f t="shared" si="75"/>
        <v>No</v>
      </c>
      <c r="L644">
        <v>32</v>
      </c>
      <c r="M644">
        <f t="shared" si="70"/>
        <v>1.2424242424242424</v>
      </c>
      <c r="N644">
        <v>1</v>
      </c>
      <c r="S644" t="str">
        <f t="shared" si="76"/>
        <v/>
      </c>
    </row>
    <row r="645" spans="1:19" x14ac:dyDescent="0.55000000000000004">
      <c r="A645">
        <v>85</v>
      </c>
      <c r="B645" s="2">
        <v>45637.409722164353</v>
      </c>
      <c r="C645" t="s">
        <v>215</v>
      </c>
      <c r="D645">
        <v>2</v>
      </c>
      <c r="E645" t="s">
        <v>44</v>
      </c>
      <c r="F645" t="str">
        <f t="shared" si="71"/>
        <v>Gobiomorphus cotidianus</v>
      </c>
      <c r="G645" t="str">
        <f t="shared" si="72"/>
        <v>Common_bully</v>
      </c>
      <c r="H645" t="str">
        <f t="shared" si="73"/>
        <v>Toitoi</v>
      </c>
      <c r="I645" t="str">
        <f t="shared" si="74"/>
        <v>Native</v>
      </c>
      <c r="J645" t="str">
        <f t="shared" si="75"/>
        <v>No</v>
      </c>
      <c r="L645">
        <v>44</v>
      </c>
      <c r="M645">
        <f t="shared" si="70"/>
        <v>1.2424242424242424</v>
      </c>
      <c r="N645">
        <v>1</v>
      </c>
      <c r="S645" t="str">
        <f t="shared" si="76"/>
        <v/>
      </c>
    </row>
    <row r="646" spans="1:19" x14ac:dyDescent="0.55000000000000004">
      <c r="A646">
        <v>85</v>
      </c>
      <c r="B646" s="2">
        <v>45637.409722164353</v>
      </c>
      <c r="C646" t="s">
        <v>215</v>
      </c>
      <c r="D646">
        <v>2</v>
      </c>
      <c r="E646" t="s">
        <v>44</v>
      </c>
      <c r="F646" t="str">
        <f t="shared" si="71"/>
        <v>Gobiomorphus cotidianus</v>
      </c>
      <c r="G646" t="str">
        <f t="shared" si="72"/>
        <v>Common_bully</v>
      </c>
      <c r="H646" t="str">
        <f t="shared" si="73"/>
        <v>Toitoi</v>
      </c>
      <c r="I646" t="str">
        <f t="shared" si="74"/>
        <v>Native</v>
      </c>
      <c r="J646" t="str">
        <f t="shared" si="75"/>
        <v>No</v>
      </c>
      <c r="L646">
        <v>40</v>
      </c>
      <c r="M646">
        <f t="shared" si="70"/>
        <v>1.2424242424242424</v>
      </c>
      <c r="N646">
        <v>1</v>
      </c>
      <c r="S646" t="str">
        <f t="shared" si="76"/>
        <v/>
      </c>
    </row>
    <row r="647" spans="1:19" x14ac:dyDescent="0.55000000000000004">
      <c r="A647">
        <v>85</v>
      </c>
      <c r="B647" s="2">
        <v>45637.409722164353</v>
      </c>
      <c r="C647" t="s">
        <v>215</v>
      </c>
      <c r="D647">
        <v>2</v>
      </c>
      <c r="E647" t="s">
        <v>44</v>
      </c>
      <c r="F647" t="str">
        <f t="shared" si="71"/>
        <v>Gobiomorphus cotidianus</v>
      </c>
      <c r="G647" t="str">
        <f t="shared" si="72"/>
        <v>Common_bully</v>
      </c>
      <c r="H647" t="str">
        <f t="shared" si="73"/>
        <v>Toitoi</v>
      </c>
      <c r="I647" t="str">
        <f t="shared" si="74"/>
        <v>Native</v>
      </c>
      <c r="J647" t="str">
        <f t="shared" si="75"/>
        <v>No</v>
      </c>
      <c r="L647">
        <v>41</v>
      </c>
      <c r="M647">
        <f t="shared" si="70"/>
        <v>1.2424242424242424</v>
      </c>
      <c r="N647">
        <v>1</v>
      </c>
      <c r="S647" t="str">
        <f t="shared" si="76"/>
        <v/>
      </c>
    </row>
    <row r="648" spans="1:19" x14ac:dyDescent="0.55000000000000004">
      <c r="A648">
        <v>85</v>
      </c>
      <c r="B648" s="2">
        <v>45637.409722164353</v>
      </c>
      <c r="C648" t="s">
        <v>215</v>
      </c>
      <c r="D648">
        <v>2</v>
      </c>
      <c r="E648" t="s">
        <v>44</v>
      </c>
      <c r="F648" t="str">
        <f t="shared" si="71"/>
        <v>Gobiomorphus cotidianus</v>
      </c>
      <c r="G648" t="str">
        <f t="shared" si="72"/>
        <v>Common_bully</v>
      </c>
      <c r="H648" t="str">
        <f t="shared" si="73"/>
        <v>Toitoi</v>
      </c>
      <c r="I648" t="str">
        <f t="shared" si="74"/>
        <v>Native</v>
      </c>
      <c r="J648" t="str">
        <f t="shared" si="75"/>
        <v>No</v>
      </c>
      <c r="L648">
        <v>34</v>
      </c>
      <c r="M648">
        <f t="shared" si="70"/>
        <v>1.2424242424242424</v>
      </c>
      <c r="N648">
        <v>1</v>
      </c>
      <c r="S648" t="str">
        <f t="shared" si="76"/>
        <v/>
      </c>
    </row>
    <row r="649" spans="1:19" x14ac:dyDescent="0.55000000000000004">
      <c r="A649">
        <v>85</v>
      </c>
      <c r="B649" s="2">
        <v>45637.409722164353</v>
      </c>
      <c r="C649" t="s">
        <v>215</v>
      </c>
      <c r="D649">
        <v>2</v>
      </c>
      <c r="E649" t="s">
        <v>44</v>
      </c>
      <c r="F649" t="str">
        <f t="shared" si="71"/>
        <v>Gobiomorphus cotidianus</v>
      </c>
      <c r="G649" t="str">
        <f t="shared" si="72"/>
        <v>Common_bully</v>
      </c>
      <c r="H649" t="str">
        <f t="shared" si="73"/>
        <v>Toitoi</v>
      </c>
      <c r="I649" t="str">
        <f t="shared" si="74"/>
        <v>Native</v>
      </c>
      <c r="J649" t="str">
        <f t="shared" si="75"/>
        <v>No</v>
      </c>
      <c r="L649">
        <v>45</v>
      </c>
      <c r="M649">
        <f t="shared" si="70"/>
        <v>1.2424242424242424</v>
      </c>
      <c r="N649">
        <v>1</v>
      </c>
      <c r="S649" t="str">
        <f t="shared" si="76"/>
        <v/>
      </c>
    </row>
    <row r="650" spans="1:19" x14ac:dyDescent="0.55000000000000004">
      <c r="A650">
        <v>85</v>
      </c>
      <c r="B650" s="2">
        <v>45637.409722164353</v>
      </c>
      <c r="C650" t="s">
        <v>215</v>
      </c>
      <c r="D650">
        <v>2</v>
      </c>
      <c r="E650" t="s">
        <v>44</v>
      </c>
      <c r="F650" t="str">
        <f t="shared" si="71"/>
        <v>Gobiomorphus cotidianus</v>
      </c>
      <c r="G650" t="str">
        <f t="shared" si="72"/>
        <v>Common_bully</v>
      </c>
      <c r="H650" t="str">
        <f t="shared" si="73"/>
        <v>Toitoi</v>
      </c>
      <c r="I650" t="str">
        <f t="shared" si="74"/>
        <v>Native</v>
      </c>
      <c r="J650" t="str">
        <f t="shared" si="75"/>
        <v>No</v>
      </c>
      <c r="L650">
        <v>61</v>
      </c>
      <c r="M650">
        <f t="shared" si="70"/>
        <v>1.2424242424242424</v>
      </c>
      <c r="N650">
        <v>1</v>
      </c>
      <c r="S650" t="str">
        <f t="shared" si="76"/>
        <v/>
      </c>
    </row>
    <row r="651" spans="1:19" x14ac:dyDescent="0.55000000000000004">
      <c r="A651">
        <v>85</v>
      </c>
      <c r="B651" s="2">
        <v>45637.409722164353</v>
      </c>
      <c r="C651" t="s">
        <v>215</v>
      </c>
      <c r="D651">
        <v>2</v>
      </c>
      <c r="E651" t="s">
        <v>44</v>
      </c>
      <c r="F651" t="str">
        <f t="shared" si="71"/>
        <v>Gobiomorphus cotidianus</v>
      </c>
      <c r="G651" t="str">
        <f t="shared" si="72"/>
        <v>Common_bully</v>
      </c>
      <c r="H651" t="str">
        <f t="shared" si="73"/>
        <v>Toitoi</v>
      </c>
      <c r="I651" t="str">
        <f t="shared" si="74"/>
        <v>Native</v>
      </c>
      <c r="J651" t="str">
        <f t="shared" si="75"/>
        <v>No</v>
      </c>
      <c r="L651">
        <v>31</v>
      </c>
      <c r="M651">
        <f t="shared" si="70"/>
        <v>1.2424242424242424</v>
      </c>
      <c r="N651">
        <v>1</v>
      </c>
      <c r="S651" t="str">
        <f t="shared" si="76"/>
        <v/>
      </c>
    </row>
    <row r="652" spans="1:19" x14ac:dyDescent="0.55000000000000004">
      <c r="A652">
        <v>85</v>
      </c>
      <c r="B652" s="2">
        <v>45637.409722164353</v>
      </c>
      <c r="C652" t="s">
        <v>215</v>
      </c>
      <c r="D652">
        <v>2</v>
      </c>
      <c r="E652" t="s">
        <v>44</v>
      </c>
      <c r="F652" t="str">
        <f t="shared" si="71"/>
        <v>Gobiomorphus cotidianus</v>
      </c>
      <c r="G652" t="str">
        <f t="shared" si="72"/>
        <v>Common_bully</v>
      </c>
      <c r="H652" t="str">
        <f t="shared" si="73"/>
        <v>Toitoi</v>
      </c>
      <c r="I652" t="str">
        <f t="shared" si="74"/>
        <v>Native</v>
      </c>
      <c r="J652" t="str">
        <f t="shared" si="75"/>
        <v>No</v>
      </c>
      <c r="L652">
        <v>45</v>
      </c>
      <c r="M652">
        <f t="shared" si="70"/>
        <v>1.2424242424242424</v>
      </c>
      <c r="N652">
        <v>1</v>
      </c>
      <c r="S652" t="str">
        <f t="shared" si="76"/>
        <v/>
      </c>
    </row>
    <row r="653" spans="1:19" x14ac:dyDescent="0.55000000000000004">
      <c r="A653">
        <v>85</v>
      </c>
      <c r="B653" s="2">
        <v>45637.409722164353</v>
      </c>
      <c r="C653" t="s">
        <v>215</v>
      </c>
      <c r="D653">
        <v>2</v>
      </c>
      <c r="E653" t="s">
        <v>44</v>
      </c>
      <c r="F653" t="str">
        <f t="shared" si="71"/>
        <v>Gobiomorphus cotidianus</v>
      </c>
      <c r="G653" t="str">
        <f t="shared" si="72"/>
        <v>Common_bully</v>
      </c>
      <c r="H653" t="str">
        <f t="shared" si="73"/>
        <v>Toitoi</v>
      </c>
      <c r="I653" t="str">
        <f t="shared" si="74"/>
        <v>Native</v>
      </c>
      <c r="J653" t="str">
        <f t="shared" si="75"/>
        <v>No</v>
      </c>
      <c r="L653">
        <v>34</v>
      </c>
      <c r="M653">
        <f>(158-117)/33</f>
        <v>1.2424242424242424</v>
      </c>
      <c r="N653">
        <v>1</v>
      </c>
      <c r="S653" t="str">
        <f t="shared" si="76"/>
        <v/>
      </c>
    </row>
    <row r="654" spans="1:19" x14ac:dyDescent="0.55000000000000004">
      <c r="A654">
        <v>85</v>
      </c>
      <c r="B654" s="2">
        <v>45637.409722164353</v>
      </c>
      <c r="C654" t="s">
        <v>215</v>
      </c>
      <c r="D654">
        <v>2</v>
      </c>
      <c r="E654" t="s">
        <v>44</v>
      </c>
      <c r="F654" t="str">
        <f t="shared" si="71"/>
        <v>Gobiomorphus cotidianus</v>
      </c>
      <c r="G654" t="str">
        <f t="shared" si="72"/>
        <v>Common_bully</v>
      </c>
      <c r="H654" t="str">
        <f t="shared" si="73"/>
        <v>Toitoi</v>
      </c>
      <c r="I654" t="str">
        <f t="shared" si="74"/>
        <v>Native</v>
      </c>
      <c r="J654" t="str">
        <f t="shared" si="75"/>
        <v>No</v>
      </c>
      <c r="M654">
        <v>81</v>
      </c>
      <c r="R654">
        <v>0.5</v>
      </c>
      <c r="S654">
        <f t="shared" si="76"/>
        <v>118.294</v>
      </c>
    </row>
    <row r="655" spans="1:19" x14ac:dyDescent="0.55000000000000004">
      <c r="A655">
        <v>85</v>
      </c>
      <c r="B655" s="2">
        <v>45637.409722164353</v>
      </c>
      <c r="C655" t="s">
        <v>215</v>
      </c>
      <c r="D655">
        <v>2</v>
      </c>
      <c r="E655" t="s">
        <v>44</v>
      </c>
      <c r="F655" t="str">
        <f t="shared" si="71"/>
        <v>Gobiomorphus cotidianus</v>
      </c>
      <c r="G655" t="str">
        <f t="shared" si="72"/>
        <v>Common_bully</v>
      </c>
      <c r="H655" t="str">
        <f t="shared" si="73"/>
        <v>Toitoi</v>
      </c>
      <c r="I655" t="str">
        <f t="shared" si="74"/>
        <v>Native</v>
      </c>
      <c r="J655" t="str">
        <f t="shared" si="75"/>
        <v>No</v>
      </c>
      <c r="M655">
        <v>329</v>
      </c>
      <c r="R655">
        <v>1.75</v>
      </c>
      <c r="S655">
        <f t="shared" si="76"/>
        <v>414.029</v>
      </c>
    </row>
    <row r="656" spans="1:19" x14ac:dyDescent="0.55000000000000004">
      <c r="A656">
        <v>85</v>
      </c>
      <c r="B656" s="2">
        <v>45637.409722164353</v>
      </c>
      <c r="C656" t="s">
        <v>215</v>
      </c>
      <c r="D656">
        <v>2</v>
      </c>
      <c r="E656" t="s">
        <v>123</v>
      </c>
      <c r="F656" t="str">
        <f t="shared" si="71"/>
        <v>Carassius auratus</v>
      </c>
      <c r="G656" t="str">
        <f t="shared" si="72"/>
        <v>Goldfish</v>
      </c>
      <c r="H656" t="str">
        <f t="shared" si="73"/>
        <v>Morihana</v>
      </c>
      <c r="I656" t="str">
        <f t="shared" si="74"/>
        <v>Nonnative</v>
      </c>
      <c r="J656" t="str">
        <f t="shared" si="75"/>
        <v>No</v>
      </c>
      <c r="L656">
        <v>170</v>
      </c>
      <c r="M656">
        <v>122</v>
      </c>
      <c r="N656">
        <v>1</v>
      </c>
      <c r="S656" t="str">
        <f t="shared" si="76"/>
        <v/>
      </c>
    </row>
    <row r="657" spans="1:19" x14ac:dyDescent="0.55000000000000004">
      <c r="A657">
        <v>85</v>
      </c>
      <c r="B657" s="2">
        <v>45637.409722164353</v>
      </c>
      <c r="C657" t="s">
        <v>215</v>
      </c>
      <c r="D657">
        <v>2</v>
      </c>
      <c r="E657" t="s">
        <v>123</v>
      </c>
      <c r="F657" t="str">
        <f t="shared" si="71"/>
        <v>Carassius auratus</v>
      </c>
      <c r="G657" t="str">
        <f t="shared" si="72"/>
        <v>Goldfish</v>
      </c>
      <c r="H657" t="str">
        <f t="shared" si="73"/>
        <v>Morihana</v>
      </c>
      <c r="I657" t="str">
        <f t="shared" si="74"/>
        <v>Nonnative</v>
      </c>
      <c r="J657" t="str">
        <f t="shared" si="75"/>
        <v>No</v>
      </c>
      <c r="L657">
        <v>190</v>
      </c>
      <c r="M657">
        <v>193</v>
      </c>
      <c r="N657">
        <v>1</v>
      </c>
      <c r="S657" t="str">
        <f t="shared" si="76"/>
        <v/>
      </c>
    </row>
    <row r="658" spans="1:19" x14ac:dyDescent="0.55000000000000004">
      <c r="A658">
        <v>85</v>
      </c>
      <c r="B658" s="2">
        <v>45637.409722164353</v>
      </c>
      <c r="C658" t="s">
        <v>215</v>
      </c>
      <c r="D658">
        <v>2</v>
      </c>
      <c r="E658" t="s">
        <v>123</v>
      </c>
      <c r="F658" t="str">
        <f t="shared" si="71"/>
        <v>Carassius auratus</v>
      </c>
      <c r="G658" t="str">
        <f t="shared" si="72"/>
        <v>Goldfish</v>
      </c>
      <c r="H658" t="str">
        <f t="shared" si="73"/>
        <v>Morihana</v>
      </c>
      <c r="I658" t="str">
        <f t="shared" si="74"/>
        <v>Nonnative</v>
      </c>
      <c r="J658" t="str">
        <f t="shared" si="75"/>
        <v>No</v>
      </c>
      <c r="L658">
        <v>187</v>
      </c>
      <c r="M658">
        <v>161</v>
      </c>
      <c r="N658">
        <v>1</v>
      </c>
      <c r="S658" t="str">
        <f t="shared" si="76"/>
        <v/>
      </c>
    </row>
    <row r="659" spans="1:19" x14ac:dyDescent="0.55000000000000004">
      <c r="A659">
        <v>85</v>
      </c>
      <c r="B659" s="2">
        <v>45637.409722164353</v>
      </c>
      <c r="C659" t="s">
        <v>215</v>
      </c>
      <c r="D659">
        <v>2</v>
      </c>
      <c r="E659" t="s">
        <v>123</v>
      </c>
      <c r="F659" t="str">
        <f t="shared" si="71"/>
        <v>Carassius auratus</v>
      </c>
      <c r="G659" t="str">
        <f t="shared" si="72"/>
        <v>Goldfish</v>
      </c>
      <c r="H659" t="str">
        <f t="shared" si="73"/>
        <v>Morihana</v>
      </c>
      <c r="I659" t="str">
        <f t="shared" si="74"/>
        <v>Nonnative</v>
      </c>
      <c r="J659" t="str">
        <f t="shared" si="75"/>
        <v>No</v>
      </c>
      <c r="L659">
        <v>166</v>
      </c>
      <c r="M659">
        <v>129</v>
      </c>
      <c r="N659">
        <v>1</v>
      </c>
      <c r="S659" t="str">
        <f t="shared" si="76"/>
        <v/>
      </c>
    </row>
    <row r="660" spans="1:19" x14ac:dyDescent="0.55000000000000004">
      <c r="A660">
        <v>85</v>
      </c>
      <c r="B660" s="2">
        <v>45637.409722164353</v>
      </c>
      <c r="C660" t="s">
        <v>215</v>
      </c>
      <c r="D660">
        <v>2</v>
      </c>
      <c r="E660" t="s">
        <v>123</v>
      </c>
      <c r="F660" t="str">
        <f t="shared" si="71"/>
        <v>Carassius auratus</v>
      </c>
      <c r="G660" t="str">
        <f t="shared" si="72"/>
        <v>Goldfish</v>
      </c>
      <c r="H660" t="str">
        <f t="shared" si="73"/>
        <v>Morihana</v>
      </c>
      <c r="I660" t="str">
        <f t="shared" si="74"/>
        <v>Nonnative</v>
      </c>
      <c r="J660" t="str">
        <f t="shared" si="75"/>
        <v>No</v>
      </c>
      <c r="L660">
        <v>175</v>
      </c>
      <c r="M660">
        <v>125</v>
      </c>
      <c r="N660">
        <v>1</v>
      </c>
      <c r="S660" t="str">
        <f t="shared" si="76"/>
        <v/>
      </c>
    </row>
    <row r="661" spans="1:19" x14ac:dyDescent="0.55000000000000004">
      <c r="A661">
        <v>85</v>
      </c>
      <c r="B661" s="2">
        <v>45637.409722164353</v>
      </c>
      <c r="C661" t="s">
        <v>215</v>
      </c>
      <c r="D661">
        <v>2</v>
      </c>
      <c r="E661" t="s">
        <v>123</v>
      </c>
      <c r="F661" t="str">
        <f t="shared" si="71"/>
        <v>Carassius auratus</v>
      </c>
      <c r="G661" t="str">
        <f t="shared" si="72"/>
        <v>Goldfish</v>
      </c>
      <c r="H661" t="str">
        <f t="shared" si="73"/>
        <v>Morihana</v>
      </c>
      <c r="I661" t="str">
        <f t="shared" si="74"/>
        <v>Nonnative</v>
      </c>
      <c r="J661" t="str">
        <f t="shared" si="75"/>
        <v>No</v>
      </c>
      <c r="L661">
        <v>168</v>
      </c>
      <c r="M661">
        <v>108</v>
      </c>
      <c r="N661">
        <v>1</v>
      </c>
      <c r="S661" t="str">
        <f t="shared" si="76"/>
        <v/>
      </c>
    </row>
    <row r="662" spans="1:19" x14ac:dyDescent="0.55000000000000004">
      <c r="A662">
        <v>85</v>
      </c>
      <c r="B662" s="2">
        <v>45637.409722164353</v>
      </c>
      <c r="C662" t="s">
        <v>215</v>
      </c>
      <c r="D662">
        <v>2</v>
      </c>
      <c r="E662" t="s">
        <v>123</v>
      </c>
      <c r="F662" t="str">
        <f t="shared" si="71"/>
        <v>Carassius auratus</v>
      </c>
      <c r="G662" t="str">
        <f t="shared" si="72"/>
        <v>Goldfish</v>
      </c>
      <c r="H662" t="str">
        <f t="shared" si="73"/>
        <v>Morihana</v>
      </c>
      <c r="I662" t="str">
        <f t="shared" si="74"/>
        <v>Nonnative</v>
      </c>
      <c r="J662" t="str">
        <f t="shared" si="75"/>
        <v>No</v>
      </c>
      <c r="L662">
        <v>165</v>
      </c>
      <c r="M662">
        <v>104</v>
      </c>
      <c r="N662">
        <v>1</v>
      </c>
      <c r="S662" t="str">
        <f t="shared" si="76"/>
        <v/>
      </c>
    </row>
    <row r="663" spans="1:19" x14ac:dyDescent="0.55000000000000004">
      <c r="A663">
        <v>85</v>
      </c>
      <c r="B663" s="2">
        <v>45637.409722164353</v>
      </c>
      <c r="C663" t="s">
        <v>215</v>
      </c>
      <c r="D663">
        <v>2</v>
      </c>
      <c r="E663" t="s">
        <v>123</v>
      </c>
      <c r="F663" t="str">
        <f t="shared" si="71"/>
        <v>Carassius auratus</v>
      </c>
      <c r="G663" t="str">
        <f t="shared" si="72"/>
        <v>Goldfish</v>
      </c>
      <c r="H663" t="str">
        <f t="shared" si="73"/>
        <v>Morihana</v>
      </c>
      <c r="I663" t="str">
        <f t="shared" si="74"/>
        <v>Nonnative</v>
      </c>
      <c r="J663" t="str">
        <f t="shared" si="75"/>
        <v>No</v>
      </c>
      <c r="L663">
        <v>130</v>
      </c>
      <c r="M663">
        <v>55</v>
      </c>
      <c r="N663">
        <v>1</v>
      </c>
      <c r="S663" t="str">
        <f t="shared" si="76"/>
        <v/>
      </c>
    </row>
    <row r="664" spans="1:19" x14ac:dyDescent="0.55000000000000004">
      <c r="A664">
        <v>85</v>
      </c>
      <c r="B664" s="2">
        <v>45637.409722164353</v>
      </c>
      <c r="C664" t="s">
        <v>215</v>
      </c>
      <c r="D664">
        <v>2</v>
      </c>
      <c r="E664" t="s">
        <v>123</v>
      </c>
      <c r="F664" t="str">
        <f t="shared" si="71"/>
        <v>Carassius auratus</v>
      </c>
      <c r="G664" t="str">
        <f t="shared" si="72"/>
        <v>Goldfish</v>
      </c>
      <c r="H664" t="str">
        <f t="shared" si="73"/>
        <v>Morihana</v>
      </c>
      <c r="I664" t="str">
        <f t="shared" si="74"/>
        <v>Nonnative</v>
      </c>
      <c r="J664" t="str">
        <f t="shared" si="75"/>
        <v>No</v>
      </c>
      <c r="L664">
        <v>139</v>
      </c>
      <c r="M664">
        <v>54</v>
      </c>
      <c r="N664">
        <v>1</v>
      </c>
      <c r="S664" t="str">
        <f t="shared" si="76"/>
        <v/>
      </c>
    </row>
    <row r="665" spans="1:19" x14ac:dyDescent="0.55000000000000004">
      <c r="A665">
        <v>85</v>
      </c>
      <c r="B665" s="2">
        <v>45637.409722164353</v>
      </c>
      <c r="C665" t="s">
        <v>215</v>
      </c>
      <c r="D665">
        <v>2</v>
      </c>
      <c r="E665" t="s">
        <v>123</v>
      </c>
      <c r="F665" t="str">
        <f t="shared" si="71"/>
        <v>Carassius auratus</v>
      </c>
      <c r="G665" t="str">
        <f t="shared" si="72"/>
        <v>Goldfish</v>
      </c>
      <c r="H665" t="str">
        <f t="shared" si="73"/>
        <v>Morihana</v>
      </c>
      <c r="I665" t="str">
        <f t="shared" si="74"/>
        <v>Nonnative</v>
      </c>
      <c r="J665" t="str">
        <f t="shared" si="75"/>
        <v>No</v>
      </c>
      <c r="L665">
        <v>149</v>
      </c>
      <c r="M665">
        <v>67</v>
      </c>
      <c r="N665">
        <v>1</v>
      </c>
      <c r="S665" t="str">
        <f t="shared" si="76"/>
        <v/>
      </c>
    </row>
    <row r="666" spans="1:19" x14ac:dyDescent="0.55000000000000004">
      <c r="A666">
        <v>85</v>
      </c>
      <c r="B666" s="2">
        <v>45637.409722164353</v>
      </c>
      <c r="C666" t="s">
        <v>215</v>
      </c>
      <c r="D666">
        <v>2</v>
      </c>
      <c r="E666" t="s">
        <v>123</v>
      </c>
      <c r="F666" t="str">
        <f t="shared" si="71"/>
        <v>Carassius auratus</v>
      </c>
      <c r="G666" t="str">
        <f t="shared" si="72"/>
        <v>Goldfish</v>
      </c>
      <c r="H666" t="str">
        <f t="shared" si="73"/>
        <v>Morihana</v>
      </c>
      <c r="I666" t="str">
        <f t="shared" si="74"/>
        <v>Nonnative</v>
      </c>
      <c r="J666" t="str">
        <f t="shared" si="75"/>
        <v>No</v>
      </c>
      <c r="L666">
        <v>62</v>
      </c>
      <c r="M666">
        <v>6</v>
      </c>
      <c r="N666">
        <v>1</v>
      </c>
      <c r="S666" t="str">
        <f t="shared" si="76"/>
        <v/>
      </c>
    </row>
    <row r="667" spans="1:19" x14ac:dyDescent="0.55000000000000004">
      <c r="A667">
        <v>85</v>
      </c>
      <c r="B667" s="2">
        <v>45637.409722164353</v>
      </c>
      <c r="C667" t="s">
        <v>215</v>
      </c>
      <c r="D667">
        <v>2</v>
      </c>
      <c r="E667" t="s">
        <v>123</v>
      </c>
      <c r="F667" t="str">
        <f t="shared" si="71"/>
        <v>Carassius auratus</v>
      </c>
      <c r="G667" t="str">
        <f t="shared" si="72"/>
        <v>Goldfish</v>
      </c>
      <c r="H667" t="str">
        <f t="shared" si="73"/>
        <v>Morihana</v>
      </c>
      <c r="I667" t="str">
        <f t="shared" si="74"/>
        <v>Nonnative</v>
      </c>
      <c r="J667" t="str">
        <f t="shared" si="75"/>
        <v>No</v>
      </c>
      <c r="L667">
        <v>141</v>
      </c>
      <c r="M667">
        <v>71</v>
      </c>
      <c r="N667">
        <v>1</v>
      </c>
      <c r="S667" t="str">
        <f t="shared" si="76"/>
        <v/>
      </c>
    </row>
    <row r="668" spans="1:19" x14ac:dyDescent="0.55000000000000004">
      <c r="A668">
        <v>85</v>
      </c>
      <c r="B668" s="2">
        <v>45637.409722164353</v>
      </c>
      <c r="C668" t="s">
        <v>215</v>
      </c>
      <c r="D668">
        <v>2</v>
      </c>
      <c r="E668" t="s">
        <v>123</v>
      </c>
      <c r="F668" t="str">
        <f t="shared" si="71"/>
        <v>Carassius auratus</v>
      </c>
      <c r="G668" t="str">
        <f t="shared" si="72"/>
        <v>Goldfish</v>
      </c>
      <c r="H668" t="str">
        <f t="shared" si="73"/>
        <v>Morihana</v>
      </c>
      <c r="I668" t="str">
        <f t="shared" si="74"/>
        <v>Nonnative</v>
      </c>
      <c r="J668" t="str">
        <f t="shared" si="75"/>
        <v>No</v>
      </c>
      <c r="L668">
        <v>151</v>
      </c>
      <c r="M668">
        <v>79</v>
      </c>
      <c r="N668">
        <v>1</v>
      </c>
      <c r="S668" t="str">
        <f t="shared" si="76"/>
        <v/>
      </c>
    </row>
    <row r="669" spans="1:19" x14ac:dyDescent="0.55000000000000004">
      <c r="A669">
        <v>85</v>
      </c>
      <c r="B669" s="2">
        <v>45637.409722164353</v>
      </c>
      <c r="C669" t="s">
        <v>215</v>
      </c>
      <c r="D669">
        <v>2</v>
      </c>
      <c r="E669" t="s">
        <v>123</v>
      </c>
      <c r="F669" t="str">
        <f t="shared" si="71"/>
        <v>Carassius auratus</v>
      </c>
      <c r="G669" t="str">
        <f t="shared" si="72"/>
        <v>Goldfish</v>
      </c>
      <c r="H669" t="str">
        <f t="shared" si="73"/>
        <v>Morihana</v>
      </c>
      <c r="I669" t="str">
        <f t="shared" si="74"/>
        <v>Nonnative</v>
      </c>
      <c r="J669" t="str">
        <f t="shared" si="75"/>
        <v>No</v>
      </c>
      <c r="L669">
        <v>125</v>
      </c>
      <c r="M669">
        <v>46</v>
      </c>
      <c r="N669">
        <v>1</v>
      </c>
      <c r="S669" t="str">
        <f t="shared" si="76"/>
        <v/>
      </c>
    </row>
    <row r="670" spans="1:19" x14ac:dyDescent="0.55000000000000004">
      <c r="A670">
        <v>85</v>
      </c>
      <c r="B670" s="2">
        <v>45637.409722164353</v>
      </c>
      <c r="C670" t="s">
        <v>215</v>
      </c>
      <c r="D670">
        <v>2</v>
      </c>
      <c r="E670" t="s">
        <v>123</v>
      </c>
      <c r="F670" t="str">
        <f t="shared" si="71"/>
        <v>Carassius auratus</v>
      </c>
      <c r="G670" t="str">
        <f t="shared" si="72"/>
        <v>Goldfish</v>
      </c>
      <c r="H670" t="str">
        <f t="shared" si="73"/>
        <v>Morihana</v>
      </c>
      <c r="I670" t="str">
        <f t="shared" si="74"/>
        <v>Nonnative</v>
      </c>
      <c r="J670" t="str">
        <f t="shared" si="75"/>
        <v>No</v>
      </c>
      <c r="L670">
        <v>134</v>
      </c>
      <c r="M670">
        <v>59</v>
      </c>
      <c r="N670">
        <v>1</v>
      </c>
      <c r="S670" t="str">
        <f t="shared" si="76"/>
        <v/>
      </c>
    </row>
    <row r="671" spans="1:19" x14ac:dyDescent="0.55000000000000004">
      <c r="A671">
        <v>85</v>
      </c>
      <c r="B671" s="2">
        <v>45637.409722164353</v>
      </c>
      <c r="C671" t="s">
        <v>215</v>
      </c>
      <c r="D671">
        <v>2</v>
      </c>
      <c r="E671" t="s">
        <v>123</v>
      </c>
      <c r="F671" t="str">
        <f t="shared" si="71"/>
        <v>Carassius auratus</v>
      </c>
      <c r="G671" t="str">
        <f t="shared" si="72"/>
        <v>Goldfish</v>
      </c>
      <c r="H671" t="str">
        <f t="shared" si="73"/>
        <v>Morihana</v>
      </c>
      <c r="I671" t="str">
        <f t="shared" si="74"/>
        <v>Nonnative</v>
      </c>
      <c r="J671" t="str">
        <f t="shared" si="75"/>
        <v>No</v>
      </c>
      <c r="L671">
        <v>136</v>
      </c>
      <c r="M671">
        <v>59</v>
      </c>
      <c r="N671">
        <v>1</v>
      </c>
      <c r="S671" t="str">
        <f t="shared" si="76"/>
        <v/>
      </c>
    </row>
    <row r="672" spans="1:19" x14ac:dyDescent="0.55000000000000004">
      <c r="A672">
        <v>85</v>
      </c>
      <c r="B672" s="2">
        <v>45637.409722164353</v>
      </c>
      <c r="C672" t="s">
        <v>215</v>
      </c>
      <c r="D672">
        <v>2</v>
      </c>
      <c r="E672" t="s">
        <v>123</v>
      </c>
      <c r="F672" t="str">
        <f t="shared" si="71"/>
        <v>Carassius auratus</v>
      </c>
      <c r="G672" t="str">
        <f t="shared" si="72"/>
        <v>Goldfish</v>
      </c>
      <c r="H672" t="str">
        <f t="shared" si="73"/>
        <v>Morihana</v>
      </c>
      <c r="I672" t="str">
        <f t="shared" si="74"/>
        <v>Nonnative</v>
      </c>
      <c r="J672" t="str">
        <f t="shared" si="75"/>
        <v>No</v>
      </c>
      <c r="L672">
        <v>60</v>
      </c>
      <c r="M672">
        <v>5</v>
      </c>
      <c r="N672">
        <v>1</v>
      </c>
      <c r="S672" t="str">
        <f t="shared" si="76"/>
        <v/>
      </c>
    </row>
    <row r="673" spans="1:19" x14ac:dyDescent="0.55000000000000004">
      <c r="A673">
        <v>85</v>
      </c>
      <c r="B673" s="2">
        <v>45637.409722164353</v>
      </c>
      <c r="C673" t="s">
        <v>215</v>
      </c>
      <c r="D673">
        <v>2</v>
      </c>
      <c r="E673" t="s">
        <v>123</v>
      </c>
      <c r="F673" t="str">
        <f t="shared" si="71"/>
        <v>Carassius auratus</v>
      </c>
      <c r="G673" t="str">
        <f t="shared" si="72"/>
        <v>Goldfish</v>
      </c>
      <c r="H673" t="str">
        <f t="shared" si="73"/>
        <v>Morihana</v>
      </c>
      <c r="I673" t="str">
        <f t="shared" si="74"/>
        <v>Nonnative</v>
      </c>
      <c r="J673" t="str">
        <f t="shared" si="75"/>
        <v>No</v>
      </c>
      <c r="L673">
        <v>66</v>
      </c>
      <c r="M673">
        <v>6</v>
      </c>
      <c r="N673">
        <v>1</v>
      </c>
      <c r="S673" t="str">
        <f t="shared" si="76"/>
        <v/>
      </c>
    </row>
    <row r="674" spans="1:19" x14ac:dyDescent="0.55000000000000004">
      <c r="A674">
        <v>85</v>
      </c>
      <c r="B674" s="2">
        <v>45637.409722164353</v>
      </c>
      <c r="C674" t="s">
        <v>215</v>
      </c>
      <c r="D674">
        <v>2</v>
      </c>
      <c r="E674" t="s">
        <v>123</v>
      </c>
      <c r="F674" t="str">
        <f t="shared" si="71"/>
        <v>Carassius auratus</v>
      </c>
      <c r="G674" t="str">
        <f t="shared" si="72"/>
        <v>Goldfish</v>
      </c>
      <c r="H674" t="str">
        <f t="shared" si="73"/>
        <v>Morihana</v>
      </c>
      <c r="I674" t="str">
        <f t="shared" si="74"/>
        <v>Nonnative</v>
      </c>
      <c r="J674" t="str">
        <f t="shared" si="75"/>
        <v>No</v>
      </c>
      <c r="L674">
        <v>42</v>
      </c>
      <c r="M674">
        <v>1</v>
      </c>
      <c r="N674">
        <v>1</v>
      </c>
      <c r="S674" t="str">
        <f t="shared" si="76"/>
        <v/>
      </c>
    </row>
    <row r="675" spans="1:19" x14ac:dyDescent="0.55000000000000004">
      <c r="A675">
        <v>85</v>
      </c>
      <c r="B675" s="2">
        <v>45637.409722164353</v>
      </c>
      <c r="C675" t="s">
        <v>215</v>
      </c>
      <c r="D675">
        <v>2</v>
      </c>
      <c r="E675" t="s">
        <v>247</v>
      </c>
      <c r="F675" t="str">
        <f t="shared" si="71"/>
        <v>Retropinna retropinna</v>
      </c>
      <c r="G675" t="str">
        <f t="shared" si="72"/>
        <v>Common_smelt</v>
      </c>
      <c r="H675" t="str">
        <f t="shared" si="73"/>
        <v>Common_smelt</v>
      </c>
      <c r="I675" t="str">
        <f t="shared" si="74"/>
        <v>Native</v>
      </c>
      <c r="J675" t="str">
        <f t="shared" si="75"/>
        <v>No</v>
      </c>
      <c r="M675">
        <f>478-117</f>
        <v>361</v>
      </c>
      <c r="S675" t="str">
        <f t="shared" si="76"/>
        <v/>
      </c>
    </row>
    <row r="676" spans="1:19" x14ac:dyDescent="0.55000000000000004">
      <c r="A676">
        <v>85</v>
      </c>
      <c r="B676" s="2">
        <v>45637.409722164353</v>
      </c>
      <c r="C676" t="s">
        <v>215</v>
      </c>
      <c r="D676">
        <v>2</v>
      </c>
      <c r="E676" t="s">
        <v>44</v>
      </c>
      <c r="F676" t="str">
        <f t="shared" si="71"/>
        <v>Gobiomorphus cotidianus</v>
      </c>
      <c r="G676" t="str">
        <f t="shared" si="72"/>
        <v>Common_bully</v>
      </c>
      <c r="H676" t="str">
        <f t="shared" si="73"/>
        <v>Toitoi</v>
      </c>
      <c r="I676" t="str">
        <f t="shared" si="74"/>
        <v>Native</v>
      </c>
      <c r="J676" t="str">
        <f t="shared" si="75"/>
        <v>No</v>
      </c>
      <c r="M676">
        <v>520</v>
      </c>
      <c r="R676">
        <v>2</v>
      </c>
      <c r="S676">
        <f t="shared" si="76"/>
        <v>473.17599999999999</v>
      </c>
    </row>
    <row r="677" spans="1:19" x14ac:dyDescent="0.55000000000000004">
      <c r="A677">
        <v>85</v>
      </c>
      <c r="B677" s="2">
        <v>45637.409722164353</v>
      </c>
      <c r="C677" t="s">
        <v>215</v>
      </c>
      <c r="D677">
        <v>2</v>
      </c>
      <c r="E677" t="s">
        <v>44</v>
      </c>
      <c r="F677" t="str">
        <f t="shared" si="71"/>
        <v>Gobiomorphus cotidianus</v>
      </c>
      <c r="G677" t="str">
        <f t="shared" si="72"/>
        <v>Common_bully</v>
      </c>
      <c r="H677" t="str">
        <f t="shared" si="73"/>
        <v>Toitoi</v>
      </c>
      <c r="I677" t="str">
        <f t="shared" si="74"/>
        <v>Native</v>
      </c>
      <c r="J677" t="str">
        <f t="shared" si="75"/>
        <v>No</v>
      </c>
      <c r="M677">
        <v>297</v>
      </c>
      <c r="R677">
        <v>1.5</v>
      </c>
      <c r="S677">
        <f t="shared" si="76"/>
        <v>354.88200000000001</v>
      </c>
    </row>
    <row r="678" spans="1:19" x14ac:dyDescent="0.55000000000000004">
      <c r="A678">
        <v>86</v>
      </c>
      <c r="B678" s="2">
        <v>45637.5</v>
      </c>
      <c r="C678" t="s">
        <v>216</v>
      </c>
      <c r="D678">
        <v>2</v>
      </c>
      <c r="E678" t="s">
        <v>44</v>
      </c>
      <c r="F678" t="str">
        <f t="shared" si="71"/>
        <v>Gobiomorphus cotidianus</v>
      </c>
      <c r="G678" t="str">
        <f t="shared" si="72"/>
        <v>Common_bully</v>
      </c>
      <c r="H678" t="str">
        <f t="shared" si="73"/>
        <v>Toitoi</v>
      </c>
      <c r="I678" t="str">
        <f t="shared" si="74"/>
        <v>Native</v>
      </c>
      <c r="J678" t="str">
        <f t="shared" si="75"/>
        <v>No</v>
      </c>
      <c r="M678">
        <v>77</v>
      </c>
      <c r="R678">
        <v>0.5</v>
      </c>
      <c r="S678">
        <f t="shared" si="76"/>
        <v>118.294</v>
      </c>
    </row>
    <row r="679" spans="1:19" x14ac:dyDescent="0.55000000000000004">
      <c r="A679">
        <v>86</v>
      </c>
      <c r="B679" s="2">
        <v>45637.5</v>
      </c>
      <c r="C679" t="s">
        <v>215</v>
      </c>
      <c r="D679">
        <v>2</v>
      </c>
      <c r="E679" t="s">
        <v>123</v>
      </c>
      <c r="F679" t="str">
        <f t="shared" si="71"/>
        <v>Carassius auratus</v>
      </c>
      <c r="G679" t="str">
        <f t="shared" si="72"/>
        <v>Goldfish</v>
      </c>
      <c r="H679" t="str">
        <f t="shared" si="73"/>
        <v>Morihana</v>
      </c>
      <c r="I679" t="str">
        <f t="shared" si="74"/>
        <v>Nonnative</v>
      </c>
      <c r="J679" t="str">
        <f t="shared" si="75"/>
        <v>No</v>
      </c>
      <c r="L679">
        <v>195</v>
      </c>
      <c r="M679">
        <v>184</v>
      </c>
      <c r="N679">
        <v>1</v>
      </c>
      <c r="S679" t="str">
        <f t="shared" si="76"/>
        <v/>
      </c>
    </row>
    <row r="680" spans="1:19" x14ac:dyDescent="0.55000000000000004">
      <c r="A680">
        <v>86</v>
      </c>
      <c r="B680" s="2">
        <v>45637.5</v>
      </c>
      <c r="C680" t="s">
        <v>215</v>
      </c>
      <c r="D680">
        <v>2</v>
      </c>
      <c r="E680" t="s">
        <v>123</v>
      </c>
      <c r="F680" t="str">
        <f t="shared" si="71"/>
        <v>Carassius auratus</v>
      </c>
      <c r="G680" t="str">
        <f t="shared" si="72"/>
        <v>Goldfish</v>
      </c>
      <c r="H680" t="str">
        <f t="shared" si="73"/>
        <v>Morihana</v>
      </c>
      <c r="I680" t="str">
        <f t="shared" si="74"/>
        <v>Nonnative</v>
      </c>
      <c r="J680" t="str">
        <f t="shared" si="75"/>
        <v>No</v>
      </c>
      <c r="L680">
        <v>105</v>
      </c>
      <c r="M680">
        <v>26</v>
      </c>
      <c r="N680">
        <v>1</v>
      </c>
      <c r="S680" t="str">
        <f t="shared" si="76"/>
        <v/>
      </c>
    </row>
    <row r="681" spans="1:19" x14ac:dyDescent="0.55000000000000004">
      <c r="A681">
        <v>86</v>
      </c>
      <c r="B681" s="2">
        <v>45637.5</v>
      </c>
      <c r="C681" t="s">
        <v>215</v>
      </c>
      <c r="D681">
        <v>2</v>
      </c>
      <c r="E681" t="s">
        <v>123</v>
      </c>
      <c r="F681" t="str">
        <f t="shared" si="71"/>
        <v>Carassius auratus</v>
      </c>
      <c r="G681" t="str">
        <f t="shared" si="72"/>
        <v>Goldfish</v>
      </c>
      <c r="H681" t="str">
        <f t="shared" si="73"/>
        <v>Morihana</v>
      </c>
      <c r="I681" t="str">
        <f t="shared" si="74"/>
        <v>Nonnative</v>
      </c>
      <c r="J681" t="str">
        <f t="shared" si="75"/>
        <v>No</v>
      </c>
      <c r="L681">
        <v>55</v>
      </c>
      <c r="M681">
        <v>4</v>
      </c>
      <c r="N681">
        <v>1</v>
      </c>
      <c r="S681" t="str">
        <f t="shared" si="76"/>
        <v/>
      </c>
    </row>
    <row r="682" spans="1:19" x14ac:dyDescent="0.55000000000000004">
      <c r="A682">
        <v>86</v>
      </c>
      <c r="B682" s="2">
        <v>45637.5</v>
      </c>
      <c r="C682" t="s">
        <v>215</v>
      </c>
      <c r="D682">
        <v>2</v>
      </c>
      <c r="E682" t="s">
        <v>123</v>
      </c>
      <c r="F682" t="str">
        <f t="shared" si="71"/>
        <v>Carassius auratus</v>
      </c>
      <c r="G682" t="str">
        <f t="shared" si="72"/>
        <v>Goldfish</v>
      </c>
      <c r="H682" t="str">
        <f t="shared" si="73"/>
        <v>Morihana</v>
      </c>
      <c r="I682" t="str">
        <f t="shared" si="74"/>
        <v>Nonnative</v>
      </c>
      <c r="J682" t="str">
        <f t="shared" si="75"/>
        <v>No</v>
      </c>
      <c r="L682">
        <v>53</v>
      </c>
      <c r="M682">
        <v>3</v>
      </c>
      <c r="N682">
        <v>1</v>
      </c>
      <c r="S682" t="str">
        <f t="shared" si="76"/>
        <v/>
      </c>
    </row>
    <row r="683" spans="1:19" x14ac:dyDescent="0.55000000000000004">
      <c r="A683">
        <v>86</v>
      </c>
      <c r="B683" s="2">
        <v>45637.5</v>
      </c>
      <c r="C683" t="s">
        <v>215</v>
      </c>
      <c r="D683">
        <v>2</v>
      </c>
      <c r="E683" t="s">
        <v>123</v>
      </c>
      <c r="F683" t="str">
        <f t="shared" si="71"/>
        <v>Carassius auratus</v>
      </c>
      <c r="G683" t="str">
        <f t="shared" si="72"/>
        <v>Goldfish</v>
      </c>
      <c r="H683" t="str">
        <f t="shared" si="73"/>
        <v>Morihana</v>
      </c>
      <c r="I683" t="str">
        <f t="shared" si="74"/>
        <v>Nonnative</v>
      </c>
      <c r="J683" t="str">
        <f t="shared" si="75"/>
        <v>No</v>
      </c>
      <c r="L683">
        <v>49</v>
      </c>
      <c r="M683">
        <v>2</v>
      </c>
      <c r="N683">
        <v>1</v>
      </c>
      <c r="S683" t="str">
        <f t="shared" si="76"/>
        <v/>
      </c>
    </row>
    <row r="684" spans="1:19" x14ac:dyDescent="0.55000000000000004">
      <c r="A684">
        <v>86</v>
      </c>
      <c r="B684" s="2">
        <v>45637.5</v>
      </c>
      <c r="C684" t="s">
        <v>215</v>
      </c>
      <c r="D684">
        <v>2</v>
      </c>
      <c r="E684" t="s">
        <v>123</v>
      </c>
      <c r="F684" t="str">
        <f t="shared" si="71"/>
        <v>Carassius auratus</v>
      </c>
      <c r="G684" t="str">
        <f t="shared" si="72"/>
        <v>Goldfish</v>
      </c>
      <c r="H684" t="str">
        <f t="shared" si="73"/>
        <v>Morihana</v>
      </c>
      <c r="I684" t="str">
        <f t="shared" si="74"/>
        <v>Nonnative</v>
      </c>
      <c r="J684" t="str">
        <f t="shared" si="75"/>
        <v>No</v>
      </c>
      <c r="L684">
        <v>48</v>
      </c>
      <c r="M684">
        <v>2</v>
      </c>
      <c r="N684">
        <v>1</v>
      </c>
      <c r="S684" t="str">
        <f t="shared" si="76"/>
        <v/>
      </c>
    </row>
    <row r="685" spans="1:19" x14ac:dyDescent="0.55000000000000004">
      <c r="A685">
        <v>86</v>
      </c>
      <c r="B685" s="2">
        <v>45637.5</v>
      </c>
      <c r="C685" t="s">
        <v>215</v>
      </c>
      <c r="D685">
        <v>2</v>
      </c>
      <c r="E685" t="s">
        <v>44</v>
      </c>
      <c r="F685" t="str">
        <f t="shared" si="71"/>
        <v>Gobiomorphus cotidianus</v>
      </c>
      <c r="G685" t="str">
        <f t="shared" si="72"/>
        <v>Common_bully</v>
      </c>
      <c r="H685" t="str">
        <f t="shared" si="73"/>
        <v>Toitoi</v>
      </c>
      <c r="I685" t="str">
        <f t="shared" si="74"/>
        <v>Native</v>
      </c>
      <c r="J685" t="str">
        <f t="shared" si="75"/>
        <v>No</v>
      </c>
      <c r="M685">
        <v>35</v>
      </c>
      <c r="S685" t="str">
        <f t="shared" si="76"/>
        <v/>
      </c>
    </row>
    <row r="686" spans="1:19" x14ac:dyDescent="0.55000000000000004">
      <c r="A686">
        <v>86</v>
      </c>
      <c r="B686" s="2">
        <v>45637.5</v>
      </c>
      <c r="C686" t="s">
        <v>215</v>
      </c>
      <c r="D686">
        <v>2</v>
      </c>
      <c r="E686" t="s">
        <v>123</v>
      </c>
      <c r="F686" t="str">
        <f t="shared" si="71"/>
        <v>Carassius auratus</v>
      </c>
      <c r="G686" t="str">
        <f t="shared" si="72"/>
        <v>Goldfish</v>
      </c>
      <c r="H686" t="str">
        <f t="shared" si="73"/>
        <v>Morihana</v>
      </c>
      <c r="I686" t="str">
        <f t="shared" si="74"/>
        <v>Nonnative</v>
      </c>
      <c r="J686" t="str">
        <f t="shared" si="75"/>
        <v>No</v>
      </c>
      <c r="L686">
        <v>200</v>
      </c>
      <c r="M686">
        <v>225</v>
      </c>
      <c r="N686">
        <v>1</v>
      </c>
      <c r="S686" t="str">
        <f t="shared" si="76"/>
        <v/>
      </c>
    </row>
    <row r="687" spans="1:19" x14ac:dyDescent="0.55000000000000004">
      <c r="A687">
        <v>86</v>
      </c>
      <c r="B687" s="2">
        <v>45637.5</v>
      </c>
      <c r="C687" t="s">
        <v>215</v>
      </c>
      <c r="D687">
        <v>2</v>
      </c>
      <c r="E687" t="s">
        <v>123</v>
      </c>
      <c r="F687" t="str">
        <f t="shared" si="71"/>
        <v>Carassius auratus</v>
      </c>
      <c r="G687" t="str">
        <f t="shared" si="72"/>
        <v>Goldfish</v>
      </c>
      <c r="H687" t="str">
        <f t="shared" si="73"/>
        <v>Morihana</v>
      </c>
      <c r="I687" t="str">
        <f t="shared" si="74"/>
        <v>Nonnative</v>
      </c>
      <c r="J687" t="str">
        <f t="shared" si="75"/>
        <v>No</v>
      </c>
      <c r="L687">
        <v>130</v>
      </c>
      <c r="M687">
        <v>53</v>
      </c>
      <c r="N687">
        <v>1</v>
      </c>
      <c r="S687" t="str">
        <f t="shared" si="76"/>
        <v/>
      </c>
    </row>
    <row r="688" spans="1:19" x14ac:dyDescent="0.55000000000000004">
      <c r="A688">
        <v>86</v>
      </c>
      <c r="B688" s="2">
        <v>45637.5</v>
      </c>
      <c r="C688" t="s">
        <v>215</v>
      </c>
      <c r="D688">
        <v>2</v>
      </c>
      <c r="E688" t="s">
        <v>123</v>
      </c>
      <c r="F688" t="str">
        <f t="shared" si="71"/>
        <v>Carassius auratus</v>
      </c>
      <c r="G688" t="str">
        <f t="shared" si="72"/>
        <v>Goldfish</v>
      </c>
      <c r="H688" t="str">
        <f t="shared" si="73"/>
        <v>Morihana</v>
      </c>
      <c r="I688" t="str">
        <f t="shared" si="74"/>
        <v>Nonnative</v>
      </c>
      <c r="J688" t="str">
        <f t="shared" si="75"/>
        <v>No</v>
      </c>
      <c r="L688">
        <v>55</v>
      </c>
      <c r="M688">
        <v>4</v>
      </c>
      <c r="N688">
        <v>1</v>
      </c>
      <c r="S688" t="str">
        <f t="shared" si="76"/>
        <v/>
      </c>
    </row>
    <row r="689" spans="1:19" x14ac:dyDescent="0.55000000000000004">
      <c r="A689">
        <v>86</v>
      </c>
      <c r="B689" s="2">
        <v>45637.5</v>
      </c>
      <c r="C689" t="s">
        <v>215</v>
      </c>
      <c r="D689">
        <v>2</v>
      </c>
      <c r="E689" t="s">
        <v>123</v>
      </c>
      <c r="F689" t="str">
        <f t="shared" si="71"/>
        <v>Carassius auratus</v>
      </c>
      <c r="G689" t="str">
        <f t="shared" si="72"/>
        <v>Goldfish</v>
      </c>
      <c r="H689" t="str">
        <f t="shared" si="73"/>
        <v>Morihana</v>
      </c>
      <c r="I689" t="str">
        <f t="shared" si="74"/>
        <v>Nonnative</v>
      </c>
      <c r="J689" t="str">
        <f t="shared" si="75"/>
        <v>No</v>
      </c>
      <c r="L689">
        <v>190</v>
      </c>
      <c r="M689">
        <v>160</v>
      </c>
      <c r="N689">
        <v>1</v>
      </c>
      <c r="S689" t="str">
        <f t="shared" si="76"/>
        <v/>
      </c>
    </row>
    <row r="690" spans="1:19" x14ac:dyDescent="0.55000000000000004">
      <c r="A690">
        <v>86</v>
      </c>
      <c r="B690" s="2">
        <v>45637.5</v>
      </c>
      <c r="C690" t="s">
        <v>215</v>
      </c>
      <c r="D690">
        <v>2</v>
      </c>
      <c r="E690" t="s">
        <v>123</v>
      </c>
      <c r="F690" t="str">
        <f t="shared" si="71"/>
        <v>Carassius auratus</v>
      </c>
      <c r="G690" t="str">
        <f t="shared" si="72"/>
        <v>Goldfish</v>
      </c>
      <c r="H690" t="str">
        <f t="shared" si="73"/>
        <v>Morihana</v>
      </c>
      <c r="I690" t="str">
        <f t="shared" si="74"/>
        <v>Nonnative</v>
      </c>
      <c r="J690" t="str">
        <f t="shared" si="75"/>
        <v>No</v>
      </c>
      <c r="L690">
        <v>163</v>
      </c>
      <c r="M690">
        <v>93</v>
      </c>
      <c r="N690">
        <v>1</v>
      </c>
      <c r="S690" t="str">
        <f t="shared" si="76"/>
        <v/>
      </c>
    </row>
    <row r="691" spans="1:19" x14ac:dyDescent="0.55000000000000004">
      <c r="A691">
        <v>86</v>
      </c>
      <c r="B691" s="2">
        <v>45637.5</v>
      </c>
      <c r="C691" t="s">
        <v>215</v>
      </c>
      <c r="D691">
        <v>2</v>
      </c>
      <c r="E691" t="s">
        <v>123</v>
      </c>
      <c r="F691" t="str">
        <f t="shared" si="71"/>
        <v>Carassius auratus</v>
      </c>
      <c r="G691" t="str">
        <f t="shared" si="72"/>
        <v>Goldfish</v>
      </c>
      <c r="H691" t="str">
        <f t="shared" si="73"/>
        <v>Morihana</v>
      </c>
      <c r="I691" t="str">
        <f t="shared" si="74"/>
        <v>Nonnative</v>
      </c>
      <c r="J691" t="str">
        <f t="shared" si="75"/>
        <v>No</v>
      </c>
      <c r="L691">
        <v>146</v>
      </c>
      <c r="M691">
        <v>76</v>
      </c>
      <c r="N691">
        <v>1</v>
      </c>
      <c r="S691" t="str">
        <f t="shared" si="76"/>
        <v/>
      </c>
    </row>
    <row r="692" spans="1:19" x14ac:dyDescent="0.55000000000000004">
      <c r="A692">
        <v>86</v>
      </c>
      <c r="B692" s="2">
        <v>45637.5</v>
      </c>
      <c r="C692" t="s">
        <v>215</v>
      </c>
      <c r="D692">
        <v>2</v>
      </c>
      <c r="E692" t="s">
        <v>123</v>
      </c>
      <c r="F692" t="str">
        <f t="shared" si="71"/>
        <v>Carassius auratus</v>
      </c>
      <c r="G692" t="str">
        <f t="shared" si="72"/>
        <v>Goldfish</v>
      </c>
      <c r="H692" t="str">
        <f t="shared" si="73"/>
        <v>Morihana</v>
      </c>
      <c r="I692" t="str">
        <f t="shared" si="74"/>
        <v>Nonnative</v>
      </c>
      <c r="J692" t="str">
        <f t="shared" si="75"/>
        <v>No</v>
      </c>
      <c r="L692">
        <v>71</v>
      </c>
      <c r="M692">
        <v>6</v>
      </c>
      <c r="N692">
        <v>1</v>
      </c>
      <c r="S692" t="str">
        <f t="shared" si="76"/>
        <v/>
      </c>
    </row>
    <row r="693" spans="1:19" x14ac:dyDescent="0.55000000000000004">
      <c r="A693">
        <v>86</v>
      </c>
      <c r="B693" s="2">
        <v>45637.5</v>
      </c>
      <c r="C693" t="s">
        <v>215</v>
      </c>
      <c r="D693">
        <v>2</v>
      </c>
      <c r="E693" t="s">
        <v>123</v>
      </c>
      <c r="F693" t="str">
        <f t="shared" si="71"/>
        <v>Carassius auratus</v>
      </c>
      <c r="G693" t="str">
        <f t="shared" si="72"/>
        <v>Goldfish</v>
      </c>
      <c r="H693" t="str">
        <f t="shared" si="73"/>
        <v>Morihana</v>
      </c>
      <c r="I693" t="str">
        <f t="shared" si="74"/>
        <v>Nonnative</v>
      </c>
      <c r="J693" t="str">
        <f t="shared" si="75"/>
        <v>No</v>
      </c>
      <c r="L693">
        <v>60</v>
      </c>
      <c r="M693">
        <v>4</v>
      </c>
      <c r="N693">
        <v>1</v>
      </c>
      <c r="S693" t="str">
        <f t="shared" si="76"/>
        <v/>
      </c>
    </row>
    <row r="694" spans="1:19" x14ac:dyDescent="0.55000000000000004">
      <c r="A694">
        <v>86</v>
      </c>
      <c r="B694" s="2">
        <v>45637.5</v>
      </c>
      <c r="C694" t="s">
        <v>215</v>
      </c>
      <c r="D694">
        <v>2</v>
      </c>
      <c r="E694" t="s">
        <v>123</v>
      </c>
      <c r="F694" t="str">
        <f t="shared" si="71"/>
        <v>Carassius auratus</v>
      </c>
      <c r="G694" t="str">
        <f t="shared" si="72"/>
        <v>Goldfish</v>
      </c>
      <c r="H694" t="str">
        <f t="shared" si="73"/>
        <v>Morihana</v>
      </c>
      <c r="I694" t="str">
        <f t="shared" si="74"/>
        <v>Nonnative</v>
      </c>
      <c r="J694" t="str">
        <f t="shared" si="75"/>
        <v>No</v>
      </c>
      <c r="L694">
        <v>65</v>
      </c>
      <c r="M694">
        <v>6</v>
      </c>
      <c r="N694">
        <v>1</v>
      </c>
      <c r="S694" t="str">
        <f t="shared" si="76"/>
        <v/>
      </c>
    </row>
    <row r="695" spans="1:19" x14ac:dyDescent="0.55000000000000004">
      <c r="A695">
        <v>86</v>
      </c>
      <c r="B695" s="2">
        <v>45637.5</v>
      </c>
      <c r="C695" t="s">
        <v>215</v>
      </c>
      <c r="D695">
        <v>2</v>
      </c>
      <c r="E695" t="s">
        <v>123</v>
      </c>
      <c r="F695" t="str">
        <f t="shared" si="71"/>
        <v>Carassius auratus</v>
      </c>
      <c r="G695" t="str">
        <f t="shared" si="72"/>
        <v>Goldfish</v>
      </c>
      <c r="H695" t="str">
        <f t="shared" si="73"/>
        <v>Morihana</v>
      </c>
      <c r="I695" t="str">
        <f t="shared" si="74"/>
        <v>Nonnative</v>
      </c>
      <c r="J695" t="str">
        <f t="shared" si="75"/>
        <v>No</v>
      </c>
      <c r="L695">
        <v>59</v>
      </c>
      <c r="M695">
        <v>5</v>
      </c>
      <c r="N695">
        <v>1</v>
      </c>
      <c r="S695" t="str">
        <f t="shared" si="76"/>
        <v/>
      </c>
    </row>
    <row r="696" spans="1:19" x14ac:dyDescent="0.55000000000000004">
      <c r="A696">
        <v>86</v>
      </c>
      <c r="B696" s="2">
        <v>45637.5</v>
      </c>
      <c r="C696" t="s">
        <v>215</v>
      </c>
      <c r="D696">
        <v>2</v>
      </c>
      <c r="E696" t="s">
        <v>123</v>
      </c>
      <c r="F696" t="str">
        <f t="shared" si="71"/>
        <v>Carassius auratus</v>
      </c>
      <c r="G696" t="str">
        <f t="shared" si="72"/>
        <v>Goldfish</v>
      </c>
      <c r="H696" t="str">
        <f t="shared" si="73"/>
        <v>Morihana</v>
      </c>
      <c r="I696" t="str">
        <f t="shared" si="74"/>
        <v>Nonnative</v>
      </c>
      <c r="J696" t="str">
        <f t="shared" si="75"/>
        <v>No</v>
      </c>
      <c r="L696">
        <v>60</v>
      </c>
      <c r="M696">
        <v>4</v>
      </c>
      <c r="N696">
        <v>1</v>
      </c>
      <c r="S696" t="str">
        <f t="shared" si="76"/>
        <v/>
      </c>
    </row>
    <row r="697" spans="1:19" x14ac:dyDescent="0.55000000000000004">
      <c r="A697">
        <v>86</v>
      </c>
      <c r="B697" s="2">
        <v>45637.5</v>
      </c>
      <c r="C697" t="s">
        <v>215</v>
      </c>
      <c r="D697">
        <v>2</v>
      </c>
      <c r="E697" t="s">
        <v>123</v>
      </c>
      <c r="F697" t="str">
        <f t="shared" si="71"/>
        <v>Carassius auratus</v>
      </c>
      <c r="G697" t="str">
        <f t="shared" si="72"/>
        <v>Goldfish</v>
      </c>
      <c r="H697" t="str">
        <f t="shared" si="73"/>
        <v>Morihana</v>
      </c>
      <c r="I697" t="str">
        <f t="shared" si="74"/>
        <v>Nonnative</v>
      </c>
      <c r="J697" t="str">
        <f t="shared" si="75"/>
        <v>No</v>
      </c>
      <c r="L697">
        <v>65</v>
      </c>
      <c r="M697">
        <v>6</v>
      </c>
      <c r="N697">
        <v>1</v>
      </c>
      <c r="S697" t="str">
        <f t="shared" si="76"/>
        <v/>
      </c>
    </row>
    <row r="698" spans="1:19" x14ac:dyDescent="0.55000000000000004">
      <c r="A698">
        <v>86</v>
      </c>
      <c r="B698" s="2">
        <v>45637.5</v>
      </c>
      <c r="C698" t="s">
        <v>215</v>
      </c>
      <c r="D698">
        <v>2</v>
      </c>
      <c r="E698" t="s">
        <v>123</v>
      </c>
      <c r="F698" t="str">
        <f t="shared" si="71"/>
        <v>Carassius auratus</v>
      </c>
      <c r="G698" t="str">
        <f t="shared" si="72"/>
        <v>Goldfish</v>
      </c>
      <c r="H698" t="str">
        <f t="shared" si="73"/>
        <v>Morihana</v>
      </c>
      <c r="I698" t="str">
        <f t="shared" si="74"/>
        <v>Nonnative</v>
      </c>
      <c r="J698" t="str">
        <f t="shared" si="75"/>
        <v>No</v>
      </c>
      <c r="L698">
        <v>44</v>
      </c>
      <c r="M698">
        <v>1</v>
      </c>
      <c r="N698">
        <v>1</v>
      </c>
      <c r="S698" t="str">
        <f t="shared" si="76"/>
        <v/>
      </c>
    </row>
    <row r="699" spans="1:19" x14ac:dyDescent="0.55000000000000004">
      <c r="A699">
        <v>86</v>
      </c>
      <c r="B699" s="2">
        <v>45637.5</v>
      </c>
      <c r="C699" t="s">
        <v>215</v>
      </c>
      <c r="D699">
        <v>2</v>
      </c>
      <c r="E699" t="s">
        <v>123</v>
      </c>
      <c r="F699" t="str">
        <f t="shared" si="71"/>
        <v>Carassius auratus</v>
      </c>
      <c r="G699" t="str">
        <f t="shared" si="72"/>
        <v>Goldfish</v>
      </c>
      <c r="H699" t="str">
        <f t="shared" si="73"/>
        <v>Morihana</v>
      </c>
      <c r="I699" t="str">
        <f t="shared" si="74"/>
        <v>Nonnative</v>
      </c>
      <c r="J699" t="str">
        <f t="shared" si="75"/>
        <v>No</v>
      </c>
      <c r="L699">
        <v>55</v>
      </c>
      <c r="M699">
        <v>4</v>
      </c>
      <c r="N699">
        <v>1</v>
      </c>
      <c r="S699" t="str">
        <f t="shared" si="76"/>
        <v/>
      </c>
    </row>
    <row r="700" spans="1:19" x14ac:dyDescent="0.55000000000000004">
      <c r="A700">
        <v>86</v>
      </c>
      <c r="B700" s="2">
        <v>45637.5</v>
      </c>
      <c r="C700" t="s">
        <v>215</v>
      </c>
      <c r="D700">
        <v>2</v>
      </c>
      <c r="E700" t="s">
        <v>123</v>
      </c>
      <c r="F700" t="str">
        <f t="shared" si="71"/>
        <v>Carassius auratus</v>
      </c>
      <c r="G700" t="str">
        <f t="shared" si="72"/>
        <v>Goldfish</v>
      </c>
      <c r="H700" t="str">
        <f t="shared" si="73"/>
        <v>Morihana</v>
      </c>
      <c r="I700" t="str">
        <f t="shared" si="74"/>
        <v>Nonnative</v>
      </c>
      <c r="J700" t="str">
        <f t="shared" si="75"/>
        <v>No</v>
      </c>
      <c r="L700">
        <v>50</v>
      </c>
      <c r="M700">
        <v>1</v>
      </c>
      <c r="N700">
        <v>1</v>
      </c>
      <c r="S700" t="str">
        <f t="shared" si="76"/>
        <v/>
      </c>
    </row>
    <row r="701" spans="1:19" x14ac:dyDescent="0.55000000000000004">
      <c r="A701">
        <v>86</v>
      </c>
      <c r="B701" s="2">
        <v>45637.5</v>
      </c>
      <c r="C701" t="s">
        <v>215</v>
      </c>
      <c r="D701">
        <v>2</v>
      </c>
      <c r="E701" t="s">
        <v>123</v>
      </c>
      <c r="F701" t="str">
        <f t="shared" si="71"/>
        <v>Carassius auratus</v>
      </c>
      <c r="G701" t="str">
        <f t="shared" si="72"/>
        <v>Goldfish</v>
      </c>
      <c r="H701" t="str">
        <f t="shared" si="73"/>
        <v>Morihana</v>
      </c>
      <c r="I701" t="str">
        <f t="shared" si="74"/>
        <v>Nonnative</v>
      </c>
      <c r="J701" t="str">
        <f t="shared" si="75"/>
        <v>No</v>
      </c>
      <c r="L701">
        <v>52</v>
      </c>
      <c r="M701">
        <v>1</v>
      </c>
      <c r="N701">
        <v>1</v>
      </c>
      <c r="S701" t="str">
        <f t="shared" si="76"/>
        <v/>
      </c>
    </row>
    <row r="702" spans="1:19" x14ac:dyDescent="0.55000000000000004">
      <c r="A702">
        <v>86</v>
      </c>
      <c r="B702" s="2">
        <v>45637.5</v>
      </c>
      <c r="C702" t="s">
        <v>215</v>
      </c>
      <c r="D702">
        <v>2</v>
      </c>
      <c r="E702" t="s">
        <v>247</v>
      </c>
      <c r="F702" t="str">
        <f t="shared" si="71"/>
        <v>Retropinna retropinna</v>
      </c>
      <c r="G702" t="str">
        <f t="shared" si="72"/>
        <v>Common_smelt</v>
      </c>
      <c r="H702" t="str">
        <f t="shared" si="73"/>
        <v>Common_smelt</v>
      </c>
      <c r="I702" t="str">
        <f t="shared" si="74"/>
        <v>Native</v>
      </c>
      <c r="J702" t="str">
        <f t="shared" si="75"/>
        <v>No</v>
      </c>
      <c r="M702">
        <v>13</v>
      </c>
      <c r="N702">
        <v>10</v>
      </c>
      <c r="S702" t="str">
        <f t="shared" si="76"/>
        <v/>
      </c>
    </row>
    <row r="703" spans="1:19" x14ac:dyDescent="0.55000000000000004">
      <c r="A703">
        <v>86</v>
      </c>
      <c r="B703" s="2">
        <v>45637.5</v>
      </c>
      <c r="C703" t="s">
        <v>215</v>
      </c>
      <c r="D703">
        <v>2</v>
      </c>
      <c r="E703" t="s">
        <v>44</v>
      </c>
      <c r="F703" t="str">
        <f t="shared" si="71"/>
        <v>Gobiomorphus cotidianus</v>
      </c>
      <c r="G703" t="str">
        <f t="shared" si="72"/>
        <v>Common_bully</v>
      </c>
      <c r="H703" t="str">
        <f t="shared" si="73"/>
        <v>Toitoi</v>
      </c>
      <c r="I703" t="str">
        <f t="shared" si="74"/>
        <v>Native</v>
      </c>
      <c r="J703" t="str">
        <f t="shared" si="75"/>
        <v>No</v>
      </c>
      <c r="M703">
        <v>325</v>
      </c>
      <c r="R703">
        <v>1.75</v>
      </c>
      <c r="S703">
        <f t="shared" si="76"/>
        <v>414.029</v>
      </c>
    </row>
    <row r="704" spans="1:19" x14ac:dyDescent="0.55000000000000004">
      <c r="A704">
        <v>87</v>
      </c>
      <c r="B704" s="2">
        <v>45637.625</v>
      </c>
      <c r="C704" t="s">
        <v>216</v>
      </c>
      <c r="D704">
        <v>2</v>
      </c>
      <c r="E704" t="s">
        <v>44</v>
      </c>
      <c r="F704" t="str">
        <f t="shared" si="71"/>
        <v>Gobiomorphus cotidianus</v>
      </c>
      <c r="G704" t="str">
        <f t="shared" si="72"/>
        <v>Common_bully</v>
      </c>
      <c r="H704" t="str">
        <f t="shared" si="73"/>
        <v>Toitoi</v>
      </c>
      <c r="I704" t="str">
        <f t="shared" si="74"/>
        <v>Native</v>
      </c>
      <c r="J704" t="str">
        <f t="shared" si="75"/>
        <v>No</v>
      </c>
      <c r="N704">
        <v>8</v>
      </c>
      <c r="S704" t="str">
        <f t="shared" si="76"/>
        <v/>
      </c>
    </row>
    <row r="705" spans="1:20" x14ac:dyDescent="0.55000000000000004">
      <c r="A705">
        <v>87</v>
      </c>
      <c r="B705" s="2">
        <v>45637.625</v>
      </c>
      <c r="C705" t="s">
        <v>215</v>
      </c>
      <c r="D705">
        <v>2</v>
      </c>
      <c r="E705" t="s">
        <v>49</v>
      </c>
      <c r="F705" t="str">
        <f t="shared" si="71"/>
        <v>Paranephrops planifrons</v>
      </c>
      <c r="G705" t="str">
        <f t="shared" si="72"/>
        <v>Freshwater_crayfish</v>
      </c>
      <c r="H705" t="str">
        <f t="shared" si="73"/>
        <v>Kōura</v>
      </c>
      <c r="I705" t="str">
        <f t="shared" si="74"/>
        <v>Native</v>
      </c>
      <c r="J705" t="str">
        <f t="shared" si="75"/>
        <v>Yes</v>
      </c>
      <c r="K705" t="s">
        <v>48</v>
      </c>
      <c r="L705">
        <v>35.42</v>
      </c>
      <c r="M705">
        <v>31</v>
      </c>
      <c r="N705">
        <v>1</v>
      </c>
      <c r="O705">
        <v>1</v>
      </c>
      <c r="S705" t="str">
        <f t="shared" si="76"/>
        <v/>
      </c>
      <c r="T705" t="s">
        <v>279</v>
      </c>
    </row>
    <row r="706" spans="1:20" x14ac:dyDescent="0.55000000000000004">
      <c r="A706">
        <v>87</v>
      </c>
      <c r="B706" s="2">
        <v>45637.625</v>
      </c>
      <c r="C706" t="s">
        <v>215</v>
      </c>
      <c r="D706">
        <v>2</v>
      </c>
      <c r="E706" t="s">
        <v>123</v>
      </c>
      <c r="F706" t="str">
        <f t="shared" ref="F706:F769" si="77">VLOOKUP($E706, $V$1:$AA$9, 2, FALSE)</f>
        <v>Carassius auratus</v>
      </c>
      <c r="G706" t="str">
        <f t="shared" ref="G706:G769" si="78">VLOOKUP($E706, $V$1:$AA$9, 3, FALSE)</f>
        <v>Goldfish</v>
      </c>
      <c r="H706" t="str">
        <f t="shared" ref="H706:H769" si="79">VLOOKUP($E706, $V$1:$AA$9, 4, FALSE)</f>
        <v>Morihana</v>
      </c>
      <c r="I706" t="str">
        <f t="shared" ref="I706:I769" si="80">VLOOKUP($E706, $V$1:$AB$9, 5, FALSE)</f>
        <v>Nonnative</v>
      </c>
      <c r="J706" t="str">
        <f t="shared" ref="J706:J769" si="81">VLOOKUP($E706, $V$1:$AA$9, 6, FALSE)</f>
        <v>No</v>
      </c>
      <c r="L706">
        <v>205</v>
      </c>
      <c r="M706">
        <v>245</v>
      </c>
      <c r="N706">
        <v>1</v>
      </c>
      <c r="S706" t="str">
        <f t="shared" si="76"/>
        <v/>
      </c>
    </row>
    <row r="707" spans="1:20" x14ac:dyDescent="0.55000000000000004">
      <c r="A707">
        <v>87</v>
      </c>
      <c r="B707" s="2">
        <v>45637.625</v>
      </c>
      <c r="C707" t="s">
        <v>215</v>
      </c>
      <c r="D707">
        <v>2</v>
      </c>
      <c r="E707" t="s">
        <v>123</v>
      </c>
      <c r="F707" t="str">
        <f t="shared" si="77"/>
        <v>Carassius auratus</v>
      </c>
      <c r="G707" t="str">
        <f t="shared" si="78"/>
        <v>Goldfish</v>
      </c>
      <c r="H707" t="str">
        <f t="shared" si="79"/>
        <v>Morihana</v>
      </c>
      <c r="I707" t="str">
        <f t="shared" si="80"/>
        <v>Nonnative</v>
      </c>
      <c r="J707" t="str">
        <f t="shared" si="81"/>
        <v>No</v>
      </c>
      <c r="L707">
        <v>205</v>
      </c>
      <c r="M707">
        <v>240</v>
      </c>
      <c r="N707">
        <v>1</v>
      </c>
      <c r="S707" t="str">
        <f t="shared" ref="S707:S770" si="82">IF(R707&lt;&gt;"", R707*236.588, "")</f>
        <v/>
      </c>
    </row>
    <row r="708" spans="1:20" x14ac:dyDescent="0.55000000000000004">
      <c r="A708">
        <v>87</v>
      </c>
      <c r="B708" s="2">
        <v>45637.625</v>
      </c>
      <c r="C708" t="s">
        <v>215</v>
      </c>
      <c r="D708">
        <v>2</v>
      </c>
      <c r="E708" t="s">
        <v>123</v>
      </c>
      <c r="F708" t="str">
        <f t="shared" si="77"/>
        <v>Carassius auratus</v>
      </c>
      <c r="G708" t="str">
        <f t="shared" si="78"/>
        <v>Goldfish</v>
      </c>
      <c r="H708" t="str">
        <f t="shared" si="79"/>
        <v>Morihana</v>
      </c>
      <c r="I708" t="str">
        <f t="shared" si="80"/>
        <v>Nonnative</v>
      </c>
      <c r="J708" t="str">
        <f t="shared" si="81"/>
        <v>No</v>
      </c>
      <c r="L708">
        <v>160</v>
      </c>
      <c r="M708">
        <v>99</v>
      </c>
      <c r="N708">
        <v>1</v>
      </c>
      <c r="S708" t="str">
        <f t="shared" si="82"/>
        <v/>
      </c>
    </row>
    <row r="709" spans="1:20" x14ac:dyDescent="0.55000000000000004">
      <c r="A709">
        <v>87</v>
      </c>
      <c r="B709" s="2">
        <v>45637.625</v>
      </c>
      <c r="C709" t="s">
        <v>215</v>
      </c>
      <c r="D709">
        <v>2</v>
      </c>
      <c r="E709" t="s">
        <v>123</v>
      </c>
      <c r="F709" t="str">
        <f t="shared" si="77"/>
        <v>Carassius auratus</v>
      </c>
      <c r="G709" t="str">
        <f t="shared" si="78"/>
        <v>Goldfish</v>
      </c>
      <c r="H709" t="str">
        <f t="shared" si="79"/>
        <v>Morihana</v>
      </c>
      <c r="I709" t="str">
        <f t="shared" si="80"/>
        <v>Nonnative</v>
      </c>
      <c r="J709" t="str">
        <f t="shared" si="81"/>
        <v>No</v>
      </c>
      <c r="L709">
        <v>77</v>
      </c>
      <c r="M709">
        <v>11</v>
      </c>
      <c r="N709">
        <v>1</v>
      </c>
      <c r="S709" t="str">
        <f t="shared" si="82"/>
        <v/>
      </c>
    </row>
    <row r="710" spans="1:20" x14ac:dyDescent="0.55000000000000004">
      <c r="A710">
        <v>87</v>
      </c>
      <c r="B710" s="2">
        <v>45637.625</v>
      </c>
      <c r="C710" t="s">
        <v>215</v>
      </c>
      <c r="D710">
        <v>2</v>
      </c>
      <c r="E710" t="s">
        <v>123</v>
      </c>
      <c r="F710" t="str">
        <f t="shared" si="77"/>
        <v>Carassius auratus</v>
      </c>
      <c r="G710" t="str">
        <f t="shared" si="78"/>
        <v>Goldfish</v>
      </c>
      <c r="H710" t="str">
        <f t="shared" si="79"/>
        <v>Morihana</v>
      </c>
      <c r="I710" t="str">
        <f t="shared" si="80"/>
        <v>Nonnative</v>
      </c>
      <c r="J710" t="str">
        <f t="shared" si="81"/>
        <v>No</v>
      </c>
      <c r="L710">
        <v>120</v>
      </c>
      <c r="M710">
        <v>42</v>
      </c>
      <c r="N710">
        <v>1</v>
      </c>
      <c r="S710" t="str">
        <f t="shared" si="82"/>
        <v/>
      </c>
    </row>
    <row r="711" spans="1:20" x14ac:dyDescent="0.55000000000000004">
      <c r="A711">
        <v>87</v>
      </c>
      <c r="B711" s="2">
        <v>45637.625</v>
      </c>
      <c r="C711" t="s">
        <v>215</v>
      </c>
      <c r="D711">
        <v>2</v>
      </c>
      <c r="E711" t="s">
        <v>123</v>
      </c>
      <c r="F711" t="str">
        <f t="shared" si="77"/>
        <v>Carassius auratus</v>
      </c>
      <c r="G711" t="str">
        <f t="shared" si="78"/>
        <v>Goldfish</v>
      </c>
      <c r="H711" t="str">
        <f t="shared" si="79"/>
        <v>Morihana</v>
      </c>
      <c r="I711" t="str">
        <f t="shared" si="80"/>
        <v>Nonnative</v>
      </c>
      <c r="J711" t="str">
        <f t="shared" si="81"/>
        <v>No</v>
      </c>
      <c r="L711">
        <v>155</v>
      </c>
      <c r="M711">
        <v>96</v>
      </c>
      <c r="N711">
        <v>1</v>
      </c>
      <c r="S711" t="str">
        <f t="shared" si="82"/>
        <v/>
      </c>
    </row>
    <row r="712" spans="1:20" x14ac:dyDescent="0.55000000000000004">
      <c r="A712">
        <v>87</v>
      </c>
      <c r="B712" s="2">
        <v>45637.625</v>
      </c>
      <c r="C712" t="s">
        <v>215</v>
      </c>
      <c r="D712">
        <v>2</v>
      </c>
      <c r="E712" t="s">
        <v>123</v>
      </c>
      <c r="F712" t="str">
        <f t="shared" si="77"/>
        <v>Carassius auratus</v>
      </c>
      <c r="G712" t="str">
        <f t="shared" si="78"/>
        <v>Goldfish</v>
      </c>
      <c r="H712" t="str">
        <f t="shared" si="79"/>
        <v>Morihana</v>
      </c>
      <c r="I712" t="str">
        <f t="shared" si="80"/>
        <v>Nonnative</v>
      </c>
      <c r="J712" t="str">
        <f t="shared" si="81"/>
        <v>No</v>
      </c>
      <c r="L712">
        <v>130</v>
      </c>
      <c r="M712">
        <v>54</v>
      </c>
      <c r="N712">
        <v>1</v>
      </c>
      <c r="S712" t="str">
        <f t="shared" si="82"/>
        <v/>
      </c>
    </row>
    <row r="713" spans="1:20" x14ac:dyDescent="0.55000000000000004">
      <c r="A713">
        <v>87</v>
      </c>
      <c r="B713" s="2">
        <v>45637.625</v>
      </c>
      <c r="C713" t="s">
        <v>215</v>
      </c>
      <c r="D713">
        <v>2</v>
      </c>
      <c r="E713" t="s">
        <v>123</v>
      </c>
      <c r="F713" t="str">
        <f t="shared" si="77"/>
        <v>Carassius auratus</v>
      </c>
      <c r="G713" t="str">
        <f t="shared" si="78"/>
        <v>Goldfish</v>
      </c>
      <c r="H713" t="str">
        <f t="shared" si="79"/>
        <v>Morihana</v>
      </c>
      <c r="I713" t="str">
        <f t="shared" si="80"/>
        <v>Nonnative</v>
      </c>
      <c r="J713" t="str">
        <f t="shared" si="81"/>
        <v>No</v>
      </c>
      <c r="L713">
        <v>59</v>
      </c>
      <c r="M713">
        <v>3</v>
      </c>
      <c r="N713">
        <v>1</v>
      </c>
      <c r="S713" t="str">
        <f t="shared" si="82"/>
        <v/>
      </c>
    </row>
    <row r="714" spans="1:20" x14ac:dyDescent="0.55000000000000004">
      <c r="A714">
        <v>87</v>
      </c>
      <c r="B714" s="2">
        <v>45637.625</v>
      </c>
      <c r="C714" t="s">
        <v>215</v>
      </c>
      <c r="D714">
        <v>2</v>
      </c>
      <c r="E714" t="s">
        <v>123</v>
      </c>
      <c r="F714" t="str">
        <f t="shared" si="77"/>
        <v>Carassius auratus</v>
      </c>
      <c r="G714" t="str">
        <f t="shared" si="78"/>
        <v>Goldfish</v>
      </c>
      <c r="H714" t="str">
        <f t="shared" si="79"/>
        <v>Morihana</v>
      </c>
      <c r="I714" t="str">
        <f t="shared" si="80"/>
        <v>Nonnative</v>
      </c>
      <c r="J714" t="str">
        <f t="shared" si="81"/>
        <v>No</v>
      </c>
      <c r="L714">
        <v>81</v>
      </c>
      <c r="M714">
        <v>12</v>
      </c>
      <c r="N714">
        <v>1</v>
      </c>
      <c r="S714" t="str">
        <f t="shared" si="82"/>
        <v/>
      </c>
    </row>
    <row r="715" spans="1:20" x14ac:dyDescent="0.55000000000000004">
      <c r="A715">
        <v>87</v>
      </c>
      <c r="B715" s="2">
        <v>45637.625</v>
      </c>
      <c r="C715" t="s">
        <v>215</v>
      </c>
      <c r="D715">
        <v>2</v>
      </c>
      <c r="E715" t="s">
        <v>123</v>
      </c>
      <c r="F715" t="str">
        <f t="shared" si="77"/>
        <v>Carassius auratus</v>
      </c>
      <c r="G715" t="str">
        <f t="shared" si="78"/>
        <v>Goldfish</v>
      </c>
      <c r="H715" t="str">
        <f t="shared" si="79"/>
        <v>Morihana</v>
      </c>
      <c r="I715" t="str">
        <f t="shared" si="80"/>
        <v>Nonnative</v>
      </c>
      <c r="J715" t="str">
        <f t="shared" si="81"/>
        <v>No</v>
      </c>
      <c r="L715">
        <v>55</v>
      </c>
      <c r="M715">
        <v>4</v>
      </c>
      <c r="N715">
        <v>1</v>
      </c>
      <c r="S715" t="str">
        <f t="shared" si="82"/>
        <v/>
      </c>
    </row>
    <row r="716" spans="1:20" x14ac:dyDescent="0.55000000000000004">
      <c r="A716">
        <v>87</v>
      </c>
      <c r="B716" s="2">
        <v>45637.625</v>
      </c>
      <c r="C716" t="s">
        <v>215</v>
      </c>
      <c r="D716">
        <v>2</v>
      </c>
      <c r="E716" t="s">
        <v>123</v>
      </c>
      <c r="F716" t="str">
        <f t="shared" si="77"/>
        <v>Carassius auratus</v>
      </c>
      <c r="G716" t="str">
        <f t="shared" si="78"/>
        <v>Goldfish</v>
      </c>
      <c r="H716" t="str">
        <f t="shared" si="79"/>
        <v>Morihana</v>
      </c>
      <c r="I716" t="str">
        <f t="shared" si="80"/>
        <v>Nonnative</v>
      </c>
      <c r="J716" t="str">
        <f t="shared" si="81"/>
        <v>No</v>
      </c>
      <c r="L716">
        <v>80</v>
      </c>
      <c r="M716">
        <v>13</v>
      </c>
      <c r="N716">
        <v>1</v>
      </c>
      <c r="S716" t="str">
        <f t="shared" si="82"/>
        <v/>
      </c>
    </row>
    <row r="717" spans="1:20" x14ac:dyDescent="0.55000000000000004">
      <c r="A717">
        <v>87</v>
      </c>
      <c r="B717" s="2">
        <v>45637.625</v>
      </c>
      <c r="C717" t="s">
        <v>215</v>
      </c>
      <c r="D717">
        <v>2</v>
      </c>
      <c r="E717" t="s">
        <v>123</v>
      </c>
      <c r="F717" t="str">
        <f t="shared" si="77"/>
        <v>Carassius auratus</v>
      </c>
      <c r="G717" t="str">
        <f t="shared" si="78"/>
        <v>Goldfish</v>
      </c>
      <c r="H717" t="str">
        <f t="shared" si="79"/>
        <v>Morihana</v>
      </c>
      <c r="I717" t="str">
        <f t="shared" si="80"/>
        <v>Nonnative</v>
      </c>
      <c r="J717" t="str">
        <f t="shared" si="81"/>
        <v>No</v>
      </c>
      <c r="L717">
        <v>60</v>
      </c>
      <c r="M717">
        <v>3</v>
      </c>
      <c r="N717">
        <v>1</v>
      </c>
      <c r="S717" t="str">
        <f t="shared" si="82"/>
        <v/>
      </c>
    </row>
    <row r="718" spans="1:20" x14ac:dyDescent="0.55000000000000004">
      <c r="A718">
        <v>87</v>
      </c>
      <c r="B718" s="2">
        <v>45637.625</v>
      </c>
      <c r="C718" t="s">
        <v>215</v>
      </c>
      <c r="D718">
        <v>2</v>
      </c>
      <c r="E718" t="s">
        <v>123</v>
      </c>
      <c r="F718" t="str">
        <f t="shared" si="77"/>
        <v>Carassius auratus</v>
      </c>
      <c r="G718" t="str">
        <f t="shared" si="78"/>
        <v>Goldfish</v>
      </c>
      <c r="H718" t="str">
        <f t="shared" si="79"/>
        <v>Morihana</v>
      </c>
      <c r="I718" t="str">
        <f t="shared" si="80"/>
        <v>Nonnative</v>
      </c>
      <c r="J718" t="str">
        <f t="shared" si="81"/>
        <v>No</v>
      </c>
      <c r="L718">
        <v>64</v>
      </c>
      <c r="M718">
        <v>4</v>
      </c>
      <c r="N718">
        <v>1</v>
      </c>
      <c r="S718" t="str">
        <f t="shared" si="82"/>
        <v/>
      </c>
    </row>
    <row r="719" spans="1:20" x14ac:dyDescent="0.55000000000000004">
      <c r="A719">
        <v>87</v>
      </c>
      <c r="B719" s="2">
        <v>45637.625</v>
      </c>
      <c r="C719" t="s">
        <v>215</v>
      </c>
      <c r="D719">
        <v>2</v>
      </c>
      <c r="E719" t="s">
        <v>123</v>
      </c>
      <c r="F719" t="str">
        <f t="shared" si="77"/>
        <v>Carassius auratus</v>
      </c>
      <c r="G719" t="str">
        <f t="shared" si="78"/>
        <v>Goldfish</v>
      </c>
      <c r="H719" t="str">
        <f t="shared" si="79"/>
        <v>Morihana</v>
      </c>
      <c r="I719" t="str">
        <f t="shared" si="80"/>
        <v>Nonnative</v>
      </c>
      <c r="J719" t="str">
        <f t="shared" si="81"/>
        <v>No</v>
      </c>
      <c r="L719">
        <v>57</v>
      </c>
      <c r="M719">
        <v>3</v>
      </c>
      <c r="N719">
        <v>1</v>
      </c>
      <c r="S719" t="str">
        <f t="shared" si="82"/>
        <v/>
      </c>
    </row>
    <row r="720" spans="1:20" x14ac:dyDescent="0.55000000000000004">
      <c r="A720">
        <v>87</v>
      </c>
      <c r="B720" s="2">
        <v>45637.625</v>
      </c>
      <c r="C720" t="s">
        <v>215</v>
      </c>
      <c r="D720">
        <v>2</v>
      </c>
      <c r="E720" t="s">
        <v>247</v>
      </c>
      <c r="F720" t="str">
        <f t="shared" si="77"/>
        <v>Retropinna retropinna</v>
      </c>
      <c r="G720" t="str">
        <f t="shared" si="78"/>
        <v>Common_smelt</v>
      </c>
      <c r="H720" t="str">
        <f t="shared" si="79"/>
        <v>Common_smelt</v>
      </c>
      <c r="I720" t="str">
        <f t="shared" si="80"/>
        <v>Native</v>
      </c>
      <c r="J720" t="str">
        <f t="shared" si="81"/>
        <v>No</v>
      </c>
      <c r="N720">
        <v>3</v>
      </c>
      <c r="S720" t="str">
        <f t="shared" si="82"/>
        <v/>
      </c>
    </row>
    <row r="721" spans="1:20" x14ac:dyDescent="0.55000000000000004">
      <c r="A721">
        <v>87</v>
      </c>
      <c r="B721" s="2">
        <v>45637.625</v>
      </c>
      <c r="C721" t="s">
        <v>215</v>
      </c>
      <c r="D721">
        <v>2</v>
      </c>
      <c r="E721" t="s">
        <v>44</v>
      </c>
      <c r="F721" t="str">
        <f t="shared" si="77"/>
        <v>Gobiomorphus cotidianus</v>
      </c>
      <c r="G721" t="str">
        <f t="shared" si="78"/>
        <v>Common_bully</v>
      </c>
      <c r="H721" t="str">
        <f t="shared" si="79"/>
        <v>Toitoi</v>
      </c>
      <c r="I721" t="str">
        <f t="shared" si="80"/>
        <v>Native</v>
      </c>
      <c r="J721" t="str">
        <f t="shared" si="81"/>
        <v>No</v>
      </c>
      <c r="M721">
        <v>527</v>
      </c>
      <c r="R721">
        <v>2.5</v>
      </c>
      <c r="S721">
        <f t="shared" si="82"/>
        <v>591.47</v>
      </c>
      <c r="T721" t="s">
        <v>283</v>
      </c>
    </row>
    <row r="722" spans="1:20" x14ac:dyDescent="0.55000000000000004">
      <c r="A722">
        <v>87</v>
      </c>
      <c r="B722" s="2">
        <v>45637.625</v>
      </c>
      <c r="C722" t="s">
        <v>215</v>
      </c>
      <c r="D722">
        <v>2</v>
      </c>
      <c r="E722" t="s">
        <v>44</v>
      </c>
      <c r="F722" t="str">
        <f t="shared" si="77"/>
        <v>Gobiomorphus cotidianus</v>
      </c>
      <c r="G722" t="str">
        <f t="shared" si="78"/>
        <v>Common_bully</v>
      </c>
      <c r="H722" t="str">
        <f t="shared" si="79"/>
        <v>Toitoi</v>
      </c>
      <c r="I722" t="str">
        <f t="shared" si="80"/>
        <v>Native</v>
      </c>
      <c r="J722" t="str">
        <f t="shared" si="81"/>
        <v>No</v>
      </c>
      <c r="M722">
        <v>407</v>
      </c>
      <c r="R722">
        <v>2</v>
      </c>
      <c r="S722">
        <f t="shared" si="82"/>
        <v>473.17599999999999</v>
      </c>
      <c r="T722" t="s">
        <v>283</v>
      </c>
    </row>
    <row r="723" spans="1:20" x14ac:dyDescent="0.55000000000000004">
      <c r="A723">
        <v>87</v>
      </c>
      <c r="B723" s="2">
        <v>45637.625</v>
      </c>
      <c r="C723" t="s">
        <v>215</v>
      </c>
      <c r="D723">
        <v>2</v>
      </c>
      <c r="E723" t="s">
        <v>44</v>
      </c>
      <c r="F723" t="str">
        <f t="shared" si="77"/>
        <v>Gobiomorphus cotidianus</v>
      </c>
      <c r="G723" t="str">
        <f t="shared" si="78"/>
        <v>Common_bully</v>
      </c>
      <c r="H723" t="str">
        <f t="shared" si="79"/>
        <v>Toitoi</v>
      </c>
      <c r="I723" t="str">
        <f t="shared" si="80"/>
        <v>Native</v>
      </c>
      <c r="J723" t="str">
        <f t="shared" si="81"/>
        <v>No</v>
      </c>
      <c r="M723">
        <v>325</v>
      </c>
      <c r="R723">
        <v>1.75</v>
      </c>
      <c r="S723">
        <f t="shared" si="82"/>
        <v>414.029</v>
      </c>
      <c r="T723" t="s">
        <v>283</v>
      </c>
    </row>
    <row r="724" spans="1:20" x14ac:dyDescent="0.55000000000000004">
      <c r="A724">
        <v>87</v>
      </c>
      <c r="B724" s="2">
        <v>45637.625</v>
      </c>
      <c r="C724" t="s">
        <v>215</v>
      </c>
      <c r="D724">
        <v>2</v>
      </c>
      <c r="E724" t="s">
        <v>123</v>
      </c>
      <c r="F724" t="str">
        <f t="shared" si="77"/>
        <v>Carassius auratus</v>
      </c>
      <c r="G724" t="str">
        <f t="shared" si="78"/>
        <v>Goldfish</v>
      </c>
      <c r="H724" t="str">
        <f t="shared" si="79"/>
        <v>Morihana</v>
      </c>
      <c r="I724" t="str">
        <f t="shared" si="80"/>
        <v>Nonnative</v>
      </c>
      <c r="J724" t="str">
        <f t="shared" si="81"/>
        <v>No</v>
      </c>
      <c r="L724">
        <v>206</v>
      </c>
      <c r="M724">
        <v>239</v>
      </c>
      <c r="N724">
        <v>1</v>
      </c>
      <c r="S724" t="str">
        <f t="shared" si="82"/>
        <v/>
      </c>
    </row>
    <row r="725" spans="1:20" x14ac:dyDescent="0.55000000000000004">
      <c r="A725">
        <v>87</v>
      </c>
      <c r="B725" s="2">
        <v>45637.625</v>
      </c>
      <c r="C725" t="s">
        <v>215</v>
      </c>
      <c r="D725">
        <v>2</v>
      </c>
      <c r="E725" t="s">
        <v>123</v>
      </c>
      <c r="F725" t="str">
        <f t="shared" si="77"/>
        <v>Carassius auratus</v>
      </c>
      <c r="G725" t="str">
        <f t="shared" si="78"/>
        <v>Goldfish</v>
      </c>
      <c r="H725" t="str">
        <f t="shared" si="79"/>
        <v>Morihana</v>
      </c>
      <c r="I725" t="str">
        <f t="shared" si="80"/>
        <v>Nonnative</v>
      </c>
      <c r="J725" t="str">
        <f t="shared" si="81"/>
        <v>No</v>
      </c>
      <c r="L725">
        <v>170</v>
      </c>
      <c r="M725">
        <v>142</v>
      </c>
      <c r="N725">
        <v>1</v>
      </c>
      <c r="S725" t="str">
        <f t="shared" si="82"/>
        <v/>
      </c>
    </row>
    <row r="726" spans="1:20" x14ac:dyDescent="0.55000000000000004">
      <c r="A726">
        <v>87</v>
      </c>
      <c r="B726" s="2">
        <v>45637.625</v>
      </c>
      <c r="C726" t="s">
        <v>215</v>
      </c>
      <c r="D726">
        <v>2</v>
      </c>
      <c r="E726" t="s">
        <v>123</v>
      </c>
      <c r="F726" t="str">
        <f t="shared" si="77"/>
        <v>Carassius auratus</v>
      </c>
      <c r="G726" t="str">
        <f t="shared" si="78"/>
        <v>Goldfish</v>
      </c>
      <c r="H726" t="str">
        <f t="shared" si="79"/>
        <v>Morihana</v>
      </c>
      <c r="I726" t="str">
        <f t="shared" si="80"/>
        <v>Nonnative</v>
      </c>
      <c r="J726" t="str">
        <f t="shared" si="81"/>
        <v>No</v>
      </c>
      <c r="L726">
        <v>170</v>
      </c>
      <c r="M726">
        <v>128</v>
      </c>
      <c r="N726">
        <v>1</v>
      </c>
      <c r="S726" t="str">
        <f t="shared" si="82"/>
        <v/>
      </c>
    </row>
    <row r="727" spans="1:20" x14ac:dyDescent="0.55000000000000004">
      <c r="A727">
        <v>87</v>
      </c>
      <c r="B727" s="2">
        <v>45637.625</v>
      </c>
      <c r="C727" t="s">
        <v>215</v>
      </c>
      <c r="D727">
        <v>2</v>
      </c>
      <c r="E727" t="s">
        <v>123</v>
      </c>
      <c r="F727" t="str">
        <f t="shared" si="77"/>
        <v>Carassius auratus</v>
      </c>
      <c r="G727" t="str">
        <f t="shared" si="78"/>
        <v>Goldfish</v>
      </c>
      <c r="H727" t="str">
        <f t="shared" si="79"/>
        <v>Morihana</v>
      </c>
      <c r="I727" t="str">
        <f t="shared" si="80"/>
        <v>Nonnative</v>
      </c>
      <c r="J727" t="str">
        <f t="shared" si="81"/>
        <v>No</v>
      </c>
      <c r="L727">
        <v>175</v>
      </c>
      <c r="M727">
        <v>153</v>
      </c>
      <c r="N727">
        <v>1</v>
      </c>
      <c r="S727" t="str">
        <f t="shared" si="82"/>
        <v/>
      </c>
    </row>
    <row r="728" spans="1:20" x14ac:dyDescent="0.55000000000000004">
      <c r="A728">
        <v>87</v>
      </c>
      <c r="B728" s="2">
        <v>45637.625</v>
      </c>
      <c r="C728" t="s">
        <v>215</v>
      </c>
      <c r="D728">
        <v>2</v>
      </c>
      <c r="E728" t="s">
        <v>123</v>
      </c>
      <c r="F728" t="str">
        <f t="shared" si="77"/>
        <v>Carassius auratus</v>
      </c>
      <c r="G728" t="str">
        <f t="shared" si="78"/>
        <v>Goldfish</v>
      </c>
      <c r="H728" t="str">
        <f t="shared" si="79"/>
        <v>Morihana</v>
      </c>
      <c r="I728" t="str">
        <f t="shared" si="80"/>
        <v>Nonnative</v>
      </c>
      <c r="J728" t="str">
        <f t="shared" si="81"/>
        <v>No</v>
      </c>
      <c r="L728">
        <v>142</v>
      </c>
      <c r="M728">
        <v>74</v>
      </c>
      <c r="N728">
        <v>1</v>
      </c>
      <c r="S728" t="str">
        <f t="shared" si="82"/>
        <v/>
      </c>
    </row>
    <row r="729" spans="1:20" x14ac:dyDescent="0.55000000000000004">
      <c r="A729">
        <v>87</v>
      </c>
      <c r="B729" s="2">
        <v>45637.625</v>
      </c>
      <c r="C729" t="s">
        <v>215</v>
      </c>
      <c r="D729">
        <v>2</v>
      </c>
      <c r="E729" t="s">
        <v>123</v>
      </c>
      <c r="F729" t="str">
        <f t="shared" si="77"/>
        <v>Carassius auratus</v>
      </c>
      <c r="G729" t="str">
        <f t="shared" si="78"/>
        <v>Goldfish</v>
      </c>
      <c r="H729" t="str">
        <f t="shared" si="79"/>
        <v>Morihana</v>
      </c>
      <c r="I729" t="str">
        <f t="shared" si="80"/>
        <v>Nonnative</v>
      </c>
      <c r="J729" t="str">
        <f t="shared" si="81"/>
        <v>No</v>
      </c>
      <c r="L729">
        <v>139</v>
      </c>
      <c r="M729">
        <v>64</v>
      </c>
      <c r="N729">
        <v>1</v>
      </c>
      <c r="S729" t="str">
        <f t="shared" si="82"/>
        <v/>
      </c>
    </row>
    <row r="730" spans="1:20" x14ac:dyDescent="0.55000000000000004">
      <c r="A730">
        <v>87</v>
      </c>
      <c r="B730" s="2">
        <v>45637.625</v>
      </c>
      <c r="C730" t="s">
        <v>215</v>
      </c>
      <c r="D730">
        <v>2</v>
      </c>
      <c r="E730" t="s">
        <v>123</v>
      </c>
      <c r="F730" t="str">
        <f t="shared" si="77"/>
        <v>Carassius auratus</v>
      </c>
      <c r="G730" t="str">
        <f t="shared" si="78"/>
        <v>Goldfish</v>
      </c>
      <c r="H730" t="str">
        <f t="shared" si="79"/>
        <v>Morihana</v>
      </c>
      <c r="I730" t="str">
        <f t="shared" si="80"/>
        <v>Nonnative</v>
      </c>
      <c r="J730" t="str">
        <f t="shared" si="81"/>
        <v>No</v>
      </c>
      <c r="L730">
        <v>80</v>
      </c>
      <c r="M730">
        <v>15</v>
      </c>
      <c r="N730">
        <v>1</v>
      </c>
      <c r="S730" t="str">
        <f t="shared" si="82"/>
        <v/>
      </c>
    </row>
    <row r="731" spans="1:20" x14ac:dyDescent="0.55000000000000004">
      <c r="A731">
        <v>87</v>
      </c>
      <c r="B731" s="2">
        <v>45637.625</v>
      </c>
      <c r="C731" t="s">
        <v>215</v>
      </c>
      <c r="D731">
        <v>2</v>
      </c>
      <c r="E731" t="s">
        <v>123</v>
      </c>
      <c r="F731" t="str">
        <f t="shared" si="77"/>
        <v>Carassius auratus</v>
      </c>
      <c r="G731" t="str">
        <f t="shared" si="78"/>
        <v>Goldfish</v>
      </c>
      <c r="H731" t="str">
        <f t="shared" si="79"/>
        <v>Morihana</v>
      </c>
      <c r="I731" t="str">
        <f t="shared" si="80"/>
        <v>Nonnative</v>
      </c>
      <c r="J731" t="str">
        <f t="shared" si="81"/>
        <v>No</v>
      </c>
      <c r="L731">
        <v>61</v>
      </c>
      <c r="M731">
        <v>3</v>
      </c>
      <c r="N731">
        <v>1</v>
      </c>
      <c r="S731" t="str">
        <f t="shared" si="82"/>
        <v/>
      </c>
    </row>
    <row r="732" spans="1:20" x14ac:dyDescent="0.55000000000000004">
      <c r="A732">
        <v>87</v>
      </c>
      <c r="B732" s="2">
        <v>45637.625</v>
      </c>
      <c r="C732" t="s">
        <v>215</v>
      </c>
      <c r="D732">
        <v>2</v>
      </c>
      <c r="E732" t="s">
        <v>123</v>
      </c>
      <c r="F732" t="str">
        <f t="shared" si="77"/>
        <v>Carassius auratus</v>
      </c>
      <c r="G732" t="str">
        <f t="shared" si="78"/>
        <v>Goldfish</v>
      </c>
      <c r="H732" t="str">
        <f t="shared" si="79"/>
        <v>Morihana</v>
      </c>
      <c r="I732" t="str">
        <f t="shared" si="80"/>
        <v>Nonnative</v>
      </c>
      <c r="J732" t="str">
        <f t="shared" si="81"/>
        <v>No</v>
      </c>
      <c r="L732">
        <v>74</v>
      </c>
      <c r="M732">
        <v>7</v>
      </c>
      <c r="N732">
        <v>1</v>
      </c>
      <c r="S732" t="str">
        <f t="shared" si="82"/>
        <v/>
      </c>
    </row>
    <row r="733" spans="1:20" x14ac:dyDescent="0.55000000000000004">
      <c r="A733">
        <v>87</v>
      </c>
      <c r="B733" s="2">
        <v>45637.625</v>
      </c>
      <c r="C733" t="s">
        <v>215</v>
      </c>
      <c r="D733">
        <v>2</v>
      </c>
      <c r="E733" t="s">
        <v>123</v>
      </c>
      <c r="F733" t="str">
        <f t="shared" si="77"/>
        <v>Carassius auratus</v>
      </c>
      <c r="G733" t="str">
        <f t="shared" si="78"/>
        <v>Goldfish</v>
      </c>
      <c r="H733" t="str">
        <f t="shared" si="79"/>
        <v>Morihana</v>
      </c>
      <c r="I733" t="str">
        <f t="shared" si="80"/>
        <v>Nonnative</v>
      </c>
      <c r="J733" t="str">
        <f t="shared" si="81"/>
        <v>No</v>
      </c>
      <c r="L733">
        <v>75</v>
      </c>
      <c r="M733">
        <v>3</v>
      </c>
      <c r="N733">
        <v>1</v>
      </c>
      <c r="S733" t="str">
        <f t="shared" si="82"/>
        <v/>
      </c>
    </row>
    <row r="734" spans="1:20" x14ac:dyDescent="0.55000000000000004">
      <c r="A734">
        <v>87</v>
      </c>
      <c r="B734" s="2">
        <v>45637.625</v>
      </c>
      <c r="C734" t="s">
        <v>215</v>
      </c>
      <c r="D734">
        <v>2</v>
      </c>
      <c r="E734" t="s">
        <v>44</v>
      </c>
      <c r="F734" t="str">
        <f t="shared" si="77"/>
        <v>Gobiomorphus cotidianus</v>
      </c>
      <c r="G734" t="str">
        <f t="shared" si="78"/>
        <v>Common_bully</v>
      </c>
      <c r="H734" t="str">
        <f t="shared" si="79"/>
        <v>Toitoi</v>
      </c>
      <c r="I734" t="str">
        <f t="shared" si="80"/>
        <v>Native</v>
      </c>
      <c r="J734" t="str">
        <f t="shared" si="81"/>
        <v>No</v>
      </c>
      <c r="M734">
        <v>550</v>
      </c>
      <c r="R734">
        <v>2.5</v>
      </c>
      <c r="S734">
        <f t="shared" si="82"/>
        <v>591.47</v>
      </c>
    </row>
    <row r="735" spans="1:20" x14ac:dyDescent="0.55000000000000004">
      <c r="A735">
        <v>87</v>
      </c>
      <c r="B735" s="2">
        <v>45637.625</v>
      </c>
      <c r="C735" t="s">
        <v>215</v>
      </c>
      <c r="D735">
        <v>2</v>
      </c>
      <c r="E735" t="s">
        <v>44</v>
      </c>
      <c r="F735" t="str">
        <f t="shared" si="77"/>
        <v>Gobiomorphus cotidianus</v>
      </c>
      <c r="G735" t="str">
        <f t="shared" si="78"/>
        <v>Common_bully</v>
      </c>
      <c r="H735" t="str">
        <f t="shared" si="79"/>
        <v>Toitoi</v>
      </c>
      <c r="I735" t="str">
        <f t="shared" si="80"/>
        <v>Native</v>
      </c>
      <c r="J735" t="str">
        <f t="shared" si="81"/>
        <v>No</v>
      </c>
      <c r="M735">
        <v>566</v>
      </c>
      <c r="R735">
        <v>2.5</v>
      </c>
      <c r="S735">
        <f t="shared" si="82"/>
        <v>591.47</v>
      </c>
    </row>
    <row r="736" spans="1:20" x14ac:dyDescent="0.55000000000000004">
      <c r="A736">
        <v>87</v>
      </c>
      <c r="B736" s="2">
        <v>45637.625</v>
      </c>
      <c r="C736" t="s">
        <v>215</v>
      </c>
      <c r="D736">
        <v>2</v>
      </c>
      <c r="E736" t="s">
        <v>44</v>
      </c>
      <c r="F736" t="str">
        <f t="shared" si="77"/>
        <v>Gobiomorphus cotidianus</v>
      </c>
      <c r="G736" t="str">
        <f t="shared" si="78"/>
        <v>Common_bully</v>
      </c>
      <c r="H736" t="str">
        <f t="shared" si="79"/>
        <v>Toitoi</v>
      </c>
      <c r="I736" t="str">
        <f t="shared" si="80"/>
        <v>Native</v>
      </c>
      <c r="J736" t="str">
        <f t="shared" si="81"/>
        <v>No</v>
      </c>
      <c r="M736">
        <v>604</v>
      </c>
      <c r="R736">
        <v>2.5</v>
      </c>
      <c r="S736">
        <f t="shared" si="82"/>
        <v>591.47</v>
      </c>
    </row>
    <row r="737" spans="1:19" x14ac:dyDescent="0.55000000000000004">
      <c r="A737">
        <v>87</v>
      </c>
      <c r="B737" s="2">
        <v>45637.625</v>
      </c>
      <c r="C737" t="s">
        <v>215</v>
      </c>
      <c r="D737">
        <v>2</v>
      </c>
      <c r="E737" t="s">
        <v>44</v>
      </c>
      <c r="F737" t="str">
        <f t="shared" si="77"/>
        <v>Gobiomorphus cotidianus</v>
      </c>
      <c r="G737" t="str">
        <f t="shared" si="78"/>
        <v>Common_bully</v>
      </c>
      <c r="H737" t="str">
        <f t="shared" si="79"/>
        <v>Toitoi</v>
      </c>
      <c r="I737" t="str">
        <f t="shared" si="80"/>
        <v>Native</v>
      </c>
      <c r="J737" t="str">
        <f t="shared" si="81"/>
        <v>No</v>
      </c>
      <c r="M737">
        <v>457</v>
      </c>
      <c r="R737">
        <v>2</v>
      </c>
      <c r="S737">
        <f t="shared" si="82"/>
        <v>473.17599999999999</v>
      </c>
    </row>
    <row r="738" spans="1:19" x14ac:dyDescent="0.55000000000000004">
      <c r="A738">
        <v>88</v>
      </c>
      <c r="B738" s="2">
        <v>45638.4375</v>
      </c>
      <c r="C738" t="s">
        <v>216</v>
      </c>
      <c r="D738">
        <v>2</v>
      </c>
      <c r="E738" t="s">
        <v>44</v>
      </c>
      <c r="F738" t="str">
        <f t="shared" si="77"/>
        <v>Gobiomorphus cotidianus</v>
      </c>
      <c r="G738" t="str">
        <f t="shared" si="78"/>
        <v>Common_bully</v>
      </c>
      <c r="H738" t="str">
        <f t="shared" si="79"/>
        <v>Toitoi</v>
      </c>
      <c r="I738" t="str">
        <f t="shared" si="80"/>
        <v>Native</v>
      </c>
      <c r="J738" t="str">
        <f t="shared" si="81"/>
        <v>No</v>
      </c>
      <c r="M738">
        <v>3</v>
      </c>
      <c r="N738">
        <v>9</v>
      </c>
      <c r="S738" t="str">
        <f t="shared" si="82"/>
        <v/>
      </c>
    </row>
    <row r="739" spans="1:19" x14ac:dyDescent="0.55000000000000004">
      <c r="A739">
        <v>88</v>
      </c>
      <c r="B739" s="2">
        <v>45638.4375</v>
      </c>
      <c r="C739" t="s">
        <v>215</v>
      </c>
      <c r="D739">
        <v>2</v>
      </c>
      <c r="E739" t="s">
        <v>123</v>
      </c>
      <c r="F739" t="str">
        <f t="shared" si="77"/>
        <v>Carassius auratus</v>
      </c>
      <c r="G739" t="str">
        <f t="shared" si="78"/>
        <v>Goldfish</v>
      </c>
      <c r="H739" t="str">
        <f t="shared" si="79"/>
        <v>Morihana</v>
      </c>
      <c r="I739" t="str">
        <f t="shared" si="80"/>
        <v>Nonnative</v>
      </c>
      <c r="J739" t="str">
        <f t="shared" si="81"/>
        <v>No</v>
      </c>
      <c r="L739">
        <v>254</v>
      </c>
      <c r="M739">
        <v>463</v>
      </c>
      <c r="N739">
        <v>1</v>
      </c>
      <c r="S739" t="str">
        <f t="shared" si="82"/>
        <v/>
      </c>
    </row>
    <row r="740" spans="1:19" x14ac:dyDescent="0.55000000000000004">
      <c r="A740">
        <v>88</v>
      </c>
      <c r="B740" s="2">
        <v>45638.4375</v>
      </c>
      <c r="C740" t="s">
        <v>215</v>
      </c>
      <c r="D740">
        <v>2</v>
      </c>
      <c r="E740" t="s">
        <v>123</v>
      </c>
      <c r="F740" t="str">
        <f t="shared" si="77"/>
        <v>Carassius auratus</v>
      </c>
      <c r="G740" t="str">
        <f t="shared" si="78"/>
        <v>Goldfish</v>
      </c>
      <c r="H740" t="str">
        <f t="shared" si="79"/>
        <v>Morihana</v>
      </c>
      <c r="I740" t="str">
        <f t="shared" si="80"/>
        <v>Nonnative</v>
      </c>
      <c r="J740" t="str">
        <f t="shared" si="81"/>
        <v>No</v>
      </c>
      <c r="L740">
        <v>175</v>
      </c>
      <c r="M740">
        <v>145</v>
      </c>
      <c r="N740">
        <v>1</v>
      </c>
      <c r="S740" t="str">
        <f t="shared" si="82"/>
        <v/>
      </c>
    </row>
    <row r="741" spans="1:19" x14ac:dyDescent="0.55000000000000004">
      <c r="A741">
        <v>88</v>
      </c>
      <c r="B741" s="2">
        <v>45638.4375</v>
      </c>
      <c r="C741" t="s">
        <v>215</v>
      </c>
      <c r="D741">
        <v>2</v>
      </c>
      <c r="E741" t="s">
        <v>123</v>
      </c>
      <c r="F741" t="str">
        <f t="shared" si="77"/>
        <v>Carassius auratus</v>
      </c>
      <c r="G741" t="str">
        <f t="shared" si="78"/>
        <v>Goldfish</v>
      </c>
      <c r="H741" t="str">
        <f t="shared" si="79"/>
        <v>Morihana</v>
      </c>
      <c r="I741" t="str">
        <f t="shared" si="80"/>
        <v>Nonnative</v>
      </c>
      <c r="J741" t="str">
        <f t="shared" si="81"/>
        <v>No</v>
      </c>
      <c r="L741">
        <v>171</v>
      </c>
      <c r="M741">
        <v>122</v>
      </c>
      <c r="N741">
        <v>1</v>
      </c>
      <c r="S741" t="str">
        <f t="shared" si="82"/>
        <v/>
      </c>
    </row>
    <row r="742" spans="1:19" x14ac:dyDescent="0.55000000000000004">
      <c r="A742">
        <v>88</v>
      </c>
      <c r="B742" s="2">
        <v>45638.4375</v>
      </c>
      <c r="C742" t="s">
        <v>215</v>
      </c>
      <c r="D742">
        <v>2</v>
      </c>
      <c r="E742" t="s">
        <v>123</v>
      </c>
      <c r="F742" t="str">
        <f t="shared" si="77"/>
        <v>Carassius auratus</v>
      </c>
      <c r="G742" t="str">
        <f t="shared" si="78"/>
        <v>Goldfish</v>
      </c>
      <c r="H742" t="str">
        <f t="shared" si="79"/>
        <v>Morihana</v>
      </c>
      <c r="I742" t="str">
        <f t="shared" si="80"/>
        <v>Nonnative</v>
      </c>
      <c r="J742" t="str">
        <f t="shared" si="81"/>
        <v>No</v>
      </c>
      <c r="L742">
        <v>183</v>
      </c>
      <c r="M742">
        <v>134</v>
      </c>
      <c r="N742">
        <v>1</v>
      </c>
      <c r="S742" t="str">
        <f t="shared" si="82"/>
        <v/>
      </c>
    </row>
    <row r="743" spans="1:19" x14ac:dyDescent="0.55000000000000004">
      <c r="A743">
        <v>88</v>
      </c>
      <c r="B743" s="2">
        <v>45638.4375</v>
      </c>
      <c r="C743" t="s">
        <v>215</v>
      </c>
      <c r="D743">
        <v>2</v>
      </c>
      <c r="E743" t="s">
        <v>123</v>
      </c>
      <c r="F743" t="str">
        <f t="shared" si="77"/>
        <v>Carassius auratus</v>
      </c>
      <c r="G743" t="str">
        <f t="shared" si="78"/>
        <v>Goldfish</v>
      </c>
      <c r="H743" t="str">
        <f t="shared" si="79"/>
        <v>Morihana</v>
      </c>
      <c r="I743" t="str">
        <f t="shared" si="80"/>
        <v>Nonnative</v>
      </c>
      <c r="J743" t="str">
        <f t="shared" si="81"/>
        <v>No</v>
      </c>
      <c r="L743">
        <v>165</v>
      </c>
      <c r="M743">
        <v>111</v>
      </c>
      <c r="N743">
        <v>1</v>
      </c>
      <c r="S743" t="str">
        <f t="shared" si="82"/>
        <v/>
      </c>
    </row>
    <row r="744" spans="1:19" x14ac:dyDescent="0.55000000000000004">
      <c r="A744">
        <v>88</v>
      </c>
      <c r="B744" s="2">
        <v>45638.4375</v>
      </c>
      <c r="C744" t="s">
        <v>215</v>
      </c>
      <c r="D744">
        <v>2</v>
      </c>
      <c r="E744" t="s">
        <v>123</v>
      </c>
      <c r="F744" t="str">
        <f t="shared" si="77"/>
        <v>Carassius auratus</v>
      </c>
      <c r="G744" t="str">
        <f t="shared" si="78"/>
        <v>Goldfish</v>
      </c>
      <c r="H744" t="str">
        <f t="shared" si="79"/>
        <v>Morihana</v>
      </c>
      <c r="I744" t="str">
        <f t="shared" si="80"/>
        <v>Nonnative</v>
      </c>
      <c r="J744" t="str">
        <f t="shared" si="81"/>
        <v>No</v>
      </c>
      <c r="L744">
        <v>160</v>
      </c>
      <c r="M744">
        <v>97</v>
      </c>
      <c r="N744">
        <v>1</v>
      </c>
      <c r="S744" t="str">
        <f t="shared" si="82"/>
        <v/>
      </c>
    </row>
    <row r="745" spans="1:19" x14ac:dyDescent="0.55000000000000004">
      <c r="A745">
        <v>88</v>
      </c>
      <c r="B745" s="2">
        <v>45638.4375</v>
      </c>
      <c r="C745" t="s">
        <v>215</v>
      </c>
      <c r="D745">
        <v>2</v>
      </c>
      <c r="E745" t="s">
        <v>123</v>
      </c>
      <c r="F745" t="str">
        <f t="shared" si="77"/>
        <v>Carassius auratus</v>
      </c>
      <c r="G745" t="str">
        <f t="shared" si="78"/>
        <v>Goldfish</v>
      </c>
      <c r="H745" t="str">
        <f t="shared" si="79"/>
        <v>Morihana</v>
      </c>
      <c r="I745" t="str">
        <f t="shared" si="80"/>
        <v>Nonnative</v>
      </c>
      <c r="J745" t="str">
        <f t="shared" si="81"/>
        <v>No</v>
      </c>
      <c r="L745">
        <v>169</v>
      </c>
      <c r="M745">
        <v>102</v>
      </c>
      <c r="N745">
        <v>1</v>
      </c>
      <c r="S745" t="str">
        <f t="shared" si="82"/>
        <v/>
      </c>
    </row>
    <row r="746" spans="1:19" x14ac:dyDescent="0.55000000000000004">
      <c r="A746">
        <v>88</v>
      </c>
      <c r="B746" s="2">
        <v>45638.4375</v>
      </c>
      <c r="C746" t="s">
        <v>215</v>
      </c>
      <c r="D746">
        <v>2</v>
      </c>
      <c r="E746" t="s">
        <v>123</v>
      </c>
      <c r="F746" t="str">
        <f t="shared" si="77"/>
        <v>Carassius auratus</v>
      </c>
      <c r="G746" t="str">
        <f t="shared" si="78"/>
        <v>Goldfish</v>
      </c>
      <c r="H746" t="str">
        <f t="shared" si="79"/>
        <v>Morihana</v>
      </c>
      <c r="I746" t="str">
        <f t="shared" si="80"/>
        <v>Nonnative</v>
      </c>
      <c r="J746" t="str">
        <f t="shared" si="81"/>
        <v>No</v>
      </c>
      <c r="L746">
        <v>170</v>
      </c>
      <c r="M746">
        <v>111</v>
      </c>
      <c r="N746">
        <v>1</v>
      </c>
      <c r="S746" t="str">
        <f t="shared" si="82"/>
        <v/>
      </c>
    </row>
    <row r="747" spans="1:19" x14ac:dyDescent="0.55000000000000004">
      <c r="A747">
        <v>88</v>
      </c>
      <c r="B747" s="2">
        <v>45638.4375</v>
      </c>
      <c r="C747" t="s">
        <v>215</v>
      </c>
      <c r="D747">
        <v>2</v>
      </c>
      <c r="E747" t="s">
        <v>123</v>
      </c>
      <c r="F747" t="str">
        <f t="shared" si="77"/>
        <v>Carassius auratus</v>
      </c>
      <c r="G747" t="str">
        <f t="shared" si="78"/>
        <v>Goldfish</v>
      </c>
      <c r="H747" t="str">
        <f t="shared" si="79"/>
        <v>Morihana</v>
      </c>
      <c r="I747" t="str">
        <f t="shared" si="80"/>
        <v>Nonnative</v>
      </c>
      <c r="J747" t="str">
        <f t="shared" si="81"/>
        <v>No</v>
      </c>
      <c r="L747">
        <v>140</v>
      </c>
      <c r="M747">
        <v>56</v>
      </c>
      <c r="N747">
        <v>1</v>
      </c>
      <c r="S747" t="str">
        <f t="shared" si="82"/>
        <v/>
      </c>
    </row>
    <row r="748" spans="1:19" x14ac:dyDescent="0.55000000000000004">
      <c r="A748">
        <v>88</v>
      </c>
      <c r="B748" s="2">
        <v>45638.4375</v>
      </c>
      <c r="C748" t="s">
        <v>215</v>
      </c>
      <c r="D748">
        <v>2</v>
      </c>
      <c r="E748" t="s">
        <v>123</v>
      </c>
      <c r="F748" t="str">
        <f t="shared" si="77"/>
        <v>Carassius auratus</v>
      </c>
      <c r="G748" t="str">
        <f t="shared" si="78"/>
        <v>Goldfish</v>
      </c>
      <c r="H748" t="str">
        <f t="shared" si="79"/>
        <v>Morihana</v>
      </c>
      <c r="I748" t="str">
        <f t="shared" si="80"/>
        <v>Nonnative</v>
      </c>
      <c r="J748" t="str">
        <f t="shared" si="81"/>
        <v>No</v>
      </c>
      <c r="L748">
        <v>156</v>
      </c>
      <c r="M748">
        <v>95</v>
      </c>
      <c r="N748">
        <v>1</v>
      </c>
      <c r="S748" t="str">
        <f t="shared" si="82"/>
        <v/>
      </c>
    </row>
    <row r="749" spans="1:19" x14ac:dyDescent="0.55000000000000004">
      <c r="A749">
        <v>88</v>
      </c>
      <c r="B749" s="2">
        <v>45638.4375</v>
      </c>
      <c r="C749" t="s">
        <v>215</v>
      </c>
      <c r="D749">
        <v>2</v>
      </c>
      <c r="E749" t="s">
        <v>123</v>
      </c>
      <c r="F749" t="str">
        <f t="shared" si="77"/>
        <v>Carassius auratus</v>
      </c>
      <c r="G749" t="str">
        <f t="shared" si="78"/>
        <v>Goldfish</v>
      </c>
      <c r="H749" t="str">
        <f t="shared" si="79"/>
        <v>Morihana</v>
      </c>
      <c r="I749" t="str">
        <f t="shared" si="80"/>
        <v>Nonnative</v>
      </c>
      <c r="J749" t="str">
        <f t="shared" si="81"/>
        <v>No</v>
      </c>
      <c r="L749">
        <v>145</v>
      </c>
      <c r="M749">
        <v>76</v>
      </c>
      <c r="N749">
        <v>1</v>
      </c>
      <c r="S749" t="str">
        <f t="shared" si="82"/>
        <v/>
      </c>
    </row>
    <row r="750" spans="1:19" x14ac:dyDescent="0.55000000000000004">
      <c r="A750">
        <v>88</v>
      </c>
      <c r="B750" s="2">
        <v>45638.4375</v>
      </c>
      <c r="C750" t="s">
        <v>215</v>
      </c>
      <c r="D750">
        <v>2</v>
      </c>
      <c r="E750" t="s">
        <v>123</v>
      </c>
      <c r="F750" t="str">
        <f t="shared" si="77"/>
        <v>Carassius auratus</v>
      </c>
      <c r="G750" t="str">
        <f t="shared" si="78"/>
        <v>Goldfish</v>
      </c>
      <c r="H750" t="str">
        <f t="shared" si="79"/>
        <v>Morihana</v>
      </c>
      <c r="I750" t="str">
        <f t="shared" si="80"/>
        <v>Nonnative</v>
      </c>
      <c r="J750" t="str">
        <f t="shared" si="81"/>
        <v>No</v>
      </c>
      <c r="L750">
        <v>160</v>
      </c>
      <c r="M750">
        <v>90</v>
      </c>
      <c r="N750">
        <v>1</v>
      </c>
      <c r="S750" t="str">
        <f t="shared" si="82"/>
        <v/>
      </c>
    </row>
    <row r="751" spans="1:19" x14ac:dyDescent="0.55000000000000004">
      <c r="A751">
        <v>88</v>
      </c>
      <c r="B751" s="2">
        <v>45638.4375</v>
      </c>
      <c r="C751" t="s">
        <v>215</v>
      </c>
      <c r="D751">
        <v>2</v>
      </c>
      <c r="E751" t="s">
        <v>123</v>
      </c>
      <c r="F751" t="str">
        <f t="shared" si="77"/>
        <v>Carassius auratus</v>
      </c>
      <c r="G751" t="str">
        <f t="shared" si="78"/>
        <v>Goldfish</v>
      </c>
      <c r="H751" t="str">
        <f t="shared" si="79"/>
        <v>Morihana</v>
      </c>
      <c r="I751" t="str">
        <f t="shared" si="80"/>
        <v>Nonnative</v>
      </c>
      <c r="J751" t="str">
        <f t="shared" si="81"/>
        <v>No</v>
      </c>
      <c r="L751">
        <v>120</v>
      </c>
      <c r="M751">
        <v>52</v>
      </c>
      <c r="N751">
        <v>1</v>
      </c>
      <c r="S751" t="str">
        <f t="shared" si="82"/>
        <v/>
      </c>
    </row>
    <row r="752" spans="1:19" x14ac:dyDescent="0.55000000000000004">
      <c r="A752">
        <v>88</v>
      </c>
      <c r="B752" s="2">
        <v>45638.4375</v>
      </c>
      <c r="C752" t="s">
        <v>215</v>
      </c>
      <c r="D752">
        <v>2</v>
      </c>
      <c r="E752" t="s">
        <v>123</v>
      </c>
      <c r="F752" t="str">
        <f t="shared" si="77"/>
        <v>Carassius auratus</v>
      </c>
      <c r="G752" t="str">
        <f t="shared" si="78"/>
        <v>Goldfish</v>
      </c>
      <c r="H752" t="str">
        <f t="shared" si="79"/>
        <v>Morihana</v>
      </c>
      <c r="I752" t="str">
        <f t="shared" si="80"/>
        <v>Nonnative</v>
      </c>
      <c r="J752" t="str">
        <f t="shared" si="81"/>
        <v>No</v>
      </c>
      <c r="L752">
        <v>135</v>
      </c>
      <c r="M752">
        <v>56</v>
      </c>
      <c r="N752">
        <v>1</v>
      </c>
      <c r="S752" t="str">
        <f t="shared" si="82"/>
        <v/>
      </c>
    </row>
    <row r="753" spans="1:20" x14ac:dyDescent="0.55000000000000004">
      <c r="A753">
        <v>88</v>
      </c>
      <c r="B753" s="2">
        <v>45638.4375</v>
      </c>
      <c r="C753" t="s">
        <v>215</v>
      </c>
      <c r="D753">
        <v>2</v>
      </c>
      <c r="E753" t="s">
        <v>123</v>
      </c>
      <c r="F753" t="str">
        <f t="shared" si="77"/>
        <v>Carassius auratus</v>
      </c>
      <c r="G753" t="str">
        <f t="shared" si="78"/>
        <v>Goldfish</v>
      </c>
      <c r="H753" t="str">
        <f t="shared" si="79"/>
        <v>Morihana</v>
      </c>
      <c r="I753" t="str">
        <f t="shared" si="80"/>
        <v>Nonnative</v>
      </c>
      <c r="J753" t="str">
        <f t="shared" si="81"/>
        <v>No</v>
      </c>
      <c r="L753">
        <v>130</v>
      </c>
      <c r="M753">
        <v>52</v>
      </c>
      <c r="N753">
        <v>1</v>
      </c>
      <c r="S753" t="str">
        <f t="shared" si="82"/>
        <v/>
      </c>
    </row>
    <row r="754" spans="1:20" x14ac:dyDescent="0.55000000000000004">
      <c r="A754">
        <v>88</v>
      </c>
      <c r="B754" s="2">
        <v>45638.4375</v>
      </c>
      <c r="C754" t="s">
        <v>215</v>
      </c>
      <c r="D754">
        <v>2</v>
      </c>
      <c r="E754" t="s">
        <v>247</v>
      </c>
      <c r="F754" t="str">
        <f t="shared" si="77"/>
        <v>Retropinna retropinna</v>
      </c>
      <c r="G754" t="str">
        <f t="shared" si="78"/>
        <v>Common_smelt</v>
      </c>
      <c r="H754" t="str">
        <f t="shared" si="79"/>
        <v>Common_smelt</v>
      </c>
      <c r="I754" t="str">
        <f t="shared" si="80"/>
        <v>Native</v>
      </c>
      <c r="J754" t="str">
        <f t="shared" si="81"/>
        <v>No</v>
      </c>
      <c r="N754">
        <v>22</v>
      </c>
      <c r="S754" t="str">
        <f t="shared" si="82"/>
        <v/>
      </c>
    </row>
    <row r="755" spans="1:20" x14ac:dyDescent="0.55000000000000004">
      <c r="A755">
        <v>88</v>
      </c>
      <c r="B755" s="2">
        <v>45638.4375</v>
      </c>
      <c r="C755" t="s">
        <v>215</v>
      </c>
      <c r="D755">
        <v>2</v>
      </c>
      <c r="E755" t="s">
        <v>44</v>
      </c>
      <c r="F755" t="str">
        <f t="shared" si="77"/>
        <v>Gobiomorphus cotidianus</v>
      </c>
      <c r="G755" t="str">
        <f t="shared" si="78"/>
        <v>Common_bully</v>
      </c>
      <c r="H755" t="str">
        <f t="shared" si="79"/>
        <v>Toitoi</v>
      </c>
      <c r="I755" t="str">
        <f t="shared" si="80"/>
        <v>Native</v>
      </c>
      <c r="J755" t="str">
        <f t="shared" si="81"/>
        <v>No</v>
      </c>
      <c r="M755">
        <f>606-117</f>
        <v>489</v>
      </c>
      <c r="R755">
        <v>2.5</v>
      </c>
      <c r="S755">
        <f t="shared" si="82"/>
        <v>591.47</v>
      </c>
    </row>
    <row r="756" spans="1:20" x14ac:dyDescent="0.55000000000000004">
      <c r="A756">
        <v>88</v>
      </c>
      <c r="B756" s="2">
        <v>45638.4375</v>
      </c>
      <c r="C756" t="s">
        <v>215</v>
      </c>
      <c r="D756">
        <v>2</v>
      </c>
      <c r="E756" t="s">
        <v>44</v>
      </c>
      <c r="F756" t="str">
        <f t="shared" si="77"/>
        <v>Gobiomorphus cotidianus</v>
      </c>
      <c r="G756" t="str">
        <f t="shared" si="78"/>
        <v>Common_bully</v>
      </c>
      <c r="H756" t="str">
        <f t="shared" si="79"/>
        <v>Toitoi</v>
      </c>
      <c r="I756" t="str">
        <f t="shared" si="80"/>
        <v>Native</v>
      </c>
      <c r="J756" t="str">
        <f t="shared" si="81"/>
        <v>No</v>
      </c>
      <c r="M756">
        <f>381-117</f>
        <v>264</v>
      </c>
      <c r="R756">
        <v>1.25</v>
      </c>
      <c r="S756">
        <f t="shared" si="82"/>
        <v>295.73500000000001</v>
      </c>
    </row>
    <row r="757" spans="1:20" x14ac:dyDescent="0.55000000000000004">
      <c r="A757">
        <v>89</v>
      </c>
      <c r="B757" s="2">
        <v>45637.541666666664</v>
      </c>
      <c r="C757" t="s">
        <v>216</v>
      </c>
      <c r="D757">
        <v>2</v>
      </c>
      <c r="E757" t="s">
        <v>44</v>
      </c>
      <c r="F757" t="str">
        <f t="shared" si="77"/>
        <v>Gobiomorphus cotidianus</v>
      </c>
      <c r="G757" t="str">
        <f t="shared" si="78"/>
        <v>Common_bully</v>
      </c>
      <c r="H757" t="str">
        <f t="shared" si="79"/>
        <v>Toitoi</v>
      </c>
      <c r="I757" t="str">
        <f t="shared" si="80"/>
        <v>Native</v>
      </c>
      <c r="J757" t="str">
        <f t="shared" si="81"/>
        <v>No</v>
      </c>
      <c r="M757">
        <v>58</v>
      </c>
      <c r="S757" t="str">
        <f t="shared" si="82"/>
        <v/>
      </c>
    </row>
    <row r="758" spans="1:20" x14ac:dyDescent="0.55000000000000004">
      <c r="A758">
        <v>89</v>
      </c>
      <c r="B758" s="2">
        <v>45637.541666666664</v>
      </c>
      <c r="C758" t="s">
        <v>215</v>
      </c>
      <c r="D758">
        <v>2</v>
      </c>
      <c r="E758" t="s">
        <v>123</v>
      </c>
      <c r="F758" t="str">
        <f t="shared" si="77"/>
        <v>Carassius auratus</v>
      </c>
      <c r="G758" t="str">
        <f t="shared" si="78"/>
        <v>Goldfish</v>
      </c>
      <c r="H758" t="str">
        <f t="shared" si="79"/>
        <v>Morihana</v>
      </c>
      <c r="I758" t="str">
        <f t="shared" si="80"/>
        <v>Nonnative</v>
      </c>
      <c r="J758" t="str">
        <f t="shared" si="81"/>
        <v>No</v>
      </c>
      <c r="L758">
        <v>182</v>
      </c>
      <c r="M758">
        <v>167</v>
      </c>
      <c r="N758">
        <v>1</v>
      </c>
      <c r="S758" t="str">
        <f t="shared" si="82"/>
        <v/>
      </c>
    </row>
    <row r="759" spans="1:20" x14ac:dyDescent="0.55000000000000004">
      <c r="A759">
        <v>89</v>
      </c>
      <c r="B759" s="2">
        <v>45637.541666608799</v>
      </c>
      <c r="C759" t="s">
        <v>215</v>
      </c>
      <c r="D759">
        <v>2</v>
      </c>
      <c r="E759" t="s">
        <v>123</v>
      </c>
      <c r="F759" t="str">
        <f t="shared" si="77"/>
        <v>Carassius auratus</v>
      </c>
      <c r="G759" t="str">
        <f t="shared" si="78"/>
        <v>Goldfish</v>
      </c>
      <c r="H759" t="str">
        <f t="shared" si="79"/>
        <v>Morihana</v>
      </c>
      <c r="I759" t="str">
        <f t="shared" si="80"/>
        <v>Nonnative</v>
      </c>
      <c r="J759" t="str">
        <f t="shared" si="81"/>
        <v>No</v>
      </c>
      <c r="L759">
        <v>154</v>
      </c>
      <c r="M759">
        <v>88</v>
      </c>
      <c r="N759">
        <v>1</v>
      </c>
      <c r="S759" t="str">
        <f t="shared" si="82"/>
        <v/>
      </c>
      <c r="T759" t="s">
        <v>295</v>
      </c>
    </row>
    <row r="760" spans="1:20" x14ac:dyDescent="0.55000000000000004">
      <c r="A760">
        <v>89</v>
      </c>
      <c r="B760" s="2">
        <v>45637.541666608799</v>
      </c>
      <c r="C760" t="s">
        <v>215</v>
      </c>
      <c r="D760">
        <v>2</v>
      </c>
      <c r="E760" t="s">
        <v>123</v>
      </c>
      <c r="F760" t="str">
        <f t="shared" si="77"/>
        <v>Carassius auratus</v>
      </c>
      <c r="G760" t="str">
        <f t="shared" si="78"/>
        <v>Goldfish</v>
      </c>
      <c r="H760" t="str">
        <f t="shared" si="79"/>
        <v>Morihana</v>
      </c>
      <c r="I760" t="str">
        <f t="shared" si="80"/>
        <v>Nonnative</v>
      </c>
      <c r="J760" t="str">
        <f t="shared" si="81"/>
        <v>No</v>
      </c>
      <c r="L760">
        <v>89</v>
      </c>
      <c r="M760">
        <v>169</v>
      </c>
      <c r="N760">
        <v>1</v>
      </c>
      <c r="S760" t="str">
        <f t="shared" si="82"/>
        <v/>
      </c>
    </row>
    <row r="761" spans="1:20" x14ac:dyDescent="0.55000000000000004">
      <c r="A761">
        <v>89</v>
      </c>
      <c r="B761" s="2">
        <v>45637.541666608799</v>
      </c>
      <c r="C761" t="s">
        <v>215</v>
      </c>
      <c r="D761">
        <v>2</v>
      </c>
      <c r="E761" t="s">
        <v>123</v>
      </c>
      <c r="F761" t="str">
        <f t="shared" si="77"/>
        <v>Carassius auratus</v>
      </c>
      <c r="G761" t="str">
        <f t="shared" si="78"/>
        <v>Goldfish</v>
      </c>
      <c r="H761" t="str">
        <f t="shared" si="79"/>
        <v>Morihana</v>
      </c>
      <c r="I761" t="str">
        <f t="shared" si="80"/>
        <v>Nonnative</v>
      </c>
      <c r="J761" t="str">
        <f t="shared" si="81"/>
        <v>No</v>
      </c>
      <c r="L761">
        <v>156</v>
      </c>
      <c r="M761">
        <v>106</v>
      </c>
      <c r="N761">
        <v>1</v>
      </c>
      <c r="S761" t="str">
        <f t="shared" si="82"/>
        <v/>
      </c>
    </row>
    <row r="762" spans="1:20" x14ac:dyDescent="0.55000000000000004">
      <c r="A762">
        <v>89</v>
      </c>
      <c r="B762" s="2">
        <v>45637.541666608799</v>
      </c>
      <c r="C762" t="s">
        <v>215</v>
      </c>
      <c r="D762">
        <v>2</v>
      </c>
      <c r="E762" t="s">
        <v>123</v>
      </c>
      <c r="F762" t="str">
        <f t="shared" si="77"/>
        <v>Carassius auratus</v>
      </c>
      <c r="G762" t="str">
        <f t="shared" si="78"/>
        <v>Goldfish</v>
      </c>
      <c r="H762" t="str">
        <f t="shared" si="79"/>
        <v>Morihana</v>
      </c>
      <c r="I762" t="str">
        <f t="shared" si="80"/>
        <v>Nonnative</v>
      </c>
      <c r="J762" t="str">
        <f t="shared" si="81"/>
        <v>No</v>
      </c>
      <c r="L762">
        <v>162</v>
      </c>
      <c r="M762">
        <v>112</v>
      </c>
      <c r="N762">
        <v>1</v>
      </c>
      <c r="S762" t="str">
        <f t="shared" si="82"/>
        <v/>
      </c>
    </row>
    <row r="763" spans="1:20" x14ac:dyDescent="0.55000000000000004">
      <c r="A763">
        <v>89</v>
      </c>
      <c r="B763" s="2">
        <v>45637.541666608799</v>
      </c>
      <c r="C763" t="s">
        <v>215</v>
      </c>
      <c r="D763">
        <v>2</v>
      </c>
      <c r="E763" t="s">
        <v>123</v>
      </c>
      <c r="F763" t="str">
        <f t="shared" si="77"/>
        <v>Carassius auratus</v>
      </c>
      <c r="G763" t="str">
        <f t="shared" si="78"/>
        <v>Goldfish</v>
      </c>
      <c r="H763" t="str">
        <f t="shared" si="79"/>
        <v>Morihana</v>
      </c>
      <c r="I763" t="str">
        <f t="shared" si="80"/>
        <v>Nonnative</v>
      </c>
      <c r="J763" t="str">
        <f t="shared" si="81"/>
        <v>No</v>
      </c>
      <c r="L763">
        <v>157</v>
      </c>
      <c r="M763">
        <v>106</v>
      </c>
      <c r="N763">
        <v>1</v>
      </c>
      <c r="S763" t="str">
        <f t="shared" si="82"/>
        <v/>
      </c>
    </row>
    <row r="764" spans="1:20" x14ac:dyDescent="0.55000000000000004">
      <c r="A764">
        <v>89</v>
      </c>
      <c r="B764" s="2">
        <v>45637.541666608799</v>
      </c>
      <c r="C764" t="s">
        <v>215</v>
      </c>
      <c r="D764">
        <v>2</v>
      </c>
      <c r="E764" t="s">
        <v>123</v>
      </c>
      <c r="F764" t="str">
        <f t="shared" si="77"/>
        <v>Carassius auratus</v>
      </c>
      <c r="G764" t="str">
        <f t="shared" si="78"/>
        <v>Goldfish</v>
      </c>
      <c r="H764" t="str">
        <f t="shared" si="79"/>
        <v>Morihana</v>
      </c>
      <c r="I764" t="str">
        <f t="shared" si="80"/>
        <v>Nonnative</v>
      </c>
      <c r="J764" t="str">
        <f t="shared" si="81"/>
        <v>No</v>
      </c>
      <c r="L764">
        <v>152</v>
      </c>
      <c r="M764">
        <v>94</v>
      </c>
      <c r="N764">
        <v>1</v>
      </c>
      <c r="S764" t="str">
        <f t="shared" si="82"/>
        <v/>
      </c>
    </row>
    <row r="765" spans="1:20" x14ac:dyDescent="0.55000000000000004">
      <c r="A765">
        <v>89</v>
      </c>
      <c r="B765" s="2">
        <v>45637.541666608799</v>
      </c>
      <c r="C765" t="s">
        <v>215</v>
      </c>
      <c r="D765">
        <v>2</v>
      </c>
      <c r="E765" t="s">
        <v>123</v>
      </c>
      <c r="F765" t="str">
        <f t="shared" si="77"/>
        <v>Carassius auratus</v>
      </c>
      <c r="G765" t="str">
        <f t="shared" si="78"/>
        <v>Goldfish</v>
      </c>
      <c r="H765" t="str">
        <f t="shared" si="79"/>
        <v>Morihana</v>
      </c>
      <c r="I765" t="str">
        <f t="shared" si="80"/>
        <v>Nonnative</v>
      </c>
      <c r="J765" t="str">
        <f t="shared" si="81"/>
        <v>No</v>
      </c>
      <c r="L765">
        <v>155</v>
      </c>
      <c r="M765">
        <v>78</v>
      </c>
      <c r="N765">
        <v>1</v>
      </c>
      <c r="S765" t="str">
        <f t="shared" si="82"/>
        <v/>
      </c>
    </row>
    <row r="766" spans="1:20" x14ac:dyDescent="0.55000000000000004">
      <c r="A766">
        <v>89</v>
      </c>
      <c r="B766" s="2">
        <v>45637.541666608799</v>
      </c>
      <c r="C766" t="s">
        <v>215</v>
      </c>
      <c r="D766">
        <v>2</v>
      </c>
      <c r="E766" t="s">
        <v>123</v>
      </c>
      <c r="F766" t="str">
        <f t="shared" si="77"/>
        <v>Carassius auratus</v>
      </c>
      <c r="G766" t="str">
        <f t="shared" si="78"/>
        <v>Goldfish</v>
      </c>
      <c r="H766" t="str">
        <f t="shared" si="79"/>
        <v>Morihana</v>
      </c>
      <c r="I766" t="str">
        <f t="shared" si="80"/>
        <v>Nonnative</v>
      </c>
      <c r="J766" t="str">
        <f t="shared" si="81"/>
        <v>No</v>
      </c>
      <c r="L766">
        <v>141</v>
      </c>
      <c r="M766">
        <v>64</v>
      </c>
      <c r="N766">
        <v>1</v>
      </c>
      <c r="S766" t="str">
        <f t="shared" si="82"/>
        <v/>
      </c>
    </row>
    <row r="767" spans="1:20" x14ac:dyDescent="0.55000000000000004">
      <c r="A767">
        <v>89</v>
      </c>
      <c r="B767" s="2">
        <v>45637.541666608799</v>
      </c>
      <c r="C767" t="s">
        <v>215</v>
      </c>
      <c r="D767">
        <v>2</v>
      </c>
      <c r="E767" t="s">
        <v>123</v>
      </c>
      <c r="F767" t="str">
        <f t="shared" si="77"/>
        <v>Carassius auratus</v>
      </c>
      <c r="G767" t="str">
        <f t="shared" si="78"/>
        <v>Goldfish</v>
      </c>
      <c r="H767" t="str">
        <f t="shared" si="79"/>
        <v>Morihana</v>
      </c>
      <c r="I767" t="str">
        <f t="shared" si="80"/>
        <v>Nonnative</v>
      </c>
      <c r="J767" t="str">
        <f t="shared" si="81"/>
        <v>No</v>
      </c>
      <c r="L767">
        <v>155</v>
      </c>
      <c r="M767">
        <v>89</v>
      </c>
      <c r="N767">
        <v>1</v>
      </c>
      <c r="S767" t="str">
        <f t="shared" si="82"/>
        <v/>
      </c>
    </row>
    <row r="768" spans="1:20" x14ac:dyDescent="0.55000000000000004">
      <c r="A768">
        <v>89</v>
      </c>
      <c r="B768" s="2">
        <v>45637.541666608799</v>
      </c>
      <c r="C768" t="s">
        <v>215</v>
      </c>
      <c r="D768">
        <v>2</v>
      </c>
      <c r="E768" t="s">
        <v>123</v>
      </c>
      <c r="F768" t="str">
        <f t="shared" si="77"/>
        <v>Carassius auratus</v>
      </c>
      <c r="G768" t="str">
        <f t="shared" si="78"/>
        <v>Goldfish</v>
      </c>
      <c r="H768" t="str">
        <f t="shared" si="79"/>
        <v>Morihana</v>
      </c>
      <c r="I768" t="str">
        <f t="shared" si="80"/>
        <v>Nonnative</v>
      </c>
      <c r="J768" t="str">
        <f t="shared" si="81"/>
        <v>No</v>
      </c>
      <c r="L768">
        <v>115</v>
      </c>
      <c r="M768">
        <v>40</v>
      </c>
      <c r="N768">
        <v>1</v>
      </c>
      <c r="S768" t="str">
        <f t="shared" si="82"/>
        <v/>
      </c>
    </row>
    <row r="769" spans="1:20" x14ac:dyDescent="0.55000000000000004">
      <c r="A769">
        <v>89</v>
      </c>
      <c r="B769" s="2">
        <v>45637.541666608799</v>
      </c>
      <c r="C769" t="s">
        <v>215</v>
      </c>
      <c r="D769">
        <v>2</v>
      </c>
      <c r="E769" t="s">
        <v>123</v>
      </c>
      <c r="F769" t="str">
        <f t="shared" si="77"/>
        <v>Carassius auratus</v>
      </c>
      <c r="G769" t="str">
        <f t="shared" si="78"/>
        <v>Goldfish</v>
      </c>
      <c r="H769" t="str">
        <f t="shared" si="79"/>
        <v>Morihana</v>
      </c>
      <c r="I769" t="str">
        <f t="shared" si="80"/>
        <v>Nonnative</v>
      </c>
      <c r="J769" t="str">
        <f t="shared" si="81"/>
        <v>No</v>
      </c>
      <c r="L769">
        <v>113</v>
      </c>
      <c r="M769">
        <v>37</v>
      </c>
      <c r="N769">
        <v>1</v>
      </c>
      <c r="S769" t="str">
        <f t="shared" si="82"/>
        <v/>
      </c>
    </row>
    <row r="770" spans="1:20" x14ac:dyDescent="0.55000000000000004">
      <c r="A770">
        <v>89</v>
      </c>
      <c r="B770" s="2">
        <v>45637.541666608799</v>
      </c>
      <c r="C770" t="s">
        <v>215</v>
      </c>
      <c r="D770">
        <v>2</v>
      </c>
      <c r="E770" t="s">
        <v>123</v>
      </c>
      <c r="F770" t="str">
        <f t="shared" ref="F770:F833" si="83">VLOOKUP($E770, $V$1:$AA$9, 2, FALSE)</f>
        <v>Carassius auratus</v>
      </c>
      <c r="G770" t="str">
        <f t="shared" ref="G770:G833" si="84">VLOOKUP($E770, $V$1:$AA$9, 3, FALSE)</f>
        <v>Goldfish</v>
      </c>
      <c r="H770" t="str">
        <f t="shared" ref="H770:H833" si="85">VLOOKUP($E770, $V$1:$AA$9, 4, FALSE)</f>
        <v>Morihana</v>
      </c>
      <c r="I770" t="str">
        <f t="shared" ref="I770:I833" si="86">VLOOKUP($E770, $V$1:$AB$9, 5, FALSE)</f>
        <v>Nonnative</v>
      </c>
      <c r="J770" t="str">
        <f t="shared" ref="J770:J833" si="87">VLOOKUP($E770, $V$1:$AA$9, 6, FALSE)</f>
        <v>No</v>
      </c>
      <c r="L770">
        <v>126</v>
      </c>
      <c r="M770">
        <v>55</v>
      </c>
      <c r="N770">
        <v>1</v>
      </c>
      <c r="S770" t="str">
        <f t="shared" si="82"/>
        <v/>
      </c>
    </row>
    <row r="771" spans="1:20" x14ac:dyDescent="0.55000000000000004">
      <c r="A771">
        <v>89</v>
      </c>
      <c r="B771" s="2">
        <v>45637.541666608799</v>
      </c>
      <c r="C771" t="s">
        <v>215</v>
      </c>
      <c r="D771">
        <v>2</v>
      </c>
      <c r="E771" t="s">
        <v>123</v>
      </c>
      <c r="F771" t="str">
        <f t="shared" si="83"/>
        <v>Carassius auratus</v>
      </c>
      <c r="G771" t="str">
        <f t="shared" si="84"/>
        <v>Goldfish</v>
      </c>
      <c r="H771" t="str">
        <f t="shared" si="85"/>
        <v>Morihana</v>
      </c>
      <c r="I771" t="str">
        <f t="shared" si="86"/>
        <v>Nonnative</v>
      </c>
      <c r="J771" t="str">
        <f t="shared" si="87"/>
        <v>No</v>
      </c>
      <c r="L771">
        <v>132</v>
      </c>
      <c r="M771">
        <v>57</v>
      </c>
      <c r="N771">
        <v>1</v>
      </c>
      <c r="S771" t="str">
        <f t="shared" ref="S771:S834" si="88">IF(R771&lt;&gt;"", R771*236.588, "")</f>
        <v/>
      </c>
    </row>
    <row r="772" spans="1:20" x14ac:dyDescent="0.55000000000000004">
      <c r="A772">
        <v>89</v>
      </c>
      <c r="B772" s="2">
        <v>45637.541666608799</v>
      </c>
      <c r="C772" t="s">
        <v>215</v>
      </c>
      <c r="D772">
        <v>2</v>
      </c>
      <c r="E772" t="s">
        <v>44</v>
      </c>
      <c r="F772" t="str">
        <f t="shared" si="83"/>
        <v>Gobiomorphus cotidianus</v>
      </c>
      <c r="G772" t="str">
        <f t="shared" si="84"/>
        <v>Common_bully</v>
      </c>
      <c r="H772" t="str">
        <f t="shared" si="85"/>
        <v>Toitoi</v>
      </c>
      <c r="I772" t="str">
        <f t="shared" si="86"/>
        <v>Native</v>
      </c>
      <c r="J772" t="str">
        <f t="shared" si="87"/>
        <v>No</v>
      </c>
      <c r="M772">
        <v>41</v>
      </c>
      <c r="N772">
        <v>100</v>
      </c>
      <c r="R772">
        <v>0.25</v>
      </c>
      <c r="S772">
        <f t="shared" si="88"/>
        <v>59.146999999999998</v>
      </c>
      <c r="T772" t="s">
        <v>296</v>
      </c>
    </row>
    <row r="773" spans="1:20" x14ac:dyDescent="0.55000000000000004">
      <c r="A773">
        <v>89</v>
      </c>
      <c r="B773" s="2">
        <v>45637.541666608799</v>
      </c>
      <c r="C773" t="s">
        <v>215</v>
      </c>
      <c r="D773">
        <v>2</v>
      </c>
      <c r="E773" t="s">
        <v>44</v>
      </c>
      <c r="F773" t="str">
        <f t="shared" si="83"/>
        <v>Gobiomorphus cotidianus</v>
      </c>
      <c r="G773" t="str">
        <f t="shared" si="84"/>
        <v>Common_bully</v>
      </c>
      <c r="H773" t="str">
        <f t="shared" si="85"/>
        <v>Toitoi</v>
      </c>
      <c r="I773" t="str">
        <f t="shared" si="86"/>
        <v>Native</v>
      </c>
      <c r="J773" t="str">
        <f t="shared" si="87"/>
        <v>No</v>
      </c>
      <c r="M773">
        <v>515</v>
      </c>
      <c r="R773">
        <v>2</v>
      </c>
      <c r="S773">
        <f t="shared" si="88"/>
        <v>473.17599999999999</v>
      </c>
    </row>
    <row r="774" spans="1:20" x14ac:dyDescent="0.55000000000000004">
      <c r="A774">
        <v>89</v>
      </c>
      <c r="B774" s="2">
        <v>45637.541666608799</v>
      </c>
      <c r="C774" t="s">
        <v>215</v>
      </c>
      <c r="D774">
        <v>2</v>
      </c>
      <c r="E774" t="s">
        <v>44</v>
      </c>
      <c r="F774" t="str">
        <f t="shared" si="83"/>
        <v>Gobiomorphus cotidianus</v>
      </c>
      <c r="G774" t="str">
        <f t="shared" si="84"/>
        <v>Common_bully</v>
      </c>
      <c r="H774" t="str">
        <f t="shared" si="85"/>
        <v>Toitoi</v>
      </c>
      <c r="I774" t="str">
        <f t="shared" si="86"/>
        <v>Native</v>
      </c>
      <c r="J774" t="str">
        <f t="shared" si="87"/>
        <v>No</v>
      </c>
      <c r="M774">
        <v>497</v>
      </c>
      <c r="R774">
        <v>2</v>
      </c>
      <c r="S774">
        <f t="shared" si="88"/>
        <v>473.17599999999999</v>
      </c>
    </row>
    <row r="775" spans="1:20" x14ac:dyDescent="0.55000000000000004">
      <c r="A775">
        <v>89</v>
      </c>
      <c r="B775" s="2">
        <v>45637.541666608799</v>
      </c>
      <c r="C775" t="s">
        <v>215</v>
      </c>
      <c r="D775">
        <v>2</v>
      </c>
      <c r="E775" t="s">
        <v>44</v>
      </c>
      <c r="F775" t="str">
        <f t="shared" si="83"/>
        <v>Gobiomorphus cotidianus</v>
      </c>
      <c r="G775" t="str">
        <f t="shared" si="84"/>
        <v>Common_bully</v>
      </c>
      <c r="H775" t="str">
        <f t="shared" si="85"/>
        <v>Toitoi</v>
      </c>
      <c r="I775" t="str">
        <f t="shared" si="86"/>
        <v>Native</v>
      </c>
      <c r="J775" t="str">
        <f t="shared" si="87"/>
        <v>No</v>
      </c>
      <c r="M775">
        <v>433</v>
      </c>
      <c r="R775">
        <v>2</v>
      </c>
      <c r="S775">
        <f t="shared" si="88"/>
        <v>473.17599999999999</v>
      </c>
    </row>
    <row r="776" spans="1:20" x14ac:dyDescent="0.55000000000000004">
      <c r="A776">
        <v>89</v>
      </c>
      <c r="B776" s="2">
        <v>45637.541666608799</v>
      </c>
      <c r="C776" t="s">
        <v>215</v>
      </c>
      <c r="D776">
        <v>2</v>
      </c>
      <c r="E776" t="s">
        <v>123</v>
      </c>
      <c r="F776" t="str">
        <f t="shared" si="83"/>
        <v>Carassius auratus</v>
      </c>
      <c r="G776" t="str">
        <f t="shared" si="84"/>
        <v>Goldfish</v>
      </c>
      <c r="H776" t="str">
        <f t="shared" si="85"/>
        <v>Morihana</v>
      </c>
      <c r="I776" t="str">
        <f t="shared" si="86"/>
        <v>Nonnative</v>
      </c>
      <c r="J776" t="str">
        <f t="shared" si="87"/>
        <v>No</v>
      </c>
      <c r="L776">
        <v>208</v>
      </c>
      <c r="M776">
        <v>197</v>
      </c>
      <c r="N776">
        <v>1</v>
      </c>
      <c r="S776" t="str">
        <f t="shared" si="88"/>
        <v/>
      </c>
    </row>
    <row r="777" spans="1:20" x14ac:dyDescent="0.55000000000000004">
      <c r="A777">
        <v>89</v>
      </c>
      <c r="B777" s="2">
        <v>45637.541666608799</v>
      </c>
      <c r="C777" t="s">
        <v>215</v>
      </c>
      <c r="D777">
        <v>2</v>
      </c>
      <c r="E777" t="s">
        <v>123</v>
      </c>
      <c r="F777" t="str">
        <f t="shared" si="83"/>
        <v>Carassius auratus</v>
      </c>
      <c r="G777" t="str">
        <f t="shared" si="84"/>
        <v>Goldfish</v>
      </c>
      <c r="H777" t="str">
        <f t="shared" si="85"/>
        <v>Morihana</v>
      </c>
      <c r="I777" t="str">
        <f t="shared" si="86"/>
        <v>Nonnative</v>
      </c>
      <c r="J777" t="str">
        <f t="shared" si="87"/>
        <v>No</v>
      </c>
      <c r="L777">
        <v>146</v>
      </c>
      <c r="M777">
        <v>84</v>
      </c>
      <c r="N777">
        <v>1</v>
      </c>
      <c r="S777" t="str">
        <f t="shared" si="88"/>
        <v/>
      </c>
    </row>
    <row r="778" spans="1:20" x14ac:dyDescent="0.55000000000000004">
      <c r="A778">
        <v>89</v>
      </c>
      <c r="B778" s="2">
        <v>45637.541666608799</v>
      </c>
      <c r="C778" t="s">
        <v>215</v>
      </c>
      <c r="D778">
        <v>2</v>
      </c>
      <c r="E778" t="s">
        <v>123</v>
      </c>
      <c r="F778" t="str">
        <f t="shared" si="83"/>
        <v>Carassius auratus</v>
      </c>
      <c r="G778" t="str">
        <f t="shared" si="84"/>
        <v>Goldfish</v>
      </c>
      <c r="H778" t="str">
        <f t="shared" si="85"/>
        <v>Morihana</v>
      </c>
      <c r="I778" t="str">
        <f t="shared" si="86"/>
        <v>Nonnative</v>
      </c>
      <c r="J778" t="str">
        <f t="shared" si="87"/>
        <v>No</v>
      </c>
      <c r="L778">
        <v>170</v>
      </c>
      <c r="M778">
        <v>128</v>
      </c>
      <c r="N778">
        <v>1</v>
      </c>
      <c r="S778" t="str">
        <f t="shared" si="88"/>
        <v/>
      </c>
    </row>
    <row r="779" spans="1:20" x14ac:dyDescent="0.55000000000000004">
      <c r="A779">
        <v>89</v>
      </c>
      <c r="B779" s="2">
        <v>45637.541666608799</v>
      </c>
      <c r="C779" t="s">
        <v>215</v>
      </c>
      <c r="D779">
        <v>2</v>
      </c>
      <c r="E779" t="s">
        <v>123</v>
      </c>
      <c r="F779" t="str">
        <f t="shared" si="83"/>
        <v>Carassius auratus</v>
      </c>
      <c r="G779" t="str">
        <f t="shared" si="84"/>
        <v>Goldfish</v>
      </c>
      <c r="H779" t="str">
        <f t="shared" si="85"/>
        <v>Morihana</v>
      </c>
      <c r="I779" t="str">
        <f t="shared" si="86"/>
        <v>Nonnative</v>
      </c>
      <c r="J779" t="str">
        <f t="shared" si="87"/>
        <v>No</v>
      </c>
      <c r="L779">
        <v>161</v>
      </c>
      <c r="M779">
        <v>119</v>
      </c>
      <c r="N779">
        <v>1</v>
      </c>
      <c r="S779" t="str">
        <f t="shared" si="88"/>
        <v/>
      </c>
    </row>
    <row r="780" spans="1:20" x14ac:dyDescent="0.55000000000000004">
      <c r="A780">
        <v>89</v>
      </c>
      <c r="B780" s="2">
        <v>45637.541666608799</v>
      </c>
      <c r="C780" t="s">
        <v>215</v>
      </c>
      <c r="D780">
        <v>2</v>
      </c>
      <c r="E780" t="s">
        <v>123</v>
      </c>
      <c r="F780" t="str">
        <f t="shared" si="83"/>
        <v>Carassius auratus</v>
      </c>
      <c r="G780" t="str">
        <f t="shared" si="84"/>
        <v>Goldfish</v>
      </c>
      <c r="H780" t="str">
        <f t="shared" si="85"/>
        <v>Morihana</v>
      </c>
      <c r="I780" t="str">
        <f t="shared" si="86"/>
        <v>Nonnative</v>
      </c>
      <c r="J780" t="str">
        <f t="shared" si="87"/>
        <v>No</v>
      </c>
      <c r="L780">
        <v>140</v>
      </c>
      <c r="M780">
        <v>67</v>
      </c>
      <c r="N780">
        <v>1</v>
      </c>
      <c r="S780" t="str">
        <f t="shared" si="88"/>
        <v/>
      </c>
    </row>
    <row r="781" spans="1:20" x14ac:dyDescent="0.55000000000000004">
      <c r="A781">
        <v>89</v>
      </c>
      <c r="B781" s="2">
        <v>45637.541666608799</v>
      </c>
      <c r="C781" t="s">
        <v>215</v>
      </c>
      <c r="D781">
        <v>2</v>
      </c>
      <c r="E781" t="s">
        <v>123</v>
      </c>
      <c r="F781" t="str">
        <f t="shared" si="83"/>
        <v>Carassius auratus</v>
      </c>
      <c r="G781" t="str">
        <f t="shared" si="84"/>
        <v>Goldfish</v>
      </c>
      <c r="H781" t="str">
        <f t="shared" si="85"/>
        <v>Morihana</v>
      </c>
      <c r="I781" t="str">
        <f t="shared" si="86"/>
        <v>Nonnative</v>
      </c>
      <c r="J781" t="str">
        <f t="shared" si="87"/>
        <v>No</v>
      </c>
      <c r="L781">
        <v>137</v>
      </c>
      <c r="M781">
        <v>65</v>
      </c>
      <c r="N781">
        <v>1</v>
      </c>
      <c r="S781" t="str">
        <f t="shared" si="88"/>
        <v/>
      </c>
    </row>
    <row r="782" spans="1:20" x14ac:dyDescent="0.55000000000000004">
      <c r="A782">
        <v>89</v>
      </c>
      <c r="B782" s="2">
        <v>45637.541666608799</v>
      </c>
      <c r="C782" t="s">
        <v>215</v>
      </c>
      <c r="D782">
        <v>2</v>
      </c>
      <c r="E782" t="s">
        <v>123</v>
      </c>
      <c r="F782" t="str">
        <f t="shared" si="83"/>
        <v>Carassius auratus</v>
      </c>
      <c r="G782" t="str">
        <f t="shared" si="84"/>
        <v>Goldfish</v>
      </c>
      <c r="H782" t="str">
        <f t="shared" si="85"/>
        <v>Morihana</v>
      </c>
      <c r="I782" t="str">
        <f t="shared" si="86"/>
        <v>Nonnative</v>
      </c>
      <c r="J782" t="str">
        <f t="shared" si="87"/>
        <v>No</v>
      </c>
      <c r="L782">
        <v>80</v>
      </c>
      <c r="M782">
        <v>10</v>
      </c>
      <c r="N782">
        <v>1</v>
      </c>
      <c r="S782" t="str">
        <f t="shared" si="88"/>
        <v/>
      </c>
    </row>
    <row r="783" spans="1:20" x14ac:dyDescent="0.55000000000000004">
      <c r="A783">
        <v>89</v>
      </c>
      <c r="B783" s="2">
        <v>45637.541666608799</v>
      </c>
      <c r="C783" t="s">
        <v>215</v>
      </c>
      <c r="D783">
        <v>2</v>
      </c>
      <c r="E783" t="s">
        <v>123</v>
      </c>
      <c r="F783" t="str">
        <f t="shared" si="83"/>
        <v>Carassius auratus</v>
      </c>
      <c r="G783" t="str">
        <f t="shared" si="84"/>
        <v>Goldfish</v>
      </c>
      <c r="H783" t="str">
        <f t="shared" si="85"/>
        <v>Morihana</v>
      </c>
      <c r="I783" t="str">
        <f t="shared" si="86"/>
        <v>Nonnative</v>
      </c>
      <c r="J783" t="str">
        <f t="shared" si="87"/>
        <v>No</v>
      </c>
      <c r="L783">
        <v>81</v>
      </c>
      <c r="M783">
        <v>13</v>
      </c>
      <c r="N783">
        <v>1</v>
      </c>
      <c r="S783" t="str">
        <f t="shared" si="88"/>
        <v/>
      </c>
    </row>
    <row r="784" spans="1:20" x14ac:dyDescent="0.55000000000000004">
      <c r="A784">
        <v>89</v>
      </c>
      <c r="B784" s="2">
        <v>45637.541666608799</v>
      </c>
      <c r="C784" t="s">
        <v>215</v>
      </c>
      <c r="D784">
        <v>2</v>
      </c>
      <c r="E784" t="s">
        <v>123</v>
      </c>
      <c r="F784" t="str">
        <f t="shared" si="83"/>
        <v>Carassius auratus</v>
      </c>
      <c r="G784" t="str">
        <f t="shared" si="84"/>
        <v>Goldfish</v>
      </c>
      <c r="H784" t="str">
        <f t="shared" si="85"/>
        <v>Morihana</v>
      </c>
      <c r="I784" t="str">
        <f t="shared" si="86"/>
        <v>Nonnative</v>
      </c>
      <c r="J784" t="str">
        <f t="shared" si="87"/>
        <v>No</v>
      </c>
      <c r="L784">
        <v>52</v>
      </c>
      <c r="M784">
        <v>4</v>
      </c>
      <c r="N784">
        <v>1</v>
      </c>
      <c r="S784" t="str">
        <f t="shared" si="88"/>
        <v/>
      </c>
    </row>
    <row r="785" spans="1:19" x14ac:dyDescent="0.55000000000000004">
      <c r="A785">
        <v>89</v>
      </c>
      <c r="B785" s="2">
        <v>45637.541666608799</v>
      </c>
      <c r="C785" t="s">
        <v>215</v>
      </c>
      <c r="D785">
        <v>2</v>
      </c>
      <c r="E785" t="s">
        <v>123</v>
      </c>
      <c r="F785" t="str">
        <f t="shared" si="83"/>
        <v>Carassius auratus</v>
      </c>
      <c r="G785" t="str">
        <f t="shared" si="84"/>
        <v>Goldfish</v>
      </c>
      <c r="H785" t="str">
        <f t="shared" si="85"/>
        <v>Morihana</v>
      </c>
      <c r="I785" t="str">
        <f t="shared" si="86"/>
        <v>Nonnative</v>
      </c>
      <c r="J785" t="str">
        <f t="shared" si="87"/>
        <v>No</v>
      </c>
      <c r="L785">
        <v>30</v>
      </c>
      <c r="M785">
        <v>4</v>
      </c>
      <c r="N785">
        <v>1</v>
      </c>
      <c r="S785" t="str">
        <f t="shared" si="88"/>
        <v/>
      </c>
    </row>
    <row r="786" spans="1:19" x14ac:dyDescent="0.55000000000000004">
      <c r="A786">
        <v>89</v>
      </c>
      <c r="B786" s="2">
        <v>45637.541666608799</v>
      </c>
      <c r="C786" t="s">
        <v>215</v>
      </c>
      <c r="D786">
        <v>2</v>
      </c>
      <c r="E786" t="s">
        <v>123</v>
      </c>
      <c r="F786" t="str">
        <f t="shared" si="83"/>
        <v>Carassius auratus</v>
      </c>
      <c r="G786" t="str">
        <f t="shared" si="84"/>
        <v>Goldfish</v>
      </c>
      <c r="H786" t="str">
        <f t="shared" si="85"/>
        <v>Morihana</v>
      </c>
      <c r="I786" t="str">
        <f t="shared" si="86"/>
        <v>Nonnative</v>
      </c>
      <c r="J786" t="str">
        <f t="shared" si="87"/>
        <v>No</v>
      </c>
      <c r="L786">
        <v>55</v>
      </c>
      <c r="M786">
        <v>5</v>
      </c>
      <c r="N786">
        <v>1</v>
      </c>
      <c r="S786" t="str">
        <f t="shared" si="88"/>
        <v/>
      </c>
    </row>
    <row r="787" spans="1:19" x14ac:dyDescent="0.55000000000000004">
      <c r="A787">
        <v>89</v>
      </c>
      <c r="B787" s="2">
        <v>45637.541666608799</v>
      </c>
      <c r="C787" t="s">
        <v>215</v>
      </c>
      <c r="D787">
        <v>2</v>
      </c>
      <c r="E787" t="s">
        <v>123</v>
      </c>
      <c r="F787" t="str">
        <f t="shared" si="83"/>
        <v>Carassius auratus</v>
      </c>
      <c r="G787" t="str">
        <f t="shared" si="84"/>
        <v>Goldfish</v>
      </c>
      <c r="H787" t="str">
        <f t="shared" si="85"/>
        <v>Morihana</v>
      </c>
      <c r="I787" t="str">
        <f t="shared" si="86"/>
        <v>Nonnative</v>
      </c>
      <c r="J787" t="str">
        <f t="shared" si="87"/>
        <v>No</v>
      </c>
      <c r="L787">
        <v>39</v>
      </c>
      <c r="M787">
        <v>1</v>
      </c>
      <c r="N787">
        <v>1</v>
      </c>
      <c r="S787" t="str">
        <f t="shared" si="88"/>
        <v/>
      </c>
    </row>
    <row r="788" spans="1:19" x14ac:dyDescent="0.55000000000000004">
      <c r="A788">
        <v>89</v>
      </c>
      <c r="B788" s="2">
        <v>45637.541666608799</v>
      </c>
      <c r="C788" t="s">
        <v>215</v>
      </c>
      <c r="D788">
        <v>2</v>
      </c>
      <c r="E788" t="s">
        <v>123</v>
      </c>
      <c r="F788" t="str">
        <f t="shared" si="83"/>
        <v>Carassius auratus</v>
      </c>
      <c r="G788" t="str">
        <f t="shared" si="84"/>
        <v>Goldfish</v>
      </c>
      <c r="H788" t="str">
        <f t="shared" si="85"/>
        <v>Morihana</v>
      </c>
      <c r="I788" t="str">
        <f t="shared" si="86"/>
        <v>Nonnative</v>
      </c>
      <c r="J788" t="str">
        <f t="shared" si="87"/>
        <v>No</v>
      </c>
      <c r="L788">
        <v>45</v>
      </c>
      <c r="M788">
        <v>2</v>
      </c>
      <c r="N788">
        <v>1</v>
      </c>
      <c r="S788" t="str">
        <f t="shared" si="88"/>
        <v/>
      </c>
    </row>
    <row r="789" spans="1:19" x14ac:dyDescent="0.55000000000000004">
      <c r="A789">
        <v>89</v>
      </c>
      <c r="B789" s="2">
        <v>45637.541666608799</v>
      </c>
      <c r="C789" t="s">
        <v>215</v>
      </c>
      <c r="D789">
        <v>2</v>
      </c>
      <c r="E789" t="s">
        <v>123</v>
      </c>
      <c r="F789" t="str">
        <f t="shared" si="83"/>
        <v>Carassius auratus</v>
      </c>
      <c r="G789" t="str">
        <f t="shared" si="84"/>
        <v>Goldfish</v>
      </c>
      <c r="H789" t="str">
        <f t="shared" si="85"/>
        <v>Morihana</v>
      </c>
      <c r="I789" t="str">
        <f t="shared" si="86"/>
        <v>Nonnative</v>
      </c>
      <c r="J789" t="str">
        <f t="shared" si="87"/>
        <v>No</v>
      </c>
      <c r="L789">
        <v>49</v>
      </c>
      <c r="M789">
        <v>4</v>
      </c>
      <c r="N789">
        <v>1</v>
      </c>
      <c r="S789" t="str">
        <f t="shared" si="88"/>
        <v/>
      </c>
    </row>
    <row r="790" spans="1:19" x14ac:dyDescent="0.55000000000000004">
      <c r="A790">
        <v>89</v>
      </c>
      <c r="B790" s="2">
        <v>45637.541666608799</v>
      </c>
      <c r="C790" t="s">
        <v>215</v>
      </c>
      <c r="D790">
        <v>2</v>
      </c>
      <c r="E790" t="s">
        <v>123</v>
      </c>
      <c r="F790" t="str">
        <f t="shared" si="83"/>
        <v>Carassius auratus</v>
      </c>
      <c r="G790" t="str">
        <f t="shared" si="84"/>
        <v>Goldfish</v>
      </c>
      <c r="H790" t="str">
        <f t="shared" si="85"/>
        <v>Morihana</v>
      </c>
      <c r="I790" t="str">
        <f t="shared" si="86"/>
        <v>Nonnative</v>
      </c>
      <c r="J790" t="str">
        <f t="shared" si="87"/>
        <v>No</v>
      </c>
      <c r="L790">
        <v>55</v>
      </c>
      <c r="M790">
        <v>6</v>
      </c>
      <c r="N790">
        <v>1</v>
      </c>
      <c r="S790" t="str">
        <f t="shared" si="88"/>
        <v/>
      </c>
    </row>
    <row r="791" spans="1:19" x14ac:dyDescent="0.55000000000000004">
      <c r="A791">
        <v>89</v>
      </c>
      <c r="B791" s="2">
        <v>45637.541666608799</v>
      </c>
      <c r="C791" t="s">
        <v>215</v>
      </c>
      <c r="D791">
        <v>2</v>
      </c>
      <c r="E791" t="s">
        <v>123</v>
      </c>
      <c r="F791" t="str">
        <f t="shared" si="83"/>
        <v>Carassius auratus</v>
      </c>
      <c r="G791" t="str">
        <f t="shared" si="84"/>
        <v>Goldfish</v>
      </c>
      <c r="H791" t="str">
        <f t="shared" si="85"/>
        <v>Morihana</v>
      </c>
      <c r="I791" t="str">
        <f t="shared" si="86"/>
        <v>Nonnative</v>
      </c>
      <c r="J791" t="str">
        <f t="shared" si="87"/>
        <v>No</v>
      </c>
      <c r="L791">
        <v>43</v>
      </c>
      <c r="M791">
        <v>1</v>
      </c>
      <c r="N791">
        <v>1</v>
      </c>
      <c r="S791" t="str">
        <f t="shared" si="88"/>
        <v/>
      </c>
    </row>
    <row r="792" spans="1:19" x14ac:dyDescent="0.55000000000000004">
      <c r="A792">
        <v>89</v>
      </c>
      <c r="B792" s="2">
        <v>45637.541666608799</v>
      </c>
      <c r="C792" t="s">
        <v>215</v>
      </c>
      <c r="D792">
        <v>2</v>
      </c>
      <c r="E792" t="s">
        <v>123</v>
      </c>
      <c r="F792" t="str">
        <f t="shared" si="83"/>
        <v>Carassius auratus</v>
      </c>
      <c r="G792" t="str">
        <f t="shared" si="84"/>
        <v>Goldfish</v>
      </c>
      <c r="H792" t="str">
        <f t="shared" si="85"/>
        <v>Morihana</v>
      </c>
      <c r="I792" t="str">
        <f t="shared" si="86"/>
        <v>Nonnative</v>
      </c>
      <c r="J792" t="str">
        <f t="shared" si="87"/>
        <v>No</v>
      </c>
      <c r="L792">
        <v>50</v>
      </c>
      <c r="M792">
        <v>4</v>
      </c>
      <c r="N792">
        <v>1</v>
      </c>
      <c r="S792" t="str">
        <f t="shared" si="88"/>
        <v/>
      </c>
    </row>
    <row r="793" spans="1:19" x14ac:dyDescent="0.55000000000000004">
      <c r="A793">
        <v>89</v>
      </c>
      <c r="B793" s="2">
        <v>45637.541666608799</v>
      </c>
      <c r="C793" t="s">
        <v>215</v>
      </c>
      <c r="D793">
        <v>2</v>
      </c>
      <c r="E793" t="s">
        <v>123</v>
      </c>
      <c r="F793" t="str">
        <f t="shared" si="83"/>
        <v>Carassius auratus</v>
      </c>
      <c r="G793" t="str">
        <f t="shared" si="84"/>
        <v>Goldfish</v>
      </c>
      <c r="H793" t="str">
        <f t="shared" si="85"/>
        <v>Morihana</v>
      </c>
      <c r="I793" t="str">
        <f t="shared" si="86"/>
        <v>Nonnative</v>
      </c>
      <c r="J793" t="str">
        <f t="shared" si="87"/>
        <v>No</v>
      </c>
      <c r="L793">
        <v>39</v>
      </c>
      <c r="M793">
        <v>1</v>
      </c>
      <c r="N793">
        <v>1</v>
      </c>
      <c r="S793" t="str">
        <f t="shared" si="88"/>
        <v/>
      </c>
    </row>
    <row r="794" spans="1:19" x14ac:dyDescent="0.55000000000000004">
      <c r="A794">
        <v>89</v>
      </c>
      <c r="B794" s="2">
        <v>45637.541666608799</v>
      </c>
      <c r="C794" t="s">
        <v>215</v>
      </c>
      <c r="D794">
        <v>2</v>
      </c>
      <c r="E794" t="s">
        <v>44</v>
      </c>
      <c r="F794" t="str">
        <f t="shared" si="83"/>
        <v>Gobiomorphus cotidianus</v>
      </c>
      <c r="G794" t="str">
        <f t="shared" si="84"/>
        <v>Common_bully</v>
      </c>
      <c r="H794" t="str">
        <f t="shared" si="85"/>
        <v>Toitoi</v>
      </c>
      <c r="I794" t="str">
        <f t="shared" si="86"/>
        <v>Native</v>
      </c>
      <c r="J794" t="str">
        <f t="shared" si="87"/>
        <v>No</v>
      </c>
      <c r="M794">
        <f>360-117</f>
        <v>243</v>
      </c>
      <c r="R794">
        <v>1.25</v>
      </c>
      <c r="S794">
        <f t="shared" si="88"/>
        <v>295.73500000000001</v>
      </c>
    </row>
    <row r="795" spans="1:19" x14ac:dyDescent="0.55000000000000004">
      <c r="A795">
        <v>90</v>
      </c>
      <c r="B795" s="2">
        <v>45637.583333333336</v>
      </c>
      <c r="C795" t="s">
        <v>216</v>
      </c>
      <c r="D795">
        <v>2</v>
      </c>
      <c r="E795" t="s">
        <v>44</v>
      </c>
      <c r="F795" t="str">
        <f t="shared" si="83"/>
        <v>Gobiomorphus cotidianus</v>
      </c>
      <c r="G795" t="str">
        <f t="shared" si="84"/>
        <v>Common_bully</v>
      </c>
      <c r="H795" t="str">
        <f t="shared" si="85"/>
        <v>Toitoi</v>
      </c>
      <c r="I795" t="str">
        <f t="shared" si="86"/>
        <v>Native</v>
      </c>
      <c r="J795" t="str">
        <f t="shared" si="87"/>
        <v>No</v>
      </c>
      <c r="M795">
        <v>33</v>
      </c>
      <c r="S795" t="str">
        <f t="shared" si="88"/>
        <v/>
      </c>
    </row>
    <row r="796" spans="1:19" x14ac:dyDescent="0.55000000000000004">
      <c r="A796">
        <v>90</v>
      </c>
      <c r="B796" s="2">
        <v>45637.583333333336</v>
      </c>
      <c r="C796" t="s">
        <v>215</v>
      </c>
      <c r="D796">
        <v>2</v>
      </c>
      <c r="E796" t="s">
        <v>123</v>
      </c>
      <c r="F796" t="str">
        <f t="shared" si="83"/>
        <v>Carassius auratus</v>
      </c>
      <c r="G796" t="str">
        <f t="shared" si="84"/>
        <v>Goldfish</v>
      </c>
      <c r="H796" t="str">
        <f t="shared" si="85"/>
        <v>Morihana</v>
      </c>
      <c r="I796" t="str">
        <f t="shared" si="86"/>
        <v>Nonnative</v>
      </c>
      <c r="J796" t="str">
        <f t="shared" si="87"/>
        <v>No</v>
      </c>
      <c r="L796">
        <v>139</v>
      </c>
      <c r="M796">
        <v>58</v>
      </c>
      <c r="N796">
        <v>1</v>
      </c>
      <c r="S796" t="str">
        <f t="shared" si="88"/>
        <v/>
      </c>
    </row>
    <row r="797" spans="1:19" x14ac:dyDescent="0.55000000000000004">
      <c r="A797">
        <v>90</v>
      </c>
      <c r="B797" s="2">
        <v>45637.583333333336</v>
      </c>
      <c r="C797" t="s">
        <v>215</v>
      </c>
      <c r="D797">
        <v>2</v>
      </c>
      <c r="E797" t="s">
        <v>123</v>
      </c>
      <c r="F797" t="str">
        <f t="shared" si="83"/>
        <v>Carassius auratus</v>
      </c>
      <c r="G797" t="str">
        <f t="shared" si="84"/>
        <v>Goldfish</v>
      </c>
      <c r="H797" t="str">
        <f t="shared" si="85"/>
        <v>Morihana</v>
      </c>
      <c r="I797" t="str">
        <f t="shared" si="86"/>
        <v>Nonnative</v>
      </c>
      <c r="J797" t="str">
        <f t="shared" si="87"/>
        <v>No</v>
      </c>
      <c r="L797">
        <v>200</v>
      </c>
      <c r="M797">
        <v>220</v>
      </c>
      <c r="N797">
        <v>1</v>
      </c>
      <c r="S797" t="str">
        <f t="shared" si="88"/>
        <v/>
      </c>
    </row>
    <row r="798" spans="1:19" x14ac:dyDescent="0.55000000000000004">
      <c r="A798">
        <v>90</v>
      </c>
      <c r="B798" s="2">
        <v>45637.583333333336</v>
      </c>
      <c r="C798" t="s">
        <v>215</v>
      </c>
      <c r="D798">
        <v>2</v>
      </c>
      <c r="E798" t="s">
        <v>123</v>
      </c>
      <c r="F798" t="str">
        <f t="shared" si="83"/>
        <v>Carassius auratus</v>
      </c>
      <c r="G798" t="str">
        <f t="shared" si="84"/>
        <v>Goldfish</v>
      </c>
      <c r="H798" t="str">
        <f t="shared" si="85"/>
        <v>Morihana</v>
      </c>
      <c r="I798" t="str">
        <f t="shared" si="86"/>
        <v>Nonnative</v>
      </c>
      <c r="J798" t="str">
        <f t="shared" si="87"/>
        <v>No</v>
      </c>
      <c r="L798">
        <v>165</v>
      </c>
      <c r="M798">
        <v>114</v>
      </c>
      <c r="N798">
        <v>1</v>
      </c>
      <c r="S798" t="str">
        <f t="shared" si="88"/>
        <v/>
      </c>
    </row>
    <row r="799" spans="1:19" x14ac:dyDescent="0.55000000000000004">
      <c r="A799">
        <v>90</v>
      </c>
      <c r="B799" s="2">
        <v>45637.583333333336</v>
      </c>
      <c r="C799" t="s">
        <v>215</v>
      </c>
      <c r="D799">
        <v>2</v>
      </c>
      <c r="E799" t="s">
        <v>123</v>
      </c>
      <c r="F799" t="str">
        <f t="shared" si="83"/>
        <v>Carassius auratus</v>
      </c>
      <c r="G799" t="str">
        <f t="shared" si="84"/>
        <v>Goldfish</v>
      </c>
      <c r="H799" t="str">
        <f t="shared" si="85"/>
        <v>Morihana</v>
      </c>
      <c r="I799" t="str">
        <f t="shared" si="86"/>
        <v>Nonnative</v>
      </c>
      <c r="J799" t="str">
        <f t="shared" si="87"/>
        <v>No</v>
      </c>
      <c r="L799">
        <v>169</v>
      </c>
      <c r="M799">
        <v>159</v>
      </c>
      <c r="N799">
        <v>1</v>
      </c>
      <c r="S799" t="str">
        <f t="shared" si="88"/>
        <v/>
      </c>
    </row>
    <row r="800" spans="1:19" x14ac:dyDescent="0.55000000000000004">
      <c r="A800">
        <v>90</v>
      </c>
      <c r="B800" s="2">
        <v>45637.583333333336</v>
      </c>
      <c r="C800" t="s">
        <v>215</v>
      </c>
      <c r="D800">
        <v>2</v>
      </c>
      <c r="E800" t="s">
        <v>123</v>
      </c>
      <c r="F800" t="str">
        <f t="shared" si="83"/>
        <v>Carassius auratus</v>
      </c>
      <c r="G800" t="str">
        <f t="shared" si="84"/>
        <v>Goldfish</v>
      </c>
      <c r="H800" t="str">
        <f t="shared" si="85"/>
        <v>Morihana</v>
      </c>
      <c r="I800" t="str">
        <f t="shared" si="86"/>
        <v>Nonnative</v>
      </c>
      <c r="J800" t="str">
        <f t="shared" si="87"/>
        <v>No</v>
      </c>
      <c r="L800">
        <v>160</v>
      </c>
      <c r="M800">
        <v>109</v>
      </c>
      <c r="N800">
        <v>1</v>
      </c>
      <c r="S800" t="str">
        <f t="shared" si="88"/>
        <v/>
      </c>
    </row>
    <row r="801" spans="1:20" x14ac:dyDescent="0.55000000000000004">
      <c r="A801">
        <v>90</v>
      </c>
      <c r="B801" s="2">
        <v>45637.583333333336</v>
      </c>
      <c r="C801" t="s">
        <v>215</v>
      </c>
      <c r="D801">
        <v>2</v>
      </c>
      <c r="E801" t="s">
        <v>123</v>
      </c>
      <c r="F801" t="str">
        <f t="shared" si="83"/>
        <v>Carassius auratus</v>
      </c>
      <c r="G801" t="str">
        <f t="shared" si="84"/>
        <v>Goldfish</v>
      </c>
      <c r="H801" t="str">
        <f t="shared" si="85"/>
        <v>Morihana</v>
      </c>
      <c r="I801" t="str">
        <f t="shared" si="86"/>
        <v>Nonnative</v>
      </c>
      <c r="J801" t="str">
        <f t="shared" si="87"/>
        <v>No</v>
      </c>
      <c r="L801">
        <v>202</v>
      </c>
      <c r="M801">
        <v>222</v>
      </c>
      <c r="N801">
        <v>1</v>
      </c>
      <c r="S801" t="str">
        <f t="shared" si="88"/>
        <v/>
      </c>
    </row>
    <row r="802" spans="1:20" x14ac:dyDescent="0.55000000000000004">
      <c r="A802">
        <v>90</v>
      </c>
      <c r="B802" s="2">
        <v>45637.583333333336</v>
      </c>
      <c r="C802" t="s">
        <v>215</v>
      </c>
      <c r="D802">
        <v>2</v>
      </c>
      <c r="E802" t="s">
        <v>123</v>
      </c>
      <c r="F802" t="str">
        <f t="shared" si="83"/>
        <v>Carassius auratus</v>
      </c>
      <c r="G802" t="str">
        <f t="shared" si="84"/>
        <v>Goldfish</v>
      </c>
      <c r="H802" t="str">
        <f t="shared" si="85"/>
        <v>Morihana</v>
      </c>
      <c r="I802" t="str">
        <f t="shared" si="86"/>
        <v>Nonnative</v>
      </c>
      <c r="J802" t="str">
        <f t="shared" si="87"/>
        <v>No</v>
      </c>
      <c r="L802">
        <v>160</v>
      </c>
      <c r="M802">
        <v>97</v>
      </c>
      <c r="N802">
        <v>1</v>
      </c>
      <c r="S802" t="str">
        <f t="shared" si="88"/>
        <v/>
      </c>
    </row>
    <row r="803" spans="1:20" x14ac:dyDescent="0.55000000000000004">
      <c r="A803">
        <v>90</v>
      </c>
      <c r="B803" s="2">
        <v>45637.583333333336</v>
      </c>
      <c r="C803" t="s">
        <v>215</v>
      </c>
      <c r="D803">
        <v>2</v>
      </c>
      <c r="E803" t="s">
        <v>123</v>
      </c>
      <c r="F803" t="str">
        <f t="shared" si="83"/>
        <v>Carassius auratus</v>
      </c>
      <c r="G803" t="str">
        <f t="shared" si="84"/>
        <v>Goldfish</v>
      </c>
      <c r="H803" t="str">
        <f t="shared" si="85"/>
        <v>Morihana</v>
      </c>
      <c r="I803" t="str">
        <f t="shared" si="86"/>
        <v>Nonnative</v>
      </c>
      <c r="J803" t="str">
        <f t="shared" si="87"/>
        <v>No</v>
      </c>
      <c r="L803">
        <v>175</v>
      </c>
      <c r="M803">
        <v>156</v>
      </c>
      <c r="N803">
        <v>1</v>
      </c>
      <c r="S803" t="str">
        <f t="shared" si="88"/>
        <v/>
      </c>
    </row>
    <row r="804" spans="1:20" x14ac:dyDescent="0.55000000000000004">
      <c r="A804">
        <v>90</v>
      </c>
      <c r="B804" s="2">
        <v>45637.583333333336</v>
      </c>
      <c r="C804" t="s">
        <v>215</v>
      </c>
      <c r="D804">
        <v>2</v>
      </c>
      <c r="E804" t="s">
        <v>123</v>
      </c>
      <c r="F804" t="str">
        <f t="shared" si="83"/>
        <v>Carassius auratus</v>
      </c>
      <c r="G804" t="str">
        <f t="shared" si="84"/>
        <v>Goldfish</v>
      </c>
      <c r="H804" t="str">
        <f t="shared" si="85"/>
        <v>Morihana</v>
      </c>
      <c r="I804" t="str">
        <f t="shared" si="86"/>
        <v>Nonnative</v>
      </c>
      <c r="J804" t="str">
        <f t="shared" si="87"/>
        <v>No</v>
      </c>
      <c r="L804">
        <v>190</v>
      </c>
      <c r="M804">
        <v>175</v>
      </c>
      <c r="N804">
        <v>1</v>
      </c>
      <c r="S804" t="str">
        <f t="shared" si="88"/>
        <v/>
      </c>
    </row>
    <row r="805" spans="1:20" x14ac:dyDescent="0.55000000000000004">
      <c r="A805">
        <v>90</v>
      </c>
      <c r="B805" s="2">
        <v>45637.583333333336</v>
      </c>
      <c r="C805" t="s">
        <v>215</v>
      </c>
      <c r="D805">
        <v>2</v>
      </c>
      <c r="E805" t="s">
        <v>123</v>
      </c>
      <c r="F805" t="str">
        <f t="shared" si="83"/>
        <v>Carassius auratus</v>
      </c>
      <c r="G805" t="str">
        <f t="shared" si="84"/>
        <v>Goldfish</v>
      </c>
      <c r="H805" t="str">
        <f t="shared" si="85"/>
        <v>Morihana</v>
      </c>
      <c r="I805" t="str">
        <f t="shared" si="86"/>
        <v>Nonnative</v>
      </c>
      <c r="J805" t="str">
        <f t="shared" si="87"/>
        <v>No</v>
      </c>
      <c r="L805">
        <v>175</v>
      </c>
      <c r="M805">
        <v>159</v>
      </c>
      <c r="N805">
        <v>1</v>
      </c>
      <c r="S805" t="str">
        <f t="shared" si="88"/>
        <v/>
      </c>
    </row>
    <row r="806" spans="1:20" x14ac:dyDescent="0.55000000000000004">
      <c r="A806">
        <v>90</v>
      </c>
      <c r="B806" s="2">
        <v>45637.583333333336</v>
      </c>
      <c r="C806" t="s">
        <v>215</v>
      </c>
      <c r="D806">
        <v>2</v>
      </c>
      <c r="E806" t="s">
        <v>123</v>
      </c>
      <c r="F806" t="str">
        <f t="shared" si="83"/>
        <v>Carassius auratus</v>
      </c>
      <c r="G806" t="str">
        <f t="shared" si="84"/>
        <v>Goldfish</v>
      </c>
      <c r="H806" t="str">
        <f t="shared" si="85"/>
        <v>Morihana</v>
      </c>
      <c r="I806" t="str">
        <f t="shared" si="86"/>
        <v>Nonnative</v>
      </c>
      <c r="J806" t="str">
        <f t="shared" si="87"/>
        <v>No</v>
      </c>
      <c r="L806">
        <v>164</v>
      </c>
      <c r="M806">
        <v>124</v>
      </c>
      <c r="N806">
        <v>1</v>
      </c>
      <c r="S806" t="str">
        <f t="shared" si="88"/>
        <v/>
      </c>
    </row>
    <row r="807" spans="1:20" x14ac:dyDescent="0.55000000000000004">
      <c r="A807">
        <v>90</v>
      </c>
      <c r="B807" s="2">
        <v>45637.583333333336</v>
      </c>
      <c r="C807" t="s">
        <v>215</v>
      </c>
      <c r="D807">
        <v>2</v>
      </c>
      <c r="E807" t="s">
        <v>123</v>
      </c>
      <c r="F807" t="str">
        <f t="shared" si="83"/>
        <v>Carassius auratus</v>
      </c>
      <c r="G807" t="str">
        <f t="shared" si="84"/>
        <v>Goldfish</v>
      </c>
      <c r="H807" t="str">
        <f t="shared" si="85"/>
        <v>Morihana</v>
      </c>
      <c r="I807" t="str">
        <f t="shared" si="86"/>
        <v>Nonnative</v>
      </c>
      <c r="J807" t="str">
        <f t="shared" si="87"/>
        <v>No</v>
      </c>
      <c r="L807">
        <v>210</v>
      </c>
      <c r="M807">
        <v>244</v>
      </c>
      <c r="N807">
        <v>1</v>
      </c>
      <c r="S807" t="str">
        <f t="shared" si="88"/>
        <v/>
      </c>
    </row>
    <row r="808" spans="1:20" x14ac:dyDescent="0.55000000000000004">
      <c r="A808">
        <v>90</v>
      </c>
      <c r="B808" s="2">
        <v>45637.583333333336</v>
      </c>
      <c r="C808" t="s">
        <v>215</v>
      </c>
      <c r="D808">
        <v>2</v>
      </c>
      <c r="E808" t="s">
        <v>123</v>
      </c>
      <c r="F808" t="str">
        <f t="shared" si="83"/>
        <v>Carassius auratus</v>
      </c>
      <c r="G808" t="str">
        <f t="shared" si="84"/>
        <v>Goldfish</v>
      </c>
      <c r="H808" t="str">
        <f t="shared" si="85"/>
        <v>Morihana</v>
      </c>
      <c r="I808" t="str">
        <f t="shared" si="86"/>
        <v>Nonnative</v>
      </c>
      <c r="J808" t="str">
        <f t="shared" si="87"/>
        <v>No</v>
      </c>
      <c r="L808">
        <v>200</v>
      </c>
      <c r="M808">
        <v>215</v>
      </c>
      <c r="N808">
        <v>1</v>
      </c>
      <c r="S808" t="str">
        <f t="shared" si="88"/>
        <v/>
      </c>
    </row>
    <row r="809" spans="1:20" x14ac:dyDescent="0.55000000000000004">
      <c r="A809">
        <v>90</v>
      </c>
      <c r="B809" s="2">
        <v>45637.583333333336</v>
      </c>
      <c r="C809" t="s">
        <v>215</v>
      </c>
      <c r="D809">
        <v>2</v>
      </c>
      <c r="E809" t="s">
        <v>123</v>
      </c>
      <c r="F809" t="str">
        <f t="shared" si="83"/>
        <v>Carassius auratus</v>
      </c>
      <c r="G809" t="str">
        <f t="shared" si="84"/>
        <v>Goldfish</v>
      </c>
      <c r="H809" t="str">
        <f t="shared" si="85"/>
        <v>Morihana</v>
      </c>
      <c r="I809" t="str">
        <f t="shared" si="86"/>
        <v>Nonnative</v>
      </c>
      <c r="J809" t="str">
        <f t="shared" si="87"/>
        <v>No</v>
      </c>
      <c r="L809">
        <v>185</v>
      </c>
      <c r="M809">
        <v>167</v>
      </c>
      <c r="N809">
        <v>1</v>
      </c>
      <c r="S809" t="str">
        <f t="shared" si="88"/>
        <v/>
      </c>
    </row>
    <row r="810" spans="1:20" x14ac:dyDescent="0.55000000000000004">
      <c r="A810">
        <v>90</v>
      </c>
      <c r="B810" s="2">
        <v>45637.583333333336</v>
      </c>
      <c r="C810" t="s">
        <v>215</v>
      </c>
      <c r="D810">
        <v>2</v>
      </c>
      <c r="E810" t="s">
        <v>123</v>
      </c>
      <c r="F810" t="str">
        <f t="shared" si="83"/>
        <v>Carassius auratus</v>
      </c>
      <c r="G810" t="str">
        <f t="shared" si="84"/>
        <v>Goldfish</v>
      </c>
      <c r="H810" t="str">
        <f t="shared" si="85"/>
        <v>Morihana</v>
      </c>
      <c r="I810" t="str">
        <f t="shared" si="86"/>
        <v>Nonnative</v>
      </c>
      <c r="J810" t="str">
        <f t="shared" si="87"/>
        <v>No</v>
      </c>
      <c r="L810">
        <v>182</v>
      </c>
      <c r="M810">
        <v>160</v>
      </c>
      <c r="N810">
        <v>1</v>
      </c>
      <c r="S810" t="str">
        <f t="shared" si="88"/>
        <v/>
      </c>
    </row>
    <row r="811" spans="1:20" x14ac:dyDescent="0.55000000000000004">
      <c r="A811">
        <v>90</v>
      </c>
      <c r="B811" s="2">
        <v>45637.583333333336</v>
      </c>
      <c r="C811" t="s">
        <v>215</v>
      </c>
      <c r="D811">
        <v>2</v>
      </c>
      <c r="E811" t="s">
        <v>123</v>
      </c>
      <c r="F811" t="str">
        <f t="shared" si="83"/>
        <v>Carassius auratus</v>
      </c>
      <c r="G811" t="str">
        <f t="shared" si="84"/>
        <v>Goldfish</v>
      </c>
      <c r="H811" t="str">
        <f t="shared" si="85"/>
        <v>Morihana</v>
      </c>
      <c r="I811" t="str">
        <f t="shared" si="86"/>
        <v>Nonnative</v>
      </c>
      <c r="J811" t="str">
        <f t="shared" si="87"/>
        <v>No</v>
      </c>
      <c r="L811">
        <v>167</v>
      </c>
      <c r="M811">
        <v>117</v>
      </c>
      <c r="N811">
        <v>1</v>
      </c>
      <c r="S811" t="str">
        <f t="shared" si="88"/>
        <v/>
      </c>
    </row>
    <row r="812" spans="1:20" x14ac:dyDescent="0.55000000000000004">
      <c r="A812">
        <v>90</v>
      </c>
      <c r="B812" s="2">
        <v>45637.583333333336</v>
      </c>
      <c r="C812" t="s">
        <v>215</v>
      </c>
      <c r="D812">
        <v>2</v>
      </c>
      <c r="E812" t="s">
        <v>123</v>
      </c>
      <c r="F812" t="str">
        <f t="shared" si="83"/>
        <v>Carassius auratus</v>
      </c>
      <c r="G812" t="str">
        <f t="shared" si="84"/>
        <v>Goldfish</v>
      </c>
      <c r="H812" t="str">
        <f t="shared" si="85"/>
        <v>Morihana</v>
      </c>
      <c r="I812" t="str">
        <f t="shared" si="86"/>
        <v>Nonnative</v>
      </c>
      <c r="J812" t="str">
        <f t="shared" si="87"/>
        <v>No</v>
      </c>
      <c r="L812">
        <v>155</v>
      </c>
      <c r="M812">
        <v>88</v>
      </c>
      <c r="N812">
        <v>1</v>
      </c>
      <c r="S812" t="str">
        <f t="shared" si="88"/>
        <v/>
      </c>
    </row>
    <row r="813" spans="1:20" x14ac:dyDescent="0.55000000000000004">
      <c r="A813">
        <v>90</v>
      </c>
      <c r="B813" s="2">
        <v>45637.583333333336</v>
      </c>
      <c r="C813" t="s">
        <v>215</v>
      </c>
      <c r="D813">
        <v>2</v>
      </c>
      <c r="E813" t="s">
        <v>123</v>
      </c>
      <c r="F813" t="str">
        <f t="shared" si="83"/>
        <v>Carassius auratus</v>
      </c>
      <c r="G813" t="str">
        <f t="shared" si="84"/>
        <v>Goldfish</v>
      </c>
      <c r="H813" t="str">
        <f t="shared" si="85"/>
        <v>Morihana</v>
      </c>
      <c r="I813" t="str">
        <f t="shared" si="86"/>
        <v>Nonnative</v>
      </c>
      <c r="J813" t="str">
        <f t="shared" si="87"/>
        <v>No</v>
      </c>
      <c r="L813">
        <v>163</v>
      </c>
      <c r="M813">
        <v>100</v>
      </c>
      <c r="N813">
        <v>1</v>
      </c>
      <c r="S813" t="str">
        <f t="shared" si="88"/>
        <v/>
      </c>
      <c r="T813" t="s">
        <v>295</v>
      </c>
    </row>
    <row r="814" spans="1:20" x14ac:dyDescent="0.55000000000000004">
      <c r="A814">
        <v>90</v>
      </c>
      <c r="B814" s="2">
        <v>45637.583333333336</v>
      </c>
      <c r="C814" t="s">
        <v>215</v>
      </c>
      <c r="D814">
        <v>2</v>
      </c>
      <c r="E814" t="s">
        <v>123</v>
      </c>
      <c r="F814" t="str">
        <f t="shared" si="83"/>
        <v>Carassius auratus</v>
      </c>
      <c r="G814" t="str">
        <f t="shared" si="84"/>
        <v>Goldfish</v>
      </c>
      <c r="H814" t="str">
        <f t="shared" si="85"/>
        <v>Morihana</v>
      </c>
      <c r="I814" t="str">
        <f t="shared" si="86"/>
        <v>Nonnative</v>
      </c>
      <c r="J814" t="str">
        <f t="shared" si="87"/>
        <v>No</v>
      </c>
      <c r="L814">
        <v>152</v>
      </c>
      <c r="M814">
        <v>84</v>
      </c>
      <c r="N814">
        <v>1</v>
      </c>
      <c r="S814" t="str">
        <f t="shared" si="88"/>
        <v/>
      </c>
    </row>
    <row r="815" spans="1:20" x14ac:dyDescent="0.55000000000000004">
      <c r="A815">
        <v>90</v>
      </c>
      <c r="B815" s="2">
        <v>45637.583333333336</v>
      </c>
      <c r="C815" t="s">
        <v>215</v>
      </c>
      <c r="D815">
        <v>2</v>
      </c>
      <c r="E815" t="s">
        <v>123</v>
      </c>
      <c r="F815" t="str">
        <f t="shared" si="83"/>
        <v>Carassius auratus</v>
      </c>
      <c r="G815" t="str">
        <f t="shared" si="84"/>
        <v>Goldfish</v>
      </c>
      <c r="H815" t="str">
        <f t="shared" si="85"/>
        <v>Morihana</v>
      </c>
      <c r="I815" t="str">
        <f t="shared" si="86"/>
        <v>Nonnative</v>
      </c>
      <c r="J815" t="str">
        <f t="shared" si="87"/>
        <v>No</v>
      </c>
      <c r="L815">
        <v>191</v>
      </c>
      <c r="M815">
        <v>219</v>
      </c>
      <c r="N815">
        <v>1</v>
      </c>
      <c r="S815" t="str">
        <f t="shared" si="88"/>
        <v/>
      </c>
    </row>
    <row r="816" spans="1:20" x14ac:dyDescent="0.55000000000000004">
      <c r="A816">
        <v>90</v>
      </c>
      <c r="B816" s="2">
        <v>45637.583333333336</v>
      </c>
      <c r="C816" t="s">
        <v>215</v>
      </c>
      <c r="D816">
        <v>2</v>
      </c>
      <c r="E816" t="s">
        <v>123</v>
      </c>
      <c r="F816" t="str">
        <f t="shared" si="83"/>
        <v>Carassius auratus</v>
      </c>
      <c r="G816" t="str">
        <f t="shared" si="84"/>
        <v>Goldfish</v>
      </c>
      <c r="H816" t="str">
        <f t="shared" si="85"/>
        <v>Morihana</v>
      </c>
      <c r="I816" t="str">
        <f t="shared" si="86"/>
        <v>Nonnative</v>
      </c>
      <c r="J816" t="str">
        <f t="shared" si="87"/>
        <v>No</v>
      </c>
      <c r="L816">
        <v>195</v>
      </c>
      <c r="M816">
        <v>202</v>
      </c>
      <c r="N816">
        <v>1</v>
      </c>
      <c r="S816" t="str">
        <f t="shared" si="88"/>
        <v/>
      </c>
    </row>
    <row r="817" spans="1:20" x14ac:dyDescent="0.55000000000000004">
      <c r="A817">
        <v>90</v>
      </c>
      <c r="B817" s="2">
        <v>45637.583333333336</v>
      </c>
      <c r="C817" t="s">
        <v>215</v>
      </c>
      <c r="D817">
        <v>2</v>
      </c>
      <c r="E817" t="s">
        <v>123</v>
      </c>
      <c r="F817" t="str">
        <f t="shared" si="83"/>
        <v>Carassius auratus</v>
      </c>
      <c r="G817" t="str">
        <f t="shared" si="84"/>
        <v>Goldfish</v>
      </c>
      <c r="H817" t="str">
        <f t="shared" si="85"/>
        <v>Morihana</v>
      </c>
      <c r="I817" t="str">
        <f t="shared" si="86"/>
        <v>Nonnative</v>
      </c>
      <c r="J817" t="str">
        <f t="shared" si="87"/>
        <v>No</v>
      </c>
      <c r="L817">
        <v>195</v>
      </c>
      <c r="M817">
        <v>197</v>
      </c>
      <c r="N817">
        <v>1</v>
      </c>
      <c r="S817" t="str">
        <f t="shared" si="88"/>
        <v/>
      </c>
    </row>
    <row r="818" spans="1:20" x14ac:dyDescent="0.55000000000000004">
      <c r="A818">
        <v>90</v>
      </c>
      <c r="B818" s="2">
        <v>45637.583333333336</v>
      </c>
      <c r="C818" t="s">
        <v>215</v>
      </c>
      <c r="D818">
        <v>2</v>
      </c>
      <c r="E818" t="s">
        <v>123</v>
      </c>
      <c r="F818" t="str">
        <f t="shared" si="83"/>
        <v>Carassius auratus</v>
      </c>
      <c r="G818" t="str">
        <f t="shared" si="84"/>
        <v>Goldfish</v>
      </c>
      <c r="H818" t="str">
        <f t="shared" si="85"/>
        <v>Morihana</v>
      </c>
      <c r="I818" t="str">
        <f t="shared" si="86"/>
        <v>Nonnative</v>
      </c>
      <c r="J818" t="str">
        <f t="shared" si="87"/>
        <v>No</v>
      </c>
      <c r="L818">
        <v>152</v>
      </c>
      <c r="M818">
        <v>49</v>
      </c>
      <c r="N818">
        <v>1</v>
      </c>
      <c r="S818" t="str">
        <f t="shared" si="88"/>
        <v/>
      </c>
    </row>
    <row r="819" spans="1:20" x14ac:dyDescent="0.55000000000000004">
      <c r="A819">
        <v>90</v>
      </c>
      <c r="B819" s="2">
        <v>45637.583333333336</v>
      </c>
      <c r="C819" t="s">
        <v>215</v>
      </c>
      <c r="D819">
        <v>2</v>
      </c>
      <c r="E819" t="s">
        <v>123</v>
      </c>
      <c r="F819" t="str">
        <f t="shared" si="83"/>
        <v>Carassius auratus</v>
      </c>
      <c r="G819" t="str">
        <f t="shared" si="84"/>
        <v>Goldfish</v>
      </c>
      <c r="H819" t="str">
        <f t="shared" si="85"/>
        <v>Morihana</v>
      </c>
      <c r="I819" t="str">
        <f t="shared" si="86"/>
        <v>Nonnative</v>
      </c>
      <c r="J819" t="str">
        <f t="shared" si="87"/>
        <v>No</v>
      </c>
      <c r="L819">
        <v>160</v>
      </c>
      <c r="M819">
        <v>128</v>
      </c>
      <c r="N819">
        <v>1</v>
      </c>
      <c r="S819" t="str">
        <f t="shared" si="88"/>
        <v/>
      </c>
    </row>
    <row r="820" spans="1:20" x14ac:dyDescent="0.55000000000000004">
      <c r="A820">
        <v>90</v>
      </c>
      <c r="B820" s="2">
        <v>45637.583333333336</v>
      </c>
      <c r="C820" t="s">
        <v>215</v>
      </c>
      <c r="D820">
        <v>2</v>
      </c>
      <c r="E820" t="s">
        <v>123</v>
      </c>
      <c r="F820" t="str">
        <f t="shared" si="83"/>
        <v>Carassius auratus</v>
      </c>
      <c r="G820" t="str">
        <f t="shared" si="84"/>
        <v>Goldfish</v>
      </c>
      <c r="H820" t="str">
        <f t="shared" si="85"/>
        <v>Morihana</v>
      </c>
      <c r="I820" t="str">
        <f t="shared" si="86"/>
        <v>Nonnative</v>
      </c>
      <c r="J820" t="str">
        <f t="shared" si="87"/>
        <v>No</v>
      </c>
      <c r="L820">
        <v>176</v>
      </c>
      <c r="M820">
        <v>119</v>
      </c>
      <c r="N820">
        <v>1</v>
      </c>
      <c r="S820" t="str">
        <f t="shared" si="88"/>
        <v/>
      </c>
    </row>
    <row r="821" spans="1:20" x14ac:dyDescent="0.55000000000000004">
      <c r="A821">
        <v>90</v>
      </c>
      <c r="B821" s="2">
        <v>45637.583333333336</v>
      </c>
      <c r="C821" t="s">
        <v>215</v>
      </c>
      <c r="D821">
        <v>2</v>
      </c>
      <c r="E821" t="s">
        <v>123</v>
      </c>
      <c r="F821" t="str">
        <f t="shared" si="83"/>
        <v>Carassius auratus</v>
      </c>
      <c r="G821" t="str">
        <f t="shared" si="84"/>
        <v>Goldfish</v>
      </c>
      <c r="H821" t="str">
        <f t="shared" si="85"/>
        <v>Morihana</v>
      </c>
      <c r="I821" t="str">
        <f t="shared" si="86"/>
        <v>Nonnative</v>
      </c>
      <c r="J821" t="str">
        <f t="shared" si="87"/>
        <v>No</v>
      </c>
      <c r="L821">
        <v>166</v>
      </c>
      <c r="M821">
        <v>93</v>
      </c>
      <c r="N821">
        <v>1</v>
      </c>
      <c r="S821" t="str">
        <f t="shared" si="88"/>
        <v/>
      </c>
    </row>
    <row r="822" spans="1:20" x14ac:dyDescent="0.55000000000000004">
      <c r="A822">
        <v>90</v>
      </c>
      <c r="B822" s="2">
        <v>45637.583333333336</v>
      </c>
      <c r="C822" t="s">
        <v>215</v>
      </c>
      <c r="D822">
        <v>2</v>
      </c>
      <c r="E822" t="s">
        <v>123</v>
      </c>
      <c r="F822" t="str">
        <f t="shared" si="83"/>
        <v>Carassius auratus</v>
      </c>
      <c r="G822" t="str">
        <f t="shared" si="84"/>
        <v>Goldfish</v>
      </c>
      <c r="H822" t="str">
        <f t="shared" si="85"/>
        <v>Morihana</v>
      </c>
      <c r="I822" t="str">
        <f t="shared" si="86"/>
        <v>Nonnative</v>
      </c>
      <c r="J822" t="str">
        <f t="shared" si="87"/>
        <v>No</v>
      </c>
      <c r="L822">
        <v>132</v>
      </c>
      <c r="M822">
        <v>61</v>
      </c>
      <c r="N822">
        <v>1</v>
      </c>
      <c r="S822" t="str">
        <f t="shared" si="88"/>
        <v/>
      </c>
    </row>
    <row r="823" spans="1:20" x14ac:dyDescent="0.55000000000000004">
      <c r="A823">
        <v>90</v>
      </c>
      <c r="B823" s="2">
        <v>45637.583333333336</v>
      </c>
      <c r="C823" t="s">
        <v>215</v>
      </c>
      <c r="D823">
        <v>2</v>
      </c>
      <c r="E823" t="s">
        <v>123</v>
      </c>
      <c r="F823" t="str">
        <f t="shared" si="83"/>
        <v>Carassius auratus</v>
      </c>
      <c r="G823" t="str">
        <f t="shared" si="84"/>
        <v>Goldfish</v>
      </c>
      <c r="H823" t="str">
        <f t="shared" si="85"/>
        <v>Morihana</v>
      </c>
      <c r="I823" t="str">
        <f t="shared" si="86"/>
        <v>Nonnative</v>
      </c>
      <c r="J823" t="str">
        <f t="shared" si="87"/>
        <v>No</v>
      </c>
      <c r="L823">
        <v>171</v>
      </c>
      <c r="M823">
        <v>127</v>
      </c>
      <c r="N823">
        <v>1</v>
      </c>
      <c r="S823" t="str">
        <f t="shared" si="88"/>
        <v/>
      </c>
    </row>
    <row r="824" spans="1:20" x14ac:dyDescent="0.55000000000000004">
      <c r="A824">
        <v>90</v>
      </c>
      <c r="B824" s="2">
        <v>45637.583333333336</v>
      </c>
      <c r="C824" t="s">
        <v>215</v>
      </c>
      <c r="D824">
        <v>2</v>
      </c>
      <c r="E824" t="s">
        <v>123</v>
      </c>
      <c r="F824" t="str">
        <f t="shared" si="83"/>
        <v>Carassius auratus</v>
      </c>
      <c r="G824" t="str">
        <f t="shared" si="84"/>
        <v>Goldfish</v>
      </c>
      <c r="H824" t="str">
        <f t="shared" si="85"/>
        <v>Morihana</v>
      </c>
      <c r="I824" t="str">
        <f t="shared" si="86"/>
        <v>Nonnative</v>
      </c>
      <c r="J824" t="str">
        <f t="shared" si="87"/>
        <v>No</v>
      </c>
      <c r="L824">
        <v>181</v>
      </c>
      <c r="M824">
        <v>150</v>
      </c>
      <c r="N824">
        <v>1</v>
      </c>
      <c r="S824" t="str">
        <f t="shared" si="88"/>
        <v/>
      </c>
    </row>
    <row r="825" spans="1:20" x14ac:dyDescent="0.55000000000000004">
      <c r="A825">
        <v>90</v>
      </c>
      <c r="B825" s="2">
        <v>45637.583333333336</v>
      </c>
      <c r="C825" t="s">
        <v>215</v>
      </c>
      <c r="D825">
        <v>2</v>
      </c>
      <c r="E825" t="s">
        <v>123</v>
      </c>
      <c r="F825" t="str">
        <f t="shared" si="83"/>
        <v>Carassius auratus</v>
      </c>
      <c r="G825" t="str">
        <f t="shared" si="84"/>
        <v>Goldfish</v>
      </c>
      <c r="H825" t="str">
        <f t="shared" si="85"/>
        <v>Morihana</v>
      </c>
      <c r="I825" t="str">
        <f t="shared" si="86"/>
        <v>Nonnative</v>
      </c>
      <c r="J825" t="str">
        <f t="shared" si="87"/>
        <v>No</v>
      </c>
      <c r="L825">
        <v>199</v>
      </c>
      <c r="M825">
        <v>195</v>
      </c>
      <c r="N825">
        <v>1</v>
      </c>
      <c r="S825" t="str">
        <f t="shared" si="88"/>
        <v/>
      </c>
    </row>
    <row r="826" spans="1:20" x14ac:dyDescent="0.55000000000000004">
      <c r="A826">
        <v>90</v>
      </c>
      <c r="B826" s="2">
        <v>45637.583333333336</v>
      </c>
      <c r="C826" t="s">
        <v>215</v>
      </c>
      <c r="D826">
        <v>2</v>
      </c>
      <c r="E826" t="s">
        <v>123</v>
      </c>
      <c r="F826" t="str">
        <f t="shared" si="83"/>
        <v>Carassius auratus</v>
      </c>
      <c r="G826" t="str">
        <f t="shared" si="84"/>
        <v>Goldfish</v>
      </c>
      <c r="H826" t="str">
        <f t="shared" si="85"/>
        <v>Morihana</v>
      </c>
      <c r="I826" t="str">
        <f t="shared" si="86"/>
        <v>Nonnative</v>
      </c>
      <c r="J826" t="str">
        <f t="shared" si="87"/>
        <v>No</v>
      </c>
      <c r="L826">
        <v>182</v>
      </c>
      <c r="M826">
        <v>144</v>
      </c>
      <c r="N826">
        <v>1</v>
      </c>
      <c r="S826" t="str">
        <f t="shared" si="88"/>
        <v/>
      </c>
      <c r="T826" t="s">
        <v>295</v>
      </c>
    </row>
    <row r="827" spans="1:20" x14ac:dyDescent="0.55000000000000004">
      <c r="A827">
        <v>90</v>
      </c>
      <c r="B827" s="2">
        <v>45637.583333333336</v>
      </c>
      <c r="C827" t="s">
        <v>215</v>
      </c>
      <c r="D827">
        <v>2</v>
      </c>
      <c r="E827" t="s">
        <v>123</v>
      </c>
      <c r="F827" t="str">
        <f t="shared" si="83"/>
        <v>Carassius auratus</v>
      </c>
      <c r="G827" t="str">
        <f t="shared" si="84"/>
        <v>Goldfish</v>
      </c>
      <c r="H827" t="str">
        <f t="shared" si="85"/>
        <v>Morihana</v>
      </c>
      <c r="I827" t="str">
        <f t="shared" si="86"/>
        <v>Nonnative</v>
      </c>
      <c r="J827" t="str">
        <f t="shared" si="87"/>
        <v>No</v>
      </c>
      <c r="L827">
        <v>133</v>
      </c>
      <c r="M827">
        <v>155</v>
      </c>
      <c r="N827">
        <v>1</v>
      </c>
      <c r="S827" t="str">
        <f t="shared" si="88"/>
        <v/>
      </c>
    </row>
    <row r="828" spans="1:20" x14ac:dyDescent="0.55000000000000004">
      <c r="A828">
        <v>90</v>
      </c>
      <c r="B828" s="2">
        <v>45637.583333333336</v>
      </c>
      <c r="C828" t="s">
        <v>215</v>
      </c>
      <c r="D828">
        <v>2</v>
      </c>
      <c r="E828" t="s">
        <v>123</v>
      </c>
      <c r="F828" t="str">
        <f t="shared" si="83"/>
        <v>Carassius auratus</v>
      </c>
      <c r="G828" t="str">
        <f t="shared" si="84"/>
        <v>Goldfish</v>
      </c>
      <c r="H828" t="str">
        <f t="shared" si="85"/>
        <v>Morihana</v>
      </c>
      <c r="I828" t="str">
        <f t="shared" si="86"/>
        <v>Nonnative</v>
      </c>
      <c r="J828" t="str">
        <f t="shared" si="87"/>
        <v>No</v>
      </c>
      <c r="L828">
        <v>166</v>
      </c>
      <c r="M828">
        <v>127</v>
      </c>
      <c r="N828">
        <v>1</v>
      </c>
      <c r="S828" t="str">
        <f t="shared" si="88"/>
        <v/>
      </c>
    </row>
    <row r="829" spans="1:20" x14ac:dyDescent="0.55000000000000004">
      <c r="A829">
        <v>90</v>
      </c>
      <c r="B829" s="2">
        <v>45637.583333333336</v>
      </c>
      <c r="C829" t="s">
        <v>215</v>
      </c>
      <c r="D829">
        <v>2</v>
      </c>
      <c r="E829" t="s">
        <v>123</v>
      </c>
      <c r="F829" t="str">
        <f t="shared" si="83"/>
        <v>Carassius auratus</v>
      </c>
      <c r="G829" t="str">
        <f t="shared" si="84"/>
        <v>Goldfish</v>
      </c>
      <c r="H829" t="str">
        <f t="shared" si="85"/>
        <v>Morihana</v>
      </c>
      <c r="I829" t="str">
        <f t="shared" si="86"/>
        <v>Nonnative</v>
      </c>
      <c r="J829" t="str">
        <f t="shared" si="87"/>
        <v>No</v>
      </c>
      <c r="L829">
        <v>150</v>
      </c>
      <c r="M829">
        <v>84</v>
      </c>
      <c r="N829">
        <v>1</v>
      </c>
      <c r="S829" t="str">
        <f t="shared" si="88"/>
        <v/>
      </c>
    </row>
    <row r="830" spans="1:20" x14ac:dyDescent="0.55000000000000004">
      <c r="A830">
        <v>90</v>
      </c>
      <c r="B830" s="2">
        <v>45637.583333333336</v>
      </c>
      <c r="C830" t="s">
        <v>215</v>
      </c>
      <c r="D830">
        <v>2</v>
      </c>
      <c r="E830" t="s">
        <v>123</v>
      </c>
      <c r="F830" t="str">
        <f t="shared" si="83"/>
        <v>Carassius auratus</v>
      </c>
      <c r="G830" t="str">
        <f t="shared" si="84"/>
        <v>Goldfish</v>
      </c>
      <c r="H830" t="str">
        <f t="shared" si="85"/>
        <v>Morihana</v>
      </c>
      <c r="I830" t="str">
        <f t="shared" si="86"/>
        <v>Nonnative</v>
      </c>
      <c r="J830" t="str">
        <f t="shared" si="87"/>
        <v>No</v>
      </c>
      <c r="L830">
        <v>170</v>
      </c>
      <c r="M830">
        <v>150</v>
      </c>
      <c r="N830">
        <v>1</v>
      </c>
      <c r="S830" t="str">
        <f t="shared" si="88"/>
        <v/>
      </c>
    </row>
    <row r="831" spans="1:20" x14ac:dyDescent="0.55000000000000004">
      <c r="A831">
        <v>90</v>
      </c>
      <c r="B831" s="2">
        <v>45637.583333333336</v>
      </c>
      <c r="C831" t="s">
        <v>215</v>
      </c>
      <c r="D831">
        <v>2</v>
      </c>
      <c r="E831" t="s">
        <v>123</v>
      </c>
      <c r="F831" t="str">
        <f t="shared" si="83"/>
        <v>Carassius auratus</v>
      </c>
      <c r="G831" t="str">
        <f t="shared" si="84"/>
        <v>Goldfish</v>
      </c>
      <c r="H831" t="str">
        <f t="shared" si="85"/>
        <v>Morihana</v>
      </c>
      <c r="I831" t="str">
        <f t="shared" si="86"/>
        <v>Nonnative</v>
      </c>
      <c r="J831" t="str">
        <f t="shared" si="87"/>
        <v>No</v>
      </c>
      <c r="L831">
        <v>129</v>
      </c>
      <c r="M831">
        <v>49</v>
      </c>
      <c r="N831">
        <v>1</v>
      </c>
      <c r="S831" t="str">
        <f t="shared" si="88"/>
        <v/>
      </c>
    </row>
    <row r="832" spans="1:20" x14ac:dyDescent="0.55000000000000004">
      <c r="A832">
        <v>90</v>
      </c>
      <c r="B832" s="2">
        <v>45637.583333333336</v>
      </c>
      <c r="C832" t="s">
        <v>215</v>
      </c>
      <c r="D832">
        <v>2</v>
      </c>
      <c r="E832" t="s">
        <v>123</v>
      </c>
      <c r="F832" t="str">
        <f t="shared" si="83"/>
        <v>Carassius auratus</v>
      </c>
      <c r="G832" t="str">
        <f t="shared" si="84"/>
        <v>Goldfish</v>
      </c>
      <c r="H832" t="str">
        <f t="shared" si="85"/>
        <v>Morihana</v>
      </c>
      <c r="I832" t="str">
        <f t="shared" si="86"/>
        <v>Nonnative</v>
      </c>
      <c r="J832" t="str">
        <f t="shared" si="87"/>
        <v>No</v>
      </c>
      <c r="L832">
        <v>165</v>
      </c>
      <c r="M832">
        <v>127</v>
      </c>
      <c r="N832">
        <v>1</v>
      </c>
      <c r="S832" t="str">
        <f t="shared" si="88"/>
        <v/>
      </c>
    </row>
    <row r="833" spans="1:20" x14ac:dyDescent="0.55000000000000004">
      <c r="A833">
        <v>90</v>
      </c>
      <c r="B833" s="2">
        <v>45637.583333333336</v>
      </c>
      <c r="C833" t="s">
        <v>215</v>
      </c>
      <c r="D833">
        <v>2</v>
      </c>
      <c r="E833" t="s">
        <v>123</v>
      </c>
      <c r="F833" t="str">
        <f t="shared" si="83"/>
        <v>Carassius auratus</v>
      </c>
      <c r="G833" t="str">
        <f t="shared" si="84"/>
        <v>Goldfish</v>
      </c>
      <c r="H833" t="str">
        <f t="shared" si="85"/>
        <v>Morihana</v>
      </c>
      <c r="I833" t="str">
        <f t="shared" si="86"/>
        <v>Nonnative</v>
      </c>
      <c r="J833" t="str">
        <f t="shared" si="87"/>
        <v>No</v>
      </c>
      <c r="L833">
        <v>160</v>
      </c>
      <c r="M833">
        <v>115</v>
      </c>
      <c r="N833">
        <v>1</v>
      </c>
      <c r="S833" t="str">
        <f t="shared" si="88"/>
        <v/>
      </c>
    </row>
    <row r="834" spans="1:20" x14ac:dyDescent="0.55000000000000004">
      <c r="A834">
        <v>90</v>
      </c>
      <c r="B834" s="2">
        <v>45637.583333333336</v>
      </c>
      <c r="C834" t="s">
        <v>215</v>
      </c>
      <c r="D834">
        <v>2</v>
      </c>
      <c r="E834" t="s">
        <v>123</v>
      </c>
      <c r="F834" t="str">
        <f t="shared" ref="F834:F897" si="89">VLOOKUP($E834, $V$1:$AA$9, 2, FALSE)</f>
        <v>Carassius auratus</v>
      </c>
      <c r="G834" t="str">
        <f t="shared" ref="G834:G897" si="90">VLOOKUP($E834, $V$1:$AA$9, 3, FALSE)</f>
        <v>Goldfish</v>
      </c>
      <c r="H834" t="str">
        <f t="shared" ref="H834:H897" si="91">VLOOKUP($E834, $V$1:$AA$9, 4, FALSE)</f>
        <v>Morihana</v>
      </c>
      <c r="I834" t="str">
        <f t="shared" ref="I834:I897" si="92">VLOOKUP($E834, $V$1:$AB$9, 5, FALSE)</f>
        <v>Nonnative</v>
      </c>
      <c r="J834" t="str">
        <f t="shared" ref="J834:J897" si="93">VLOOKUP($E834, $V$1:$AA$9, 6, FALSE)</f>
        <v>No</v>
      </c>
      <c r="L834">
        <v>139</v>
      </c>
      <c r="M834">
        <v>65</v>
      </c>
      <c r="N834">
        <v>1</v>
      </c>
      <c r="S834" t="str">
        <f t="shared" si="88"/>
        <v/>
      </c>
    </row>
    <row r="835" spans="1:20" x14ac:dyDescent="0.55000000000000004">
      <c r="A835">
        <v>90</v>
      </c>
      <c r="B835" s="2">
        <v>45637.583333333336</v>
      </c>
      <c r="C835" t="s">
        <v>215</v>
      </c>
      <c r="D835">
        <v>2</v>
      </c>
      <c r="E835" t="s">
        <v>123</v>
      </c>
      <c r="F835" t="str">
        <f t="shared" si="89"/>
        <v>Carassius auratus</v>
      </c>
      <c r="G835" t="str">
        <f t="shared" si="90"/>
        <v>Goldfish</v>
      </c>
      <c r="H835" t="str">
        <f t="shared" si="91"/>
        <v>Morihana</v>
      </c>
      <c r="I835" t="str">
        <f t="shared" si="92"/>
        <v>Nonnative</v>
      </c>
      <c r="J835" t="str">
        <f t="shared" si="93"/>
        <v>No</v>
      </c>
      <c r="L835">
        <v>149</v>
      </c>
      <c r="N835">
        <v>1</v>
      </c>
      <c r="S835" t="str">
        <f t="shared" ref="S835:S899" si="94">IF(R835&lt;&gt;"", R835*236.588, "")</f>
        <v/>
      </c>
    </row>
    <row r="836" spans="1:20" x14ac:dyDescent="0.55000000000000004">
      <c r="A836">
        <v>90</v>
      </c>
      <c r="B836" s="2">
        <v>45637.583333333336</v>
      </c>
      <c r="C836" t="s">
        <v>215</v>
      </c>
      <c r="D836">
        <v>2</v>
      </c>
      <c r="E836" t="s">
        <v>123</v>
      </c>
      <c r="F836" t="str">
        <f t="shared" si="89"/>
        <v>Carassius auratus</v>
      </c>
      <c r="G836" t="str">
        <f t="shared" si="90"/>
        <v>Goldfish</v>
      </c>
      <c r="H836" t="str">
        <f t="shared" si="91"/>
        <v>Morihana</v>
      </c>
      <c r="I836" t="str">
        <f t="shared" si="92"/>
        <v>Nonnative</v>
      </c>
      <c r="J836" t="str">
        <f t="shared" si="93"/>
        <v>No</v>
      </c>
      <c r="L836">
        <v>162</v>
      </c>
      <c r="M836">
        <v>119</v>
      </c>
      <c r="N836">
        <v>1</v>
      </c>
      <c r="S836" t="str">
        <f t="shared" si="94"/>
        <v/>
      </c>
    </row>
    <row r="837" spans="1:20" x14ac:dyDescent="0.55000000000000004">
      <c r="A837">
        <v>90</v>
      </c>
      <c r="B837" s="2">
        <v>45637.583333333336</v>
      </c>
      <c r="C837" t="s">
        <v>215</v>
      </c>
      <c r="D837">
        <v>2</v>
      </c>
      <c r="E837" t="s">
        <v>123</v>
      </c>
      <c r="F837" t="str">
        <f t="shared" si="89"/>
        <v>Carassius auratus</v>
      </c>
      <c r="G837" t="str">
        <f t="shared" si="90"/>
        <v>Goldfish</v>
      </c>
      <c r="H837" t="str">
        <f t="shared" si="91"/>
        <v>Morihana</v>
      </c>
      <c r="I837" t="str">
        <f t="shared" si="92"/>
        <v>Nonnative</v>
      </c>
      <c r="J837" t="str">
        <f t="shared" si="93"/>
        <v>No</v>
      </c>
      <c r="L837">
        <v>145</v>
      </c>
      <c r="M837">
        <v>75</v>
      </c>
      <c r="N837">
        <v>1</v>
      </c>
      <c r="S837" t="str">
        <f t="shared" si="94"/>
        <v/>
      </c>
    </row>
    <row r="838" spans="1:20" x14ac:dyDescent="0.55000000000000004">
      <c r="A838">
        <v>90</v>
      </c>
      <c r="B838" s="2">
        <v>45637.583333333336</v>
      </c>
      <c r="C838" t="s">
        <v>215</v>
      </c>
      <c r="D838">
        <v>2</v>
      </c>
      <c r="E838" t="s">
        <v>123</v>
      </c>
      <c r="F838" t="str">
        <f t="shared" si="89"/>
        <v>Carassius auratus</v>
      </c>
      <c r="G838" t="str">
        <f t="shared" si="90"/>
        <v>Goldfish</v>
      </c>
      <c r="H838" t="str">
        <f t="shared" si="91"/>
        <v>Morihana</v>
      </c>
      <c r="I838" t="str">
        <f t="shared" si="92"/>
        <v>Nonnative</v>
      </c>
      <c r="J838" t="str">
        <f t="shared" si="93"/>
        <v>No</v>
      </c>
      <c r="L838">
        <v>188</v>
      </c>
      <c r="M838">
        <v>172</v>
      </c>
      <c r="N838">
        <v>1</v>
      </c>
      <c r="S838" t="str">
        <f t="shared" si="94"/>
        <v/>
      </c>
    </row>
    <row r="839" spans="1:20" x14ac:dyDescent="0.55000000000000004">
      <c r="A839">
        <v>90</v>
      </c>
      <c r="B839" s="2">
        <v>45637.583333333336</v>
      </c>
      <c r="C839" t="s">
        <v>215</v>
      </c>
      <c r="D839">
        <v>2</v>
      </c>
      <c r="E839" t="s">
        <v>123</v>
      </c>
      <c r="F839" t="str">
        <f t="shared" si="89"/>
        <v>Carassius auratus</v>
      </c>
      <c r="G839" t="str">
        <f t="shared" si="90"/>
        <v>Goldfish</v>
      </c>
      <c r="H839" t="str">
        <f t="shared" si="91"/>
        <v>Morihana</v>
      </c>
      <c r="I839" t="str">
        <f t="shared" si="92"/>
        <v>Nonnative</v>
      </c>
      <c r="J839" t="str">
        <f t="shared" si="93"/>
        <v>No</v>
      </c>
      <c r="M839">
        <f>1626-804</f>
        <v>822</v>
      </c>
      <c r="N839">
        <v>16</v>
      </c>
      <c r="S839" t="str">
        <f t="shared" si="94"/>
        <v/>
      </c>
    </row>
    <row r="840" spans="1:20" x14ac:dyDescent="0.55000000000000004">
      <c r="A840">
        <v>90</v>
      </c>
      <c r="B840" s="2">
        <v>45637.583333333336</v>
      </c>
      <c r="C840" t="s">
        <v>215</v>
      </c>
      <c r="D840">
        <v>2</v>
      </c>
      <c r="E840" t="s">
        <v>123</v>
      </c>
      <c r="F840" t="str">
        <f t="shared" si="89"/>
        <v>Carassius auratus</v>
      </c>
      <c r="G840" t="str">
        <f t="shared" si="90"/>
        <v>Goldfish</v>
      </c>
      <c r="H840" t="str">
        <f t="shared" si="91"/>
        <v>Morihana</v>
      </c>
      <c r="I840" t="str">
        <f t="shared" si="92"/>
        <v>Nonnative</v>
      </c>
      <c r="J840" t="str">
        <f t="shared" si="93"/>
        <v>No</v>
      </c>
      <c r="M840">
        <v>125</v>
      </c>
      <c r="N840">
        <v>22</v>
      </c>
    </row>
    <row r="841" spans="1:20" x14ac:dyDescent="0.55000000000000004">
      <c r="A841">
        <v>90</v>
      </c>
      <c r="B841" s="2">
        <v>45637.583333333336</v>
      </c>
      <c r="C841" t="s">
        <v>215</v>
      </c>
      <c r="D841">
        <v>2</v>
      </c>
      <c r="E841" t="s">
        <v>44</v>
      </c>
      <c r="F841" t="str">
        <f t="shared" si="89"/>
        <v>Gobiomorphus cotidianus</v>
      </c>
      <c r="G841" t="str">
        <f t="shared" si="90"/>
        <v>Common_bully</v>
      </c>
      <c r="H841" t="str">
        <f t="shared" si="91"/>
        <v>Toitoi</v>
      </c>
      <c r="I841" t="str">
        <f t="shared" si="92"/>
        <v>Native</v>
      </c>
      <c r="J841" t="str">
        <f t="shared" si="93"/>
        <v>No</v>
      </c>
      <c r="M841">
        <v>521</v>
      </c>
      <c r="R841">
        <v>2</v>
      </c>
      <c r="S841">
        <f t="shared" si="94"/>
        <v>473.17599999999999</v>
      </c>
    </row>
    <row r="842" spans="1:20" x14ac:dyDescent="0.55000000000000004">
      <c r="A842">
        <v>90</v>
      </c>
      <c r="B842" s="2">
        <v>45637.583333333336</v>
      </c>
      <c r="C842" t="s">
        <v>215</v>
      </c>
      <c r="D842">
        <v>2</v>
      </c>
      <c r="E842" t="s">
        <v>44</v>
      </c>
      <c r="F842" t="str">
        <f t="shared" si="89"/>
        <v>Gobiomorphus cotidianus</v>
      </c>
      <c r="G842" t="str">
        <f t="shared" si="90"/>
        <v>Common_bully</v>
      </c>
      <c r="H842" t="str">
        <f t="shared" si="91"/>
        <v>Toitoi</v>
      </c>
      <c r="I842" t="str">
        <f t="shared" si="92"/>
        <v>Native</v>
      </c>
      <c r="J842" t="str">
        <f t="shared" si="93"/>
        <v>No</v>
      </c>
      <c r="M842">
        <v>590</v>
      </c>
      <c r="R842">
        <v>2.33</v>
      </c>
      <c r="S842">
        <f t="shared" si="94"/>
        <v>551.25004000000001</v>
      </c>
    </row>
    <row r="843" spans="1:20" x14ac:dyDescent="0.55000000000000004">
      <c r="A843">
        <v>91</v>
      </c>
      <c r="B843" s="2">
        <v>45638.5</v>
      </c>
      <c r="C843" t="s">
        <v>216</v>
      </c>
      <c r="D843">
        <v>2</v>
      </c>
      <c r="E843" t="s">
        <v>44</v>
      </c>
      <c r="F843" t="str">
        <f t="shared" si="89"/>
        <v>Gobiomorphus cotidianus</v>
      </c>
      <c r="G843" t="str">
        <f t="shared" si="90"/>
        <v>Common_bully</v>
      </c>
      <c r="H843" t="str">
        <f t="shared" si="91"/>
        <v>Toitoi</v>
      </c>
      <c r="I843" t="str">
        <f t="shared" si="92"/>
        <v>Native</v>
      </c>
      <c r="J843" t="str">
        <f t="shared" si="93"/>
        <v>No</v>
      </c>
      <c r="M843">
        <f>193-117</f>
        <v>76</v>
      </c>
      <c r="R843">
        <v>0.5</v>
      </c>
      <c r="S843">
        <f t="shared" si="94"/>
        <v>118.294</v>
      </c>
    </row>
    <row r="844" spans="1:20" x14ac:dyDescent="0.55000000000000004">
      <c r="A844">
        <v>91</v>
      </c>
      <c r="B844" s="2">
        <v>45638.5</v>
      </c>
      <c r="C844" t="s">
        <v>215</v>
      </c>
      <c r="D844">
        <v>2</v>
      </c>
      <c r="E844" t="s">
        <v>247</v>
      </c>
      <c r="F844" t="str">
        <f t="shared" si="89"/>
        <v>Retropinna retropinna</v>
      </c>
      <c r="G844" t="str">
        <f t="shared" si="90"/>
        <v>Common_smelt</v>
      </c>
      <c r="H844" t="str">
        <f t="shared" si="91"/>
        <v>Common_smelt</v>
      </c>
      <c r="I844" t="str">
        <f t="shared" si="92"/>
        <v>Native</v>
      </c>
      <c r="J844" t="str">
        <f t="shared" si="93"/>
        <v>No</v>
      </c>
      <c r="M844">
        <f>232-117</f>
        <v>115</v>
      </c>
      <c r="N844">
        <v>100</v>
      </c>
      <c r="R844">
        <v>0.5</v>
      </c>
      <c r="S844">
        <f t="shared" si="94"/>
        <v>118.294</v>
      </c>
      <c r="T844" t="s">
        <v>297</v>
      </c>
    </row>
    <row r="845" spans="1:20" x14ac:dyDescent="0.55000000000000004">
      <c r="A845">
        <v>91</v>
      </c>
      <c r="B845" s="2">
        <v>45638.5</v>
      </c>
      <c r="C845" t="s">
        <v>215</v>
      </c>
      <c r="D845">
        <v>2</v>
      </c>
      <c r="E845" t="s">
        <v>247</v>
      </c>
      <c r="F845" t="str">
        <f t="shared" si="89"/>
        <v>Retropinna retropinna</v>
      </c>
      <c r="G845" t="str">
        <f t="shared" si="90"/>
        <v>Common_smelt</v>
      </c>
      <c r="H845" t="str">
        <f t="shared" si="91"/>
        <v>Common_smelt</v>
      </c>
      <c r="I845" t="str">
        <f t="shared" si="92"/>
        <v>Native</v>
      </c>
      <c r="J845" t="str">
        <f t="shared" si="93"/>
        <v>No</v>
      </c>
      <c r="M845">
        <f>324-117</f>
        <v>207</v>
      </c>
      <c r="R845">
        <v>1</v>
      </c>
      <c r="S845">
        <f t="shared" si="94"/>
        <v>236.58799999999999</v>
      </c>
    </row>
    <row r="846" spans="1:20" x14ac:dyDescent="0.55000000000000004">
      <c r="A846">
        <v>91</v>
      </c>
      <c r="B846" s="2">
        <v>45638.5</v>
      </c>
      <c r="C846" t="s">
        <v>215</v>
      </c>
      <c r="D846">
        <v>2</v>
      </c>
      <c r="E846" t="s">
        <v>123</v>
      </c>
      <c r="F846" t="str">
        <f t="shared" si="89"/>
        <v>Carassius auratus</v>
      </c>
      <c r="G846" t="str">
        <f t="shared" si="90"/>
        <v>Goldfish</v>
      </c>
      <c r="H846" t="str">
        <f t="shared" si="91"/>
        <v>Morihana</v>
      </c>
      <c r="I846" t="str">
        <f t="shared" si="92"/>
        <v>Nonnative</v>
      </c>
      <c r="J846" t="str">
        <f t="shared" si="93"/>
        <v>No</v>
      </c>
      <c r="L846">
        <v>68</v>
      </c>
      <c r="M846">
        <v>7</v>
      </c>
      <c r="N846">
        <v>1</v>
      </c>
      <c r="S846" t="str">
        <f t="shared" si="94"/>
        <v/>
      </c>
    </row>
    <row r="847" spans="1:20" x14ac:dyDescent="0.55000000000000004">
      <c r="A847">
        <v>91</v>
      </c>
      <c r="B847" s="2">
        <v>45638.5</v>
      </c>
      <c r="C847" t="s">
        <v>215</v>
      </c>
      <c r="D847">
        <v>2</v>
      </c>
      <c r="E847" t="s">
        <v>123</v>
      </c>
      <c r="F847" t="str">
        <f t="shared" si="89"/>
        <v>Carassius auratus</v>
      </c>
      <c r="G847" t="str">
        <f t="shared" si="90"/>
        <v>Goldfish</v>
      </c>
      <c r="H847" t="str">
        <f t="shared" si="91"/>
        <v>Morihana</v>
      </c>
      <c r="I847" t="str">
        <f t="shared" si="92"/>
        <v>Nonnative</v>
      </c>
      <c r="J847" t="str">
        <f t="shared" si="93"/>
        <v>No</v>
      </c>
      <c r="L847">
        <v>65</v>
      </c>
      <c r="M847">
        <v>4</v>
      </c>
      <c r="N847">
        <v>1</v>
      </c>
      <c r="S847" t="str">
        <f t="shared" si="94"/>
        <v/>
      </c>
    </row>
    <row r="848" spans="1:20" x14ac:dyDescent="0.55000000000000004">
      <c r="A848">
        <v>91</v>
      </c>
      <c r="B848" s="2">
        <v>45638.5</v>
      </c>
      <c r="C848" t="s">
        <v>215</v>
      </c>
      <c r="D848">
        <v>2</v>
      </c>
      <c r="E848" t="s">
        <v>44</v>
      </c>
      <c r="F848" t="str">
        <f t="shared" si="89"/>
        <v>Gobiomorphus cotidianus</v>
      </c>
      <c r="G848" t="str">
        <f t="shared" si="90"/>
        <v>Common_bully</v>
      </c>
      <c r="H848" t="str">
        <f t="shared" si="91"/>
        <v>Toitoi</v>
      </c>
      <c r="I848" t="str">
        <f t="shared" si="92"/>
        <v>Native</v>
      </c>
      <c r="J848" t="str">
        <f t="shared" si="93"/>
        <v>No</v>
      </c>
      <c r="M848">
        <f>666-117</f>
        <v>549</v>
      </c>
      <c r="R848">
        <v>2.5</v>
      </c>
      <c r="S848">
        <f t="shared" si="94"/>
        <v>591.47</v>
      </c>
    </row>
    <row r="849" spans="1:20" x14ac:dyDescent="0.55000000000000004">
      <c r="A849">
        <v>91</v>
      </c>
      <c r="B849" s="2">
        <v>45638.5</v>
      </c>
      <c r="C849" t="s">
        <v>215</v>
      </c>
      <c r="D849">
        <v>2</v>
      </c>
      <c r="E849" t="s">
        <v>44</v>
      </c>
      <c r="F849" t="str">
        <f t="shared" si="89"/>
        <v>Gobiomorphus cotidianus</v>
      </c>
      <c r="G849" t="str">
        <f t="shared" si="90"/>
        <v>Common_bully</v>
      </c>
      <c r="H849" t="str">
        <f t="shared" si="91"/>
        <v>Toitoi</v>
      </c>
      <c r="I849" t="str">
        <f t="shared" si="92"/>
        <v>Native</v>
      </c>
      <c r="J849" t="str">
        <f t="shared" si="93"/>
        <v>No</v>
      </c>
      <c r="M849">
        <f>655-117</f>
        <v>538</v>
      </c>
      <c r="R849">
        <v>2.5</v>
      </c>
      <c r="S849">
        <f t="shared" si="94"/>
        <v>591.47</v>
      </c>
    </row>
    <row r="850" spans="1:20" x14ac:dyDescent="0.55000000000000004">
      <c r="A850">
        <v>91</v>
      </c>
      <c r="B850" s="2">
        <v>45638.5</v>
      </c>
      <c r="C850" t="s">
        <v>215</v>
      </c>
      <c r="D850">
        <v>2</v>
      </c>
      <c r="E850" t="s">
        <v>44</v>
      </c>
      <c r="F850" t="str">
        <f t="shared" si="89"/>
        <v>Gobiomorphus cotidianus</v>
      </c>
      <c r="G850" t="str">
        <f t="shared" si="90"/>
        <v>Common_bully</v>
      </c>
      <c r="H850" t="str">
        <f t="shared" si="91"/>
        <v>Toitoi</v>
      </c>
      <c r="I850" t="str">
        <f t="shared" si="92"/>
        <v>Native</v>
      </c>
      <c r="J850" t="str">
        <f t="shared" si="93"/>
        <v>No</v>
      </c>
      <c r="M850">
        <f>347-117</f>
        <v>230</v>
      </c>
      <c r="R850">
        <v>1</v>
      </c>
      <c r="S850">
        <f t="shared" si="94"/>
        <v>236.58799999999999</v>
      </c>
    </row>
    <row r="851" spans="1:20" x14ac:dyDescent="0.55000000000000004">
      <c r="A851">
        <v>92</v>
      </c>
      <c r="B851" s="2">
        <v>45638.456944444442</v>
      </c>
      <c r="C851" t="s">
        <v>216</v>
      </c>
      <c r="D851">
        <v>2</v>
      </c>
      <c r="E851" t="s">
        <v>49</v>
      </c>
      <c r="F851" t="str">
        <f t="shared" si="89"/>
        <v>Paranephrops planifrons</v>
      </c>
      <c r="G851" t="str">
        <f t="shared" si="90"/>
        <v>Freshwater_crayfish</v>
      </c>
      <c r="H851" t="str">
        <f t="shared" si="91"/>
        <v>Kōura</v>
      </c>
      <c r="I851" t="str">
        <f t="shared" si="92"/>
        <v>Native</v>
      </c>
      <c r="J851" t="str">
        <f t="shared" si="93"/>
        <v>Yes</v>
      </c>
      <c r="K851" t="s">
        <v>50</v>
      </c>
      <c r="L851">
        <v>37.85</v>
      </c>
      <c r="M851">
        <v>36</v>
      </c>
      <c r="N851">
        <v>1</v>
      </c>
      <c r="S851" t="str">
        <f t="shared" si="94"/>
        <v/>
      </c>
    </row>
    <row r="852" spans="1:20" x14ac:dyDescent="0.55000000000000004">
      <c r="A852">
        <v>92</v>
      </c>
      <c r="B852" s="2">
        <v>45638.456944444442</v>
      </c>
      <c r="C852" t="s">
        <v>216</v>
      </c>
      <c r="D852">
        <v>2</v>
      </c>
      <c r="E852" t="s">
        <v>49</v>
      </c>
      <c r="F852" t="str">
        <f t="shared" si="89"/>
        <v>Paranephrops planifrons</v>
      </c>
      <c r="G852" t="str">
        <f t="shared" si="90"/>
        <v>Freshwater_crayfish</v>
      </c>
      <c r="H852" t="str">
        <f t="shared" si="91"/>
        <v>Kōura</v>
      </c>
      <c r="I852" t="str">
        <f t="shared" si="92"/>
        <v>Native</v>
      </c>
      <c r="J852" t="str">
        <f t="shared" si="93"/>
        <v>Yes</v>
      </c>
      <c r="K852" t="s">
        <v>50</v>
      </c>
      <c r="L852">
        <v>22.09</v>
      </c>
      <c r="M852">
        <v>26</v>
      </c>
      <c r="N852">
        <v>1</v>
      </c>
      <c r="O852">
        <v>1</v>
      </c>
      <c r="S852" t="str">
        <f t="shared" si="94"/>
        <v/>
      </c>
    </row>
    <row r="853" spans="1:20" x14ac:dyDescent="0.55000000000000004">
      <c r="A853">
        <v>92</v>
      </c>
      <c r="B853" s="2">
        <v>45638.456944386577</v>
      </c>
      <c r="C853" t="s">
        <v>216</v>
      </c>
      <c r="D853">
        <v>2</v>
      </c>
      <c r="E853" t="s">
        <v>49</v>
      </c>
      <c r="F853" t="str">
        <f t="shared" si="89"/>
        <v>Paranephrops planifrons</v>
      </c>
      <c r="G853" t="str">
        <f t="shared" si="90"/>
        <v>Freshwater_crayfish</v>
      </c>
      <c r="H853" t="str">
        <f t="shared" si="91"/>
        <v>Kōura</v>
      </c>
      <c r="I853" t="str">
        <f t="shared" si="92"/>
        <v>Native</v>
      </c>
      <c r="J853" t="str">
        <f t="shared" si="93"/>
        <v>Yes</v>
      </c>
      <c r="K853" t="s">
        <v>48</v>
      </c>
      <c r="L853">
        <v>40.6</v>
      </c>
      <c r="M853">
        <v>50</v>
      </c>
      <c r="N853">
        <v>1</v>
      </c>
      <c r="S853" t="str">
        <f t="shared" si="94"/>
        <v/>
      </c>
    </row>
    <row r="854" spans="1:20" x14ac:dyDescent="0.55000000000000004">
      <c r="A854">
        <v>92</v>
      </c>
      <c r="B854" s="2">
        <v>45638.456944386577</v>
      </c>
      <c r="C854" t="s">
        <v>216</v>
      </c>
      <c r="D854">
        <v>2</v>
      </c>
      <c r="E854" t="s">
        <v>49</v>
      </c>
      <c r="F854" t="str">
        <f t="shared" si="89"/>
        <v>Paranephrops planifrons</v>
      </c>
      <c r="G854" t="str">
        <f t="shared" si="90"/>
        <v>Freshwater_crayfish</v>
      </c>
      <c r="H854" t="str">
        <f t="shared" si="91"/>
        <v>Kōura</v>
      </c>
      <c r="I854" t="str">
        <f t="shared" si="92"/>
        <v>Native</v>
      </c>
      <c r="J854" t="str">
        <f t="shared" si="93"/>
        <v>Yes</v>
      </c>
      <c r="K854" t="s">
        <v>50</v>
      </c>
      <c r="L854">
        <v>35.61</v>
      </c>
      <c r="M854">
        <v>29</v>
      </c>
      <c r="N854">
        <v>1</v>
      </c>
      <c r="S854" t="str">
        <f t="shared" si="94"/>
        <v/>
      </c>
    </row>
    <row r="855" spans="1:20" x14ac:dyDescent="0.55000000000000004">
      <c r="A855">
        <v>92</v>
      </c>
      <c r="B855" s="2">
        <v>45638.456944386577</v>
      </c>
      <c r="C855" t="s">
        <v>216</v>
      </c>
      <c r="D855">
        <v>2</v>
      </c>
      <c r="E855" t="s">
        <v>49</v>
      </c>
      <c r="F855" t="str">
        <f t="shared" si="89"/>
        <v>Paranephrops planifrons</v>
      </c>
      <c r="G855" t="str">
        <f t="shared" si="90"/>
        <v>Freshwater_crayfish</v>
      </c>
      <c r="H855" t="str">
        <f t="shared" si="91"/>
        <v>Kōura</v>
      </c>
      <c r="I855" t="str">
        <f t="shared" si="92"/>
        <v>Native</v>
      </c>
      <c r="J855" t="str">
        <f t="shared" si="93"/>
        <v>Yes</v>
      </c>
      <c r="K855" t="s">
        <v>50</v>
      </c>
      <c r="L855">
        <v>39.82</v>
      </c>
      <c r="M855">
        <v>44</v>
      </c>
      <c r="N855">
        <v>1</v>
      </c>
      <c r="S855" t="str">
        <f t="shared" si="94"/>
        <v/>
      </c>
    </row>
    <row r="856" spans="1:20" x14ac:dyDescent="0.55000000000000004">
      <c r="A856">
        <v>92</v>
      </c>
      <c r="B856" s="2">
        <v>45638.456944386577</v>
      </c>
      <c r="C856" t="s">
        <v>216</v>
      </c>
      <c r="D856">
        <v>2</v>
      </c>
      <c r="E856" t="s">
        <v>49</v>
      </c>
      <c r="F856" t="str">
        <f t="shared" si="89"/>
        <v>Paranephrops planifrons</v>
      </c>
      <c r="G856" t="str">
        <f t="shared" si="90"/>
        <v>Freshwater_crayfish</v>
      </c>
      <c r="H856" t="str">
        <f t="shared" si="91"/>
        <v>Kōura</v>
      </c>
      <c r="I856" t="str">
        <f t="shared" si="92"/>
        <v>Native</v>
      </c>
      <c r="J856" t="str">
        <f t="shared" si="93"/>
        <v>Yes</v>
      </c>
      <c r="K856" t="s">
        <v>48</v>
      </c>
      <c r="L856">
        <v>42.99</v>
      </c>
      <c r="M856">
        <v>57</v>
      </c>
      <c r="N856">
        <v>1</v>
      </c>
      <c r="S856" t="str">
        <f t="shared" si="94"/>
        <v/>
      </c>
    </row>
    <row r="857" spans="1:20" x14ac:dyDescent="0.55000000000000004">
      <c r="A857">
        <v>92</v>
      </c>
      <c r="B857" s="2">
        <v>45638.456944386577</v>
      </c>
      <c r="C857" t="s">
        <v>216</v>
      </c>
      <c r="D857">
        <v>2</v>
      </c>
      <c r="E857" t="s">
        <v>49</v>
      </c>
      <c r="F857" t="str">
        <f t="shared" si="89"/>
        <v>Paranephrops planifrons</v>
      </c>
      <c r="G857" t="str">
        <f t="shared" si="90"/>
        <v>Freshwater_crayfish</v>
      </c>
      <c r="H857" t="str">
        <f t="shared" si="91"/>
        <v>Kōura</v>
      </c>
      <c r="I857" t="str">
        <f t="shared" si="92"/>
        <v>Native</v>
      </c>
      <c r="J857" t="str">
        <f t="shared" si="93"/>
        <v>Yes</v>
      </c>
      <c r="K857" t="s">
        <v>50</v>
      </c>
      <c r="L857">
        <v>36</v>
      </c>
      <c r="M857">
        <v>34</v>
      </c>
      <c r="N857">
        <v>1</v>
      </c>
      <c r="S857" t="str">
        <f t="shared" si="94"/>
        <v/>
      </c>
      <c r="T857" t="s">
        <v>298</v>
      </c>
    </row>
    <row r="858" spans="1:20" x14ac:dyDescent="0.55000000000000004">
      <c r="A858">
        <v>92</v>
      </c>
      <c r="B858" s="2">
        <v>45638.456944386577</v>
      </c>
      <c r="C858" t="s">
        <v>216</v>
      </c>
      <c r="D858">
        <v>2</v>
      </c>
      <c r="E858" t="s">
        <v>44</v>
      </c>
      <c r="F858" t="str">
        <f t="shared" si="89"/>
        <v>Gobiomorphus cotidianus</v>
      </c>
      <c r="G858" t="str">
        <f t="shared" si="90"/>
        <v>Common_bully</v>
      </c>
      <c r="H858" t="str">
        <f t="shared" si="91"/>
        <v>Toitoi</v>
      </c>
      <c r="I858" t="str">
        <f t="shared" si="92"/>
        <v>Native</v>
      </c>
      <c r="J858" t="str">
        <f t="shared" si="93"/>
        <v>No</v>
      </c>
      <c r="M858">
        <v>24</v>
      </c>
      <c r="N858">
        <v>33</v>
      </c>
      <c r="S858" t="str">
        <f t="shared" si="94"/>
        <v/>
      </c>
    </row>
    <row r="859" spans="1:20" x14ac:dyDescent="0.55000000000000004">
      <c r="A859">
        <v>92</v>
      </c>
      <c r="B859" s="2">
        <v>45638.456944386577</v>
      </c>
      <c r="C859" t="s">
        <v>215</v>
      </c>
      <c r="D859">
        <v>2</v>
      </c>
      <c r="E859" t="s">
        <v>123</v>
      </c>
      <c r="F859" t="str">
        <f t="shared" si="89"/>
        <v>Carassius auratus</v>
      </c>
      <c r="G859" t="str">
        <f t="shared" si="90"/>
        <v>Goldfish</v>
      </c>
      <c r="H859" t="str">
        <f t="shared" si="91"/>
        <v>Morihana</v>
      </c>
      <c r="I859" t="str">
        <f t="shared" si="92"/>
        <v>Nonnative</v>
      </c>
      <c r="J859" t="str">
        <f t="shared" si="93"/>
        <v>No</v>
      </c>
      <c r="L859">
        <v>54</v>
      </c>
      <c r="M859">
        <v>3</v>
      </c>
      <c r="N859">
        <v>1</v>
      </c>
      <c r="S859" t="str">
        <f t="shared" si="94"/>
        <v/>
      </c>
    </row>
    <row r="860" spans="1:20" x14ac:dyDescent="0.55000000000000004">
      <c r="A860">
        <v>92</v>
      </c>
      <c r="B860" s="2">
        <v>45638.456944386577</v>
      </c>
      <c r="C860" t="s">
        <v>215</v>
      </c>
      <c r="D860">
        <v>2</v>
      </c>
      <c r="E860" t="s">
        <v>123</v>
      </c>
      <c r="F860" t="str">
        <f t="shared" si="89"/>
        <v>Carassius auratus</v>
      </c>
      <c r="G860" t="str">
        <f t="shared" si="90"/>
        <v>Goldfish</v>
      </c>
      <c r="H860" t="str">
        <f t="shared" si="91"/>
        <v>Morihana</v>
      </c>
      <c r="I860" t="str">
        <f t="shared" si="92"/>
        <v>Nonnative</v>
      </c>
      <c r="J860" t="str">
        <f t="shared" si="93"/>
        <v>No</v>
      </c>
      <c r="L860">
        <v>175</v>
      </c>
      <c r="M860">
        <v>125</v>
      </c>
      <c r="N860">
        <v>1</v>
      </c>
      <c r="S860" t="str">
        <f t="shared" si="94"/>
        <v/>
      </c>
    </row>
    <row r="861" spans="1:20" x14ac:dyDescent="0.55000000000000004">
      <c r="A861">
        <v>92</v>
      </c>
      <c r="B861" s="2">
        <v>45638.456944386577</v>
      </c>
      <c r="C861" t="s">
        <v>215</v>
      </c>
      <c r="D861">
        <v>2</v>
      </c>
      <c r="E861" t="s">
        <v>123</v>
      </c>
      <c r="F861" t="str">
        <f t="shared" si="89"/>
        <v>Carassius auratus</v>
      </c>
      <c r="G861" t="str">
        <f t="shared" si="90"/>
        <v>Goldfish</v>
      </c>
      <c r="H861" t="str">
        <f t="shared" si="91"/>
        <v>Morihana</v>
      </c>
      <c r="I861" t="str">
        <f t="shared" si="92"/>
        <v>Nonnative</v>
      </c>
      <c r="J861" t="str">
        <f t="shared" si="93"/>
        <v>No</v>
      </c>
      <c r="L861">
        <v>166</v>
      </c>
      <c r="M861">
        <v>103</v>
      </c>
      <c r="N861">
        <v>1</v>
      </c>
      <c r="S861" t="str">
        <f t="shared" si="94"/>
        <v/>
      </c>
    </row>
    <row r="862" spans="1:20" x14ac:dyDescent="0.55000000000000004">
      <c r="A862">
        <v>92</v>
      </c>
      <c r="B862" s="2">
        <v>45638.456944386577</v>
      </c>
      <c r="C862" t="s">
        <v>215</v>
      </c>
      <c r="D862">
        <v>2</v>
      </c>
      <c r="E862" t="s">
        <v>123</v>
      </c>
      <c r="F862" t="str">
        <f t="shared" si="89"/>
        <v>Carassius auratus</v>
      </c>
      <c r="G862" t="str">
        <f t="shared" si="90"/>
        <v>Goldfish</v>
      </c>
      <c r="H862" t="str">
        <f t="shared" si="91"/>
        <v>Morihana</v>
      </c>
      <c r="I862" t="str">
        <f t="shared" si="92"/>
        <v>Nonnative</v>
      </c>
      <c r="J862" t="str">
        <f t="shared" si="93"/>
        <v>No</v>
      </c>
      <c r="L862">
        <v>168</v>
      </c>
      <c r="M862">
        <v>110</v>
      </c>
      <c r="N862">
        <v>1</v>
      </c>
      <c r="S862" t="str">
        <f t="shared" si="94"/>
        <v/>
      </c>
    </row>
    <row r="863" spans="1:20" x14ac:dyDescent="0.55000000000000004">
      <c r="A863">
        <v>92</v>
      </c>
      <c r="B863" s="2">
        <v>45638.456944386577</v>
      </c>
      <c r="C863" t="s">
        <v>215</v>
      </c>
      <c r="D863">
        <v>2</v>
      </c>
      <c r="E863" t="s">
        <v>123</v>
      </c>
      <c r="F863" t="str">
        <f t="shared" si="89"/>
        <v>Carassius auratus</v>
      </c>
      <c r="G863" t="str">
        <f t="shared" si="90"/>
        <v>Goldfish</v>
      </c>
      <c r="H863" t="str">
        <f t="shared" si="91"/>
        <v>Morihana</v>
      </c>
      <c r="I863" t="str">
        <f t="shared" si="92"/>
        <v>Nonnative</v>
      </c>
      <c r="J863" t="str">
        <f t="shared" si="93"/>
        <v>No</v>
      </c>
      <c r="L863">
        <v>174</v>
      </c>
      <c r="M863">
        <v>126</v>
      </c>
      <c r="N863">
        <v>1</v>
      </c>
      <c r="S863" t="str">
        <f t="shared" si="94"/>
        <v/>
      </c>
    </row>
    <row r="864" spans="1:20" x14ac:dyDescent="0.55000000000000004">
      <c r="A864">
        <v>92</v>
      </c>
      <c r="B864" s="2">
        <v>45638.456944386577</v>
      </c>
      <c r="C864" t="s">
        <v>215</v>
      </c>
      <c r="D864">
        <v>2</v>
      </c>
      <c r="E864" t="s">
        <v>123</v>
      </c>
      <c r="F864" t="str">
        <f t="shared" si="89"/>
        <v>Carassius auratus</v>
      </c>
      <c r="G864" t="str">
        <f t="shared" si="90"/>
        <v>Goldfish</v>
      </c>
      <c r="H864" t="str">
        <f t="shared" si="91"/>
        <v>Morihana</v>
      </c>
      <c r="I864" t="str">
        <f t="shared" si="92"/>
        <v>Nonnative</v>
      </c>
      <c r="J864" t="str">
        <f t="shared" si="93"/>
        <v>No</v>
      </c>
      <c r="L864">
        <v>173</v>
      </c>
      <c r="M864">
        <v>123</v>
      </c>
      <c r="N864">
        <v>1</v>
      </c>
      <c r="S864" t="str">
        <f t="shared" si="94"/>
        <v/>
      </c>
    </row>
    <row r="865" spans="1:19" x14ac:dyDescent="0.55000000000000004">
      <c r="A865">
        <v>92</v>
      </c>
      <c r="B865" s="2">
        <v>45638.456944386577</v>
      </c>
      <c r="C865" t="s">
        <v>215</v>
      </c>
      <c r="D865">
        <v>2</v>
      </c>
      <c r="E865" t="s">
        <v>123</v>
      </c>
      <c r="F865" t="str">
        <f t="shared" si="89"/>
        <v>Carassius auratus</v>
      </c>
      <c r="G865" t="str">
        <f t="shared" si="90"/>
        <v>Goldfish</v>
      </c>
      <c r="H865" t="str">
        <f t="shared" si="91"/>
        <v>Morihana</v>
      </c>
      <c r="I865" t="str">
        <f t="shared" si="92"/>
        <v>Nonnative</v>
      </c>
      <c r="J865" t="str">
        <f t="shared" si="93"/>
        <v>No</v>
      </c>
      <c r="L865">
        <v>150</v>
      </c>
      <c r="M865">
        <v>86</v>
      </c>
      <c r="N865">
        <v>1</v>
      </c>
      <c r="S865" t="str">
        <f t="shared" si="94"/>
        <v/>
      </c>
    </row>
    <row r="866" spans="1:19" x14ac:dyDescent="0.55000000000000004">
      <c r="A866">
        <v>92</v>
      </c>
      <c r="B866" s="2">
        <v>45638.456944386577</v>
      </c>
      <c r="C866" t="s">
        <v>215</v>
      </c>
      <c r="D866">
        <v>2</v>
      </c>
      <c r="E866" t="s">
        <v>123</v>
      </c>
      <c r="F866" t="str">
        <f t="shared" si="89"/>
        <v>Carassius auratus</v>
      </c>
      <c r="G866" t="str">
        <f t="shared" si="90"/>
        <v>Goldfish</v>
      </c>
      <c r="H866" t="str">
        <f t="shared" si="91"/>
        <v>Morihana</v>
      </c>
      <c r="I866" t="str">
        <f t="shared" si="92"/>
        <v>Nonnative</v>
      </c>
      <c r="J866" t="str">
        <f t="shared" si="93"/>
        <v>No</v>
      </c>
      <c r="L866">
        <v>69</v>
      </c>
      <c r="M866">
        <v>8</v>
      </c>
      <c r="N866">
        <v>1</v>
      </c>
      <c r="S866" t="str">
        <f t="shared" si="94"/>
        <v/>
      </c>
    </row>
    <row r="867" spans="1:19" x14ac:dyDescent="0.55000000000000004">
      <c r="A867">
        <v>92</v>
      </c>
      <c r="B867" s="2">
        <v>45638.456944386577</v>
      </c>
      <c r="C867" t="s">
        <v>215</v>
      </c>
      <c r="D867">
        <v>2</v>
      </c>
      <c r="E867" t="s">
        <v>123</v>
      </c>
      <c r="F867" t="str">
        <f t="shared" si="89"/>
        <v>Carassius auratus</v>
      </c>
      <c r="G867" t="str">
        <f t="shared" si="90"/>
        <v>Goldfish</v>
      </c>
      <c r="H867" t="str">
        <f t="shared" si="91"/>
        <v>Morihana</v>
      </c>
      <c r="I867" t="str">
        <f t="shared" si="92"/>
        <v>Nonnative</v>
      </c>
      <c r="J867" t="str">
        <f t="shared" si="93"/>
        <v>No</v>
      </c>
      <c r="L867">
        <v>144</v>
      </c>
      <c r="M867">
        <v>68</v>
      </c>
      <c r="N867">
        <v>1</v>
      </c>
      <c r="S867" t="str">
        <f t="shared" si="94"/>
        <v/>
      </c>
    </row>
    <row r="868" spans="1:19" x14ac:dyDescent="0.55000000000000004">
      <c r="A868">
        <v>92</v>
      </c>
      <c r="B868" s="2">
        <v>45638.456944386577</v>
      </c>
      <c r="C868" t="s">
        <v>215</v>
      </c>
      <c r="D868">
        <v>2</v>
      </c>
      <c r="E868" t="s">
        <v>123</v>
      </c>
      <c r="F868" t="str">
        <f t="shared" si="89"/>
        <v>Carassius auratus</v>
      </c>
      <c r="G868" t="str">
        <f t="shared" si="90"/>
        <v>Goldfish</v>
      </c>
      <c r="H868" t="str">
        <f t="shared" si="91"/>
        <v>Morihana</v>
      </c>
      <c r="I868" t="str">
        <f t="shared" si="92"/>
        <v>Nonnative</v>
      </c>
      <c r="J868" t="str">
        <f t="shared" si="93"/>
        <v>No</v>
      </c>
      <c r="L868">
        <v>163</v>
      </c>
      <c r="M868">
        <v>96</v>
      </c>
      <c r="N868">
        <v>1</v>
      </c>
      <c r="S868" t="str">
        <f t="shared" si="94"/>
        <v/>
      </c>
    </row>
    <row r="869" spans="1:19" x14ac:dyDescent="0.55000000000000004">
      <c r="A869">
        <v>92</v>
      </c>
      <c r="B869" s="2">
        <v>45638.456944386577</v>
      </c>
      <c r="C869" t="s">
        <v>215</v>
      </c>
      <c r="D869">
        <v>2</v>
      </c>
      <c r="E869" t="s">
        <v>123</v>
      </c>
      <c r="F869" t="str">
        <f t="shared" si="89"/>
        <v>Carassius auratus</v>
      </c>
      <c r="G869" t="str">
        <f t="shared" si="90"/>
        <v>Goldfish</v>
      </c>
      <c r="H869" t="str">
        <f t="shared" si="91"/>
        <v>Morihana</v>
      </c>
      <c r="I869" t="str">
        <f t="shared" si="92"/>
        <v>Nonnative</v>
      </c>
      <c r="J869" t="str">
        <f t="shared" si="93"/>
        <v>No</v>
      </c>
      <c r="L869">
        <v>185</v>
      </c>
      <c r="M869">
        <v>159</v>
      </c>
      <c r="N869">
        <v>1</v>
      </c>
      <c r="S869" t="str">
        <f t="shared" si="94"/>
        <v/>
      </c>
    </row>
    <row r="870" spans="1:19" x14ac:dyDescent="0.55000000000000004">
      <c r="A870">
        <v>92</v>
      </c>
      <c r="B870" s="2">
        <v>45638.456944386577</v>
      </c>
      <c r="C870" t="s">
        <v>215</v>
      </c>
      <c r="D870">
        <v>2</v>
      </c>
      <c r="E870" t="s">
        <v>123</v>
      </c>
      <c r="F870" t="str">
        <f t="shared" si="89"/>
        <v>Carassius auratus</v>
      </c>
      <c r="G870" t="str">
        <f t="shared" si="90"/>
        <v>Goldfish</v>
      </c>
      <c r="H870" t="str">
        <f t="shared" si="91"/>
        <v>Morihana</v>
      </c>
      <c r="I870" t="str">
        <f t="shared" si="92"/>
        <v>Nonnative</v>
      </c>
      <c r="J870" t="str">
        <f t="shared" si="93"/>
        <v>No</v>
      </c>
      <c r="L870">
        <v>134</v>
      </c>
      <c r="M870">
        <v>60</v>
      </c>
      <c r="N870">
        <v>1</v>
      </c>
      <c r="S870" t="str">
        <f t="shared" si="94"/>
        <v/>
      </c>
    </row>
    <row r="871" spans="1:19" x14ac:dyDescent="0.55000000000000004">
      <c r="A871">
        <v>92</v>
      </c>
      <c r="B871" s="2">
        <v>45638.456944386577</v>
      </c>
      <c r="C871" t="s">
        <v>215</v>
      </c>
      <c r="D871">
        <v>2</v>
      </c>
      <c r="E871" t="s">
        <v>123</v>
      </c>
      <c r="F871" t="str">
        <f t="shared" si="89"/>
        <v>Carassius auratus</v>
      </c>
      <c r="G871" t="str">
        <f t="shared" si="90"/>
        <v>Goldfish</v>
      </c>
      <c r="H871" t="str">
        <f t="shared" si="91"/>
        <v>Morihana</v>
      </c>
      <c r="I871" t="str">
        <f t="shared" si="92"/>
        <v>Nonnative</v>
      </c>
      <c r="J871" t="str">
        <f t="shared" si="93"/>
        <v>No</v>
      </c>
      <c r="L871">
        <v>142</v>
      </c>
      <c r="M871">
        <v>55</v>
      </c>
      <c r="N871">
        <v>1</v>
      </c>
      <c r="S871" t="str">
        <f t="shared" si="94"/>
        <v/>
      </c>
    </row>
    <row r="872" spans="1:19" x14ac:dyDescent="0.55000000000000004">
      <c r="A872">
        <v>92</v>
      </c>
      <c r="B872" s="2">
        <v>45638.456944386577</v>
      </c>
      <c r="C872" t="s">
        <v>215</v>
      </c>
      <c r="D872">
        <v>2</v>
      </c>
      <c r="E872" t="s">
        <v>123</v>
      </c>
      <c r="F872" t="str">
        <f t="shared" si="89"/>
        <v>Carassius auratus</v>
      </c>
      <c r="G872" t="str">
        <f t="shared" si="90"/>
        <v>Goldfish</v>
      </c>
      <c r="H872" t="str">
        <f t="shared" si="91"/>
        <v>Morihana</v>
      </c>
      <c r="I872" t="str">
        <f t="shared" si="92"/>
        <v>Nonnative</v>
      </c>
      <c r="J872" t="str">
        <f t="shared" si="93"/>
        <v>No</v>
      </c>
      <c r="L872">
        <v>141</v>
      </c>
      <c r="M872">
        <v>75</v>
      </c>
      <c r="N872">
        <v>1</v>
      </c>
      <c r="S872" t="str">
        <f t="shared" si="94"/>
        <v/>
      </c>
    </row>
    <row r="873" spans="1:19" x14ac:dyDescent="0.55000000000000004">
      <c r="A873">
        <v>92</v>
      </c>
      <c r="B873" s="2">
        <v>45638.456944386577</v>
      </c>
      <c r="C873" t="s">
        <v>215</v>
      </c>
      <c r="D873">
        <v>2</v>
      </c>
      <c r="E873" t="s">
        <v>123</v>
      </c>
      <c r="F873" t="str">
        <f t="shared" si="89"/>
        <v>Carassius auratus</v>
      </c>
      <c r="G873" t="str">
        <f t="shared" si="90"/>
        <v>Goldfish</v>
      </c>
      <c r="H873" t="str">
        <f t="shared" si="91"/>
        <v>Morihana</v>
      </c>
      <c r="I873" t="str">
        <f t="shared" si="92"/>
        <v>Nonnative</v>
      </c>
      <c r="J873" t="str">
        <f t="shared" si="93"/>
        <v>No</v>
      </c>
      <c r="L873">
        <v>52</v>
      </c>
      <c r="M873">
        <v>3</v>
      </c>
      <c r="N873">
        <v>1</v>
      </c>
      <c r="S873" t="str">
        <f t="shared" si="94"/>
        <v/>
      </c>
    </row>
    <row r="874" spans="1:19" x14ac:dyDescent="0.55000000000000004">
      <c r="A874">
        <v>92</v>
      </c>
      <c r="B874" s="2">
        <v>45638.456944386577</v>
      </c>
      <c r="C874" t="s">
        <v>215</v>
      </c>
      <c r="D874">
        <v>2</v>
      </c>
      <c r="E874" t="s">
        <v>123</v>
      </c>
      <c r="F874" t="str">
        <f t="shared" si="89"/>
        <v>Carassius auratus</v>
      </c>
      <c r="G874" t="str">
        <f t="shared" si="90"/>
        <v>Goldfish</v>
      </c>
      <c r="H874" t="str">
        <f t="shared" si="91"/>
        <v>Morihana</v>
      </c>
      <c r="I874" t="str">
        <f t="shared" si="92"/>
        <v>Nonnative</v>
      </c>
      <c r="J874" t="str">
        <f t="shared" si="93"/>
        <v>No</v>
      </c>
      <c r="L874">
        <v>140</v>
      </c>
      <c r="M874">
        <v>66</v>
      </c>
      <c r="N874">
        <v>1</v>
      </c>
      <c r="S874" t="str">
        <f t="shared" si="94"/>
        <v/>
      </c>
    </row>
    <row r="875" spans="1:19" x14ac:dyDescent="0.55000000000000004">
      <c r="A875">
        <v>92</v>
      </c>
      <c r="B875" s="2">
        <v>45638.456944386577</v>
      </c>
      <c r="C875" t="s">
        <v>215</v>
      </c>
      <c r="D875">
        <v>2</v>
      </c>
      <c r="E875" t="s">
        <v>123</v>
      </c>
      <c r="F875" t="str">
        <f t="shared" si="89"/>
        <v>Carassius auratus</v>
      </c>
      <c r="G875" t="str">
        <f t="shared" si="90"/>
        <v>Goldfish</v>
      </c>
      <c r="H875" t="str">
        <f t="shared" si="91"/>
        <v>Morihana</v>
      </c>
      <c r="I875" t="str">
        <f t="shared" si="92"/>
        <v>Nonnative</v>
      </c>
      <c r="J875" t="str">
        <f t="shared" si="93"/>
        <v>No</v>
      </c>
      <c r="L875">
        <v>74</v>
      </c>
      <c r="M875">
        <v>8</v>
      </c>
      <c r="N875">
        <v>1</v>
      </c>
      <c r="S875" t="str">
        <f t="shared" si="94"/>
        <v/>
      </c>
    </row>
    <row r="876" spans="1:19" x14ac:dyDescent="0.55000000000000004">
      <c r="A876">
        <v>92</v>
      </c>
      <c r="B876" s="2">
        <v>45638.456944386577</v>
      </c>
      <c r="C876" t="s">
        <v>215</v>
      </c>
      <c r="D876">
        <v>2</v>
      </c>
      <c r="E876" t="s">
        <v>123</v>
      </c>
      <c r="F876" t="str">
        <f t="shared" si="89"/>
        <v>Carassius auratus</v>
      </c>
      <c r="G876" t="str">
        <f t="shared" si="90"/>
        <v>Goldfish</v>
      </c>
      <c r="H876" t="str">
        <f t="shared" si="91"/>
        <v>Morihana</v>
      </c>
      <c r="I876" t="str">
        <f t="shared" si="92"/>
        <v>Nonnative</v>
      </c>
      <c r="J876" t="str">
        <f t="shared" si="93"/>
        <v>No</v>
      </c>
      <c r="L876">
        <v>102</v>
      </c>
      <c r="M876">
        <v>27</v>
      </c>
      <c r="N876">
        <v>1</v>
      </c>
      <c r="S876" t="str">
        <f t="shared" si="94"/>
        <v/>
      </c>
    </row>
    <row r="877" spans="1:19" x14ac:dyDescent="0.55000000000000004">
      <c r="A877">
        <v>92</v>
      </c>
      <c r="B877" s="2">
        <v>45638.456944386577</v>
      </c>
      <c r="C877" t="s">
        <v>215</v>
      </c>
      <c r="D877">
        <v>2</v>
      </c>
      <c r="E877" t="s">
        <v>123</v>
      </c>
      <c r="F877" t="str">
        <f t="shared" si="89"/>
        <v>Carassius auratus</v>
      </c>
      <c r="G877" t="str">
        <f t="shared" si="90"/>
        <v>Goldfish</v>
      </c>
      <c r="H877" t="str">
        <f t="shared" si="91"/>
        <v>Morihana</v>
      </c>
      <c r="I877" t="str">
        <f t="shared" si="92"/>
        <v>Nonnative</v>
      </c>
      <c r="J877" t="str">
        <f t="shared" si="93"/>
        <v>No</v>
      </c>
      <c r="L877">
        <v>61</v>
      </c>
      <c r="M877">
        <v>5</v>
      </c>
      <c r="N877">
        <v>1</v>
      </c>
      <c r="S877" t="str">
        <f t="shared" si="94"/>
        <v/>
      </c>
    </row>
    <row r="878" spans="1:19" x14ac:dyDescent="0.55000000000000004">
      <c r="A878">
        <v>92</v>
      </c>
      <c r="B878" s="2">
        <v>45638.456944386577</v>
      </c>
      <c r="C878" t="s">
        <v>215</v>
      </c>
      <c r="D878">
        <v>2</v>
      </c>
      <c r="E878" t="s">
        <v>123</v>
      </c>
      <c r="F878" t="str">
        <f t="shared" si="89"/>
        <v>Carassius auratus</v>
      </c>
      <c r="G878" t="str">
        <f t="shared" si="90"/>
        <v>Goldfish</v>
      </c>
      <c r="H878" t="str">
        <f t="shared" si="91"/>
        <v>Morihana</v>
      </c>
      <c r="I878" t="str">
        <f t="shared" si="92"/>
        <v>Nonnative</v>
      </c>
      <c r="J878" t="str">
        <f t="shared" si="93"/>
        <v>No</v>
      </c>
      <c r="L878">
        <v>51</v>
      </c>
      <c r="M878">
        <v>3</v>
      </c>
      <c r="N878">
        <v>1</v>
      </c>
      <c r="S878" t="str">
        <f t="shared" si="94"/>
        <v/>
      </c>
    </row>
    <row r="879" spans="1:19" x14ac:dyDescent="0.55000000000000004">
      <c r="A879">
        <v>92</v>
      </c>
      <c r="B879" s="2">
        <v>45638.456944386577</v>
      </c>
      <c r="C879" t="s">
        <v>215</v>
      </c>
      <c r="D879">
        <v>2</v>
      </c>
      <c r="E879" t="s">
        <v>123</v>
      </c>
      <c r="F879" t="str">
        <f t="shared" si="89"/>
        <v>Carassius auratus</v>
      </c>
      <c r="G879" t="str">
        <f t="shared" si="90"/>
        <v>Goldfish</v>
      </c>
      <c r="H879" t="str">
        <f t="shared" si="91"/>
        <v>Morihana</v>
      </c>
      <c r="I879" t="str">
        <f t="shared" si="92"/>
        <v>Nonnative</v>
      </c>
      <c r="J879" t="str">
        <f t="shared" si="93"/>
        <v>No</v>
      </c>
      <c r="L879">
        <v>68</v>
      </c>
      <c r="M879">
        <v>8</v>
      </c>
      <c r="N879">
        <v>1</v>
      </c>
      <c r="S879" t="str">
        <f t="shared" si="94"/>
        <v/>
      </c>
    </row>
    <row r="880" spans="1:19" x14ac:dyDescent="0.55000000000000004">
      <c r="A880">
        <v>92</v>
      </c>
      <c r="B880" s="2">
        <v>45638.456944386577</v>
      </c>
      <c r="C880" t="s">
        <v>215</v>
      </c>
      <c r="D880">
        <v>2</v>
      </c>
      <c r="E880" t="s">
        <v>123</v>
      </c>
      <c r="F880" t="str">
        <f t="shared" si="89"/>
        <v>Carassius auratus</v>
      </c>
      <c r="G880" t="str">
        <f t="shared" si="90"/>
        <v>Goldfish</v>
      </c>
      <c r="H880" t="str">
        <f t="shared" si="91"/>
        <v>Morihana</v>
      </c>
      <c r="I880" t="str">
        <f t="shared" si="92"/>
        <v>Nonnative</v>
      </c>
      <c r="J880" t="str">
        <f t="shared" si="93"/>
        <v>No</v>
      </c>
      <c r="L880">
        <v>45</v>
      </c>
      <c r="M880">
        <v>1</v>
      </c>
      <c r="N880">
        <v>1</v>
      </c>
      <c r="S880" t="str">
        <f t="shared" si="94"/>
        <v/>
      </c>
    </row>
    <row r="881" spans="1:19" x14ac:dyDescent="0.55000000000000004">
      <c r="A881">
        <v>92</v>
      </c>
      <c r="B881" s="2">
        <v>45638.456944386577</v>
      </c>
      <c r="C881" t="s">
        <v>215</v>
      </c>
      <c r="D881">
        <v>2</v>
      </c>
      <c r="E881" t="s">
        <v>123</v>
      </c>
      <c r="F881" t="str">
        <f t="shared" si="89"/>
        <v>Carassius auratus</v>
      </c>
      <c r="G881" t="str">
        <f t="shared" si="90"/>
        <v>Goldfish</v>
      </c>
      <c r="H881" t="str">
        <f t="shared" si="91"/>
        <v>Morihana</v>
      </c>
      <c r="I881" t="str">
        <f t="shared" si="92"/>
        <v>Nonnative</v>
      </c>
      <c r="J881" t="str">
        <f t="shared" si="93"/>
        <v>No</v>
      </c>
      <c r="L881">
        <v>55</v>
      </c>
      <c r="M881">
        <v>1</v>
      </c>
      <c r="N881">
        <v>1</v>
      </c>
      <c r="S881" t="str">
        <f t="shared" si="94"/>
        <v/>
      </c>
    </row>
    <row r="882" spans="1:19" x14ac:dyDescent="0.55000000000000004">
      <c r="A882">
        <v>92</v>
      </c>
      <c r="B882" s="2">
        <v>45638.456944386577</v>
      </c>
      <c r="C882" t="s">
        <v>215</v>
      </c>
      <c r="D882">
        <v>2</v>
      </c>
      <c r="E882" t="s">
        <v>123</v>
      </c>
      <c r="F882" t="str">
        <f t="shared" si="89"/>
        <v>Carassius auratus</v>
      </c>
      <c r="G882" t="str">
        <f t="shared" si="90"/>
        <v>Goldfish</v>
      </c>
      <c r="H882" t="str">
        <f t="shared" si="91"/>
        <v>Morihana</v>
      </c>
      <c r="I882" t="str">
        <f t="shared" si="92"/>
        <v>Nonnative</v>
      </c>
      <c r="J882" t="str">
        <f t="shared" si="93"/>
        <v>No</v>
      </c>
      <c r="L882">
        <v>51</v>
      </c>
      <c r="M882">
        <v>1</v>
      </c>
      <c r="N882">
        <v>1</v>
      </c>
      <c r="S882" t="str">
        <f t="shared" si="94"/>
        <v/>
      </c>
    </row>
    <row r="883" spans="1:19" x14ac:dyDescent="0.55000000000000004">
      <c r="A883">
        <v>92</v>
      </c>
      <c r="B883" s="2">
        <v>45638.456944386577</v>
      </c>
      <c r="C883" t="s">
        <v>215</v>
      </c>
      <c r="D883">
        <v>2</v>
      </c>
      <c r="E883" t="s">
        <v>123</v>
      </c>
      <c r="F883" t="str">
        <f t="shared" si="89"/>
        <v>Carassius auratus</v>
      </c>
      <c r="G883" t="str">
        <f t="shared" si="90"/>
        <v>Goldfish</v>
      </c>
      <c r="H883" t="str">
        <f t="shared" si="91"/>
        <v>Morihana</v>
      </c>
      <c r="I883" t="str">
        <f t="shared" si="92"/>
        <v>Nonnative</v>
      </c>
      <c r="J883" t="str">
        <f t="shared" si="93"/>
        <v>No</v>
      </c>
      <c r="L883">
        <v>50</v>
      </c>
      <c r="M883">
        <v>1</v>
      </c>
      <c r="N883">
        <v>1</v>
      </c>
      <c r="S883" t="str">
        <f t="shared" si="94"/>
        <v/>
      </c>
    </row>
    <row r="884" spans="1:19" x14ac:dyDescent="0.55000000000000004">
      <c r="A884">
        <v>92</v>
      </c>
      <c r="B884" s="2">
        <v>45638.456944386577</v>
      </c>
      <c r="C884" t="s">
        <v>215</v>
      </c>
      <c r="D884">
        <v>2</v>
      </c>
      <c r="E884" t="s">
        <v>123</v>
      </c>
      <c r="F884" t="str">
        <f t="shared" si="89"/>
        <v>Carassius auratus</v>
      </c>
      <c r="G884" t="str">
        <f t="shared" si="90"/>
        <v>Goldfish</v>
      </c>
      <c r="H884" t="str">
        <f t="shared" si="91"/>
        <v>Morihana</v>
      </c>
      <c r="I884" t="str">
        <f t="shared" si="92"/>
        <v>Nonnative</v>
      </c>
      <c r="J884" t="str">
        <f t="shared" si="93"/>
        <v>No</v>
      </c>
      <c r="L884">
        <v>42</v>
      </c>
      <c r="M884">
        <v>1</v>
      </c>
      <c r="N884">
        <v>1</v>
      </c>
      <c r="S884" t="str">
        <f t="shared" si="94"/>
        <v/>
      </c>
    </row>
    <row r="885" spans="1:19" x14ac:dyDescent="0.55000000000000004">
      <c r="A885">
        <v>92</v>
      </c>
      <c r="B885" s="2">
        <v>45638.456944386577</v>
      </c>
      <c r="C885" t="s">
        <v>215</v>
      </c>
      <c r="D885">
        <v>2</v>
      </c>
      <c r="E885" t="s">
        <v>44</v>
      </c>
      <c r="F885" t="str">
        <f t="shared" si="89"/>
        <v>Gobiomorphus cotidianus</v>
      </c>
      <c r="G885" t="str">
        <f t="shared" si="90"/>
        <v>Common_bully</v>
      </c>
      <c r="H885" t="str">
        <f t="shared" si="91"/>
        <v>Toitoi</v>
      </c>
      <c r="I885" t="str">
        <f t="shared" si="92"/>
        <v>Native</v>
      </c>
      <c r="J885" t="str">
        <f t="shared" si="93"/>
        <v>No</v>
      </c>
      <c r="M885">
        <v>392</v>
      </c>
      <c r="R885">
        <v>2</v>
      </c>
      <c r="S885">
        <f t="shared" si="94"/>
        <v>473.17599999999999</v>
      </c>
    </row>
    <row r="886" spans="1:19" x14ac:dyDescent="0.55000000000000004">
      <c r="A886">
        <v>92</v>
      </c>
      <c r="B886" s="2">
        <v>45638.456944386577</v>
      </c>
      <c r="C886" t="s">
        <v>215</v>
      </c>
      <c r="D886">
        <v>2</v>
      </c>
      <c r="E886" t="s">
        <v>44</v>
      </c>
      <c r="F886" t="str">
        <f t="shared" si="89"/>
        <v>Gobiomorphus cotidianus</v>
      </c>
      <c r="G886" t="str">
        <f t="shared" si="90"/>
        <v>Common_bully</v>
      </c>
      <c r="H886" t="str">
        <f t="shared" si="91"/>
        <v>Toitoi</v>
      </c>
      <c r="I886" t="str">
        <f t="shared" si="92"/>
        <v>Native</v>
      </c>
      <c r="J886" t="str">
        <f t="shared" si="93"/>
        <v>No</v>
      </c>
      <c r="M886">
        <v>118</v>
      </c>
      <c r="R886">
        <v>0.75</v>
      </c>
      <c r="S886">
        <f t="shared" si="94"/>
        <v>177.441</v>
      </c>
    </row>
    <row r="887" spans="1:19" x14ac:dyDescent="0.55000000000000004">
      <c r="A887">
        <v>93</v>
      </c>
      <c r="B887" s="2">
        <v>45637.465277777781</v>
      </c>
      <c r="C887" t="s">
        <v>216</v>
      </c>
      <c r="D887">
        <v>2</v>
      </c>
      <c r="E887" t="s">
        <v>44</v>
      </c>
      <c r="F887" t="str">
        <f t="shared" si="89"/>
        <v>Gobiomorphus cotidianus</v>
      </c>
      <c r="G887" t="str">
        <f t="shared" si="90"/>
        <v>Common_bully</v>
      </c>
      <c r="H887" t="str">
        <f t="shared" si="91"/>
        <v>Toitoi</v>
      </c>
      <c r="I887" t="str">
        <f t="shared" si="92"/>
        <v>Native</v>
      </c>
      <c r="J887" t="str">
        <f t="shared" si="93"/>
        <v>No</v>
      </c>
      <c r="M887">
        <v>37</v>
      </c>
      <c r="S887" t="str">
        <f t="shared" si="94"/>
        <v/>
      </c>
    </row>
    <row r="888" spans="1:19" x14ac:dyDescent="0.55000000000000004">
      <c r="A888">
        <v>93</v>
      </c>
      <c r="B888" s="2">
        <v>45637.465277777781</v>
      </c>
      <c r="C888" t="s">
        <v>215</v>
      </c>
      <c r="D888">
        <v>2</v>
      </c>
      <c r="E888" t="s">
        <v>123</v>
      </c>
      <c r="F888" t="str">
        <f t="shared" si="89"/>
        <v>Carassius auratus</v>
      </c>
      <c r="G888" t="str">
        <f t="shared" si="90"/>
        <v>Goldfish</v>
      </c>
      <c r="H888" t="str">
        <f t="shared" si="91"/>
        <v>Morihana</v>
      </c>
      <c r="I888" t="str">
        <f t="shared" si="92"/>
        <v>Nonnative</v>
      </c>
      <c r="J888" t="str">
        <f t="shared" si="93"/>
        <v>No</v>
      </c>
      <c r="L888">
        <v>145</v>
      </c>
      <c r="M888">
        <v>70</v>
      </c>
      <c r="N888">
        <v>1</v>
      </c>
      <c r="S888" t="str">
        <f t="shared" si="94"/>
        <v/>
      </c>
    </row>
    <row r="889" spans="1:19" x14ac:dyDescent="0.55000000000000004">
      <c r="A889">
        <v>93</v>
      </c>
      <c r="B889" s="2">
        <v>45637.465277777781</v>
      </c>
      <c r="C889" t="s">
        <v>215</v>
      </c>
      <c r="D889">
        <v>2</v>
      </c>
      <c r="E889" t="s">
        <v>123</v>
      </c>
      <c r="F889" t="str">
        <f t="shared" si="89"/>
        <v>Carassius auratus</v>
      </c>
      <c r="G889" t="str">
        <f t="shared" si="90"/>
        <v>Goldfish</v>
      </c>
      <c r="H889" t="str">
        <f t="shared" si="91"/>
        <v>Morihana</v>
      </c>
      <c r="I889" t="str">
        <f t="shared" si="92"/>
        <v>Nonnative</v>
      </c>
      <c r="J889" t="str">
        <f t="shared" si="93"/>
        <v>No</v>
      </c>
      <c r="L889">
        <v>200</v>
      </c>
      <c r="M889">
        <v>202</v>
      </c>
      <c r="N889">
        <v>1</v>
      </c>
      <c r="S889" t="str">
        <f t="shared" si="94"/>
        <v/>
      </c>
    </row>
    <row r="890" spans="1:19" x14ac:dyDescent="0.55000000000000004">
      <c r="A890">
        <v>93</v>
      </c>
      <c r="B890" s="2">
        <v>45637.465277777781</v>
      </c>
      <c r="C890" t="s">
        <v>215</v>
      </c>
      <c r="D890">
        <v>2</v>
      </c>
      <c r="E890" t="s">
        <v>123</v>
      </c>
      <c r="F890" t="str">
        <f t="shared" si="89"/>
        <v>Carassius auratus</v>
      </c>
      <c r="G890" t="str">
        <f t="shared" si="90"/>
        <v>Goldfish</v>
      </c>
      <c r="H890" t="str">
        <f t="shared" si="91"/>
        <v>Morihana</v>
      </c>
      <c r="I890" t="str">
        <f t="shared" si="92"/>
        <v>Nonnative</v>
      </c>
      <c r="J890" t="str">
        <f t="shared" si="93"/>
        <v>No</v>
      </c>
      <c r="L890">
        <v>222</v>
      </c>
      <c r="M890">
        <v>276</v>
      </c>
      <c r="N890">
        <v>1</v>
      </c>
      <c r="S890" t="str">
        <f t="shared" si="94"/>
        <v/>
      </c>
    </row>
    <row r="891" spans="1:19" x14ac:dyDescent="0.55000000000000004">
      <c r="A891">
        <v>93</v>
      </c>
      <c r="B891" s="2">
        <v>45637.465277777781</v>
      </c>
      <c r="C891" t="s">
        <v>215</v>
      </c>
      <c r="D891">
        <v>2</v>
      </c>
      <c r="E891" t="s">
        <v>123</v>
      </c>
      <c r="F891" t="str">
        <f t="shared" si="89"/>
        <v>Carassius auratus</v>
      </c>
      <c r="G891" t="str">
        <f t="shared" si="90"/>
        <v>Goldfish</v>
      </c>
      <c r="H891" t="str">
        <f t="shared" si="91"/>
        <v>Morihana</v>
      </c>
      <c r="I891" t="str">
        <f t="shared" si="92"/>
        <v>Nonnative</v>
      </c>
      <c r="J891" t="str">
        <f t="shared" si="93"/>
        <v>No</v>
      </c>
      <c r="L891">
        <v>170</v>
      </c>
      <c r="M891">
        <v>134</v>
      </c>
      <c r="N891">
        <v>1</v>
      </c>
      <c r="S891" t="str">
        <f t="shared" si="94"/>
        <v/>
      </c>
    </row>
    <row r="892" spans="1:19" x14ac:dyDescent="0.55000000000000004">
      <c r="A892">
        <v>93</v>
      </c>
      <c r="B892" s="2">
        <v>45637.465277777781</v>
      </c>
      <c r="C892" t="s">
        <v>215</v>
      </c>
      <c r="D892">
        <v>2</v>
      </c>
      <c r="E892" t="s">
        <v>123</v>
      </c>
      <c r="F892" t="str">
        <f t="shared" si="89"/>
        <v>Carassius auratus</v>
      </c>
      <c r="G892" t="str">
        <f t="shared" si="90"/>
        <v>Goldfish</v>
      </c>
      <c r="H892" t="str">
        <f t="shared" si="91"/>
        <v>Morihana</v>
      </c>
      <c r="I892" t="str">
        <f t="shared" si="92"/>
        <v>Nonnative</v>
      </c>
      <c r="J892" t="str">
        <f t="shared" si="93"/>
        <v>No</v>
      </c>
      <c r="L892">
        <v>166</v>
      </c>
      <c r="M892">
        <v>107</v>
      </c>
      <c r="N892">
        <v>1</v>
      </c>
      <c r="S892" t="str">
        <f t="shared" si="94"/>
        <v/>
      </c>
    </row>
    <row r="893" spans="1:19" x14ac:dyDescent="0.55000000000000004">
      <c r="A893">
        <v>93</v>
      </c>
      <c r="B893" s="2">
        <v>45637.465277777781</v>
      </c>
      <c r="C893" t="s">
        <v>215</v>
      </c>
      <c r="D893">
        <v>2</v>
      </c>
      <c r="E893" t="s">
        <v>123</v>
      </c>
      <c r="F893" t="str">
        <f t="shared" si="89"/>
        <v>Carassius auratus</v>
      </c>
      <c r="G893" t="str">
        <f t="shared" si="90"/>
        <v>Goldfish</v>
      </c>
      <c r="H893" t="str">
        <f t="shared" si="91"/>
        <v>Morihana</v>
      </c>
      <c r="I893" t="str">
        <f t="shared" si="92"/>
        <v>Nonnative</v>
      </c>
      <c r="J893" t="str">
        <f t="shared" si="93"/>
        <v>No</v>
      </c>
      <c r="L893">
        <v>181</v>
      </c>
      <c r="M893">
        <v>170</v>
      </c>
      <c r="N893">
        <v>1</v>
      </c>
      <c r="S893" t="str">
        <f t="shared" si="94"/>
        <v/>
      </c>
    </row>
    <row r="894" spans="1:19" x14ac:dyDescent="0.55000000000000004">
      <c r="A894">
        <v>93</v>
      </c>
      <c r="B894" s="2">
        <v>45637.465277777781</v>
      </c>
      <c r="C894" t="s">
        <v>215</v>
      </c>
      <c r="D894">
        <v>2</v>
      </c>
      <c r="E894" t="s">
        <v>123</v>
      </c>
      <c r="F894" t="str">
        <f t="shared" si="89"/>
        <v>Carassius auratus</v>
      </c>
      <c r="G894" t="str">
        <f t="shared" si="90"/>
        <v>Goldfish</v>
      </c>
      <c r="H894" t="str">
        <f t="shared" si="91"/>
        <v>Morihana</v>
      </c>
      <c r="I894" t="str">
        <f t="shared" si="92"/>
        <v>Nonnative</v>
      </c>
      <c r="J894" t="str">
        <f t="shared" si="93"/>
        <v>No</v>
      </c>
      <c r="L894">
        <v>203</v>
      </c>
      <c r="M894">
        <v>231</v>
      </c>
      <c r="N894">
        <v>1</v>
      </c>
      <c r="S894" t="str">
        <f t="shared" si="94"/>
        <v/>
      </c>
    </row>
    <row r="895" spans="1:19" x14ac:dyDescent="0.55000000000000004">
      <c r="A895">
        <v>93</v>
      </c>
      <c r="B895" s="2">
        <v>45637.465277777781</v>
      </c>
      <c r="C895" t="s">
        <v>215</v>
      </c>
      <c r="D895">
        <v>2</v>
      </c>
      <c r="E895" t="s">
        <v>123</v>
      </c>
      <c r="F895" t="str">
        <f t="shared" si="89"/>
        <v>Carassius auratus</v>
      </c>
      <c r="G895" t="str">
        <f t="shared" si="90"/>
        <v>Goldfish</v>
      </c>
      <c r="H895" t="str">
        <f t="shared" si="91"/>
        <v>Morihana</v>
      </c>
      <c r="I895" t="str">
        <f t="shared" si="92"/>
        <v>Nonnative</v>
      </c>
      <c r="J895" t="str">
        <f t="shared" si="93"/>
        <v>No</v>
      </c>
      <c r="L895">
        <v>142</v>
      </c>
      <c r="M895">
        <v>64</v>
      </c>
      <c r="N895">
        <v>1</v>
      </c>
      <c r="S895" t="str">
        <f t="shared" si="94"/>
        <v/>
      </c>
    </row>
    <row r="896" spans="1:19" x14ac:dyDescent="0.55000000000000004">
      <c r="A896">
        <v>93</v>
      </c>
      <c r="B896" s="2">
        <v>45637.465277777781</v>
      </c>
      <c r="C896" t="s">
        <v>215</v>
      </c>
      <c r="D896">
        <v>2</v>
      </c>
      <c r="E896" t="s">
        <v>123</v>
      </c>
      <c r="F896" t="str">
        <f t="shared" si="89"/>
        <v>Carassius auratus</v>
      </c>
      <c r="G896" t="str">
        <f t="shared" si="90"/>
        <v>Goldfish</v>
      </c>
      <c r="H896" t="str">
        <f t="shared" si="91"/>
        <v>Morihana</v>
      </c>
      <c r="I896" t="str">
        <f t="shared" si="92"/>
        <v>Nonnative</v>
      </c>
      <c r="J896" t="str">
        <f t="shared" si="93"/>
        <v>No</v>
      </c>
      <c r="L896">
        <v>191</v>
      </c>
      <c r="M896">
        <v>170</v>
      </c>
      <c r="N896">
        <v>1</v>
      </c>
      <c r="S896" t="str">
        <f t="shared" si="94"/>
        <v/>
      </c>
    </row>
    <row r="897" spans="1:19" x14ac:dyDescent="0.55000000000000004">
      <c r="A897">
        <v>93</v>
      </c>
      <c r="B897" s="2">
        <v>45637.465277777781</v>
      </c>
      <c r="C897" t="s">
        <v>215</v>
      </c>
      <c r="D897">
        <v>2</v>
      </c>
      <c r="E897" t="s">
        <v>123</v>
      </c>
      <c r="F897" t="str">
        <f t="shared" si="89"/>
        <v>Carassius auratus</v>
      </c>
      <c r="G897" t="str">
        <f t="shared" si="90"/>
        <v>Goldfish</v>
      </c>
      <c r="H897" t="str">
        <f t="shared" si="91"/>
        <v>Morihana</v>
      </c>
      <c r="I897" t="str">
        <f t="shared" si="92"/>
        <v>Nonnative</v>
      </c>
      <c r="J897" t="str">
        <f t="shared" si="93"/>
        <v>No</v>
      </c>
      <c r="L897">
        <v>176</v>
      </c>
      <c r="M897">
        <v>127</v>
      </c>
      <c r="N897">
        <v>1</v>
      </c>
      <c r="S897" t="str">
        <f t="shared" si="94"/>
        <v/>
      </c>
    </row>
    <row r="898" spans="1:19" x14ac:dyDescent="0.55000000000000004">
      <c r="A898">
        <v>93</v>
      </c>
      <c r="B898" s="2">
        <v>45637.465277777781</v>
      </c>
      <c r="C898" t="s">
        <v>215</v>
      </c>
      <c r="D898">
        <v>2</v>
      </c>
      <c r="E898" t="s">
        <v>123</v>
      </c>
      <c r="F898" t="str">
        <f t="shared" ref="F898:F961" si="95">VLOOKUP($E898, $V$1:$AA$9, 2, FALSE)</f>
        <v>Carassius auratus</v>
      </c>
      <c r="G898" t="str">
        <f t="shared" ref="G898:G961" si="96">VLOOKUP($E898, $V$1:$AA$9, 3, FALSE)</f>
        <v>Goldfish</v>
      </c>
      <c r="H898" t="str">
        <f t="shared" ref="H898:H961" si="97">VLOOKUP($E898, $V$1:$AA$9, 4, FALSE)</f>
        <v>Morihana</v>
      </c>
      <c r="I898" t="str">
        <f t="shared" ref="I898:I961" si="98">VLOOKUP($E898, $V$1:$AB$9, 5, FALSE)</f>
        <v>Nonnative</v>
      </c>
      <c r="J898" t="str">
        <f t="shared" ref="J898:J961" si="99">VLOOKUP($E898, $V$1:$AA$9, 6, FALSE)</f>
        <v>No</v>
      </c>
      <c r="L898">
        <v>190</v>
      </c>
      <c r="M898">
        <v>172</v>
      </c>
      <c r="N898">
        <v>1</v>
      </c>
      <c r="S898" t="str">
        <f t="shared" si="94"/>
        <v/>
      </c>
    </row>
    <row r="899" spans="1:19" x14ac:dyDescent="0.55000000000000004">
      <c r="A899">
        <v>93</v>
      </c>
      <c r="B899" s="2">
        <v>45637.465277777781</v>
      </c>
      <c r="C899" t="s">
        <v>215</v>
      </c>
      <c r="D899">
        <v>2</v>
      </c>
      <c r="E899" t="s">
        <v>123</v>
      </c>
      <c r="F899" t="str">
        <f t="shared" si="95"/>
        <v>Carassius auratus</v>
      </c>
      <c r="G899" t="str">
        <f t="shared" si="96"/>
        <v>Goldfish</v>
      </c>
      <c r="H899" t="str">
        <f t="shared" si="97"/>
        <v>Morihana</v>
      </c>
      <c r="I899" t="str">
        <f t="shared" si="98"/>
        <v>Nonnative</v>
      </c>
      <c r="J899" t="str">
        <f t="shared" si="99"/>
        <v>No</v>
      </c>
      <c r="L899">
        <v>211</v>
      </c>
      <c r="M899">
        <v>230</v>
      </c>
      <c r="N899">
        <v>1</v>
      </c>
      <c r="S899" t="str">
        <f t="shared" si="94"/>
        <v/>
      </c>
    </row>
    <row r="900" spans="1:19" x14ac:dyDescent="0.55000000000000004">
      <c r="A900">
        <v>93</v>
      </c>
      <c r="B900" s="2">
        <v>45637.465277777781</v>
      </c>
      <c r="C900" t="s">
        <v>215</v>
      </c>
      <c r="D900">
        <v>2</v>
      </c>
      <c r="E900" t="s">
        <v>123</v>
      </c>
      <c r="F900" t="str">
        <f t="shared" si="95"/>
        <v>Carassius auratus</v>
      </c>
      <c r="G900" t="str">
        <f t="shared" si="96"/>
        <v>Goldfish</v>
      </c>
      <c r="H900" t="str">
        <f t="shared" si="97"/>
        <v>Morihana</v>
      </c>
      <c r="I900" t="str">
        <f t="shared" si="98"/>
        <v>Nonnative</v>
      </c>
      <c r="J900" t="str">
        <f t="shared" si="99"/>
        <v>No</v>
      </c>
      <c r="L900">
        <v>192</v>
      </c>
      <c r="M900">
        <v>172</v>
      </c>
      <c r="N900">
        <v>1</v>
      </c>
      <c r="S900" t="str">
        <f t="shared" ref="S900:S963" si="100">IF(R900&lt;&gt;"", R900*236.588, "")</f>
        <v/>
      </c>
    </row>
    <row r="901" spans="1:19" x14ac:dyDescent="0.55000000000000004">
      <c r="A901">
        <v>93</v>
      </c>
      <c r="B901" s="2">
        <v>45637.465277777781</v>
      </c>
      <c r="C901" t="s">
        <v>215</v>
      </c>
      <c r="D901">
        <v>2</v>
      </c>
      <c r="E901" t="s">
        <v>123</v>
      </c>
      <c r="F901" t="str">
        <f t="shared" si="95"/>
        <v>Carassius auratus</v>
      </c>
      <c r="G901" t="str">
        <f t="shared" si="96"/>
        <v>Goldfish</v>
      </c>
      <c r="H901" t="str">
        <f t="shared" si="97"/>
        <v>Morihana</v>
      </c>
      <c r="I901" t="str">
        <f t="shared" si="98"/>
        <v>Nonnative</v>
      </c>
      <c r="J901" t="str">
        <f t="shared" si="99"/>
        <v>No</v>
      </c>
      <c r="L901">
        <v>142</v>
      </c>
      <c r="M901">
        <v>172</v>
      </c>
      <c r="N901">
        <v>1</v>
      </c>
      <c r="S901" t="str">
        <f t="shared" si="100"/>
        <v/>
      </c>
    </row>
    <row r="902" spans="1:19" x14ac:dyDescent="0.55000000000000004">
      <c r="A902">
        <v>93</v>
      </c>
      <c r="B902" s="2">
        <v>45637.465277777781</v>
      </c>
      <c r="C902" t="s">
        <v>215</v>
      </c>
      <c r="D902">
        <v>2</v>
      </c>
      <c r="E902" t="s">
        <v>123</v>
      </c>
      <c r="F902" t="str">
        <f t="shared" si="95"/>
        <v>Carassius auratus</v>
      </c>
      <c r="G902" t="str">
        <f t="shared" si="96"/>
        <v>Goldfish</v>
      </c>
      <c r="H902" t="str">
        <f t="shared" si="97"/>
        <v>Morihana</v>
      </c>
      <c r="I902" t="str">
        <f t="shared" si="98"/>
        <v>Nonnative</v>
      </c>
      <c r="J902" t="str">
        <f t="shared" si="99"/>
        <v>No</v>
      </c>
      <c r="L902">
        <v>176</v>
      </c>
      <c r="M902">
        <v>135</v>
      </c>
      <c r="N902">
        <v>1</v>
      </c>
      <c r="S902" t="str">
        <f t="shared" si="100"/>
        <v/>
      </c>
    </row>
    <row r="903" spans="1:19" x14ac:dyDescent="0.55000000000000004">
      <c r="A903">
        <v>93</v>
      </c>
      <c r="B903" s="2">
        <v>45637.465277777781</v>
      </c>
      <c r="C903" t="s">
        <v>215</v>
      </c>
      <c r="D903">
        <v>2</v>
      </c>
      <c r="E903" t="s">
        <v>123</v>
      </c>
      <c r="F903" t="str">
        <f t="shared" si="95"/>
        <v>Carassius auratus</v>
      </c>
      <c r="G903" t="str">
        <f t="shared" si="96"/>
        <v>Goldfish</v>
      </c>
      <c r="H903" t="str">
        <f t="shared" si="97"/>
        <v>Morihana</v>
      </c>
      <c r="I903" t="str">
        <f t="shared" si="98"/>
        <v>Nonnative</v>
      </c>
      <c r="J903" t="str">
        <f t="shared" si="99"/>
        <v>No</v>
      </c>
      <c r="L903">
        <v>175</v>
      </c>
      <c r="M903">
        <v>116</v>
      </c>
      <c r="N903">
        <v>1</v>
      </c>
      <c r="S903" t="str">
        <f t="shared" si="100"/>
        <v/>
      </c>
    </row>
    <row r="904" spans="1:19" x14ac:dyDescent="0.55000000000000004">
      <c r="A904">
        <v>93</v>
      </c>
      <c r="B904" s="2">
        <v>45637.465277777781</v>
      </c>
      <c r="C904" t="s">
        <v>215</v>
      </c>
      <c r="D904">
        <v>2</v>
      </c>
      <c r="E904" t="s">
        <v>123</v>
      </c>
      <c r="F904" t="str">
        <f t="shared" si="95"/>
        <v>Carassius auratus</v>
      </c>
      <c r="G904" t="str">
        <f t="shared" si="96"/>
        <v>Goldfish</v>
      </c>
      <c r="H904" t="str">
        <f t="shared" si="97"/>
        <v>Morihana</v>
      </c>
      <c r="I904" t="str">
        <f t="shared" si="98"/>
        <v>Nonnative</v>
      </c>
      <c r="J904" t="str">
        <f t="shared" si="99"/>
        <v>No</v>
      </c>
      <c r="M904">
        <v>1912</v>
      </c>
      <c r="N904">
        <v>64</v>
      </c>
      <c r="S904" t="str">
        <f t="shared" si="100"/>
        <v/>
      </c>
    </row>
    <row r="905" spans="1:19" x14ac:dyDescent="0.55000000000000004">
      <c r="A905">
        <v>93</v>
      </c>
      <c r="B905" s="2">
        <v>45637.465277777781</v>
      </c>
      <c r="C905" t="s">
        <v>215</v>
      </c>
      <c r="D905">
        <v>2</v>
      </c>
      <c r="E905" t="s">
        <v>44</v>
      </c>
      <c r="F905" t="str">
        <f t="shared" si="95"/>
        <v>Gobiomorphus cotidianus</v>
      </c>
      <c r="G905" t="str">
        <f t="shared" si="96"/>
        <v>Common_bully</v>
      </c>
      <c r="H905" t="str">
        <f t="shared" si="97"/>
        <v>Toitoi</v>
      </c>
      <c r="I905" t="str">
        <f t="shared" si="98"/>
        <v>Native</v>
      </c>
      <c r="J905" t="str">
        <f t="shared" si="99"/>
        <v>No</v>
      </c>
      <c r="M905">
        <f>126-117</f>
        <v>9</v>
      </c>
      <c r="N905">
        <v>30</v>
      </c>
      <c r="S905" t="str">
        <f t="shared" si="100"/>
        <v/>
      </c>
    </row>
    <row r="906" spans="1:19" x14ac:dyDescent="0.55000000000000004">
      <c r="A906">
        <v>93</v>
      </c>
      <c r="B906" s="2">
        <v>45637.465277777781</v>
      </c>
      <c r="C906" t="s">
        <v>215</v>
      </c>
      <c r="D906">
        <v>2</v>
      </c>
      <c r="E906" t="s">
        <v>123</v>
      </c>
      <c r="F906" t="str">
        <f t="shared" si="95"/>
        <v>Carassius auratus</v>
      </c>
      <c r="G906" t="str">
        <f t="shared" si="96"/>
        <v>Goldfish</v>
      </c>
      <c r="H906" t="str">
        <f t="shared" si="97"/>
        <v>Morihana</v>
      </c>
      <c r="I906" t="str">
        <f t="shared" si="98"/>
        <v>Nonnative</v>
      </c>
      <c r="J906" t="str">
        <f t="shared" si="99"/>
        <v>No</v>
      </c>
      <c r="L906">
        <v>180</v>
      </c>
      <c r="M906">
        <v>145</v>
      </c>
      <c r="N906">
        <v>1</v>
      </c>
      <c r="S906" t="str">
        <f t="shared" si="100"/>
        <v/>
      </c>
    </row>
    <row r="907" spans="1:19" x14ac:dyDescent="0.55000000000000004">
      <c r="A907">
        <v>93</v>
      </c>
      <c r="B907" s="2">
        <v>45637.465277777781</v>
      </c>
      <c r="C907" t="s">
        <v>215</v>
      </c>
      <c r="D907">
        <v>2</v>
      </c>
      <c r="E907" t="s">
        <v>123</v>
      </c>
      <c r="F907" t="str">
        <f t="shared" si="95"/>
        <v>Carassius auratus</v>
      </c>
      <c r="G907" t="str">
        <f t="shared" si="96"/>
        <v>Goldfish</v>
      </c>
      <c r="H907" t="str">
        <f t="shared" si="97"/>
        <v>Morihana</v>
      </c>
      <c r="I907" t="str">
        <f t="shared" si="98"/>
        <v>Nonnative</v>
      </c>
      <c r="J907" t="str">
        <f t="shared" si="99"/>
        <v>No</v>
      </c>
      <c r="L907">
        <v>155</v>
      </c>
      <c r="M907">
        <v>95</v>
      </c>
      <c r="N907">
        <v>1</v>
      </c>
      <c r="S907" t="str">
        <f t="shared" si="100"/>
        <v/>
      </c>
    </row>
    <row r="908" spans="1:19" x14ac:dyDescent="0.55000000000000004">
      <c r="A908">
        <v>93</v>
      </c>
      <c r="B908" s="2">
        <v>45637.465277777781</v>
      </c>
      <c r="C908" t="s">
        <v>215</v>
      </c>
      <c r="D908">
        <v>2</v>
      </c>
      <c r="E908" t="s">
        <v>123</v>
      </c>
      <c r="F908" t="str">
        <f t="shared" si="95"/>
        <v>Carassius auratus</v>
      </c>
      <c r="G908" t="str">
        <f t="shared" si="96"/>
        <v>Goldfish</v>
      </c>
      <c r="H908" t="str">
        <f t="shared" si="97"/>
        <v>Morihana</v>
      </c>
      <c r="I908" t="str">
        <f t="shared" si="98"/>
        <v>Nonnative</v>
      </c>
      <c r="J908" t="str">
        <f t="shared" si="99"/>
        <v>No</v>
      </c>
      <c r="L908">
        <v>152</v>
      </c>
      <c r="M908">
        <v>61</v>
      </c>
      <c r="N908">
        <v>1</v>
      </c>
      <c r="S908" t="str">
        <f t="shared" si="100"/>
        <v/>
      </c>
    </row>
    <row r="909" spans="1:19" x14ac:dyDescent="0.55000000000000004">
      <c r="A909">
        <v>93</v>
      </c>
      <c r="B909" s="2">
        <v>45637.465277777781</v>
      </c>
      <c r="C909" t="s">
        <v>215</v>
      </c>
      <c r="D909">
        <v>2</v>
      </c>
      <c r="E909" t="s">
        <v>123</v>
      </c>
      <c r="F909" t="str">
        <f t="shared" si="95"/>
        <v>Carassius auratus</v>
      </c>
      <c r="G909" t="str">
        <f t="shared" si="96"/>
        <v>Goldfish</v>
      </c>
      <c r="H909" t="str">
        <f t="shared" si="97"/>
        <v>Morihana</v>
      </c>
      <c r="I909" t="str">
        <f t="shared" si="98"/>
        <v>Nonnative</v>
      </c>
      <c r="J909" t="str">
        <f t="shared" si="99"/>
        <v>No</v>
      </c>
      <c r="L909">
        <v>150</v>
      </c>
      <c r="M909">
        <v>73</v>
      </c>
      <c r="N909">
        <v>1</v>
      </c>
      <c r="S909" t="str">
        <f t="shared" si="100"/>
        <v/>
      </c>
    </row>
    <row r="910" spans="1:19" x14ac:dyDescent="0.55000000000000004">
      <c r="A910">
        <v>93</v>
      </c>
      <c r="B910" s="2">
        <v>45637.465277777781</v>
      </c>
      <c r="C910" t="s">
        <v>215</v>
      </c>
      <c r="D910">
        <v>2</v>
      </c>
      <c r="E910" t="s">
        <v>123</v>
      </c>
      <c r="F910" t="str">
        <f t="shared" si="95"/>
        <v>Carassius auratus</v>
      </c>
      <c r="G910" t="str">
        <f t="shared" si="96"/>
        <v>Goldfish</v>
      </c>
      <c r="H910" t="str">
        <f t="shared" si="97"/>
        <v>Morihana</v>
      </c>
      <c r="I910" t="str">
        <f t="shared" si="98"/>
        <v>Nonnative</v>
      </c>
      <c r="J910" t="str">
        <f t="shared" si="99"/>
        <v>No</v>
      </c>
      <c r="L910">
        <v>135</v>
      </c>
      <c r="M910">
        <v>54</v>
      </c>
      <c r="N910">
        <v>1</v>
      </c>
      <c r="S910" t="str">
        <f t="shared" si="100"/>
        <v/>
      </c>
    </row>
    <row r="911" spans="1:19" x14ac:dyDescent="0.55000000000000004">
      <c r="A911">
        <v>93</v>
      </c>
      <c r="B911" s="2">
        <v>45637.465277777781</v>
      </c>
      <c r="C911" t="s">
        <v>215</v>
      </c>
      <c r="D911">
        <v>2</v>
      </c>
      <c r="E911" t="s">
        <v>123</v>
      </c>
      <c r="F911" t="str">
        <f t="shared" si="95"/>
        <v>Carassius auratus</v>
      </c>
      <c r="G911" t="str">
        <f t="shared" si="96"/>
        <v>Goldfish</v>
      </c>
      <c r="H911" t="str">
        <f t="shared" si="97"/>
        <v>Morihana</v>
      </c>
      <c r="I911" t="str">
        <f t="shared" si="98"/>
        <v>Nonnative</v>
      </c>
      <c r="J911" t="str">
        <f t="shared" si="99"/>
        <v>No</v>
      </c>
      <c r="L911">
        <v>130</v>
      </c>
      <c r="M911">
        <v>57</v>
      </c>
      <c r="N911">
        <v>1</v>
      </c>
      <c r="S911" t="str">
        <f t="shared" si="100"/>
        <v/>
      </c>
    </row>
    <row r="912" spans="1:19" x14ac:dyDescent="0.55000000000000004">
      <c r="A912">
        <v>93</v>
      </c>
      <c r="B912" s="2">
        <v>45637.465277777781</v>
      </c>
      <c r="C912" t="s">
        <v>215</v>
      </c>
      <c r="D912">
        <v>2</v>
      </c>
      <c r="E912" t="s">
        <v>123</v>
      </c>
      <c r="F912" t="str">
        <f t="shared" si="95"/>
        <v>Carassius auratus</v>
      </c>
      <c r="G912" t="str">
        <f t="shared" si="96"/>
        <v>Goldfish</v>
      </c>
      <c r="H912" t="str">
        <f t="shared" si="97"/>
        <v>Morihana</v>
      </c>
      <c r="I912" t="str">
        <f t="shared" si="98"/>
        <v>Nonnative</v>
      </c>
      <c r="J912" t="str">
        <f t="shared" si="99"/>
        <v>No</v>
      </c>
      <c r="L912">
        <v>179</v>
      </c>
      <c r="M912">
        <v>167</v>
      </c>
      <c r="N912">
        <v>1</v>
      </c>
      <c r="S912" t="str">
        <f t="shared" si="100"/>
        <v/>
      </c>
    </row>
    <row r="913" spans="1:19" x14ac:dyDescent="0.55000000000000004">
      <c r="A913">
        <v>93</v>
      </c>
      <c r="B913" s="2">
        <v>45637.465277777781</v>
      </c>
      <c r="C913" t="s">
        <v>215</v>
      </c>
      <c r="D913">
        <v>2</v>
      </c>
      <c r="E913" t="s">
        <v>123</v>
      </c>
      <c r="F913" t="str">
        <f t="shared" si="95"/>
        <v>Carassius auratus</v>
      </c>
      <c r="G913" t="str">
        <f t="shared" si="96"/>
        <v>Goldfish</v>
      </c>
      <c r="H913" t="str">
        <f t="shared" si="97"/>
        <v>Morihana</v>
      </c>
      <c r="I913" t="str">
        <f t="shared" si="98"/>
        <v>Nonnative</v>
      </c>
      <c r="J913" t="str">
        <f t="shared" si="99"/>
        <v>No</v>
      </c>
      <c r="L913">
        <v>159</v>
      </c>
      <c r="M913">
        <v>96</v>
      </c>
      <c r="N913">
        <v>1</v>
      </c>
      <c r="S913" t="str">
        <f t="shared" si="100"/>
        <v/>
      </c>
    </row>
    <row r="914" spans="1:19" x14ac:dyDescent="0.55000000000000004">
      <c r="A914">
        <v>93</v>
      </c>
      <c r="B914" s="2">
        <v>45637.465277777781</v>
      </c>
      <c r="C914" t="s">
        <v>215</v>
      </c>
      <c r="D914">
        <v>2</v>
      </c>
      <c r="E914" t="s">
        <v>123</v>
      </c>
      <c r="F914" t="str">
        <f t="shared" si="95"/>
        <v>Carassius auratus</v>
      </c>
      <c r="G914" t="str">
        <f t="shared" si="96"/>
        <v>Goldfish</v>
      </c>
      <c r="H914" t="str">
        <f t="shared" si="97"/>
        <v>Morihana</v>
      </c>
      <c r="I914" t="str">
        <f t="shared" si="98"/>
        <v>Nonnative</v>
      </c>
      <c r="J914" t="str">
        <f t="shared" si="99"/>
        <v>No</v>
      </c>
      <c r="L914">
        <v>129</v>
      </c>
      <c r="M914">
        <v>53</v>
      </c>
      <c r="N914">
        <v>1</v>
      </c>
      <c r="S914" t="str">
        <f t="shared" si="100"/>
        <v/>
      </c>
    </row>
    <row r="915" spans="1:19" x14ac:dyDescent="0.55000000000000004">
      <c r="A915">
        <v>93</v>
      </c>
      <c r="B915" s="2">
        <v>45637.465277777781</v>
      </c>
      <c r="C915" t="s">
        <v>215</v>
      </c>
      <c r="D915">
        <v>2</v>
      </c>
      <c r="E915" t="s">
        <v>123</v>
      </c>
      <c r="F915" t="str">
        <f t="shared" si="95"/>
        <v>Carassius auratus</v>
      </c>
      <c r="G915" t="str">
        <f t="shared" si="96"/>
        <v>Goldfish</v>
      </c>
      <c r="H915" t="str">
        <f t="shared" si="97"/>
        <v>Morihana</v>
      </c>
      <c r="I915" t="str">
        <f t="shared" si="98"/>
        <v>Nonnative</v>
      </c>
      <c r="J915" t="str">
        <f t="shared" si="99"/>
        <v>No</v>
      </c>
      <c r="L915">
        <v>143</v>
      </c>
      <c r="M915">
        <v>68</v>
      </c>
      <c r="N915">
        <v>1</v>
      </c>
      <c r="S915" t="str">
        <f t="shared" si="100"/>
        <v/>
      </c>
    </row>
    <row r="916" spans="1:19" x14ac:dyDescent="0.55000000000000004">
      <c r="A916">
        <v>93</v>
      </c>
      <c r="B916" s="2">
        <v>45637.465277777781</v>
      </c>
      <c r="C916" t="s">
        <v>215</v>
      </c>
      <c r="D916">
        <v>2</v>
      </c>
      <c r="E916" t="s">
        <v>123</v>
      </c>
      <c r="F916" t="str">
        <f t="shared" si="95"/>
        <v>Carassius auratus</v>
      </c>
      <c r="G916" t="str">
        <f t="shared" si="96"/>
        <v>Goldfish</v>
      </c>
      <c r="H916" t="str">
        <f t="shared" si="97"/>
        <v>Morihana</v>
      </c>
      <c r="I916" t="str">
        <f t="shared" si="98"/>
        <v>Nonnative</v>
      </c>
      <c r="J916" t="str">
        <f t="shared" si="99"/>
        <v>No</v>
      </c>
      <c r="L916">
        <v>125</v>
      </c>
      <c r="M916">
        <v>47</v>
      </c>
      <c r="N916">
        <v>1</v>
      </c>
      <c r="S916" t="str">
        <f t="shared" si="100"/>
        <v/>
      </c>
    </row>
    <row r="917" spans="1:19" x14ac:dyDescent="0.55000000000000004">
      <c r="A917">
        <v>93</v>
      </c>
      <c r="B917" s="2">
        <v>45637.465277777781</v>
      </c>
      <c r="C917" t="s">
        <v>215</v>
      </c>
      <c r="D917">
        <v>2</v>
      </c>
      <c r="E917" t="s">
        <v>123</v>
      </c>
      <c r="F917" t="str">
        <f t="shared" si="95"/>
        <v>Carassius auratus</v>
      </c>
      <c r="G917" t="str">
        <f t="shared" si="96"/>
        <v>Goldfish</v>
      </c>
      <c r="H917" t="str">
        <f t="shared" si="97"/>
        <v>Morihana</v>
      </c>
      <c r="I917" t="str">
        <f t="shared" si="98"/>
        <v>Nonnative</v>
      </c>
      <c r="J917" t="str">
        <f t="shared" si="99"/>
        <v>No</v>
      </c>
      <c r="L917">
        <v>135</v>
      </c>
      <c r="M917">
        <v>61</v>
      </c>
      <c r="N917">
        <v>1</v>
      </c>
      <c r="S917" t="str">
        <f t="shared" si="100"/>
        <v/>
      </c>
    </row>
    <row r="918" spans="1:19" x14ac:dyDescent="0.55000000000000004">
      <c r="A918">
        <v>93</v>
      </c>
      <c r="B918" s="2">
        <v>45637.465277777781</v>
      </c>
      <c r="C918" t="s">
        <v>215</v>
      </c>
      <c r="D918">
        <v>2</v>
      </c>
      <c r="E918" t="s">
        <v>123</v>
      </c>
      <c r="F918" t="str">
        <f t="shared" si="95"/>
        <v>Carassius auratus</v>
      </c>
      <c r="G918" t="str">
        <f t="shared" si="96"/>
        <v>Goldfish</v>
      </c>
      <c r="H918" t="str">
        <f t="shared" si="97"/>
        <v>Morihana</v>
      </c>
      <c r="I918" t="str">
        <f t="shared" si="98"/>
        <v>Nonnative</v>
      </c>
      <c r="J918" t="str">
        <f t="shared" si="99"/>
        <v>No</v>
      </c>
      <c r="L918">
        <v>131</v>
      </c>
      <c r="M918">
        <v>48</v>
      </c>
      <c r="N918">
        <v>1</v>
      </c>
      <c r="S918" t="str">
        <f t="shared" si="100"/>
        <v/>
      </c>
    </row>
    <row r="919" spans="1:19" x14ac:dyDescent="0.55000000000000004">
      <c r="A919">
        <v>93</v>
      </c>
      <c r="B919" s="2">
        <v>45637.465277777781</v>
      </c>
      <c r="C919" t="s">
        <v>215</v>
      </c>
      <c r="D919">
        <v>2</v>
      </c>
      <c r="E919" t="s">
        <v>123</v>
      </c>
      <c r="F919" t="str">
        <f t="shared" si="95"/>
        <v>Carassius auratus</v>
      </c>
      <c r="G919" t="str">
        <f t="shared" si="96"/>
        <v>Goldfish</v>
      </c>
      <c r="H919" t="str">
        <f t="shared" si="97"/>
        <v>Morihana</v>
      </c>
      <c r="I919" t="str">
        <f t="shared" si="98"/>
        <v>Nonnative</v>
      </c>
      <c r="J919" t="str">
        <f t="shared" si="99"/>
        <v>No</v>
      </c>
      <c r="L919">
        <v>104</v>
      </c>
      <c r="M919">
        <v>25</v>
      </c>
      <c r="N919">
        <v>1</v>
      </c>
      <c r="S919" t="str">
        <f t="shared" si="100"/>
        <v/>
      </c>
    </row>
    <row r="920" spans="1:19" x14ac:dyDescent="0.55000000000000004">
      <c r="A920">
        <v>93</v>
      </c>
      <c r="B920" s="2">
        <v>45637.465277777781</v>
      </c>
      <c r="C920" t="s">
        <v>215</v>
      </c>
      <c r="D920">
        <v>2</v>
      </c>
      <c r="E920" t="s">
        <v>123</v>
      </c>
      <c r="F920" t="str">
        <f t="shared" si="95"/>
        <v>Carassius auratus</v>
      </c>
      <c r="G920" t="str">
        <f t="shared" si="96"/>
        <v>Goldfish</v>
      </c>
      <c r="H920" t="str">
        <f t="shared" si="97"/>
        <v>Morihana</v>
      </c>
      <c r="I920" t="str">
        <f t="shared" si="98"/>
        <v>Nonnative</v>
      </c>
      <c r="J920" t="str">
        <f t="shared" si="99"/>
        <v>No</v>
      </c>
      <c r="L920">
        <v>101</v>
      </c>
      <c r="M920">
        <v>20</v>
      </c>
      <c r="N920">
        <v>1</v>
      </c>
      <c r="S920" t="str">
        <f t="shared" si="100"/>
        <v/>
      </c>
    </row>
    <row r="921" spans="1:19" x14ac:dyDescent="0.55000000000000004">
      <c r="A921">
        <v>93</v>
      </c>
      <c r="B921" s="2">
        <v>45637.465277777781</v>
      </c>
      <c r="C921" t="s">
        <v>215</v>
      </c>
      <c r="D921">
        <v>2</v>
      </c>
      <c r="E921" t="s">
        <v>123</v>
      </c>
      <c r="F921" t="str">
        <f t="shared" si="95"/>
        <v>Carassius auratus</v>
      </c>
      <c r="G921" t="str">
        <f t="shared" si="96"/>
        <v>Goldfish</v>
      </c>
      <c r="H921" t="str">
        <f t="shared" si="97"/>
        <v>Morihana</v>
      </c>
      <c r="I921" t="str">
        <f t="shared" si="98"/>
        <v>Nonnative</v>
      </c>
      <c r="J921" t="str">
        <f t="shared" si="99"/>
        <v>No</v>
      </c>
      <c r="L921">
        <v>57</v>
      </c>
      <c r="M921">
        <v>2</v>
      </c>
      <c r="N921">
        <v>1</v>
      </c>
      <c r="S921" t="str">
        <f t="shared" si="100"/>
        <v/>
      </c>
    </row>
    <row r="922" spans="1:19" x14ac:dyDescent="0.55000000000000004">
      <c r="A922">
        <v>93</v>
      </c>
      <c r="B922" s="2">
        <v>45637.465277777781</v>
      </c>
      <c r="C922" t="s">
        <v>215</v>
      </c>
      <c r="D922">
        <v>2</v>
      </c>
      <c r="E922" t="s">
        <v>123</v>
      </c>
      <c r="F922" t="str">
        <f t="shared" si="95"/>
        <v>Carassius auratus</v>
      </c>
      <c r="G922" t="str">
        <f t="shared" si="96"/>
        <v>Goldfish</v>
      </c>
      <c r="H922" t="str">
        <f t="shared" si="97"/>
        <v>Morihana</v>
      </c>
      <c r="I922" t="str">
        <f t="shared" si="98"/>
        <v>Nonnative</v>
      </c>
      <c r="J922" t="str">
        <f t="shared" si="99"/>
        <v>No</v>
      </c>
      <c r="L922">
        <v>70</v>
      </c>
      <c r="M922">
        <v>9</v>
      </c>
      <c r="N922">
        <v>1</v>
      </c>
      <c r="S922" t="str">
        <f t="shared" si="100"/>
        <v/>
      </c>
    </row>
    <row r="923" spans="1:19" x14ac:dyDescent="0.55000000000000004">
      <c r="A923">
        <v>93</v>
      </c>
      <c r="B923" s="2">
        <v>45637.465277777781</v>
      </c>
      <c r="C923" t="s">
        <v>215</v>
      </c>
      <c r="D923">
        <v>2</v>
      </c>
      <c r="E923" t="s">
        <v>123</v>
      </c>
      <c r="F923" t="str">
        <f t="shared" si="95"/>
        <v>Carassius auratus</v>
      </c>
      <c r="G923" t="str">
        <f t="shared" si="96"/>
        <v>Goldfish</v>
      </c>
      <c r="H923" t="str">
        <f t="shared" si="97"/>
        <v>Morihana</v>
      </c>
      <c r="I923" t="str">
        <f t="shared" si="98"/>
        <v>Nonnative</v>
      </c>
      <c r="J923" t="str">
        <f t="shared" si="99"/>
        <v>No</v>
      </c>
      <c r="L923">
        <v>65</v>
      </c>
      <c r="M923">
        <v>12</v>
      </c>
      <c r="N923">
        <v>1</v>
      </c>
      <c r="S923" t="str">
        <f t="shared" si="100"/>
        <v/>
      </c>
    </row>
    <row r="924" spans="1:19" x14ac:dyDescent="0.55000000000000004">
      <c r="A924">
        <v>93</v>
      </c>
      <c r="B924" s="2">
        <v>45637.465277777781</v>
      </c>
      <c r="C924" t="s">
        <v>215</v>
      </c>
      <c r="D924">
        <v>2</v>
      </c>
      <c r="E924" t="s">
        <v>123</v>
      </c>
      <c r="F924" t="str">
        <f t="shared" si="95"/>
        <v>Carassius auratus</v>
      </c>
      <c r="G924" t="str">
        <f t="shared" si="96"/>
        <v>Goldfish</v>
      </c>
      <c r="H924" t="str">
        <f t="shared" si="97"/>
        <v>Morihana</v>
      </c>
      <c r="I924" t="str">
        <f t="shared" si="98"/>
        <v>Nonnative</v>
      </c>
      <c r="J924" t="str">
        <f t="shared" si="99"/>
        <v>No</v>
      </c>
      <c r="L924">
        <v>70</v>
      </c>
      <c r="M924">
        <v>6</v>
      </c>
      <c r="N924">
        <v>1</v>
      </c>
      <c r="S924" t="str">
        <f t="shared" si="100"/>
        <v/>
      </c>
    </row>
    <row r="925" spans="1:19" x14ac:dyDescent="0.55000000000000004">
      <c r="A925">
        <v>93</v>
      </c>
      <c r="B925" s="2">
        <v>45637.465277777781</v>
      </c>
      <c r="C925" t="s">
        <v>215</v>
      </c>
      <c r="D925">
        <v>2</v>
      </c>
      <c r="E925" t="s">
        <v>123</v>
      </c>
      <c r="F925" t="str">
        <f t="shared" si="95"/>
        <v>Carassius auratus</v>
      </c>
      <c r="G925" t="str">
        <f t="shared" si="96"/>
        <v>Goldfish</v>
      </c>
      <c r="H925" t="str">
        <f t="shared" si="97"/>
        <v>Morihana</v>
      </c>
      <c r="I925" t="str">
        <f t="shared" si="98"/>
        <v>Nonnative</v>
      </c>
      <c r="J925" t="str">
        <f t="shared" si="99"/>
        <v>No</v>
      </c>
      <c r="L925">
        <v>59</v>
      </c>
      <c r="M925">
        <v>6</v>
      </c>
      <c r="N925">
        <v>1</v>
      </c>
      <c r="S925" t="str">
        <f t="shared" si="100"/>
        <v/>
      </c>
    </row>
    <row r="926" spans="1:19" x14ac:dyDescent="0.55000000000000004">
      <c r="A926">
        <v>93</v>
      </c>
      <c r="B926" s="2">
        <v>45637.465277777781</v>
      </c>
      <c r="C926" t="s">
        <v>215</v>
      </c>
      <c r="D926">
        <v>2</v>
      </c>
      <c r="E926" t="s">
        <v>44</v>
      </c>
      <c r="F926" t="str">
        <f t="shared" si="95"/>
        <v>Gobiomorphus cotidianus</v>
      </c>
      <c r="G926" t="str">
        <f t="shared" si="96"/>
        <v>Common_bully</v>
      </c>
      <c r="H926" t="str">
        <f t="shared" si="97"/>
        <v>Toitoi</v>
      </c>
      <c r="I926" t="str">
        <f t="shared" si="98"/>
        <v>Native</v>
      </c>
      <c r="J926" t="str">
        <f t="shared" si="99"/>
        <v>No</v>
      </c>
      <c r="M926">
        <f>215-117</f>
        <v>98</v>
      </c>
      <c r="R926">
        <v>0.6</v>
      </c>
      <c r="S926">
        <f t="shared" si="100"/>
        <v>141.9528</v>
      </c>
    </row>
    <row r="927" spans="1:19" x14ac:dyDescent="0.55000000000000004">
      <c r="A927">
        <v>94</v>
      </c>
      <c r="B927" s="2">
        <v>45638.5625</v>
      </c>
      <c r="C927" t="s">
        <v>216</v>
      </c>
      <c r="D927">
        <v>2</v>
      </c>
      <c r="E927" t="s">
        <v>44</v>
      </c>
      <c r="F927" t="str">
        <f t="shared" si="95"/>
        <v>Gobiomorphus cotidianus</v>
      </c>
      <c r="G927" t="str">
        <f t="shared" si="96"/>
        <v>Common_bully</v>
      </c>
      <c r="H927" t="str">
        <f t="shared" si="97"/>
        <v>Toitoi</v>
      </c>
      <c r="I927" t="str">
        <f t="shared" si="98"/>
        <v>Native</v>
      </c>
      <c r="J927" t="str">
        <f t="shared" si="99"/>
        <v>No</v>
      </c>
      <c r="M927">
        <v>27</v>
      </c>
      <c r="S927" t="str">
        <f t="shared" si="100"/>
        <v/>
      </c>
    </row>
    <row r="928" spans="1:19" x14ac:dyDescent="0.55000000000000004">
      <c r="A928">
        <v>94</v>
      </c>
      <c r="B928" s="2">
        <v>45638.5625</v>
      </c>
      <c r="C928" t="s">
        <v>215</v>
      </c>
      <c r="D928">
        <v>2</v>
      </c>
      <c r="E928" t="s">
        <v>123</v>
      </c>
      <c r="F928" t="str">
        <f t="shared" si="95"/>
        <v>Carassius auratus</v>
      </c>
      <c r="G928" t="str">
        <f t="shared" si="96"/>
        <v>Goldfish</v>
      </c>
      <c r="H928" t="str">
        <f t="shared" si="97"/>
        <v>Morihana</v>
      </c>
      <c r="I928" t="str">
        <f t="shared" si="98"/>
        <v>Nonnative</v>
      </c>
      <c r="J928" t="str">
        <f t="shared" si="99"/>
        <v>No</v>
      </c>
      <c r="L928">
        <v>205</v>
      </c>
      <c r="M928">
        <v>228</v>
      </c>
      <c r="N928">
        <v>1</v>
      </c>
      <c r="S928" t="str">
        <f t="shared" si="100"/>
        <v/>
      </c>
    </row>
    <row r="929" spans="1:19" x14ac:dyDescent="0.55000000000000004">
      <c r="A929">
        <v>94</v>
      </c>
      <c r="B929" s="2">
        <v>45638.5625</v>
      </c>
      <c r="C929" t="s">
        <v>215</v>
      </c>
      <c r="D929">
        <v>2</v>
      </c>
      <c r="E929" t="s">
        <v>123</v>
      </c>
      <c r="F929" t="str">
        <f t="shared" si="95"/>
        <v>Carassius auratus</v>
      </c>
      <c r="G929" t="str">
        <f t="shared" si="96"/>
        <v>Goldfish</v>
      </c>
      <c r="H929" t="str">
        <f t="shared" si="97"/>
        <v>Morihana</v>
      </c>
      <c r="I929" t="str">
        <f t="shared" si="98"/>
        <v>Nonnative</v>
      </c>
      <c r="J929" t="str">
        <f t="shared" si="99"/>
        <v>No</v>
      </c>
      <c r="L929">
        <v>169</v>
      </c>
      <c r="M929">
        <v>114</v>
      </c>
      <c r="N929">
        <v>1</v>
      </c>
      <c r="S929" t="str">
        <f t="shared" si="100"/>
        <v/>
      </c>
    </row>
    <row r="930" spans="1:19" x14ac:dyDescent="0.55000000000000004">
      <c r="A930">
        <v>94</v>
      </c>
      <c r="B930" s="2">
        <v>45638.5625</v>
      </c>
      <c r="C930" t="s">
        <v>215</v>
      </c>
      <c r="D930">
        <v>2</v>
      </c>
      <c r="E930" t="s">
        <v>123</v>
      </c>
      <c r="F930" t="str">
        <f t="shared" si="95"/>
        <v>Carassius auratus</v>
      </c>
      <c r="G930" t="str">
        <f t="shared" si="96"/>
        <v>Goldfish</v>
      </c>
      <c r="H930" t="str">
        <f t="shared" si="97"/>
        <v>Morihana</v>
      </c>
      <c r="I930" t="str">
        <f t="shared" si="98"/>
        <v>Nonnative</v>
      </c>
      <c r="J930" t="str">
        <f t="shared" si="99"/>
        <v>No</v>
      </c>
      <c r="L930">
        <v>156</v>
      </c>
      <c r="M930">
        <v>100</v>
      </c>
      <c r="N930">
        <v>1</v>
      </c>
      <c r="S930" t="str">
        <f t="shared" si="100"/>
        <v/>
      </c>
    </row>
    <row r="931" spans="1:19" x14ac:dyDescent="0.55000000000000004">
      <c r="A931">
        <v>94</v>
      </c>
      <c r="B931" s="2">
        <v>45638.5625</v>
      </c>
      <c r="C931" t="s">
        <v>215</v>
      </c>
      <c r="D931">
        <v>2</v>
      </c>
      <c r="E931" t="s">
        <v>123</v>
      </c>
      <c r="F931" t="str">
        <f t="shared" si="95"/>
        <v>Carassius auratus</v>
      </c>
      <c r="G931" t="str">
        <f t="shared" si="96"/>
        <v>Goldfish</v>
      </c>
      <c r="H931" t="str">
        <f t="shared" si="97"/>
        <v>Morihana</v>
      </c>
      <c r="I931" t="str">
        <f t="shared" si="98"/>
        <v>Nonnative</v>
      </c>
      <c r="J931" t="str">
        <f t="shared" si="99"/>
        <v>No</v>
      </c>
      <c r="L931">
        <v>165</v>
      </c>
      <c r="M931">
        <v>110</v>
      </c>
      <c r="N931">
        <v>1</v>
      </c>
      <c r="S931" t="str">
        <f t="shared" si="100"/>
        <v/>
      </c>
    </row>
    <row r="932" spans="1:19" x14ac:dyDescent="0.55000000000000004">
      <c r="A932">
        <v>94</v>
      </c>
      <c r="B932" s="2">
        <v>45638.5625</v>
      </c>
      <c r="C932" t="s">
        <v>215</v>
      </c>
      <c r="D932">
        <v>2</v>
      </c>
      <c r="E932" t="s">
        <v>123</v>
      </c>
      <c r="F932" t="str">
        <f t="shared" si="95"/>
        <v>Carassius auratus</v>
      </c>
      <c r="G932" t="str">
        <f t="shared" si="96"/>
        <v>Goldfish</v>
      </c>
      <c r="H932" t="str">
        <f t="shared" si="97"/>
        <v>Morihana</v>
      </c>
      <c r="I932" t="str">
        <f t="shared" si="98"/>
        <v>Nonnative</v>
      </c>
      <c r="J932" t="str">
        <f t="shared" si="99"/>
        <v>No</v>
      </c>
      <c r="L932">
        <v>137</v>
      </c>
      <c r="M932">
        <v>67</v>
      </c>
      <c r="N932">
        <v>1</v>
      </c>
      <c r="S932" t="str">
        <f t="shared" si="100"/>
        <v/>
      </c>
    </row>
    <row r="933" spans="1:19" x14ac:dyDescent="0.55000000000000004">
      <c r="A933">
        <v>94</v>
      </c>
      <c r="B933" s="2">
        <v>45638.5625</v>
      </c>
      <c r="C933" t="s">
        <v>215</v>
      </c>
      <c r="D933">
        <v>2</v>
      </c>
      <c r="E933" t="s">
        <v>123</v>
      </c>
      <c r="F933" t="str">
        <f t="shared" si="95"/>
        <v>Carassius auratus</v>
      </c>
      <c r="G933" t="str">
        <f t="shared" si="96"/>
        <v>Goldfish</v>
      </c>
      <c r="H933" t="str">
        <f t="shared" si="97"/>
        <v>Morihana</v>
      </c>
      <c r="I933" t="str">
        <f t="shared" si="98"/>
        <v>Nonnative</v>
      </c>
      <c r="J933" t="str">
        <f t="shared" si="99"/>
        <v>No</v>
      </c>
      <c r="L933">
        <v>140</v>
      </c>
      <c r="M933">
        <v>46</v>
      </c>
      <c r="N933">
        <v>1</v>
      </c>
      <c r="S933" t="str">
        <f t="shared" si="100"/>
        <v/>
      </c>
    </row>
    <row r="934" spans="1:19" x14ac:dyDescent="0.55000000000000004">
      <c r="A934">
        <v>94</v>
      </c>
      <c r="B934" s="2">
        <v>45638.5625</v>
      </c>
      <c r="C934" t="s">
        <v>215</v>
      </c>
      <c r="D934">
        <v>2</v>
      </c>
      <c r="E934" t="s">
        <v>123</v>
      </c>
      <c r="F934" t="str">
        <f t="shared" si="95"/>
        <v>Carassius auratus</v>
      </c>
      <c r="G934" t="str">
        <f t="shared" si="96"/>
        <v>Goldfish</v>
      </c>
      <c r="H934" t="str">
        <f t="shared" si="97"/>
        <v>Morihana</v>
      </c>
      <c r="I934" t="str">
        <f t="shared" si="98"/>
        <v>Nonnative</v>
      </c>
      <c r="J934" t="str">
        <f t="shared" si="99"/>
        <v>No</v>
      </c>
      <c r="L934">
        <v>185</v>
      </c>
      <c r="M934">
        <v>142</v>
      </c>
      <c r="N934">
        <v>1</v>
      </c>
      <c r="S934" t="str">
        <f t="shared" si="100"/>
        <v/>
      </c>
    </row>
    <row r="935" spans="1:19" x14ac:dyDescent="0.55000000000000004">
      <c r="A935">
        <v>94</v>
      </c>
      <c r="B935" s="2">
        <v>45638.5625</v>
      </c>
      <c r="C935" t="s">
        <v>215</v>
      </c>
      <c r="D935">
        <v>2</v>
      </c>
      <c r="E935" t="s">
        <v>123</v>
      </c>
      <c r="F935" t="str">
        <f t="shared" si="95"/>
        <v>Carassius auratus</v>
      </c>
      <c r="G935" t="str">
        <f t="shared" si="96"/>
        <v>Goldfish</v>
      </c>
      <c r="H935" t="str">
        <f t="shared" si="97"/>
        <v>Morihana</v>
      </c>
      <c r="I935" t="str">
        <f t="shared" si="98"/>
        <v>Nonnative</v>
      </c>
      <c r="J935" t="str">
        <f t="shared" si="99"/>
        <v>No</v>
      </c>
      <c r="L935">
        <v>125</v>
      </c>
      <c r="M935">
        <v>41</v>
      </c>
      <c r="N935">
        <v>1</v>
      </c>
      <c r="S935" t="str">
        <f t="shared" si="100"/>
        <v/>
      </c>
    </row>
    <row r="936" spans="1:19" x14ac:dyDescent="0.55000000000000004">
      <c r="A936">
        <v>94</v>
      </c>
      <c r="B936" s="2">
        <v>45638.5625</v>
      </c>
      <c r="C936" t="s">
        <v>215</v>
      </c>
      <c r="D936">
        <v>2</v>
      </c>
      <c r="E936" t="s">
        <v>123</v>
      </c>
      <c r="F936" t="str">
        <f t="shared" si="95"/>
        <v>Carassius auratus</v>
      </c>
      <c r="G936" t="str">
        <f t="shared" si="96"/>
        <v>Goldfish</v>
      </c>
      <c r="H936" t="str">
        <f t="shared" si="97"/>
        <v>Morihana</v>
      </c>
      <c r="I936" t="str">
        <f t="shared" si="98"/>
        <v>Nonnative</v>
      </c>
      <c r="J936" t="str">
        <f t="shared" si="99"/>
        <v>No</v>
      </c>
      <c r="L936">
        <v>121</v>
      </c>
      <c r="M936">
        <v>42</v>
      </c>
      <c r="N936">
        <v>1</v>
      </c>
      <c r="S936" t="str">
        <f t="shared" si="100"/>
        <v/>
      </c>
    </row>
    <row r="937" spans="1:19" x14ac:dyDescent="0.55000000000000004">
      <c r="A937">
        <v>94</v>
      </c>
      <c r="B937" s="2">
        <v>45638.5625</v>
      </c>
      <c r="C937" t="s">
        <v>215</v>
      </c>
      <c r="D937">
        <v>2</v>
      </c>
      <c r="E937" t="s">
        <v>123</v>
      </c>
      <c r="F937" t="str">
        <f t="shared" si="95"/>
        <v>Carassius auratus</v>
      </c>
      <c r="G937" t="str">
        <f t="shared" si="96"/>
        <v>Goldfish</v>
      </c>
      <c r="H937" t="str">
        <f t="shared" si="97"/>
        <v>Morihana</v>
      </c>
      <c r="I937" t="str">
        <f t="shared" si="98"/>
        <v>Nonnative</v>
      </c>
      <c r="J937" t="str">
        <f t="shared" si="99"/>
        <v>No</v>
      </c>
      <c r="L937">
        <v>124</v>
      </c>
      <c r="M937">
        <v>44</v>
      </c>
      <c r="N937">
        <v>1</v>
      </c>
      <c r="S937" t="str">
        <f t="shared" si="100"/>
        <v/>
      </c>
    </row>
    <row r="938" spans="1:19" x14ac:dyDescent="0.55000000000000004">
      <c r="A938">
        <v>94</v>
      </c>
      <c r="B938" s="2">
        <v>45638.5625</v>
      </c>
      <c r="C938" t="s">
        <v>215</v>
      </c>
      <c r="D938">
        <v>2</v>
      </c>
      <c r="E938" t="s">
        <v>123</v>
      </c>
      <c r="F938" t="str">
        <f t="shared" si="95"/>
        <v>Carassius auratus</v>
      </c>
      <c r="G938" t="str">
        <f t="shared" si="96"/>
        <v>Goldfish</v>
      </c>
      <c r="H938" t="str">
        <f t="shared" si="97"/>
        <v>Morihana</v>
      </c>
      <c r="I938" t="str">
        <f t="shared" si="98"/>
        <v>Nonnative</v>
      </c>
      <c r="J938" t="str">
        <f t="shared" si="99"/>
        <v>No</v>
      </c>
      <c r="L938">
        <v>55</v>
      </c>
      <c r="M938">
        <v>4</v>
      </c>
      <c r="N938">
        <v>1</v>
      </c>
      <c r="S938" t="str">
        <f t="shared" si="100"/>
        <v/>
      </c>
    </row>
    <row r="939" spans="1:19" x14ac:dyDescent="0.55000000000000004">
      <c r="A939">
        <v>94</v>
      </c>
      <c r="B939" s="2">
        <v>45638.5625</v>
      </c>
      <c r="C939" t="s">
        <v>215</v>
      </c>
      <c r="D939">
        <v>2</v>
      </c>
      <c r="E939" t="s">
        <v>123</v>
      </c>
      <c r="F939" t="str">
        <f t="shared" si="95"/>
        <v>Carassius auratus</v>
      </c>
      <c r="G939" t="str">
        <f t="shared" si="96"/>
        <v>Goldfish</v>
      </c>
      <c r="H939" t="str">
        <f t="shared" si="97"/>
        <v>Morihana</v>
      </c>
      <c r="I939" t="str">
        <f t="shared" si="98"/>
        <v>Nonnative</v>
      </c>
      <c r="J939" t="str">
        <f t="shared" si="99"/>
        <v>No</v>
      </c>
      <c r="L939">
        <v>150</v>
      </c>
      <c r="M939">
        <v>33</v>
      </c>
      <c r="N939">
        <v>1</v>
      </c>
      <c r="S939" t="str">
        <f t="shared" si="100"/>
        <v/>
      </c>
    </row>
    <row r="940" spans="1:19" x14ac:dyDescent="0.55000000000000004">
      <c r="A940">
        <v>94</v>
      </c>
      <c r="B940" s="2">
        <v>45638.5625</v>
      </c>
      <c r="C940" t="s">
        <v>215</v>
      </c>
      <c r="D940">
        <v>2</v>
      </c>
      <c r="E940" t="s">
        <v>123</v>
      </c>
      <c r="F940" t="str">
        <f t="shared" si="95"/>
        <v>Carassius auratus</v>
      </c>
      <c r="G940" t="str">
        <f t="shared" si="96"/>
        <v>Goldfish</v>
      </c>
      <c r="H940" t="str">
        <f t="shared" si="97"/>
        <v>Morihana</v>
      </c>
      <c r="I940" t="str">
        <f t="shared" si="98"/>
        <v>Nonnative</v>
      </c>
      <c r="J940" t="str">
        <f t="shared" si="99"/>
        <v>No</v>
      </c>
      <c r="L940">
        <v>124</v>
      </c>
      <c r="M940">
        <v>53</v>
      </c>
      <c r="N940">
        <v>1</v>
      </c>
      <c r="S940" t="str">
        <f t="shared" si="100"/>
        <v/>
      </c>
    </row>
    <row r="941" spans="1:19" x14ac:dyDescent="0.55000000000000004">
      <c r="A941">
        <v>94</v>
      </c>
      <c r="B941" s="2">
        <v>45638.5625</v>
      </c>
      <c r="C941" t="s">
        <v>215</v>
      </c>
      <c r="D941">
        <v>2</v>
      </c>
      <c r="E941" t="s">
        <v>123</v>
      </c>
      <c r="F941" t="str">
        <f t="shared" si="95"/>
        <v>Carassius auratus</v>
      </c>
      <c r="G941" t="str">
        <f t="shared" si="96"/>
        <v>Goldfish</v>
      </c>
      <c r="H941" t="str">
        <f t="shared" si="97"/>
        <v>Morihana</v>
      </c>
      <c r="I941" t="str">
        <f t="shared" si="98"/>
        <v>Nonnative</v>
      </c>
      <c r="J941" t="str">
        <f t="shared" si="99"/>
        <v>No</v>
      </c>
      <c r="L941">
        <v>69</v>
      </c>
      <c r="M941">
        <v>7</v>
      </c>
      <c r="N941">
        <v>1</v>
      </c>
      <c r="S941" t="str">
        <f t="shared" si="100"/>
        <v/>
      </c>
    </row>
    <row r="942" spans="1:19" x14ac:dyDescent="0.55000000000000004">
      <c r="A942">
        <v>94</v>
      </c>
      <c r="B942" s="2">
        <v>45638.5625</v>
      </c>
      <c r="C942" t="s">
        <v>215</v>
      </c>
      <c r="D942">
        <v>2</v>
      </c>
      <c r="E942" t="s">
        <v>123</v>
      </c>
      <c r="F942" t="str">
        <f t="shared" si="95"/>
        <v>Carassius auratus</v>
      </c>
      <c r="G942" t="str">
        <f t="shared" si="96"/>
        <v>Goldfish</v>
      </c>
      <c r="H942" t="str">
        <f t="shared" si="97"/>
        <v>Morihana</v>
      </c>
      <c r="I942" t="str">
        <f t="shared" si="98"/>
        <v>Nonnative</v>
      </c>
      <c r="J942" t="str">
        <f t="shared" si="99"/>
        <v>No</v>
      </c>
      <c r="L942">
        <v>55</v>
      </c>
      <c r="M942">
        <v>4</v>
      </c>
      <c r="N942">
        <v>1</v>
      </c>
      <c r="S942" t="str">
        <f t="shared" si="100"/>
        <v/>
      </c>
    </row>
    <row r="943" spans="1:19" x14ac:dyDescent="0.55000000000000004">
      <c r="A943">
        <v>94</v>
      </c>
      <c r="B943" s="2">
        <v>45638.5625</v>
      </c>
      <c r="C943" t="s">
        <v>215</v>
      </c>
      <c r="D943">
        <v>2</v>
      </c>
      <c r="E943" t="s">
        <v>44</v>
      </c>
      <c r="F943" t="str">
        <f t="shared" si="95"/>
        <v>Gobiomorphus cotidianus</v>
      </c>
      <c r="G943" t="str">
        <f t="shared" si="96"/>
        <v>Common_bully</v>
      </c>
      <c r="H943" t="str">
        <f t="shared" si="97"/>
        <v>Toitoi</v>
      </c>
      <c r="I943" t="str">
        <f t="shared" si="98"/>
        <v>Native</v>
      </c>
      <c r="J943" t="str">
        <f t="shared" si="99"/>
        <v>No</v>
      </c>
      <c r="M943">
        <f>187-117</f>
        <v>70</v>
      </c>
      <c r="R943">
        <v>0.5</v>
      </c>
      <c r="S943">
        <f t="shared" si="100"/>
        <v>118.294</v>
      </c>
    </row>
    <row r="944" spans="1:19" x14ac:dyDescent="0.55000000000000004">
      <c r="A944">
        <v>95</v>
      </c>
      <c r="B944" s="2">
        <v>45638.520833333336</v>
      </c>
      <c r="C944" t="s">
        <v>216</v>
      </c>
      <c r="D944">
        <v>2</v>
      </c>
      <c r="E944" t="s">
        <v>49</v>
      </c>
      <c r="F944" t="str">
        <f t="shared" si="95"/>
        <v>Paranephrops planifrons</v>
      </c>
      <c r="G944" t="str">
        <f t="shared" si="96"/>
        <v>Freshwater_crayfish</v>
      </c>
      <c r="H944" t="str">
        <f t="shared" si="97"/>
        <v>Kōura</v>
      </c>
      <c r="I944" t="str">
        <f t="shared" si="98"/>
        <v>Native</v>
      </c>
      <c r="J944" t="str">
        <f t="shared" si="99"/>
        <v>Yes</v>
      </c>
      <c r="K944" t="s">
        <v>48</v>
      </c>
      <c r="L944">
        <v>32</v>
      </c>
      <c r="M944">
        <v>20</v>
      </c>
      <c r="N944">
        <v>1</v>
      </c>
      <c r="O944">
        <v>1</v>
      </c>
      <c r="S944" t="str">
        <f t="shared" si="100"/>
        <v/>
      </c>
    </row>
    <row r="945" spans="1:19" x14ac:dyDescent="0.55000000000000004">
      <c r="A945">
        <v>95</v>
      </c>
      <c r="B945" s="2">
        <v>45638.520833333336</v>
      </c>
      <c r="C945" t="s">
        <v>216</v>
      </c>
      <c r="D945">
        <v>2</v>
      </c>
      <c r="E945" t="s">
        <v>49</v>
      </c>
      <c r="F945" t="str">
        <f t="shared" si="95"/>
        <v>Paranephrops planifrons</v>
      </c>
      <c r="G945" t="str">
        <f t="shared" si="96"/>
        <v>Freshwater_crayfish</v>
      </c>
      <c r="H945" t="str">
        <f t="shared" si="97"/>
        <v>Kōura</v>
      </c>
      <c r="I945" t="str">
        <f t="shared" si="98"/>
        <v>Native</v>
      </c>
      <c r="J945" t="str">
        <f t="shared" si="99"/>
        <v>Yes</v>
      </c>
      <c r="K945" t="s">
        <v>50</v>
      </c>
      <c r="L945">
        <v>19</v>
      </c>
      <c r="M945">
        <v>9</v>
      </c>
      <c r="N945">
        <v>1</v>
      </c>
      <c r="S945" t="str">
        <f t="shared" si="100"/>
        <v/>
      </c>
    </row>
    <row r="946" spans="1:19" x14ac:dyDescent="0.55000000000000004">
      <c r="A946">
        <v>95</v>
      </c>
      <c r="B946" s="2">
        <v>45638.520833333336</v>
      </c>
      <c r="C946" t="s">
        <v>216</v>
      </c>
      <c r="D946">
        <v>2</v>
      </c>
      <c r="E946" t="s">
        <v>44</v>
      </c>
      <c r="F946" t="str">
        <f t="shared" si="95"/>
        <v>Gobiomorphus cotidianus</v>
      </c>
      <c r="G946" t="str">
        <f t="shared" si="96"/>
        <v>Common_bully</v>
      </c>
      <c r="H946" t="str">
        <f t="shared" si="97"/>
        <v>Toitoi</v>
      </c>
      <c r="I946" t="str">
        <f t="shared" si="98"/>
        <v>Native</v>
      </c>
      <c r="J946" t="str">
        <f t="shared" si="99"/>
        <v>No</v>
      </c>
      <c r="M946">
        <v>45</v>
      </c>
      <c r="R946">
        <v>0.25</v>
      </c>
      <c r="S946">
        <f t="shared" si="100"/>
        <v>59.146999999999998</v>
      </c>
    </row>
    <row r="947" spans="1:19" x14ac:dyDescent="0.55000000000000004">
      <c r="A947">
        <v>95</v>
      </c>
      <c r="B947" s="2">
        <v>45638.520833333336</v>
      </c>
      <c r="C947" t="s">
        <v>215</v>
      </c>
      <c r="D947">
        <v>2</v>
      </c>
      <c r="E947" t="s">
        <v>49</v>
      </c>
      <c r="F947" t="str">
        <f t="shared" si="95"/>
        <v>Paranephrops planifrons</v>
      </c>
      <c r="G947" t="str">
        <f t="shared" si="96"/>
        <v>Freshwater_crayfish</v>
      </c>
      <c r="H947" t="str">
        <f t="shared" si="97"/>
        <v>Kōura</v>
      </c>
      <c r="I947" t="str">
        <f t="shared" si="98"/>
        <v>Native</v>
      </c>
      <c r="J947" t="str">
        <f t="shared" si="99"/>
        <v>Yes</v>
      </c>
      <c r="K947" t="s">
        <v>50</v>
      </c>
      <c r="L947">
        <v>42</v>
      </c>
      <c r="M947">
        <v>49</v>
      </c>
      <c r="N947">
        <v>1</v>
      </c>
      <c r="S947" t="str">
        <f t="shared" si="100"/>
        <v/>
      </c>
    </row>
    <row r="948" spans="1:19" x14ac:dyDescent="0.55000000000000004">
      <c r="A948">
        <v>95</v>
      </c>
      <c r="B948" s="2">
        <v>45638.520833333336</v>
      </c>
      <c r="C948" t="s">
        <v>215</v>
      </c>
      <c r="D948">
        <v>2</v>
      </c>
      <c r="E948" t="s">
        <v>44</v>
      </c>
      <c r="F948" t="str">
        <f t="shared" si="95"/>
        <v>Gobiomorphus cotidianus</v>
      </c>
      <c r="G948" t="str">
        <f t="shared" si="96"/>
        <v>Common_bully</v>
      </c>
      <c r="H948" t="str">
        <f t="shared" si="97"/>
        <v>Toitoi</v>
      </c>
      <c r="I948" t="str">
        <f t="shared" si="98"/>
        <v>Native</v>
      </c>
      <c r="J948" t="str">
        <f t="shared" si="99"/>
        <v>No</v>
      </c>
      <c r="M948">
        <f>366-117</f>
        <v>249</v>
      </c>
      <c r="R948">
        <v>1.25</v>
      </c>
      <c r="S948">
        <f t="shared" si="100"/>
        <v>295.73500000000001</v>
      </c>
    </row>
    <row r="949" spans="1:19" x14ac:dyDescent="0.55000000000000004">
      <c r="A949">
        <v>95</v>
      </c>
      <c r="B949" s="2">
        <v>45638.520833333336</v>
      </c>
      <c r="C949" t="s">
        <v>215</v>
      </c>
      <c r="D949">
        <v>2</v>
      </c>
      <c r="E949" t="s">
        <v>247</v>
      </c>
      <c r="F949" t="str">
        <f t="shared" si="95"/>
        <v>Retropinna retropinna</v>
      </c>
      <c r="G949" t="str">
        <f t="shared" si="96"/>
        <v>Common_smelt</v>
      </c>
      <c r="H949" t="str">
        <f t="shared" si="97"/>
        <v>Common_smelt</v>
      </c>
      <c r="I949" t="str">
        <f t="shared" si="98"/>
        <v>Native</v>
      </c>
      <c r="J949" t="str">
        <f t="shared" si="99"/>
        <v>No</v>
      </c>
      <c r="N949">
        <v>5</v>
      </c>
      <c r="S949" t="str">
        <f t="shared" si="100"/>
        <v/>
      </c>
    </row>
    <row r="950" spans="1:19" x14ac:dyDescent="0.55000000000000004">
      <c r="A950">
        <v>95</v>
      </c>
      <c r="B950" s="2">
        <v>45638.520833333336</v>
      </c>
      <c r="C950" t="s">
        <v>215</v>
      </c>
      <c r="D950">
        <v>2</v>
      </c>
      <c r="E950" t="s">
        <v>123</v>
      </c>
      <c r="F950" t="str">
        <f t="shared" si="95"/>
        <v>Carassius auratus</v>
      </c>
      <c r="G950" t="str">
        <f t="shared" si="96"/>
        <v>Goldfish</v>
      </c>
      <c r="H950" t="str">
        <f t="shared" si="97"/>
        <v>Morihana</v>
      </c>
      <c r="I950" t="str">
        <f t="shared" si="98"/>
        <v>Nonnative</v>
      </c>
      <c r="J950" t="str">
        <f t="shared" si="99"/>
        <v>No</v>
      </c>
      <c r="L950">
        <v>64</v>
      </c>
      <c r="M950">
        <v>8</v>
      </c>
      <c r="N950">
        <v>1</v>
      </c>
      <c r="S950" t="str">
        <f t="shared" si="100"/>
        <v/>
      </c>
    </row>
    <row r="951" spans="1:19" x14ac:dyDescent="0.55000000000000004">
      <c r="A951">
        <v>95</v>
      </c>
      <c r="B951" s="2">
        <v>45638.520833333336</v>
      </c>
      <c r="C951" t="s">
        <v>215</v>
      </c>
      <c r="D951">
        <v>2</v>
      </c>
      <c r="E951" t="s">
        <v>123</v>
      </c>
      <c r="F951" t="str">
        <f t="shared" si="95"/>
        <v>Carassius auratus</v>
      </c>
      <c r="G951" t="str">
        <f t="shared" si="96"/>
        <v>Goldfish</v>
      </c>
      <c r="H951" t="str">
        <f t="shared" si="97"/>
        <v>Morihana</v>
      </c>
      <c r="I951" t="str">
        <f t="shared" si="98"/>
        <v>Nonnative</v>
      </c>
      <c r="J951" t="str">
        <f t="shared" si="99"/>
        <v>No</v>
      </c>
      <c r="L951">
        <v>64</v>
      </c>
      <c r="M951">
        <v>8</v>
      </c>
      <c r="N951">
        <v>1</v>
      </c>
      <c r="S951" t="str">
        <f t="shared" si="100"/>
        <v/>
      </c>
    </row>
    <row r="952" spans="1:19" x14ac:dyDescent="0.55000000000000004">
      <c r="A952">
        <v>95</v>
      </c>
      <c r="B952" s="2">
        <v>45638.520833333336</v>
      </c>
      <c r="C952" t="s">
        <v>215</v>
      </c>
      <c r="D952">
        <v>2</v>
      </c>
      <c r="E952" t="s">
        <v>123</v>
      </c>
      <c r="F952" t="str">
        <f t="shared" si="95"/>
        <v>Carassius auratus</v>
      </c>
      <c r="G952" t="str">
        <f t="shared" si="96"/>
        <v>Goldfish</v>
      </c>
      <c r="H952" t="str">
        <f t="shared" si="97"/>
        <v>Morihana</v>
      </c>
      <c r="I952" t="str">
        <f t="shared" si="98"/>
        <v>Nonnative</v>
      </c>
      <c r="J952" t="str">
        <f t="shared" si="99"/>
        <v>No</v>
      </c>
      <c r="L952">
        <v>45</v>
      </c>
      <c r="M952">
        <v>1</v>
      </c>
      <c r="N952">
        <v>1</v>
      </c>
      <c r="S952" t="str">
        <f t="shared" si="100"/>
        <v/>
      </c>
    </row>
    <row r="953" spans="1:19" x14ac:dyDescent="0.55000000000000004">
      <c r="A953">
        <v>95</v>
      </c>
      <c r="B953" s="2">
        <v>45638.520833333336</v>
      </c>
      <c r="C953" t="s">
        <v>215</v>
      </c>
      <c r="D953">
        <v>2</v>
      </c>
      <c r="E953" t="s">
        <v>44</v>
      </c>
      <c r="F953" t="str">
        <f t="shared" si="95"/>
        <v>Gobiomorphus cotidianus</v>
      </c>
      <c r="G953" t="str">
        <f t="shared" si="96"/>
        <v>Common_bully</v>
      </c>
      <c r="H953" t="str">
        <f t="shared" si="97"/>
        <v>Toitoi</v>
      </c>
      <c r="I953" t="str">
        <f t="shared" si="98"/>
        <v>Native</v>
      </c>
      <c r="J953" t="str">
        <f t="shared" si="99"/>
        <v>No</v>
      </c>
      <c r="M953">
        <f>450-117</f>
        <v>333</v>
      </c>
      <c r="R953">
        <v>1.75</v>
      </c>
      <c r="S953">
        <f t="shared" si="100"/>
        <v>414.029</v>
      </c>
    </row>
    <row r="954" spans="1:19" x14ac:dyDescent="0.55000000000000004">
      <c r="A954">
        <v>96</v>
      </c>
      <c r="B954" s="2">
        <v>45638.489583333336</v>
      </c>
      <c r="C954" t="s">
        <v>216</v>
      </c>
      <c r="D954">
        <v>1</v>
      </c>
      <c r="E954" t="s">
        <v>49</v>
      </c>
      <c r="F954" t="str">
        <f t="shared" si="95"/>
        <v>Paranephrops planifrons</v>
      </c>
      <c r="G954" t="str">
        <f t="shared" si="96"/>
        <v>Freshwater_crayfish</v>
      </c>
      <c r="H954" t="str">
        <f t="shared" si="97"/>
        <v>Kōura</v>
      </c>
      <c r="I954" t="str">
        <f t="shared" si="98"/>
        <v>Native</v>
      </c>
      <c r="J954" t="str">
        <f t="shared" si="99"/>
        <v>Yes</v>
      </c>
      <c r="K954" t="s">
        <v>50</v>
      </c>
      <c r="L954">
        <v>32.42</v>
      </c>
      <c r="M954">
        <v>22</v>
      </c>
      <c r="N954">
        <v>1</v>
      </c>
      <c r="S954" t="str">
        <f t="shared" si="100"/>
        <v/>
      </c>
    </row>
    <row r="955" spans="1:19" x14ac:dyDescent="0.55000000000000004">
      <c r="A955">
        <v>96</v>
      </c>
      <c r="B955" s="2">
        <v>45638.489583333336</v>
      </c>
      <c r="C955" t="s">
        <v>216</v>
      </c>
      <c r="D955">
        <v>1</v>
      </c>
      <c r="E955" t="s">
        <v>44</v>
      </c>
      <c r="F955" t="str">
        <f t="shared" si="95"/>
        <v>Gobiomorphus cotidianus</v>
      </c>
      <c r="G955" t="str">
        <f t="shared" si="96"/>
        <v>Common_bully</v>
      </c>
      <c r="H955" t="str">
        <f t="shared" si="97"/>
        <v>Toitoi</v>
      </c>
      <c r="I955" t="str">
        <f t="shared" si="98"/>
        <v>Native</v>
      </c>
      <c r="J955" t="str">
        <f t="shared" si="99"/>
        <v>No</v>
      </c>
      <c r="M955">
        <f>186-117</f>
        <v>69</v>
      </c>
      <c r="R955">
        <v>0.33</v>
      </c>
      <c r="S955">
        <f t="shared" si="100"/>
        <v>78.074039999999997</v>
      </c>
    </row>
    <row r="956" spans="1:19" x14ac:dyDescent="0.55000000000000004">
      <c r="A956">
        <v>96</v>
      </c>
      <c r="B956" s="2">
        <v>45638.489583333336</v>
      </c>
      <c r="C956" t="s">
        <v>215</v>
      </c>
      <c r="D956">
        <v>2</v>
      </c>
      <c r="E956" t="s">
        <v>49</v>
      </c>
      <c r="F956" t="str">
        <f t="shared" si="95"/>
        <v>Paranephrops planifrons</v>
      </c>
      <c r="G956" t="str">
        <f t="shared" si="96"/>
        <v>Freshwater_crayfish</v>
      </c>
      <c r="H956" t="str">
        <f t="shared" si="97"/>
        <v>Kōura</v>
      </c>
      <c r="I956" t="str">
        <f t="shared" si="98"/>
        <v>Native</v>
      </c>
      <c r="J956" t="str">
        <f t="shared" si="99"/>
        <v>Yes</v>
      </c>
      <c r="K956" t="s">
        <v>50</v>
      </c>
      <c r="L956">
        <v>25</v>
      </c>
      <c r="N956">
        <v>1</v>
      </c>
      <c r="S956" t="str">
        <f t="shared" si="100"/>
        <v/>
      </c>
    </row>
    <row r="957" spans="1:19" x14ac:dyDescent="0.55000000000000004">
      <c r="A957">
        <v>96</v>
      </c>
      <c r="B957" s="2">
        <v>45638.489583333336</v>
      </c>
      <c r="C957" t="s">
        <v>215</v>
      </c>
      <c r="D957">
        <v>2</v>
      </c>
      <c r="E957" t="s">
        <v>49</v>
      </c>
      <c r="F957" t="str">
        <f t="shared" si="95"/>
        <v>Paranephrops planifrons</v>
      </c>
      <c r="G957" t="str">
        <f t="shared" si="96"/>
        <v>Freshwater_crayfish</v>
      </c>
      <c r="H957" t="str">
        <f t="shared" si="97"/>
        <v>Kōura</v>
      </c>
      <c r="I957" t="str">
        <f t="shared" si="98"/>
        <v>Native</v>
      </c>
      <c r="J957" t="str">
        <f t="shared" si="99"/>
        <v>Yes</v>
      </c>
      <c r="K957" t="s">
        <v>48</v>
      </c>
      <c r="L957">
        <v>39</v>
      </c>
      <c r="M957">
        <v>49</v>
      </c>
      <c r="N957">
        <v>1</v>
      </c>
      <c r="S957" t="str">
        <f t="shared" si="100"/>
        <v/>
      </c>
    </row>
    <row r="958" spans="1:19" x14ac:dyDescent="0.55000000000000004">
      <c r="A958">
        <v>96</v>
      </c>
      <c r="B958" s="2">
        <v>45638.489583333336</v>
      </c>
      <c r="C958" t="s">
        <v>215</v>
      </c>
      <c r="D958">
        <v>2</v>
      </c>
      <c r="E958" t="s">
        <v>49</v>
      </c>
      <c r="F958" t="str">
        <f t="shared" si="95"/>
        <v>Paranephrops planifrons</v>
      </c>
      <c r="G958" t="str">
        <f t="shared" si="96"/>
        <v>Freshwater_crayfish</v>
      </c>
      <c r="H958" t="str">
        <f t="shared" si="97"/>
        <v>Kōura</v>
      </c>
      <c r="I958" t="str">
        <f t="shared" si="98"/>
        <v>Native</v>
      </c>
      <c r="J958" t="str">
        <f t="shared" si="99"/>
        <v>Yes</v>
      </c>
      <c r="K958" t="s">
        <v>50</v>
      </c>
      <c r="L958">
        <v>31</v>
      </c>
      <c r="M958">
        <v>22</v>
      </c>
      <c r="N958">
        <v>1</v>
      </c>
      <c r="O958">
        <v>1</v>
      </c>
      <c r="S958" t="str">
        <f t="shared" si="100"/>
        <v/>
      </c>
    </row>
    <row r="959" spans="1:19" x14ac:dyDescent="0.55000000000000004">
      <c r="A959">
        <v>96</v>
      </c>
      <c r="B959" s="2">
        <v>45638.489583333336</v>
      </c>
      <c r="C959" t="s">
        <v>215</v>
      </c>
      <c r="D959">
        <v>2</v>
      </c>
      <c r="E959" t="s">
        <v>49</v>
      </c>
      <c r="F959" t="str">
        <f t="shared" si="95"/>
        <v>Paranephrops planifrons</v>
      </c>
      <c r="G959" t="str">
        <f t="shared" si="96"/>
        <v>Freshwater_crayfish</v>
      </c>
      <c r="H959" t="str">
        <f t="shared" si="97"/>
        <v>Kōura</v>
      </c>
      <c r="I959" t="str">
        <f t="shared" si="98"/>
        <v>Native</v>
      </c>
      <c r="J959" t="str">
        <f t="shared" si="99"/>
        <v>Yes</v>
      </c>
      <c r="K959" t="s">
        <v>48</v>
      </c>
      <c r="L959">
        <v>39</v>
      </c>
      <c r="M959">
        <v>40</v>
      </c>
      <c r="N959">
        <v>1</v>
      </c>
      <c r="S959" t="str">
        <f t="shared" si="100"/>
        <v/>
      </c>
    </row>
    <row r="960" spans="1:19" x14ac:dyDescent="0.55000000000000004">
      <c r="A960">
        <v>96</v>
      </c>
      <c r="B960" s="2">
        <v>45638.489583333336</v>
      </c>
      <c r="C960" t="s">
        <v>215</v>
      </c>
      <c r="D960">
        <v>2</v>
      </c>
      <c r="E960" t="s">
        <v>49</v>
      </c>
      <c r="F960" t="str">
        <f t="shared" si="95"/>
        <v>Paranephrops planifrons</v>
      </c>
      <c r="G960" t="str">
        <f t="shared" si="96"/>
        <v>Freshwater_crayfish</v>
      </c>
      <c r="H960" t="str">
        <f t="shared" si="97"/>
        <v>Kōura</v>
      </c>
      <c r="I960" t="str">
        <f t="shared" si="98"/>
        <v>Native</v>
      </c>
      <c r="J960" t="str">
        <f t="shared" si="99"/>
        <v>Yes</v>
      </c>
      <c r="K960" t="s">
        <v>50</v>
      </c>
      <c r="L960">
        <v>38</v>
      </c>
      <c r="M960">
        <v>40</v>
      </c>
      <c r="N960">
        <v>1</v>
      </c>
      <c r="S960" t="str">
        <f t="shared" si="100"/>
        <v/>
      </c>
    </row>
    <row r="961" spans="1:19" x14ac:dyDescent="0.55000000000000004">
      <c r="A961">
        <v>96</v>
      </c>
      <c r="B961" s="2">
        <v>45638.489583333336</v>
      </c>
      <c r="C961" t="s">
        <v>215</v>
      </c>
      <c r="D961">
        <v>2</v>
      </c>
      <c r="E961" t="s">
        <v>49</v>
      </c>
      <c r="F961" t="str">
        <f t="shared" si="95"/>
        <v>Paranephrops planifrons</v>
      </c>
      <c r="G961" t="str">
        <f t="shared" si="96"/>
        <v>Freshwater_crayfish</v>
      </c>
      <c r="H961" t="str">
        <f t="shared" si="97"/>
        <v>Kōura</v>
      </c>
      <c r="I961" t="str">
        <f t="shared" si="98"/>
        <v>Native</v>
      </c>
      <c r="J961" t="str">
        <f t="shared" si="99"/>
        <v>Yes</v>
      </c>
      <c r="K961" t="s">
        <v>50</v>
      </c>
      <c r="L961">
        <v>43</v>
      </c>
      <c r="M961">
        <v>50</v>
      </c>
      <c r="N961">
        <v>1</v>
      </c>
      <c r="S961" t="str">
        <f t="shared" si="100"/>
        <v/>
      </c>
    </row>
    <row r="962" spans="1:19" x14ac:dyDescent="0.55000000000000004">
      <c r="A962">
        <v>96</v>
      </c>
      <c r="B962" s="2">
        <v>45638.489583333336</v>
      </c>
      <c r="C962" t="s">
        <v>215</v>
      </c>
      <c r="D962">
        <v>2</v>
      </c>
      <c r="E962" t="s">
        <v>49</v>
      </c>
      <c r="F962" t="str">
        <f t="shared" ref="F962:F1025" si="101">VLOOKUP($E962, $V$1:$AA$9, 2, FALSE)</f>
        <v>Paranephrops planifrons</v>
      </c>
      <c r="G962" t="str">
        <f t="shared" ref="G962:G1025" si="102">VLOOKUP($E962, $V$1:$AA$9, 3, FALSE)</f>
        <v>Freshwater_crayfish</v>
      </c>
      <c r="H962" t="str">
        <f t="shared" ref="H962:H1025" si="103">VLOOKUP($E962, $V$1:$AA$9, 4, FALSE)</f>
        <v>Kōura</v>
      </c>
      <c r="I962" t="str">
        <f t="shared" ref="I962:I1025" si="104">VLOOKUP($E962, $V$1:$AB$9, 5, FALSE)</f>
        <v>Native</v>
      </c>
      <c r="J962" t="str">
        <f t="shared" ref="J962:J1025" si="105">VLOOKUP($E962, $V$1:$AA$9, 6, FALSE)</f>
        <v>Yes</v>
      </c>
      <c r="K962" t="s">
        <v>48</v>
      </c>
      <c r="L962">
        <v>53</v>
      </c>
      <c r="M962">
        <v>52</v>
      </c>
      <c r="N962">
        <v>1</v>
      </c>
      <c r="S962" t="str">
        <f t="shared" si="100"/>
        <v/>
      </c>
    </row>
    <row r="963" spans="1:19" x14ac:dyDescent="0.55000000000000004">
      <c r="A963">
        <v>96</v>
      </c>
      <c r="B963" s="2">
        <v>45638.489583333336</v>
      </c>
      <c r="C963" t="s">
        <v>215</v>
      </c>
      <c r="D963">
        <v>2</v>
      </c>
      <c r="E963" t="s">
        <v>49</v>
      </c>
      <c r="F963" t="str">
        <f t="shared" si="101"/>
        <v>Paranephrops planifrons</v>
      </c>
      <c r="G963" t="str">
        <f t="shared" si="102"/>
        <v>Freshwater_crayfish</v>
      </c>
      <c r="H963" t="str">
        <f t="shared" si="103"/>
        <v>Kōura</v>
      </c>
      <c r="I963" t="str">
        <f t="shared" si="104"/>
        <v>Native</v>
      </c>
      <c r="J963" t="str">
        <f t="shared" si="105"/>
        <v>Yes</v>
      </c>
      <c r="K963" t="s">
        <v>48</v>
      </c>
      <c r="L963">
        <v>36</v>
      </c>
      <c r="M963">
        <v>35</v>
      </c>
      <c r="N963">
        <v>1</v>
      </c>
      <c r="S963" t="str">
        <f t="shared" si="100"/>
        <v/>
      </c>
    </row>
    <row r="964" spans="1:19" x14ac:dyDescent="0.55000000000000004">
      <c r="A964">
        <v>96</v>
      </c>
      <c r="B964" s="2">
        <v>45638.489583333336</v>
      </c>
      <c r="C964" t="s">
        <v>215</v>
      </c>
      <c r="D964">
        <v>2</v>
      </c>
      <c r="E964" t="s">
        <v>49</v>
      </c>
      <c r="F964" t="str">
        <f t="shared" si="101"/>
        <v>Paranephrops planifrons</v>
      </c>
      <c r="G964" t="str">
        <f t="shared" si="102"/>
        <v>Freshwater_crayfish</v>
      </c>
      <c r="H964" t="str">
        <f t="shared" si="103"/>
        <v>Kōura</v>
      </c>
      <c r="I964" t="str">
        <f t="shared" si="104"/>
        <v>Native</v>
      </c>
      <c r="J964" t="str">
        <f t="shared" si="105"/>
        <v>Yes</v>
      </c>
      <c r="K964" t="s">
        <v>50</v>
      </c>
      <c r="L964">
        <v>28</v>
      </c>
      <c r="M964">
        <v>17</v>
      </c>
      <c r="N964">
        <v>1</v>
      </c>
      <c r="S964" t="str">
        <f t="shared" ref="S964:S1027" si="106">IF(R964&lt;&gt;"", R964*236.588, "")</f>
        <v/>
      </c>
    </row>
    <row r="965" spans="1:19" x14ac:dyDescent="0.55000000000000004">
      <c r="A965">
        <v>96</v>
      </c>
      <c r="B965" s="2">
        <v>45638.489583333336</v>
      </c>
      <c r="C965" t="s">
        <v>215</v>
      </c>
      <c r="D965">
        <v>2</v>
      </c>
      <c r="E965" t="s">
        <v>49</v>
      </c>
      <c r="F965" t="str">
        <f t="shared" si="101"/>
        <v>Paranephrops planifrons</v>
      </c>
      <c r="G965" t="str">
        <f t="shared" si="102"/>
        <v>Freshwater_crayfish</v>
      </c>
      <c r="H965" t="str">
        <f t="shared" si="103"/>
        <v>Kōura</v>
      </c>
      <c r="I965" t="str">
        <f t="shared" si="104"/>
        <v>Native</v>
      </c>
      <c r="J965" t="str">
        <f t="shared" si="105"/>
        <v>Yes</v>
      </c>
      <c r="K965" t="s">
        <v>48</v>
      </c>
      <c r="L965">
        <v>37</v>
      </c>
      <c r="M965">
        <v>40</v>
      </c>
      <c r="N965">
        <v>1</v>
      </c>
      <c r="S965" t="str">
        <f t="shared" si="106"/>
        <v/>
      </c>
    </row>
    <row r="966" spans="1:19" x14ac:dyDescent="0.55000000000000004">
      <c r="A966">
        <v>96</v>
      </c>
      <c r="B966" s="2">
        <v>45638.489583333336</v>
      </c>
      <c r="C966" t="s">
        <v>215</v>
      </c>
      <c r="D966">
        <v>2</v>
      </c>
      <c r="E966" t="s">
        <v>49</v>
      </c>
      <c r="F966" t="str">
        <f t="shared" si="101"/>
        <v>Paranephrops planifrons</v>
      </c>
      <c r="G966" t="str">
        <f t="shared" si="102"/>
        <v>Freshwater_crayfish</v>
      </c>
      <c r="H966" t="str">
        <f t="shared" si="103"/>
        <v>Kōura</v>
      </c>
      <c r="I966" t="str">
        <f t="shared" si="104"/>
        <v>Native</v>
      </c>
      <c r="J966" t="str">
        <f t="shared" si="105"/>
        <v>Yes</v>
      </c>
      <c r="K966" t="s">
        <v>50</v>
      </c>
      <c r="L966">
        <v>34</v>
      </c>
      <c r="M966">
        <v>26</v>
      </c>
      <c r="N966">
        <v>1</v>
      </c>
      <c r="S966" t="str">
        <f t="shared" si="106"/>
        <v/>
      </c>
    </row>
    <row r="967" spans="1:19" x14ac:dyDescent="0.55000000000000004">
      <c r="A967">
        <v>96</v>
      </c>
      <c r="B967" s="2">
        <v>45638.489583333336</v>
      </c>
      <c r="C967" t="s">
        <v>215</v>
      </c>
      <c r="D967">
        <v>2</v>
      </c>
      <c r="E967" t="s">
        <v>49</v>
      </c>
      <c r="F967" t="str">
        <f t="shared" si="101"/>
        <v>Paranephrops planifrons</v>
      </c>
      <c r="G967" t="str">
        <f t="shared" si="102"/>
        <v>Freshwater_crayfish</v>
      </c>
      <c r="H967" t="str">
        <f t="shared" si="103"/>
        <v>Kōura</v>
      </c>
      <c r="I967" t="str">
        <f t="shared" si="104"/>
        <v>Native</v>
      </c>
      <c r="J967" t="str">
        <f t="shared" si="105"/>
        <v>Yes</v>
      </c>
      <c r="K967" t="s">
        <v>50</v>
      </c>
      <c r="L967">
        <v>34</v>
      </c>
      <c r="M967">
        <v>27</v>
      </c>
      <c r="N967">
        <v>1</v>
      </c>
      <c r="S967" t="str">
        <f t="shared" si="106"/>
        <v/>
      </c>
    </row>
    <row r="968" spans="1:19" x14ac:dyDescent="0.55000000000000004">
      <c r="A968">
        <v>96</v>
      </c>
      <c r="B968" s="2">
        <v>45638.489583333336</v>
      </c>
      <c r="C968" t="s">
        <v>215</v>
      </c>
      <c r="D968">
        <v>2</v>
      </c>
      <c r="E968" t="s">
        <v>49</v>
      </c>
      <c r="F968" t="str">
        <f t="shared" si="101"/>
        <v>Paranephrops planifrons</v>
      </c>
      <c r="G968" t="str">
        <f t="shared" si="102"/>
        <v>Freshwater_crayfish</v>
      </c>
      <c r="H968" t="str">
        <f t="shared" si="103"/>
        <v>Kōura</v>
      </c>
      <c r="I968" t="str">
        <f t="shared" si="104"/>
        <v>Native</v>
      </c>
      <c r="J968" t="str">
        <f t="shared" si="105"/>
        <v>Yes</v>
      </c>
      <c r="K968" t="s">
        <v>50</v>
      </c>
      <c r="L968">
        <v>33</v>
      </c>
      <c r="M968">
        <v>28</v>
      </c>
      <c r="N968">
        <v>1</v>
      </c>
      <c r="S968" t="str">
        <f t="shared" si="106"/>
        <v/>
      </c>
    </row>
    <row r="969" spans="1:19" x14ac:dyDescent="0.55000000000000004">
      <c r="A969">
        <v>96</v>
      </c>
      <c r="B969" s="2">
        <v>45638.489583333336</v>
      </c>
      <c r="C969" t="s">
        <v>215</v>
      </c>
      <c r="D969">
        <v>2</v>
      </c>
      <c r="E969" t="s">
        <v>49</v>
      </c>
      <c r="F969" t="str">
        <f t="shared" si="101"/>
        <v>Paranephrops planifrons</v>
      </c>
      <c r="G969" t="str">
        <f t="shared" si="102"/>
        <v>Freshwater_crayfish</v>
      </c>
      <c r="H969" t="str">
        <f t="shared" si="103"/>
        <v>Kōura</v>
      </c>
      <c r="I969" t="str">
        <f t="shared" si="104"/>
        <v>Native</v>
      </c>
      <c r="J969" t="str">
        <f t="shared" si="105"/>
        <v>Yes</v>
      </c>
      <c r="K969" t="s">
        <v>48</v>
      </c>
      <c r="L969">
        <v>37</v>
      </c>
      <c r="M969">
        <v>35</v>
      </c>
      <c r="N969">
        <v>1</v>
      </c>
      <c r="S969" t="str">
        <f t="shared" si="106"/>
        <v/>
      </c>
    </row>
    <row r="970" spans="1:19" x14ac:dyDescent="0.55000000000000004">
      <c r="A970">
        <v>96</v>
      </c>
      <c r="B970" s="2">
        <v>45638.489583333336</v>
      </c>
      <c r="C970" t="s">
        <v>215</v>
      </c>
      <c r="D970">
        <v>2</v>
      </c>
      <c r="E970" t="s">
        <v>123</v>
      </c>
      <c r="F970" t="str">
        <f t="shared" si="101"/>
        <v>Carassius auratus</v>
      </c>
      <c r="G970" t="str">
        <f t="shared" si="102"/>
        <v>Goldfish</v>
      </c>
      <c r="H970" t="str">
        <f t="shared" si="103"/>
        <v>Morihana</v>
      </c>
      <c r="I970" t="str">
        <f t="shared" si="104"/>
        <v>Nonnative</v>
      </c>
      <c r="J970" t="str">
        <f t="shared" si="105"/>
        <v>No</v>
      </c>
      <c r="L970">
        <v>142</v>
      </c>
      <c r="M970">
        <v>66</v>
      </c>
      <c r="N970">
        <v>1</v>
      </c>
      <c r="S970" t="str">
        <f t="shared" si="106"/>
        <v/>
      </c>
    </row>
    <row r="971" spans="1:19" x14ac:dyDescent="0.55000000000000004">
      <c r="A971">
        <v>96</v>
      </c>
      <c r="B971" s="2">
        <v>45638.489583333336</v>
      </c>
      <c r="C971" t="s">
        <v>215</v>
      </c>
      <c r="D971">
        <v>2</v>
      </c>
      <c r="E971" t="s">
        <v>123</v>
      </c>
      <c r="F971" t="str">
        <f t="shared" si="101"/>
        <v>Carassius auratus</v>
      </c>
      <c r="G971" t="str">
        <f t="shared" si="102"/>
        <v>Goldfish</v>
      </c>
      <c r="H971" t="str">
        <f t="shared" si="103"/>
        <v>Morihana</v>
      </c>
      <c r="I971" t="str">
        <f t="shared" si="104"/>
        <v>Nonnative</v>
      </c>
      <c r="J971" t="str">
        <f t="shared" si="105"/>
        <v>No</v>
      </c>
      <c r="L971">
        <v>208</v>
      </c>
      <c r="M971">
        <v>232</v>
      </c>
      <c r="N971">
        <v>1</v>
      </c>
      <c r="S971" t="str">
        <f t="shared" si="106"/>
        <v/>
      </c>
    </row>
    <row r="972" spans="1:19" x14ac:dyDescent="0.55000000000000004">
      <c r="A972">
        <v>96</v>
      </c>
      <c r="B972" s="2">
        <v>45638.489583333336</v>
      </c>
      <c r="C972" t="s">
        <v>215</v>
      </c>
      <c r="D972">
        <v>2</v>
      </c>
      <c r="E972" t="s">
        <v>123</v>
      </c>
      <c r="F972" t="str">
        <f t="shared" si="101"/>
        <v>Carassius auratus</v>
      </c>
      <c r="G972" t="str">
        <f t="shared" si="102"/>
        <v>Goldfish</v>
      </c>
      <c r="H972" t="str">
        <f t="shared" si="103"/>
        <v>Morihana</v>
      </c>
      <c r="I972" t="str">
        <f t="shared" si="104"/>
        <v>Nonnative</v>
      </c>
      <c r="J972" t="str">
        <f t="shared" si="105"/>
        <v>No</v>
      </c>
      <c r="L972">
        <v>191</v>
      </c>
      <c r="M972">
        <v>192</v>
      </c>
      <c r="N972">
        <v>1</v>
      </c>
      <c r="S972" t="str">
        <f t="shared" si="106"/>
        <v/>
      </c>
    </row>
    <row r="973" spans="1:19" x14ac:dyDescent="0.55000000000000004">
      <c r="A973">
        <v>96</v>
      </c>
      <c r="B973" s="2">
        <v>45638.489583333336</v>
      </c>
      <c r="C973" t="s">
        <v>215</v>
      </c>
      <c r="D973">
        <v>2</v>
      </c>
      <c r="E973" t="s">
        <v>123</v>
      </c>
      <c r="F973" t="str">
        <f t="shared" si="101"/>
        <v>Carassius auratus</v>
      </c>
      <c r="G973" t="str">
        <f t="shared" si="102"/>
        <v>Goldfish</v>
      </c>
      <c r="H973" t="str">
        <f t="shared" si="103"/>
        <v>Morihana</v>
      </c>
      <c r="I973" t="str">
        <f t="shared" si="104"/>
        <v>Nonnative</v>
      </c>
      <c r="J973" t="str">
        <f t="shared" si="105"/>
        <v>No</v>
      </c>
      <c r="L973">
        <v>179</v>
      </c>
      <c r="M973">
        <v>141</v>
      </c>
      <c r="N973">
        <v>1</v>
      </c>
      <c r="S973" t="str">
        <f t="shared" si="106"/>
        <v/>
      </c>
    </row>
    <row r="974" spans="1:19" x14ac:dyDescent="0.55000000000000004">
      <c r="A974">
        <v>96</v>
      </c>
      <c r="B974" s="2">
        <v>45638.489583333336</v>
      </c>
      <c r="C974" t="s">
        <v>215</v>
      </c>
      <c r="D974">
        <v>2</v>
      </c>
      <c r="E974" t="s">
        <v>123</v>
      </c>
      <c r="F974" t="str">
        <f t="shared" si="101"/>
        <v>Carassius auratus</v>
      </c>
      <c r="G974" t="str">
        <f t="shared" si="102"/>
        <v>Goldfish</v>
      </c>
      <c r="H974" t="str">
        <f t="shared" si="103"/>
        <v>Morihana</v>
      </c>
      <c r="I974" t="str">
        <f t="shared" si="104"/>
        <v>Nonnative</v>
      </c>
      <c r="J974" t="str">
        <f t="shared" si="105"/>
        <v>No</v>
      </c>
      <c r="L974">
        <v>195</v>
      </c>
      <c r="M974">
        <v>216</v>
      </c>
      <c r="N974">
        <v>1</v>
      </c>
      <c r="S974" t="str">
        <f t="shared" si="106"/>
        <v/>
      </c>
    </row>
    <row r="975" spans="1:19" x14ac:dyDescent="0.55000000000000004">
      <c r="A975">
        <v>96</v>
      </c>
      <c r="B975" s="2">
        <v>45638.489583333336</v>
      </c>
      <c r="C975" t="s">
        <v>215</v>
      </c>
      <c r="D975">
        <v>2</v>
      </c>
      <c r="E975" t="s">
        <v>123</v>
      </c>
      <c r="F975" t="str">
        <f t="shared" si="101"/>
        <v>Carassius auratus</v>
      </c>
      <c r="G975" t="str">
        <f t="shared" si="102"/>
        <v>Goldfish</v>
      </c>
      <c r="H975" t="str">
        <f t="shared" si="103"/>
        <v>Morihana</v>
      </c>
      <c r="I975" t="str">
        <f t="shared" si="104"/>
        <v>Nonnative</v>
      </c>
      <c r="J975" t="str">
        <f t="shared" si="105"/>
        <v>No</v>
      </c>
      <c r="L975">
        <v>194</v>
      </c>
      <c r="M975">
        <v>207</v>
      </c>
      <c r="N975">
        <v>1</v>
      </c>
      <c r="S975" t="str">
        <f t="shared" si="106"/>
        <v/>
      </c>
    </row>
    <row r="976" spans="1:19" x14ac:dyDescent="0.55000000000000004">
      <c r="A976">
        <v>96</v>
      </c>
      <c r="B976" s="2">
        <v>45638.489583333336</v>
      </c>
      <c r="C976" t="s">
        <v>215</v>
      </c>
      <c r="D976">
        <v>2</v>
      </c>
      <c r="E976" t="s">
        <v>123</v>
      </c>
      <c r="F976" t="str">
        <f t="shared" si="101"/>
        <v>Carassius auratus</v>
      </c>
      <c r="G976" t="str">
        <f t="shared" si="102"/>
        <v>Goldfish</v>
      </c>
      <c r="H976" t="str">
        <f t="shared" si="103"/>
        <v>Morihana</v>
      </c>
      <c r="I976" t="str">
        <f t="shared" si="104"/>
        <v>Nonnative</v>
      </c>
      <c r="J976" t="str">
        <f t="shared" si="105"/>
        <v>No</v>
      </c>
      <c r="L976">
        <v>195</v>
      </c>
      <c r="M976">
        <v>209</v>
      </c>
      <c r="N976">
        <v>1</v>
      </c>
      <c r="S976" t="str">
        <f t="shared" si="106"/>
        <v/>
      </c>
    </row>
    <row r="977" spans="1:19" x14ac:dyDescent="0.55000000000000004">
      <c r="A977">
        <v>96</v>
      </c>
      <c r="B977" s="2">
        <v>45638.489583333336</v>
      </c>
      <c r="C977" t="s">
        <v>215</v>
      </c>
      <c r="D977">
        <v>2</v>
      </c>
      <c r="E977" t="s">
        <v>123</v>
      </c>
      <c r="F977" t="str">
        <f t="shared" si="101"/>
        <v>Carassius auratus</v>
      </c>
      <c r="G977" t="str">
        <f t="shared" si="102"/>
        <v>Goldfish</v>
      </c>
      <c r="H977" t="str">
        <f t="shared" si="103"/>
        <v>Morihana</v>
      </c>
      <c r="I977" t="str">
        <f t="shared" si="104"/>
        <v>Nonnative</v>
      </c>
      <c r="J977" t="str">
        <f t="shared" si="105"/>
        <v>No</v>
      </c>
      <c r="L977">
        <v>197</v>
      </c>
      <c r="M977">
        <v>200</v>
      </c>
      <c r="N977">
        <v>1</v>
      </c>
      <c r="S977" t="str">
        <f t="shared" si="106"/>
        <v/>
      </c>
    </row>
    <row r="978" spans="1:19" x14ac:dyDescent="0.55000000000000004">
      <c r="A978">
        <v>96</v>
      </c>
      <c r="B978" s="2">
        <v>45638.489583333336</v>
      </c>
      <c r="C978" t="s">
        <v>215</v>
      </c>
      <c r="D978">
        <v>2</v>
      </c>
      <c r="E978" t="s">
        <v>123</v>
      </c>
      <c r="F978" t="str">
        <f t="shared" si="101"/>
        <v>Carassius auratus</v>
      </c>
      <c r="G978" t="str">
        <f t="shared" si="102"/>
        <v>Goldfish</v>
      </c>
      <c r="H978" t="str">
        <f t="shared" si="103"/>
        <v>Morihana</v>
      </c>
      <c r="I978" t="str">
        <f t="shared" si="104"/>
        <v>Nonnative</v>
      </c>
      <c r="J978" t="str">
        <f t="shared" si="105"/>
        <v>No</v>
      </c>
      <c r="L978">
        <v>145</v>
      </c>
      <c r="M978">
        <v>71</v>
      </c>
      <c r="N978">
        <v>1</v>
      </c>
      <c r="S978" t="str">
        <f t="shared" si="106"/>
        <v/>
      </c>
    </row>
    <row r="979" spans="1:19" x14ac:dyDescent="0.55000000000000004">
      <c r="A979">
        <v>96</v>
      </c>
      <c r="B979" s="2">
        <v>45638.489583333336</v>
      </c>
      <c r="C979" t="s">
        <v>215</v>
      </c>
      <c r="D979">
        <v>2</v>
      </c>
      <c r="E979" t="s">
        <v>123</v>
      </c>
      <c r="F979" t="str">
        <f t="shared" si="101"/>
        <v>Carassius auratus</v>
      </c>
      <c r="G979" t="str">
        <f t="shared" si="102"/>
        <v>Goldfish</v>
      </c>
      <c r="H979" t="str">
        <f t="shared" si="103"/>
        <v>Morihana</v>
      </c>
      <c r="I979" t="str">
        <f t="shared" si="104"/>
        <v>Nonnative</v>
      </c>
      <c r="J979" t="str">
        <f t="shared" si="105"/>
        <v>No</v>
      </c>
      <c r="L979">
        <v>177</v>
      </c>
      <c r="M979">
        <v>128</v>
      </c>
      <c r="N979">
        <v>1</v>
      </c>
      <c r="S979" t="str">
        <f t="shared" si="106"/>
        <v/>
      </c>
    </row>
    <row r="980" spans="1:19" x14ac:dyDescent="0.55000000000000004">
      <c r="A980">
        <v>96</v>
      </c>
      <c r="B980" s="2">
        <v>45638.489583333336</v>
      </c>
      <c r="C980" t="s">
        <v>215</v>
      </c>
      <c r="D980">
        <v>2</v>
      </c>
      <c r="E980" t="s">
        <v>123</v>
      </c>
      <c r="F980" t="str">
        <f t="shared" si="101"/>
        <v>Carassius auratus</v>
      </c>
      <c r="G980" t="str">
        <f t="shared" si="102"/>
        <v>Goldfish</v>
      </c>
      <c r="H980" t="str">
        <f t="shared" si="103"/>
        <v>Morihana</v>
      </c>
      <c r="I980" t="str">
        <f t="shared" si="104"/>
        <v>Nonnative</v>
      </c>
      <c r="J980" t="str">
        <f t="shared" si="105"/>
        <v>No</v>
      </c>
      <c r="L980">
        <v>164</v>
      </c>
      <c r="M980">
        <v>108</v>
      </c>
      <c r="N980">
        <v>1</v>
      </c>
      <c r="S980" t="str">
        <f t="shared" si="106"/>
        <v/>
      </c>
    </row>
    <row r="981" spans="1:19" x14ac:dyDescent="0.55000000000000004">
      <c r="A981">
        <v>96</v>
      </c>
      <c r="B981" s="2">
        <v>45638.489583333336</v>
      </c>
      <c r="C981" t="s">
        <v>215</v>
      </c>
      <c r="D981">
        <v>2</v>
      </c>
      <c r="E981" t="s">
        <v>123</v>
      </c>
      <c r="F981" t="str">
        <f t="shared" si="101"/>
        <v>Carassius auratus</v>
      </c>
      <c r="G981" t="str">
        <f t="shared" si="102"/>
        <v>Goldfish</v>
      </c>
      <c r="H981" t="str">
        <f t="shared" si="103"/>
        <v>Morihana</v>
      </c>
      <c r="I981" t="str">
        <f t="shared" si="104"/>
        <v>Nonnative</v>
      </c>
      <c r="J981" t="str">
        <f t="shared" si="105"/>
        <v>No</v>
      </c>
      <c r="L981">
        <v>164</v>
      </c>
      <c r="M981">
        <v>130</v>
      </c>
      <c r="N981">
        <v>1</v>
      </c>
      <c r="S981" t="str">
        <f t="shared" si="106"/>
        <v/>
      </c>
    </row>
    <row r="982" spans="1:19" x14ac:dyDescent="0.55000000000000004">
      <c r="A982">
        <v>96</v>
      </c>
      <c r="B982" s="2">
        <v>45638.489583333336</v>
      </c>
      <c r="C982" t="s">
        <v>215</v>
      </c>
      <c r="D982">
        <v>2</v>
      </c>
      <c r="E982" t="s">
        <v>123</v>
      </c>
      <c r="F982" t="str">
        <f t="shared" si="101"/>
        <v>Carassius auratus</v>
      </c>
      <c r="G982" t="str">
        <f t="shared" si="102"/>
        <v>Goldfish</v>
      </c>
      <c r="H982" t="str">
        <f t="shared" si="103"/>
        <v>Morihana</v>
      </c>
      <c r="I982" t="str">
        <f t="shared" si="104"/>
        <v>Nonnative</v>
      </c>
      <c r="J982" t="str">
        <f t="shared" si="105"/>
        <v>No</v>
      </c>
      <c r="L982">
        <v>165</v>
      </c>
      <c r="M982">
        <v>119</v>
      </c>
      <c r="N982">
        <v>1</v>
      </c>
      <c r="S982" t="str">
        <f t="shared" si="106"/>
        <v/>
      </c>
    </row>
    <row r="983" spans="1:19" x14ac:dyDescent="0.55000000000000004">
      <c r="A983">
        <v>96</v>
      </c>
      <c r="B983" s="2">
        <v>45638.489583333336</v>
      </c>
      <c r="C983" t="s">
        <v>215</v>
      </c>
      <c r="D983">
        <v>2</v>
      </c>
      <c r="E983" t="s">
        <v>123</v>
      </c>
      <c r="F983" t="str">
        <f t="shared" si="101"/>
        <v>Carassius auratus</v>
      </c>
      <c r="G983" t="str">
        <f t="shared" si="102"/>
        <v>Goldfish</v>
      </c>
      <c r="H983" t="str">
        <f t="shared" si="103"/>
        <v>Morihana</v>
      </c>
      <c r="I983" t="str">
        <f t="shared" si="104"/>
        <v>Nonnative</v>
      </c>
      <c r="J983" t="str">
        <f t="shared" si="105"/>
        <v>No</v>
      </c>
      <c r="L983">
        <v>154</v>
      </c>
      <c r="M983">
        <v>99</v>
      </c>
      <c r="N983">
        <v>1</v>
      </c>
      <c r="S983" t="str">
        <f t="shared" si="106"/>
        <v/>
      </c>
    </row>
    <row r="984" spans="1:19" x14ac:dyDescent="0.55000000000000004">
      <c r="A984">
        <v>96</v>
      </c>
      <c r="B984" s="2">
        <v>45638.489583333336</v>
      </c>
      <c r="C984" t="s">
        <v>215</v>
      </c>
      <c r="D984">
        <v>2</v>
      </c>
      <c r="E984" t="s">
        <v>123</v>
      </c>
      <c r="F984" t="str">
        <f t="shared" si="101"/>
        <v>Carassius auratus</v>
      </c>
      <c r="G984" t="str">
        <f t="shared" si="102"/>
        <v>Goldfish</v>
      </c>
      <c r="H984" t="str">
        <f t="shared" si="103"/>
        <v>Morihana</v>
      </c>
      <c r="I984" t="str">
        <f t="shared" si="104"/>
        <v>Nonnative</v>
      </c>
      <c r="J984" t="str">
        <f t="shared" si="105"/>
        <v>No</v>
      </c>
      <c r="L984">
        <v>180</v>
      </c>
      <c r="M984">
        <v>160</v>
      </c>
      <c r="N984">
        <v>1</v>
      </c>
      <c r="S984" t="str">
        <f t="shared" si="106"/>
        <v/>
      </c>
    </row>
    <row r="985" spans="1:19" x14ac:dyDescent="0.55000000000000004">
      <c r="A985">
        <v>96</v>
      </c>
      <c r="B985" s="2">
        <v>45638.489583333336</v>
      </c>
      <c r="C985" t="s">
        <v>215</v>
      </c>
      <c r="D985">
        <v>2</v>
      </c>
      <c r="E985" t="s">
        <v>123</v>
      </c>
      <c r="F985" t="str">
        <f t="shared" si="101"/>
        <v>Carassius auratus</v>
      </c>
      <c r="G985" t="str">
        <f t="shared" si="102"/>
        <v>Goldfish</v>
      </c>
      <c r="H985" t="str">
        <f t="shared" si="103"/>
        <v>Morihana</v>
      </c>
      <c r="I985" t="str">
        <f t="shared" si="104"/>
        <v>Nonnative</v>
      </c>
      <c r="J985" t="str">
        <f t="shared" si="105"/>
        <v>No</v>
      </c>
      <c r="L985">
        <v>169</v>
      </c>
      <c r="M985">
        <v>113</v>
      </c>
      <c r="N985">
        <v>1</v>
      </c>
      <c r="S985" t="str">
        <f t="shared" si="106"/>
        <v/>
      </c>
    </row>
    <row r="986" spans="1:19" x14ac:dyDescent="0.55000000000000004">
      <c r="A986">
        <v>96</v>
      </c>
      <c r="B986" s="2">
        <v>45638.489583333336</v>
      </c>
      <c r="C986" t="s">
        <v>215</v>
      </c>
      <c r="D986">
        <v>2</v>
      </c>
      <c r="E986" t="s">
        <v>123</v>
      </c>
      <c r="F986" t="str">
        <f t="shared" si="101"/>
        <v>Carassius auratus</v>
      </c>
      <c r="G986" t="str">
        <f t="shared" si="102"/>
        <v>Goldfish</v>
      </c>
      <c r="H986" t="str">
        <f t="shared" si="103"/>
        <v>Morihana</v>
      </c>
      <c r="I986" t="str">
        <f t="shared" si="104"/>
        <v>Nonnative</v>
      </c>
      <c r="J986" t="str">
        <f t="shared" si="105"/>
        <v>No</v>
      </c>
      <c r="L986">
        <v>172</v>
      </c>
      <c r="M986">
        <v>141</v>
      </c>
      <c r="N986">
        <v>1</v>
      </c>
      <c r="S986" t="str">
        <f t="shared" si="106"/>
        <v/>
      </c>
    </row>
    <row r="987" spans="1:19" x14ac:dyDescent="0.55000000000000004">
      <c r="A987">
        <v>96</v>
      </c>
      <c r="B987" s="2">
        <v>45638.489583333336</v>
      </c>
      <c r="C987" t="s">
        <v>215</v>
      </c>
      <c r="D987">
        <v>2</v>
      </c>
      <c r="E987" t="s">
        <v>123</v>
      </c>
      <c r="F987" t="str">
        <f t="shared" si="101"/>
        <v>Carassius auratus</v>
      </c>
      <c r="G987" t="str">
        <f t="shared" si="102"/>
        <v>Goldfish</v>
      </c>
      <c r="H987" t="str">
        <f t="shared" si="103"/>
        <v>Morihana</v>
      </c>
      <c r="I987" t="str">
        <f t="shared" si="104"/>
        <v>Nonnative</v>
      </c>
      <c r="J987" t="str">
        <f t="shared" si="105"/>
        <v>No</v>
      </c>
      <c r="L987">
        <v>159</v>
      </c>
      <c r="M987">
        <v>87</v>
      </c>
      <c r="N987">
        <v>1</v>
      </c>
      <c r="S987" t="str">
        <f t="shared" si="106"/>
        <v/>
      </c>
    </row>
    <row r="988" spans="1:19" x14ac:dyDescent="0.55000000000000004">
      <c r="A988">
        <v>96</v>
      </c>
      <c r="B988" s="2">
        <v>45638.489583333336</v>
      </c>
      <c r="C988" t="s">
        <v>215</v>
      </c>
      <c r="D988">
        <v>2</v>
      </c>
      <c r="E988" t="s">
        <v>123</v>
      </c>
      <c r="F988" t="str">
        <f t="shared" si="101"/>
        <v>Carassius auratus</v>
      </c>
      <c r="G988" t="str">
        <f t="shared" si="102"/>
        <v>Goldfish</v>
      </c>
      <c r="H988" t="str">
        <f t="shared" si="103"/>
        <v>Morihana</v>
      </c>
      <c r="I988" t="str">
        <f t="shared" si="104"/>
        <v>Nonnative</v>
      </c>
      <c r="J988" t="str">
        <f t="shared" si="105"/>
        <v>No</v>
      </c>
      <c r="L988">
        <v>65</v>
      </c>
      <c r="M988">
        <v>3</v>
      </c>
      <c r="N988">
        <v>1</v>
      </c>
      <c r="S988" t="str">
        <f t="shared" si="106"/>
        <v/>
      </c>
    </row>
    <row r="989" spans="1:19" x14ac:dyDescent="0.55000000000000004">
      <c r="A989">
        <v>96</v>
      </c>
      <c r="B989" s="2">
        <v>45638.489583333336</v>
      </c>
      <c r="C989" t="s">
        <v>215</v>
      </c>
      <c r="D989">
        <v>2</v>
      </c>
      <c r="E989" t="s">
        <v>123</v>
      </c>
      <c r="F989" t="str">
        <f t="shared" si="101"/>
        <v>Carassius auratus</v>
      </c>
      <c r="G989" t="str">
        <f t="shared" si="102"/>
        <v>Goldfish</v>
      </c>
      <c r="H989" t="str">
        <f t="shared" si="103"/>
        <v>Morihana</v>
      </c>
      <c r="I989" t="str">
        <f t="shared" si="104"/>
        <v>Nonnative</v>
      </c>
      <c r="J989" t="str">
        <f t="shared" si="105"/>
        <v>No</v>
      </c>
      <c r="L989">
        <v>132</v>
      </c>
      <c r="M989">
        <v>56</v>
      </c>
      <c r="N989">
        <v>1</v>
      </c>
      <c r="S989" t="str">
        <f t="shared" si="106"/>
        <v/>
      </c>
    </row>
    <row r="990" spans="1:19" x14ac:dyDescent="0.55000000000000004">
      <c r="A990">
        <v>96</v>
      </c>
      <c r="B990" s="2">
        <v>45638.489583333336</v>
      </c>
      <c r="C990" t="s">
        <v>215</v>
      </c>
      <c r="D990">
        <v>2</v>
      </c>
      <c r="E990" t="s">
        <v>123</v>
      </c>
      <c r="F990" t="str">
        <f t="shared" si="101"/>
        <v>Carassius auratus</v>
      </c>
      <c r="G990" t="str">
        <f t="shared" si="102"/>
        <v>Goldfish</v>
      </c>
      <c r="H990" t="str">
        <f t="shared" si="103"/>
        <v>Morihana</v>
      </c>
      <c r="I990" t="str">
        <f t="shared" si="104"/>
        <v>Nonnative</v>
      </c>
      <c r="J990" t="str">
        <f t="shared" si="105"/>
        <v>No</v>
      </c>
      <c r="L990">
        <v>132</v>
      </c>
      <c r="M990">
        <v>57</v>
      </c>
      <c r="N990">
        <v>1</v>
      </c>
      <c r="S990" t="str">
        <f t="shared" si="106"/>
        <v/>
      </c>
    </row>
    <row r="991" spans="1:19" x14ac:dyDescent="0.55000000000000004">
      <c r="A991">
        <v>96</v>
      </c>
      <c r="B991" s="2">
        <v>45638.489583333336</v>
      </c>
      <c r="C991" t="s">
        <v>215</v>
      </c>
      <c r="D991">
        <v>2</v>
      </c>
      <c r="E991" t="s">
        <v>123</v>
      </c>
      <c r="F991" t="str">
        <f t="shared" si="101"/>
        <v>Carassius auratus</v>
      </c>
      <c r="G991" t="str">
        <f t="shared" si="102"/>
        <v>Goldfish</v>
      </c>
      <c r="H991" t="str">
        <f t="shared" si="103"/>
        <v>Morihana</v>
      </c>
      <c r="I991" t="str">
        <f t="shared" si="104"/>
        <v>Nonnative</v>
      </c>
      <c r="J991" t="str">
        <f t="shared" si="105"/>
        <v>No</v>
      </c>
      <c r="L991">
        <v>149</v>
      </c>
      <c r="M991">
        <v>77</v>
      </c>
      <c r="N991">
        <v>1</v>
      </c>
      <c r="S991" t="str">
        <f t="shared" si="106"/>
        <v/>
      </c>
    </row>
    <row r="992" spans="1:19" x14ac:dyDescent="0.55000000000000004">
      <c r="A992">
        <v>96</v>
      </c>
      <c r="B992" s="2">
        <v>45638.489583333336</v>
      </c>
      <c r="C992" t="s">
        <v>215</v>
      </c>
      <c r="D992">
        <v>2</v>
      </c>
      <c r="E992" t="s">
        <v>123</v>
      </c>
      <c r="F992" t="str">
        <f t="shared" si="101"/>
        <v>Carassius auratus</v>
      </c>
      <c r="G992" t="str">
        <f t="shared" si="102"/>
        <v>Goldfish</v>
      </c>
      <c r="H992" t="str">
        <f t="shared" si="103"/>
        <v>Morihana</v>
      </c>
      <c r="I992" t="str">
        <f t="shared" si="104"/>
        <v>Nonnative</v>
      </c>
      <c r="J992" t="str">
        <f t="shared" si="105"/>
        <v>No</v>
      </c>
      <c r="L992">
        <v>84</v>
      </c>
      <c r="M992">
        <v>17</v>
      </c>
      <c r="N992">
        <v>1</v>
      </c>
      <c r="S992" t="str">
        <f t="shared" si="106"/>
        <v/>
      </c>
    </row>
    <row r="993" spans="1:19" x14ac:dyDescent="0.55000000000000004">
      <c r="A993">
        <v>96</v>
      </c>
      <c r="B993" s="2">
        <v>45638.489583333336</v>
      </c>
      <c r="C993" t="s">
        <v>215</v>
      </c>
      <c r="D993">
        <v>2</v>
      </c>
      <c r="E993" t="s">
        <v>123</v>
      </c>
      <c r="F993" t="str">
        <f t="shared" si="101"/>
        <v>Carassius auratus</v>
      </c>
      <c r="G993" t="str">
        <f t="shared" si="102"/>
        <v>Goldfish</v>
      </c>
      <c r="H993" t="str">
        <f t="shared" si="103"/>
        <v>Morihana</v>
      </c>
      <c r="I993" t="str">
        <f t="shared" si="104"/>
        <v>Nonnative</v>
      </c>
      <c r="J993" t="str">
        <f t="shared" si="105"/>
        <v>No</v>
      </c>
      <c r="L993">
        <v>82</v>
      </c>
      <c r="M993">
        <v>12</v>
      </c>
      <c r="N993">
        <v>1</v>
      </c>
      <c r="S993" t="str">
        <f t="shared" si="106"/>
        <v/>
      </c>
    </row>
    <row r="994" spans="1:19" x14ac:dyDescent="0.55000000000000004">
      <c r="A994">
        <v>96</v>
      </c>
      <c r="B994" s="2">
        <v>45638.489583333336</v>
      </c>
      <c r="C994" t="s">
        <v>215</v>
      </c>
      <c r="D994">
        <v>2</v>
      </c>
      <c r="E994" t="s">
        <v>123</v>
      </c>
      <c r="F994" t="str">
        <f t="shared" si="101"/>
        <v>Carassius auratus</v>
      </c>
      <c r="G994" t="str">
        <f t="shared" si="102"/>
        <v>Goldfish</v>
      </c>
      <c r="H994" t="str">
        <f t="shared" si="103"/>
        <v>Morihana</v>
      </c>
      <c r="I994" t="str">
        <f t="shared" si="104"/>
        <v>Nonnative</v>
      </c>
      <c r="J994" t="str">
        <f t="shared" si="105"/>
        <v>No</v>
      </c>
      <c r="L994">
        <v>82</v>
      </c>
      <c r="M994">
        <v>8</v>
      </c>
      <c r="N994">
        <v>1</v>
      </c>
      <c r="S994" t="str">
        <f t="shared" si="106"/>
        <v/>
      </c>
    </row>
    <row r="995" spans="1:19" x14ac:dyDescent="0.55000000000000004">
      <c r="A995">
        <v>96</v>
      </c>
      <c r="B995" s="2">
        <v>45638.489583333336</v>
      </c>
      <c r="C995" t="s">
        <v>215</v>
      </c>
      <c r="D995">
        <v>2</v>
      </c>
      <c r="E995" t="s">
        <v>44</v>
      </c>
      <c r="F995" t="str">
        <f t="shared" si="101"/>
        <v>Gobiomorphus cotidianus</v>
      </c>
      <c r="G995" t="str">
        <f t="shared" si="102"/>
        <v>Common_bully</v>
      </c>
      <c r="H995" t="str">
        <f t="shared" si="103"/>
        <v>Toitoi</v>
      </c>
      <c r="I995" t="str">
        <f t="shared" si="104"/>
        <v>Native</v>
      </c>
      <c r="J995" t="str">
        <f t="shared" si="105"/>
        <v>No</v>
      </c>
      <c r="M995">
        <v>517</v>
      </c>
      <c r="R995">
        <v>2.5</v>
      </c>
      <c r="S995">
        <f t="shared" si="106"/>
        <v>591.47</v>
      </c>
    </row>
    <row r="996" spans="1:19" x14ac:dyDescent="0.55000000000000004">
      <c r="A996">
        <v>96</v>
      </c>
      <c r="B996" s="2">
        <v>45638.489583333336</v>
      </c>
      <c r="C996" t="s">
        <v>215</v>
      </c>
      <c r="D996">
        <v>2</v>
      </c>
      <c r="E996" t="s">
        <v>44</v>
      </c>
      <c r="F996" t="str">
        <f t="shared" si="101"/>
        <v>Gobiomorphus cotidianus</v>
      </c>
      <c r="G996" t="str">
        <f t="shared" si="102"/>
        <v>Common_bully</v>
      </c>
      <c r="H996" t="str">
        <f t="shared" si="103"/>
        <v>Toitoi</v>
      </c>
      <c r="I996" t="str">
        <f t="shared" si="104"/>
        <v>Native</v>
      </c>
      <c r="J996" t="str">
        <f t="shared" si="105"/>
        <v>No</v>
      </c>
      <c r="M996">
        <v>577</v>
      </c>
      <c r="R996">
        <v>2.5</v>
      </c>
      <c r="S996">
        <f t="shared" si="106"/>
        <v>591.47</v>
      </c>
    </row>
    <row r="997" spans="1:19" x14ac:dyDescent="0.55000000000000004">
      <c r="A997">
        <v>96</v>
      </c>
      <c r="B997" s="2">
        <v>45638.489583333336</v>
      </c>
      <c r="C997" t="s">
        <v>215</v>
      </c>
      <c r="D997">
        <v>2</v>
      </c>
      <c r="E997" t="s">
        <v>44</v>
      </c>
      <c r="F997" t="str">
        <f t="shared" si="101"/>
        <v>Gobiomorphus cotidianus</v>
      </c>
      <c r="G997" t="str">
        <f t="shared" si="102"/>
        <v>Common_bully</v>
      </c>
      <c r="H997" t="str">
        <f t="shared" si="103"/>
        <v>Toitoi</v>
      </c>
      <c r="I997" t="str">
        <f t="shared" si="104"/>
        <v>Native</v>
      </c>
      <c r="J997" t="str">
        <f t="shared" si="105"/>
        <v>No</v>
      </c>
      <c r="M997">
        <v>544</v>
      </c>
      <c r="R997">
        <v>2.5</v>
      </c>
      <c r="S997">
        <f t="shared" si="106"/>
        <v>591.47</v>
      </c>
    </row>
    <row r="998" spans="1:19" x14ac:dyDescent="0.55000000000000004">
      <c r="A998">
        <v>96</v>
      </c>
      <c r="B998" s="2">
        <v>45638.489583333336</v>
      </c>
      <c r="C998" t="s">
        <v>215</v>
      </c>
      <c r="D998">
        <v>2</v>
      </c>
      <c r="E998" t="s">
        <v>44</v>
      </c>
      <c r="F998" t="str">
        <f t="shared" si="101"/>
        <v>Gobiomorphus cotidianus</v>
      </c>
      <c r="G998" t="str">
        <f t="shared" si="102"/>
        <v>Common_bully</v>
      </c>
      <c r="H998" t="str">
        <f t="shared" si="103"/>
        <v>Toitoi</v>
      </c>
      <c r="I998" t="str">
        <f t="shared" si="104"/>
        <v>Native</v>
      </c>
      <c r="J998" t="str">
        <f t="shared" si="105"/>
        <v>No</v>
      </c>
      <c r="M998">
        <v>567</v>
      </c>
      <c r="R998">
        <v>2.5</v>
      </c>
      <c r="S998">
        <f t="shared" si="106"/>
        <v>591.47</v>
      </c>
    </row>
    <row r="999" spans="1:19" x14ac:dyDescent="0.55000000000000004">
      <c r="A999">
        <v>96</v>
      </c>
      <c r="B999" s="2">
        <v>45638.489583333336</v>
      </c>
      <c r="C999" t="s">
        <v>215</v>
      </c>
      <c r="D999">
        <v>2</v>
      </c>
      <c r="E999" t="s">
        <v>44</v>
      </c>
      <c r="F999" t="str">
        <f t="shared" si="101"/>
        <v>Gobiomorphus cotidianus</v>
      </c>
      <c r="G999" t="str">
        <f t="shared" si="102"/>
        <v>Common_bully</v>
      </c>
      <c r="H999" t="str">
        <f t="shared" si="103"/>
        <v>Toitoi</v>
      </c>
      <c r="I999" t="str">
        <f t="shared" si="104"/>
        <v>Native</v>
      </c>
      <c r="J999" t="str">
        <f t="shared" si="105"/>
        <v>No</v>
      </c>
      <c r="M999">
        <v>602</v>
      </c>
      <c r="R999">
        <v>2.5</v>
      </c>
      <c r="S999">
        <f t="shared" si="106"/>
        <v>591.47</v>
      </c>
    </row>
    <row r="1000" spans="1:19" x14ac:dyDescent="0.55000000000000004">
      <c r="A1000">
        <v>96</v>
      </c>
      <c r="B1000" s="2">
        <v>45638.489583333336</v>
      </c>
      <c r="C1000" t="s">
        <v>215</v>
      </c>
      <c r="D1000">
        <v>2</v>
      </c>
      <c r="E1000" t="s">
        <v>44</v>
      </c>
      <c r="F1000" t="str">
        <f t="shared" si="101"/>
        <v>Gobiomorphus cotidianus</v>
      </c>
      <c r="G1000" t="str">
        <f t="shared" si="102"/>
        <v>Common_bully</v>
      </c>
      <c r="H1000" t="str">
        <f t="shared" si="103"/>
        <v>Toitoi</v>
      </c>
      <c r="I1000" t="str">
        <f t="shared" si="104"/>
        <v>Native</v>
      </c>
      <c r="J1000" t="str">
        <f t="shared" si="105"/>
        <v>No</v>
      </c>
      <c r="M1000">
        <v>467</v>
      </c>
      <c r="R1000">
        <v>2</v>
      </c>
      <c r="S1000">
        <f t="shared" si="106"/>
        <v>473.17599999999999</v>
      </c>
    </row>
    <row r="1001" spans="1:19" x14ac:dyDescent="0.55000000000000004">
      <c r="A1001">
        <v>96</v>
      </c>
      <c r="B1001" s="2">
        <v>45638.489583333336</v>
      </c>
      <c r="C1001" t="s">
        <v>215</v>
      </c>
      <c r="D1001">
        <v>2</v>
      </c>
      <c r="E1001" t="s">
        <v>123</v>
      </c>
      <c r="F1001" t="str">
        <f t="shared" si="101"/>
        <v>Carassius auratus</v>
      </c>
      <c r="G1001" t="str">
        <f t="shared" si="102"/>
        <v>Goldfish</v>
      </c>
      <c r="H1001" t="str">
        <f t="shared" si="103"/>
        <v>Morihana</v>
      </c>
      <c r="I1001" t="str">
        <f t="shared" si="104"/>
        <v>Nonnative</v>
      </c>
      <c r="J1001" t="str">
        <f t="shared" si="105"/>
        <v>No</v>
      </c>
      <c r="L1001">
        <v>169</v>
      </c>
      <c r="M1001">
        <v>141</v>
      </c>
      <c r="N1001">
        <v>1</v>
      </c>
      <c r="S1001" t="str">
        <f t="shared" si="106"/>
        <v/>
      </c>
    </row>
    <row r="1002" spans="1:19" x14ac:dyDescent="0.55000000000000004">
      <c r="A1002">
        <v>96</v>
      </c>
      <c r="B1002" s="2">
        <v>45638.489583333336</v>
      </c>
      <c r="C1002" t="s">
        <v>215</v>
      </c>
      <c r="D1002">
        <v>2</v>
      </c>
      <c r="E1002" t="s">
        <v>123</v>
      </c>
      <c r="F1002" t="str">
        <f t="shared" si="101"/>
        <v>Carassius auratus</v>
      </c>
      <c r="G1002" t="str">
        <f t="shared" si="102"/>
        <v>Goldfish</v>
      </c>
      <c r="H1002" t="str">
        <f t="shared" si="103"/>
        <v>Morihana</v>
      </c>
      <c r="I1002" t="str">
        <f t="shared" si="104"/>
        <v>Nonnative</v>
      </c>
      <c r="J1002" t="str">
        <f t="shared" si="105"/>
        <v>No</v>
      </c>
      <c r="L1002">
        <v>173</v>
      </c>
      <c r="M1002">
        <v>142</v>
      </c>
      <c r="N1002">
        <v>1</v>
      </c>
      <c r="S1002" t="str">
        <f t="shared" si="106"/>
        <v/>
      </c>
    </row>
    <row r="1003" spans="1:19" x14ac:dyDescent="0.55000000000000004">
      <c r="A1003">
        <v>96</v>
      </c>
      <c r="B1003" s="2">
        <v>45638.489583333336</v>
      </c>
      <c r="C1003" t="s">
        <v>215</v>
      </c>
      <c r="D1003">
        <v>2</v>
      </c>
      <c r="E1003" t="s">
        <v>123</v>
      </c>
      <c r="F1003" t="str">
        <f t="shared" si="101"/>
        <v>Carassius auratus</v>
      </c>
      <c r="G1003" t="str">
        <f t="shared" si="102"/>
        <v>Goldfish</v>
      </c>
      <c r="H1003" t="str">
        <f t="shared" si="103"/>
        <v>Morihana</v>
      </c>
      <c r="I1003" t="str">
        <f t="shared" si="104"/>
        <v>Nonnative</v>
      </c>
      <c r="J1003" t="str">
        <f t="shared" si="105"/>
        <v>No</v>
      </c>
      <c r="L1003">
        <v>177</v>
      </c>
      <c r="M1003">
        <v>133</v>
      </c>
      <c r="N1003">
        <v>1</v>
      </c>
      <c r="S1003" t="str">
        <f t="shared" si="106"/>
        <v/>
      </c>
    </row>
    <row r="1004" spans="1:19" x14ac:dyDescent="0.55000000000000004">
      <c r="A1004">
        <v>96</v>
      </c>
      <c r="B1004" s="2">
        <v>45638.489583333336</v>
      </c>
      <c r="C1004" t="s">
        <v>215</v>
      </c>
      <c r="D1004">
        <v>2</v>
      </c>
      <c r="E1004" t="s">
        <v>123</v>
      </c>
      <c r="F1004" t="str">
        <f t="shared" si="101"/>
        <v>Carassius auratus</v>
      </c>
      <c r="G1004" t="str">
        <f t="shared" si="102"/>
        <v>Goldfish</v>
      </c>
      <c r="H1004" t="str">
        <f t="shared" si="103"/>
        <v>Morihana</v>
      </c>
      <c r="I1004" t="str">
        <f t="shared" si="104"/>
        <v>Nonnative</v>
      </c>
      <c r="J1004" t="str">
        <f t="shared" si="105"/>
        <v>No</v>
      </c>
      <c r="L1004">
        <v>174</v>
      </c>
      <c r="M1004">
        <v>121</v>
      </c>
      <c r="N1004">
        <v>1</v>
      </c>
      <c r="S1004" t="str">
        <f t="shared" si="106"/>
        <v/>
      </c>
    </row>
    <row r="1005" spans="1:19" x14ac:dyDescent="0.55000000000000004">
      <c r="A1005">
        <v>96</v>
      </c>
      <c r="B1005" s="2">
        <v>45638.489583333336</v>
      </c>
      <c r="C1005" t="s">
        <v>215</v>
      </c>
      <c r="D1005">
        <v>2</v>
      </c>
      <c r="E1005" t="s">
        <v>123</v>
      </c>
      <c r="F1005" t="str">
        <f t="shared" si="101"/>
        <v>Carassius auratus</v>
      </c>
      <c r="G1005" t="str">
        <f t="shared" si="102"/>
        <v>Goldfish</v>
      </c>
      <c r="H1005" t="str">
        <f t="shared" si="103"/>
        <v>Morihana</v>
      </c>
      <c r="I1005" t="str">
        <f t="shared" si="104"/>
        <v>Nonnative</v>
      </c>
      <c r="J1005" t="str">
        <f t="shared" si="105"/>
        <v>No</v>
      </c>
      <c r="L1005">
        <v>200</v>
      </c>
      <c r="M1005">
        <v>185</v>
      </c>
      <c r="N1005">
        <v>1</v>
      </c>
      <c r="S1005" t="str">
        <f t="shared" si="106"/>
        <v/>
      </c>
    </row>
    <row r="1006" spans="1:19" x14ac:dyDescent="0.55000000000000004">
      <c r="A1006">
        <v>96</v>
      </c>
      <c r="B1006" s="2">
        <v>45638.489583333336</v>
      </c>
      <c r="C1006" t="s">
        <v>215</v>
      </c>
      <c r="D1006">
        <v>2</v>
      </c>
      <c r="E1006" t="s">
        <v>123</v>
      </c>
      <c r="F1006" t="str">
        <f t="shared" si="101"/>
        <v>Carassius auratus</v>
      </c>
      <c r="G1006" t="str">
        <f t="shared" si="102"/>
        <v>Goldfish</v>
      </c>
      <c r="H1006" t="str">
        <f t="shared" si="103"/>
        <v>Morihana</v>
      </c>
      <c r="I1006" t="str">
        <f t="shared" si="104"/>
        <v>Nonnative</v>
      </c>
      <c r="J1006" t="str">
        <f t="shared" si="105"/>
        <v>No</v>
      </c>
      <c r="L1006">
        <v>65</v>
      </c>
      <c r="M1006">
        <v>7</v>
      </c>
      <c r="N1006">
        <v>1</v>
      </c>
      <c r="S1006" t="str">
        <f t="shared" si="106"/>
        <v/>
      </c>
    </row>
    <row r="1007" spans="1:19" x14ac:dyDescent="0.55000000000000004">
      <c r="A1007">
        <v>96</v>
      </c>
      <c r="B1007" s="2">
        <v>45638.489583333336</v>
      </c>
      <c r="C1007" t="s">
        <v>215</v>
      </c>
      <c r="D1007">
        <v>2</v>
      </c>
      <c r="E1007" t="s">
        <v>123</v>
      </c>
      <c r="F1007" t="str">
        <f t="shared" si="101"/>
        <v>Carassius auratus</v>
      </c>
      <c r="G1007" t="str">
        <f t="shared" si="102"/>
        <v>Goldfish</v>
      </c>
      <c r="H1007" t="str">
        <f t="shared" si="103"/>
        <v>Morihana</v>
      </c>
      <c r="I1007" t="str">
        <f t="shared" si="104"/>
        <v>Nonnative</v>
      </c>
      <c r="J1007" t="str">
        <f t="shared" si="105"/>
        <v>No</v>
      </c>
      <c r="L1007">
        <v>55</v>
      </c>
      <c r="M1007">
        <v>4</v>
      </c>
      <c r="N1007">
        <v>1</v>
      </c>
      <c r="S1007" t="str">
        <f t="shared" si="106"/>
        <v/>
      </c>
    </row>
    <row r="1008" spans="1:19" x14ac:dyDescent="0.55000000000000004">
      <c r="A1008">
        <v>96</v>
      </c>
      <c r="B1008" s="2">
        <v>45638.489583333336</v>
      </c>
      <c r="C1008" t="s">
        <v>215</v>
      </c>
      <c r="D1008">
        <v>2</v>
      </c>
      <c r="E1008" t="s">
        <v>123</v>
      </c>
      <c r="F1008" t="str">
        <f t="shared" si="101"/>
        <v>Carassius auratus</v>
      </c>
      <c r="G1008" t="str">
        <f t="shared" si="102"/>
        <v>Goldfish</v>
      </c>
      <c r="H1008" t="str">
        <f t="shared" si="103"/>
        <v>Morihana</v>
      </c>
      <c r="I1008" t="str">
        <f t="shared" si="104"/>
        <v>Nonnative</v>
      </c>
      <c r="J1008" t="str">
        <f t="shared" si="105"/>
        <v>No</v>
      </c>
      <c r="L1008">
        <v>130</v>
      </c>
      <c r="M1008">
        <v>57</v>
      </c>
      <c r="N1008">
        <v>1</v>
      </c>
      <c r="S1008" t="str">
        <f t="shared" si="106"/>
        <v/>
      </c>
    </row>
    <row r="1009" spans="1:19" x14ac:dyDescent="0.55000000000000004">
      <c r="A1009">
        <v>96</v>
      </c>
      <c r="B1009" s="2">
        <v>45638.489583333336</v>
      </c>
      <c r="C1009" t="s">
        <v>215</v>
      </c>
      <c r="D1009">
        <v>2</v>
      </c>
      <c r="E1009" t="s">
        <v>49</v>
      </c>
      <c r="F1009" t="str">
        <f t="shared" si="101"/>
        <v>Paranephrops planifrons</v>
      </c>
      <c r="G1009" t="str">
        <f t="shared" si="102"/>
        <v>Freshwater_crayfish</v>
      </c>
      <c r="H1009" t="str">
        <f t="shared" si="103"/>
        <v>Kōura</v>
      </c>
      <c r="I1009" t="str">
        <f t="shared" si="104"/>
        <v>Native</v>
      </c>
      <c r="J1009" t="str">
        <f t="shared" si="105"/>
        <v>Yes</v>
      </c>
      <c r="K1009" t="s">
        <v>48</v>
      </c>
      <c r="L1009">
        <v>34</v>
      </c>
      <c r="M1009">
        <v>26</v>
      </c>
      <c r="N1009">
        <v>1</v>
      </c>
      <c r="O1009">
        <v>1</v>
      </c>
      <c r="S1009" t="str">
        <f t="shared" si="106"/>
        <v/>
      </c>
    </row>
    <row r="1010" spans="1:19" x14ac:dyDescent="0.55000000000000004">
      <c r="A1010">
        <v>96</v>
      </c>
      <c r="B1010" s="2">
        <v>45638.489583333336</v>
      </c>
      <c r="C1010" t="s">
        <v>215</v>
      </c>
      <c r="D1010">
        <v>2</v>
      </c>
      <c r="E1010" t="s">
        <v>49</v>
      </c>
      <c r="F1010" t="str">
        <f t="shared" si="101"/>
        <v>Paranephrops planifrons</v>
      </c>
      <c r="G1010" t="str">
        <f t="shared" si="102"/>
        <v>Freshwater_crayfish</v>
      </c>
      <c r="H1010" t="str">
        <f t="shared" si="103"/>
        <v>Kōura</v>
      </c>
      <c r="I1010" t="str">
        <f t="shared" si="104"/>
        <v>Native</v>
      </c>
      <c r="J1010" t="str">
        <f t="shared" si="105"/>
        <v>Yes</v>
      </c>
      <c r="K1010" t="s">
        <v>48</v>
      </c>
      <c r="L1010">
        <v>36</v>
      </c>
      <c r="M1010">
        <v>34</v>
      </c>
      <c r="N1010">
        <v>1</v>
      </c>
      <c r="S1010" t="str">
        <f t="shared" si="106"/>
        <v/>
      </c>
    </row>
    <row r="1011" spans="1:19" x14ac:dyDescent="0.55000000000000004">
      <c r="A1011">
        <v>96</v>
      </c>
      <c r="B1011" s="2">
        <v>45638.489583333336</v>
      </c>
      <c r="C1011" t="s">
        <v>215</v>
      </c>
      <c r="D1011">
        <v>2</v>
      </c>
      <c r="E1011" t="s">
        <v>49</v>
      </c>
      <c r="F1011" t="str">
        <f t="shared" si="101"/>
        <v>Paranephrops planifrons</v>
      </c>
      <c r="G1011" t="str">
        <f t="shared" si="102"/>
        <v>Freshwater_crayfish</v>
      </c>
      <c r="H1011" t="str">
        <f t="shared" si="103"/>
        <v>Kōura</v>
      </c>
      <c r="I1011" t="str">
        <f t="shared" si="104"/>
        <v>Native</v>
      </c>
      <c r="J1011" t="str">
        <f t="shared" si="105"/>
        <v>Yes</v>
      </c>
      <c r="K1011" t="s">
        <v>50</v>
      </c>
      <c r="L1011">
        <v>35</v>
      </c>
      <c r="M1011">
        <v>29</v>
      </c>
      <c r="N1011">
        <v>1</v>
      </c>
      <c r="O1011">
        <v>1</v>
      </c>
      <c r="S1011" t="str">
        <f t="shared" si="106"/>
        <v/>
      </c>
    </row>
    <row r="1012" spans="1:19" x14ac:dyDescent="0.55000000000000004">
      <c r="A1012">
        <v>96</v>
      </c>
      <c r="B1012" s="2">
        <v>45638.489583333336</v>
      </c>
      <c r="C1012" t="s">
        <v>215</v>
      </c>
      <c r="D1012">
        <v>2</v>
      </c>
      <c r="E1012" t="s">
        <v>49</v>
      </c>
      <c r="F1012" t="str">
        <f t="shared" si="101"/>
        <v>Paranephrops planifrons</v>
      </c>
      <c r="G1012" t="str">
        <f t="shared" si="102"/>
        <v>Freshwater_crayfish</v>
      </c>
      <c r="H1012" t="str">
        <f t="shared" si="103"/>
        <v>Kōura</v>
      </c>
      <c r="I1012" t="str">
        <f t="shared" si="104"/>
        <v>Native</v>
      </c>
      <c r="J1012" t="str">
        <f t="shared" si="105"/>
        <v>Yes</v>
      </c>
      <c r="K1012" t="s">
        <v>50</v>
      </c>
      <c r="L1012">
        <v>37</v>
      </c>
      <c r="M1012">
        <v>35</v>
      </c>
      <c r="N1012">
        <v>1</v>
      </c>
      <c r="S1012" t="str">
        <f t="shared" si="106"/>
        <v/>
      </c>
    </row>
    <row r="1013" spans="1:19" x14ac:dyDescent="0.55000000000000004">
      <c r="A1013">
        <v>96</v>
      </c>
      <c r="B1013" s="2">
        <v>45638.489583333336</v>
      </c>
      <c r="C1013" t="s">
        <v>215</v>
      </c>
      <c r="D1013">
        <v>2</v>
      </c>
      <c r="E1013" t="s">
        <v>49</v>
      </c>
      <c r="F1013" t="str">
        <f t="shared" si="101"/>
        <v>Paranephrops planifrons</v>
      </c>
      <c r="G1013" t="str">
        <f t="shared" si="102"/>
        <v>Freshwater_crayfish</v>
      </c>
      <c r="H1013" t="str">
        <f t="shared" si="103"/>
        <v>Kōura</v>
      </c>
      <c r="I1013" t="str">
        <f t="shared" si="104"/>
        <v>Native</v>
      </c>
      <c r="J1013" t="str">
        <f t="shared" si="105"/>
        <v>Yes</v>
      </c>
      <c r="K1013" t="s">
        <v>50</v>
      </c>
      <c r="L1013">
        <v>35</v>
      </c>
      <c r="M1013">
        <v>30</v>
      </c>
      <c r="N1013">
        <v>1</v>
      </c>
      <c r="O1013">
        <v>1</v>
      </c>
      <c r="S1013" t="str">
        <f t="shared" si="106"/>
        <v/>
      </c>
    </row>
    <row r="1014" spans="1:19" x14ac:dyDescent="0.55000000000000004">
      <c r="A1014">
        <v>96</v>
      </c>
      <c r="B1014" s="2">
        <v>45638.489583333336</v>
      </c>
      <c r="C1014" t="s">
        <v>215</v>
      </c>
      <c r="D1014">
        <v>2</v>
      </c>
      <c r="E1014" t="s">
        <v>49</v>
      </c>
      <c r="F1014" t="str">
        <f t="shared" si="101"/>
        <v>Paranephrops planifrons</v>
      </c>
      <c r="G1014" t="str">
        <f t="shared" si="102"/>
        <v>Freshwater_crayfish</v>
      </c>
      <c r="H1014" t="str">
        <f t="shared" si="103"/>
        <v>Kōura</v>
      </c>
      <c r="I1014" t="str">
        <f t="shared" si="104"/>
        <v>Native</v>
      </c>
      <c r="J1014" t="str">
        <f t="shared" si="105"/>
        <v>Yes</v>
      </c>
      <c r="K1014" t="s">
        <v>48</v>
      </c>
      <c r="L1014">
        <v>41</v>
      </c>
      <c r="M1014">
        <v>47</v>
      </c>
      <c r="N1014">
        <v>1</v>
      </c>
      <c r="O1014">
        <v>1</v>
      </c>
      <c r="S1014" t="str">
        <f t="shared" si="106"/>
        <v/>
      </c>
    </row>
    <row r="1015" spans="1:19" x14ac:dyDescent="0.55000000000000004">
      <c r="A1015">
        <v>96</v>
      </c>
      <c r="B1015" s="2">
        <v>45638.489583333336</v>
      </c>
      <c r="C1015" t="s">
        <v>215</v>
      </c>
      <c r="D1015">
        <v>2</v>
      </c>
      <c r="E1015" t="s">
        <v>49</v>
      </c>
      <c r="F1015" t="str">
        <f t="shared" si="101"/>
        <v>Paranephrops planifrons</v>
      </c>
      <c r="G1015" t="str">
        <f t="shared" si="102"/>
        <v>Freshwater_crayfish</v>
      </c>
      <c r="H1015" t="str">
        <f t="shared" si="103"/>
        <v>Kōura</v>
      </c>
      <c r="I1015" t="str">
        <f t="shared" si="104"/>
        <v>Native</v>
      </c>
      <c r="J1015" t="str">
        <f t="shared" si="105"/>
        <v>Yes</v>
      </c>
      <c r="K1015" t="s">
        <v>50</v>
      </c>
      <c r="L1015">
        <v>36</v>
      </c>
      <c r="M1015">
        <v>33</v>
      </c>
      <c r="N1015">
        <v>1</v>
      </c>
      <c r="S1015" t="str">
        <f t="shared" si="106"/>
        <v/>
      </c>
    </row>
    <row r="1016" spans="1:19" x14ac:dyDescent="0.55000000000000004">
      <c r="A1016">
        <v>96</v>
      </c>
      <c r="B1016" s="2">
        <v>45638.489583333336</v>
      </c>
      <c r="C1016" t="s">
        <v>215</v>
      </c>
      <c r="D1016">
        <v>2</v>
      </c>
      <c r="E1016" t="s">
        <v>49</v>
      </c>
      <c r="F1016" t="str">
        <f t="shared" si="101"/>
        <v>Paranephrops planifrons</v>
      </c>
      <c r="G1016" t="str">
        <f t="shared" si="102"/>
        <v>Freshwater_crayfish</v>
      </c>
      <c r="H1016" t="str">
        <f t="shared" si="103"/>
        <v>Kōura</v>
      </c>
      <c r="I1016" t="str">
        <f t="shared" si="104"/>
        <v>Native</v>
      </c>
      <c r="J1016" t="str">
        <f t="shared" si="105"/>
        <v>Yes</v>
      </c>
      <c r="K1016" t="s">
        <v>50</v>
      </c>
      <c r="L1016">
        <v>33</v>
      </c>
      <c r="M1016">
        <v>26</v>
      </c>
      <c r="N1016">
        <v>1</v>
      </c>
      <c r="O1016">
        <v>1</v>
      </c>
      <c r="S1016" t="str">
        <f t="shared" si="106"/>
        <v/>
      </c>
    </row>
    <row r="1017" spans="1:19" x14ac:dyDescent="0.55000000000000004">
      <c r="A1017">
        <v>96</v>
      </c>
      <c r="B1017" s="2">
        <v>45638.489583333336</v>
      </c>
      <c r="C1017" t="s">
        <v>215</v>
      </c>
      <c r="D1017">
        <v>2</v>
      </c>
      <c r="E1017" t="s">
        <v>49</v>
      </c>
      <c r="F1017" t="str">
        <f t="shared" si="101"/>
        <v>Paranephrops planifrons</v>
      </c>
      <c r="G1017" t="str">
        <f t="shared" si="102"/>
        <v>Freshwater_crayfish</v>
      </c>
      <c r="H1017" t="str">
        <f t="shared" si="103"/>
        <v>Kōura</v>
      </c>
      <c r="I1017" t="str">
        <f t="shared" si="104"/>
        <v>Native</v>
      </c>
      <c r="J1017" t="str">
        <f t="shared" si="105"/>
        <v>Yes</v>
      </c>
      <c r="K1017" t="s">
        <v>48</v>
      </c>
      <c r="L1017">
        <v>39</v>
      </c>
      <c r="M1017">
        <v>44</v>
      </c>
      <c r="N1017">
        <v>1</v>
      </c>
      <c r="S1017" t="str">
        <f t="shared" si="106"/>
        <v/>
      </c>
    </row>
    <row r="1018" spans="1:19" x14ac:dyDescent="0.55000000000000004">
      <c r="A1018">
        <v>96</v>
      </c>
      <c r="B1018" s="2">
        <v>45638.489583333336</v>
      </c>
      <c r="C1018" t="s">
        <v>215</v>
      </c>
      <c r="D1018">
        <v>2</v>
      </c>
      <c r="E1018" t="s">
        <v>44</v>
      </c>
      <c r="F1018" t="str">
        <f t="shared" si="101"/>
        <v>Gobiomorphus cotidianus</v>
      </c>
      <c r="G1018" t="str">
        <f t="shared" si="102"/>
        <v>Common_bully</v>
      </c>
      <c r="H1018" t="str">
        <f t="shared" si="103"/>
        <v>Toitoi</v>
      </c>
      <c r="I1018" t="str">
        <f t="shared" si="104"/>
        <v>Native</v>
      </c>
      <c r="J1018" t="str">
        <f t="shared" si="105"/>
        <v>No</v>
      </c>
      <c r="M1018">
        <f>611-117</f>
        <v>494</v>
      </c>
      <c r="R1018">
        <v>2.5</v>
      </c>
      <c r="S1018">
        <f t="shared" si="106"/>
        <v>591.47</v>
      </c>
    </row>
    <row r="1019" spans="1:19" x14ac:dyDescent="0.55000000000000004">
      <c r="A1019">
        <v>96</v>
      </c>
      <c r="B1019" s="2">
        <v>45638.489583333336</v>
      </c>
      <c r="C1019" t="s">
        <v>215</v>
      </c>
      <c r="D1019">
        <v>2</v>
      </c>
      <c r="E1019" t="s">
        <v>44</v>
      </c>
      <c r="F1019" t="str">
        <f t="shared" si="101"/>
        <v>Gobiomorphus cotidianus</v>
      </c>
      <c r="G1019" t="str">
        <f t="shared" si="102"/>
        <v>Common_bully</v>
      </c>
      <c r="H1019" t="str">
        <f t="shared" si="103"/>
        <v>Toitoi</v>
      </c>
      <c r="I1019" t="str">
        <f t="shared" si="104"/>
        <v>Native</v>
      </c>
      <c r="J1019" t="str">
        <f t="shared" si="105"/>
        <v>No</v>
      </c>
      <c r="M1019">
        <v>476</v>
      </c>
      <c r="R1019">
        <v>2.5</v>
      </c>
      <c r="S1019">
        <f t="shared" si="106"/>
        <v>591.47</v>
      </c>
    </row>
    <row r="1020" spans="1:19" x14ac:dyDescent="0.55000000000000004">
      <c r="A1020">
        <v>96</v>
      </c>
      <c r="B1020" s="2">
        <v>45638.489583333336</v>
      </c>
      <c r="C1020" t="s">
        <v>215</v>
      </c>
      <c r="D1020">
        <v>2</v>
      </c>
      <c r="E1020" t="s">
        <v>44</v>
      </c>
      <c r="F1020" t="str">
        <f t="shared" si="101"/>
        <v>Gobiomorphus cotidianus</v>
      </c>
      <c r="G1020" t="str">
        <f t="shared" si="102"/>
        <v>Common_bully</v>
      </c>
      <c r="H1020" t="str">
        <f t="shared" si="103"/>
        <v>Toitoi</v>
      </c>
      <c r="I1020" t="str">
        <f t="shared" si="104"/>
        <v>Native</v>
      </c>
      <c r="J1020" t="str">
        <f t="shared" si="105"/>
        <v>No</v>
      </c>
      <c r="M1020">
        <f>578-117</f>
        <v>461</v>
      </c>
      <c r="R1020">
        <v>2.5</v>
      </c>
      <c r="S1020">
        <f t="shared" si="106"/>
        <v>591.47</v>
      </c>
    </row>
    <row r="1021" spans="1:19" x14ac:dyDescent="0.55000000000000004">
      <c r="A1021">
        <v>96</v>
      </c>
      <c r="B1021" s="2">
        <v>45638.489583333336</v>
      </c>
      <c r="C1021" t="s">
        <v>215</v>
      </c>
      <c r="D1021">
        <v>2</v>
      </c>
      <c r="E1021" t="s">
        <v>44</v>
      </c>
      <c r="F1021" t="str">
        <f t="shared" si="101"/>
        <v>Gobiomorphus cotidianus</v>
      </c>
      <c r="G1021" t="str">
        <f t="shared" si="102"/>
        <v>Common_bully</v>
      </c>
      <c r="H1021" t="str">
        <f t="shared" si="103"/>
        <v>Toitoi</v>
      </c>
      <c r="I1021" t="str">
        <f t="shared" si="104"/>
        <v>Native</v>
      </c>
      <c r="J1021" t="str">
        <f t="shared" si="105"/>
        <v>No</v>
      </c>
      <c r="M1021">
        <f>201-117</f>
        <v>84</v>
      </c>
      <c r="R1021">
        <v>0.5</v>
      </c>
      <c r="S1021">
        <f t="shared" si="106"/>
        <v>118.294</v>
      </c>
    </row>
    <row r="1022" spans="1:19" x14ac:dyDescent="0.55000000000000004">
      <c r="A1022">
        <v>73</v>
      </c>
      <c r="B1022" s="2">
        <v>45674.479166666664</v>
      </c>
      <c r="C1022" t="s">
        <v>216</v>
      </c>
      <c r="D1022">
        <v>2</v>
      </c>
      <c r="E1022" t="s">
        <v>49</v>
      </c>
      <c r="F1022" t="str">
        <f t="shared" si="101"/>
        <v>Paranephrops planifrons</v>
      </c>
      <c r="G1022" t="str">
        <f t="shared" si="102"/>
        <v>Freshwater_crayfish</v>
      </c>
      <c r="H1022" t="str">
        <f t="shared" si="103"/>
        <v>Kōura</v>
      </c>
      <c r="I1022" t="str">
        <f t="shared" si="104"/>
        <v>Native</v>
      </c>
      <c r="J1022" t="str">
        <f t="shared" si="105"/>
        <v>Yes</v>
      </c>
      <c r="K1022" t="s">
        <v>50</v>
      </c>
      <c r="L1022">
        <v>26.24</v>
      </c>
      <c r="M1022">
        <v>11</v>
      </c>
      <c r="N1022">
        <v>1</v>
      </c>
      <c r="S1022" t="str">
        <f t="shared" si="106"/>
        <v/>
      </c>
    </row>
    <row r="1023" spans="1:19" x14ac:dyDescent="0.55000000000000004">
      <c r="A1023">
        <v>73</v>
      </c>
      <c r="B1023" s="2">
        <v>45674.479166666664</v>
      </c>
      <c r="C1023" t="s">
        <v>216</v>
      </c>
      <c r="D1023">
        <v>2</v>
      </c>
      <c r="E1023" t="s">
        <v>49</v>
      </c>
      <c r="F1023" t="str">
        <f t="shared" si="101"/>
        <v>Paranephrops planifrons</v>
      </c>
      <c r="G1023" t="str">
        <f t="shared" si="102"/>
        <v>Freshwater_crayfish</v>
      </c>
      <c r="H1023" t="str">
        <f t="shared" si="103"/>
        <v>Kōura</v>
      </c>
      <c r="I1023" t="str">
        <f t="shared" si="104"/>
        <v>Native</v>
      </c>
      <c r="J1023" t="str">
        <f t="shared" si="105"/>
        <v>Yes</v>
      </c>
      <c r="K1023" t="s">
        <v>50</v>
      </c>
      <c r="L1023">
        <v>21.26</v>
      </c>
      <c r="M1023">
        <v>9</v>
      </c>
      <c r="N1023">
        <v>1</v>
      </c>
      <c r="O1023">
        <v>1</v>
      </c>
      <c r="S1023" t="str">
        <f t="shared" si="106"/>
        <v/>
      </c>
    </row>
    <row r="1024" spans="1:19" x14ac:dyDescent="0.55000000000000004">
      <c r="A1024">
        <v>73</v>
      </c>
      <c r="B1024" s="2">
        <v>45674.479166666664</v>
      </c>
      <c r="C1024" t="s">
        <v>216</v>
      </c>
      <c r="D1024">
        <v>2</v>
      </c>
      <c r="E1024" t="s">
        <v>49</v>
      </c>
      <c r="F1024" t="str">
        <f t="shared" si="101"/>
        <v>Paranephrops planifrons</v>
      </c>
      <c r="G1024" t="str">
        <f t="shared" si="102"/>
        <v>Freshwater_crayfish</v>
      </c>
      <c r="H1024" t="str">
        <f t="shared" si="103"/>
        <v>Kōura</v>
      </c>
      <c r="I1024" t="str">
        <f t="shared" si="104"/>
        <v>Native</v>
      </c>
      <c r="J1024" t="str">
        <f t="shared" si="105"/>
        <v>Yes</v>
      </c>
      <c r="K1024" t="s">
        <v>50</v>
      </c>
      <c r="L1024">
        <v>26.68</v>
      </c>
      <c r="M1024">
        <v>14</v>
      </c>
      <c r="N1024">
        <v>1</v>
      </c>
      <c r="S1024" t="str">
        <f t="shared" si="106"/>
        <v/>
      </c>
    </row>
    <row r="1025" spans="1:19" x14ac:dyDescent="0.55000000000000004">
      <c r="A1025">
        <v>73</v>
      </c>
      <c r="B1025" s="2">
        <v>45674.479166666664</v>
      </c>
      <c r="C1025" t="s">
        <v>216</v>
      </c>
      <c r="D1025">
        <v>2</v>
      </c>
      <c r="E1025" t="s">
        <v>44</v>
      </c>
      <c r="F1025" t="str">
        <f t="shared" si="101"/>
        <v>Gobiomorphus cotidianus</v>
      </c>
      <c r="G1025" t="str">
        <f t="shared" si="102"/>
        <v>Common_bully</v>
      </c>
      <c r="H1025" t="str">
        <f t="shared" si="103"/>
        <v>Toitoi</v>
      </c>
      <c r="I1025" t="str">
        <f t="shared" si="104"/>
        <v>Native</v>
      </c>
      <c r="J1025" t="str">
        <f t="shared" si="105"/>
        <v>No</v>
      </c>
      <c r="M1025">
        <f>127-117</f>
        <v>10</v>
      </c>
      <c r="N1025">
        <v>27</v>
      </c>
      <c r="S1025" t="str">
        <f t="shared" si="106"/>
        <v/>
      </c>
    </row>
    <row r="1026" spans="1:19" x14ac:dyDescent="0.55000000000000004">
      <c r="A1026">
        <v>73</v>
      </c>
      <c r="B1026" s="2">
        <v>45674.479166666664</v>
      </c>
      <c r="C1026" t="s">
        <v>215</v>
      </c>
      <c r="D1026">
        <v>2</v>
      </c>
      <c r="E1026" t="s">
        <v>49</v>
      </c>
      <c r="F1026" t="str">
        <f t="shared" ref="F1026:F1089" si="107">VLOOKUP($E1026, $V$1:$AA$9, 2, FALSE)</f>
        <v>Paranephrops planifrons</v>
      </c>
      <c r="G1026" t="str">
        <f t="shared" ref="G1026:G1089" si="108">VLOOKUP($E1026, $V$1:$AA$9, 3, FALSE)</f>
        <v>Freshwater_crayfish</v>
      </c>
      <c r="H1026" t="str">
        <f t="shared" ref="H1026:H1089" si="109">VLOOKUP($E1026, $V$1:$AA$9, 4, FALSE)</f>
        <v>Kōura</v>
      </c>
      <c r="I1026" t="str">
        <f t="shared" ref="I1026:I1089" si="110">VLOOKUP($E1026, $V$1:$AB$9, 5, FALSE)</f>
        <v>Native</v>
      </c>
      <c r="J1026" t="str">
        <f t="shared" ref="J1026:J1089" si="111">VLOOKUP($E1026, $V$1:$AA$9, 6, FALSE)</f>
        <v>Yes</v>
      </c>
      <c r="K1026" t="s">
        <v>48</v>
      </c>
      <c r="L1026">
        <v>36.28</v>
      </c>
      <c r="M1026">
        <v>36</v>
      </c>
      <c r="N1026">
        <v>1</v>
      </c>
      <c r="S1026" t="str">
        <f t="shared" si="106"/>
        <v/>
      </c>
    </row>
    <row r="1027" spans="1:19" x14ac:dyDescent="0.55000000000000004">
      <c r="A1027">
        <v>73</v>
      </c>
      <c r="B1027" s="2">
        <v>45674.479166666664</v>
      </c>
      <c r="C1027" t="s">
        <v>215</v>
      </c>
      <c r="D1027">
        <v>2</v>
      </c>
      <c r="E1027" t="s">
        <v>49</v>
      </c>
      <c r="F1027" t="str">
        <f t="shared" si="107"/>
        <v>Paranephrops planifrons</v>
      </c>
      <c r="G1027" t="str">
        <f t="shared" si="108"/>
        <v>Freshwater_crayfish</v>
      </c>
      <c r="H1027" t="str">
        <f t="shared" si="109"/>
        <v>Kōura</v>
      </c>
      <c r="I1027" t="str">
        <f t="shared" si="110"/>
        <v>Native</v>
      </c>
      <c r="J1027" t="str">
        <f t="shared" si="111"/>
        <v>Yes</v>
      </c>
      <c r="K1027" t="s">
        <v>50</v>
      </c>
      <c r="L1027">
        <v>34.01</v>
      </c>
      <c r="M1027">
        <v>28</v>
      </c>
      <c r="N1027">
        <v>1</v>
      </c>
      <c r="S1027" t="str">
        <f t="shared" si="106"/>
        <v/>
      </c>
    </row>
    <row r="1028" spans="1:19" x14ac:dyDescent="0.55000000000000004">
      <c r="A1028">
        <v>73</v>
      </c>
      <c r="B1028" s="2">
        <v>45674.479166608799</v>
      </c>
      <c r="C1028" t="s">
        <v>215</v>
      </c>
      <c r="D1028">
        <v>2</v>
      </c>
      <c r="E1028" t="s">
        <v>49</v>
      </c>
      <c r="F1028" t="str">
        <f t="shared" si="107"/>
        <v>Paranephrops planifrons</v>
      </c>
      <c r="G1028" t="str">
        <f t="shared" si="108"/>
        <v>Freshwater_crayfish</v>
      </c>
      <c r="H1028" t="str">
        <f t="shared" si="109"/>
        <v>Kōura</v>
      </c>
      <c r="I1028" t="str">
        <f t="shared" si="110"/>
        <v>Native</v>
      </c>
      <c r="J1028" t="str">
        <f t="shared" si="111"/>
        <v>Yes</v>
      </c>
      <c r="K1028" t="s">
        <v>50</v>
      </c>
      <c r="L1028">
        <v>23.65</v>
      </c>
      <c r="M1028">
        <v>7</v>
      </c>
      <c r="N1028">
        <v>1</v>
      </c>
      <c r="S1028" t="str">
        <f t="shared" ref="S1028:S1091" si="112">IF(R1028&lt;&gt;"", R1028*236.588, "")</f>
        <v/>
      </c>
    </row>
    <row r="1029" spans="1:19" x14ac:dyDescent="0.55000000000000004">
      <c r="A1029">
        <v>73</v>
      </c>
      <c r="B1029" s="2">
        <v>45674.479166608799</v>
      </c>
      <c r="C1029" t="s">
        <v>215</v>
      </c>
      <c r="D1029">
        <v>2</v>
      </c>
      <c r="E1029" t="s">
        <v>49</v>
      </c>
      <c r="F1029" t="str">
        <f t="shared" si="107"/>
        <v>Paranephrops planifrons</v>
      </c>
      <c r="G1029" t="str">
        <f t="shared" si="108"/>
        <v>Freshwater_crayfish</v>
      </c>
      <c r="H1029" t="str">
        <f t="shared" si="109"/>
        <v>Kōura</v>
      </c>
      <c r="I1029" t="str">
        <f t="shared" si="110"/>
        <v>Native</v>
      </c>
      <c r="J1029" t="str">
        <f t="shared" si="111"/>
        <v>Yes</v>
      </c>
      <c r="K1029" t="s">
        <v>48</v>
      </c>
      <c r="L1029">
        <v>29.57</v>
      </c>
      <c r="M1029">
        <v>22</v>
      </c>
      <c r="N1029">
        <v>1</v>
      </c>
      <c r="S1029" t="str">
        <f t="shared" si="112"/>
        <v/>
      </c>
    </row>
    <row r="1030" spans="1:19" x14ac:dyDescent="0.55000000000000004">
      <c r="A1030">
        <v>73</v>
      </c>
      <c r="B1030" s="2">
        <v>45674.479166608799</v>
      </c>
      <c r="C1030" t="s">
        <v>215</v>
      </c>
      <c r="D1030">
        <v>2</v>
      </c>
      <c r="E1030" t="s">
        <v>49</v>
      </c>
      <c r="F1030" t="str">
        <f t="shared" si="107"/>
        <v>Paranephrops planifrons</v>
      </c>
      <c r="G1030" t="str">
        <f t="shared" si="108"/>
        <v>Freshwater_crayfish</v>
      </c>
      <c r="H1030" t="str">
        <f t="shared" si="109"/>
        <v>Kōura</v>
      </c>
      <c r="I1030" t="str">
        <f t="shared" si="110"/>
        <v>Native</v>
      </c>
      <c r="J1030" t="str">
        <f t="shared" si="111"/>
        <v>Yes</v>
      </c>
      <c r="K1030" t="s">
        <v>50</v>
      </c>
      <c r="L1030">
        <v>40.020000000000003</v>
      </c>
      <c r="M1030">
        <v>40</v>
      </c>
      <c r="N1030">
        <v>1</v>
      </c>
      <c r="O1030">
        <v>1</v>
      </c>
      <c r="S1030" t="str">
        <f t="shared" si="112"/>
        <v/>
      </c>
    </row>
    <row r="1031" spans="1:19" x14ac:dyDescent="0.55000000000000004">
      <c r="A1031">
        <v>73</v>
      </c>
      <c r="B1031" s="2">
        <v>45674.479166608799</v>
      </c>
      <c r="C1031" t="s">
        <v>215</v>
      </c>
      <c r="D1031">
        <v>2</v>
      </c>
      <c r="E1031" t="s">
        <v>247</v>
      </c>
      <c r="F1031" t="str">
        <f t="shared" si="107"/>
        <v>Retropinna retropinna</v>
      </c>
      <c r="G1031" t="str">
        <f t="shared" si="108"/>
        <v>Common_smelt</v>
      </c>
      <c r="H1031" t="str">
        <f t="shared" si="109"/>
        <v>Common_smelt</v>
      </c>
      <c r="I1031" t="str">
        <f t="shared" si="110"/>
        <v>Native</v>
      </c>
      <c r="J1031" t="str">
        <f t="shared" si="111"/>
        <v>No</v>
      </c>
      <c r="M1031">
        <v>30</v>
      </c>
      <c r="N1031">
        <v>40</v>
      </c>
      <c r="S1031" t="str">
        <f t="shared" si="112"/>
        <v/>
      </c>
    </row>
    <row r="1032" spans="1:19" x14ac:dyDescent="0.55000000000000004">
      <c r="A1032">
        <v>73</v>
      </c>
      <c r="B1032" s="2">
        <v>45674.479166608799</v>
      </c>
      <c r="C1032" t="s">
        <v>215</v>
      </c>
      <c r="D1032">
        <v>2</v>
      </c>
      <c r="E1032" t="s">
        <v>44</v>
      </c>
      <c r="F1032" t="str">
        <f t="shared" si="107"/>
        <v>Gobiomorphus cotidianus</v>
      </c>
      <c r="G1032" t="str">
        <f t="shared" si="108"/>
        <v>Common_bully</v>
      </c>
      <c r="H1032" t="str">
        <f t="shared" si="109"/>
        <v>Toitoi</v>
      </c>
      <c r="I1032" t="str">
        <f t="shared" si="110"/>
        <v>Native</v>
      </c>
      <c r="J1032" t="str">
        <f t="shared" si="111"/>
        <v>No</v>
      </c>
      <c r="M1032">
        <v>526</v>
      </c>
      <c r="R1032">
        <v>2.5</v>
      </c>
      <c r="S1032">
        <f t="shared" si="112"/>
        <v>591.47</v>
      </c>
    </row>
    <row r="1033" spans="1:19" x14ac:dyDescent="0.55000000000000004">
      <c r="A1033">
        <v>73</v>
      </c>
      <c r="B1033" s="2">
        <v>45674.479166608799</v>
      </c>
      <c r="C1033" t="s">
        <v>215</v>
      </c>
      <c r="D1033">
        <v>2</v>
      </c>
      <c r="E1033" t="s">
        <v>44</v>
      </c>
      <c r="F1033" t="str">
        <f t="shared" si="107"/>
        <v>Gobiomorphus cotidianus</v>
      </c>
      <c r="G1033" t="str">
        <f t="shared" si="108"/>
        <v>Common_bully</v>
      </c>
      <c r="H1033" t="str">
        <f t="shared" si="109"/>
        <v>Toitoi</v>
      </c>
      <c r="I1033" t="str">
        <f t="shared" si="110"/>
        <v>Native</v>
      </c>
      <c r="J1033" t="str">
        <f t="shared" si="111"/>
        <v>No</v>
      </c>
      <c r="M1033">
        <f>499-117</f>
        <v>382</v>
      </c>
      <c r="R1033">
        <v>1.75</v>
      </c>
      <c r="S1033">
        <f t="shared" si="112"/>
        <v>414.029</v>
      </c>
    </row>
    <row r="1034" spans="1:19" x14ac:dyDescent="0.55000000000000004">
      <c r="A1034">
        <v>73</v>
      </c>
      <c r="B1034" s="2">
        <v>45674.479166608799</v>
      </c>
      <c r="C1034" t="s">
        <v>215</v>
      </c>
      <c r="D1034">
        <v>2</v>
      </c>
      <c r="E1034" t="s">
        <v>49</v>
      </c>
      <c r="F1034" t="str">
        <f t="shared" si="107"/>
        <v>Paranephrops planifrons</v>
      </c>
      <c r="G1034" t="str">
        <f t="shared" si="108"/>
        <v>Freshwater_crayfish</v>
      </c>
      <c r="H1034" t="str">
        <f t="shared" si="109"/>
        <v>Kōura</v>
      </c>
      <c r="I1034" t="str">
        <f t="shared" si="110"/>
        <v>Native</v>
      </c>
      <c r="J1034" t="str">
        <f t="shared" si="111"/>
        <v>Yes</v>
      </c>
      <c r="K1034" t="s">
        <v>48</v>
      </c>
      <c r="L1034">
        <v>36.46</v>
      </c>
      <c r="M1034">
        <v>40</v>
      </c>
      <c r="N1034">
        <v>1</v>
      </c>
      <c r="S1034" t="str">
        <f t="shared" si="112"/>
        <v/>
      </c>
    </row>
    <row r="1035" spans="1:19" x14ac:dyDescent="0.55000000000000004">
      <c r="A1035">
        <v>73</v>
      </c>
      <c r="B1035" s="2">
        <v>45674.479166608799</v>
      </c>
      <c r="C1035" t="s">
        <v>215</v>
      </c>
      <c r="D1035">
        <v>2</v>
      </c>
      <c r="E1035" t="s">
        <v>49</v>
      </c>
      <c r="F1035" t="str">
        <f t="shared" si="107"/>
        <v>Paranephrops planifrons</v>
      </c>
      <c r="G1035" t="str">
        <f t="shared" si="108"/>
        <v>Freshwater_crayfish</v>
      </c>
      <c r="H1035" t="str">
        <f t="shared" si="109"/>
        <v>Kōura</v>
      </c>
      <c r="I1035" t="str">
        <f t="shared" si="110"/>
        <v>Native</v>
      </c>
      <c r="J1035" t="str">
        <f t="shared" si="111"/>
        <v>Yes</v>
      </c>
      <c r="K1035" t="s">
        <v>50</v>
      </c>
      <c r="L1035">
        <v>28.24</v>
      </c>
      <c r="M1035">
        <v>17</v>
      </c>
      <c r="N1035">
        <v>1</v>
      </c>
      <c r="S1035" t="str">
        <f t="shared" si="112"/>
        <v/>
      </c>
    </row>
    <row r="1036" spans="1:19" x14ac:dyDescent="0.55000000000000004">
      <c r="A1036">
        <v>73</v>
      </c>
      <c r="B1036" s="2">
        <v>45674.479166608799</v>
      </c>
      <c r="C1036" t="s">
        <v>215</v>
      </c>
      <c r="D1036">
        <v>2</v>
      </c>
      <c r="E1036" t="s">
        <v>49</v>
      </c>
      <c r="F1036" t="str">
        <f t="shared" si="107"/>
        <v>Paranephrops planifrons</v>
      </c>
      <c r="G1036" t="str">
        <f t="shared" si="108"/>
        <v>Freshwater_crayfish</v>
      </c>
      <c r="H1036" t="str">
        <f t="shared" si="109"/>
        <v>Kōura</v>
      </c>
      <c r="I1036" t="str">
        <f t="shared" si="110"/>
        <v>Native</v>
      </c>
      <c r="J1036" t="str">
        <f t="shared" si="111"/>
        <v>Yes</v>
      </c>
      <c r="K1036" t="s">
        <v>48</v>
      </c>
      <c r="L1036">
        <v>36.46</v>
      </c>
      <c r="M1036">
        <v>30</v>
      </c>
      <c r="N1036">
        <v>1</v>
      </c>
      <c r="S1036" t="str">
        <f t="shared" si="112"/>
        <v/>
      </c>
    </row>
    <row r="1037" spans="1:19" x14ac:dyDescent="0.55000000000000004">
      <c r="A1037">
        <v>73</v>
      </c>
      <c r="B1037" s="2">
        <v>45674.479166608799</v>
      </c>
      <c r="C1037" t="s">
        <v>215</v>
      </c>
      <c r="D1037">
        <v>2</v>
      </c>
      <c r="E1037" t="s">
        <v>49</v>
      </c>
      <c r="F1037" t="str">
        <f t="shared" si="107"/>
        <v>Paranephrops planifrons</v>
      </c>
      <c r="G1037" t="str">
        <f t="shared" si="108"/>
        <v>Freshwater_crayfish</v>
      </c>
      <c r="H1037" t="str">
        <f t="shared" si="109"/>
        <v>Kōura</v>
      </c>
      <c r="I1037" t="str">
        <f t="shared" si="110"/>
        <v>Native</v>
      </c>
      <c r="J1037" t="str">
        <f t="shared" si="111"/>
        <v>Yes</v>
      </c>
      <c r="K1037" t="s">
        <v>48</v>
      </c>
      <c r="L1037">
        <v>38.53</v>
      </c>
      <c r="M1037">
        <v>37</v>
      </c>
      <c r="N1037">
        <v>1</v>
      </c>
      <c r="S1037" t="str">
        <f t="shared" si="112"/>
        <v/>
      </c>
    </row>
    <row r="1038" spans="1:19" x14ac:dyDescent="0.55000000000000004">
      <c r="A1038">
        <v>73</v>
      </c>
      <c r="B1038" s="2">
        <v>45674.479166608799</v>
      </c>
      <c r="C1038" t="s">
        <v>215</v>
      </c>
      <c r="D1038">
        <v>2</v>
      </c>
      <c r="E1038" t="s">
        <v>49</v>
      </c>
      <c r="F1038" t="str">
        <f t="shared" si="107"/>
        <v>Paranephrops planifrons</v>
      </c>
      <c r="G1038" t="str">
        <f t="shared" si="108"/>
        <v>Freshwater_crayfish</v>
      </c>
      <c r="H1038" t="str">
        <f t="shared" si="109"/>
        <v>Kōura</v>
      </c>
      <c r="I1038" t="str">
        <f t="shared" si="110"/>
        <v>Native</v>
      </c>
      <c r="J1038" t="str">
        <f t="shared" si="111"/>
        <v>Yes</v>
      </c>
      <c r="K1038" t="s">
        <v>48</v>
      </c>
      <c r="L1038">
        <v>25.94</v>
      </c>
      <c r="M1038">
        <v>13</v>
      </c>
      <c r="N1038">
        <v>1</v>
      </c>
      <c r="S1038" t="str">
        <f t="shared" si="112"/>
        <v/>
      </c>
    </row>
    <row r="1039" spans="1:19" x14ac:dyDescent="0.55000000000000004">
      <c r="A1039">
        <v>73</v>
      </c>
      <c r="B1039" s="2">
        <v>45674.479166608799</v>
      </c>
      <c r="C1039" t="s">
        <v>215</v>
      </c>
      <c r="D1039">
        <v>2</v>
      </c>
      <c r="E1039" t="s">
        <v>49</v>
      </c>
      <c r="F1039" t="str">
        <f t="shared" si="107"/>
        <v>Paranephrops planifrons</v>
      </c>
      <c r="G1039" t="str">
        <f t="shared" si="108"/>
        <v>Freshwater_crayfish</v>
      </c>
      <c r="H1039" t="str">
        <f t="shared" si="109"/>
        <v>Kōura</v>
      </c>
      <c r="I1039" t="str">
        <f t="shared" si="110"/>
        <v>Native</v>
      </c>
      <c r="J1039" t="str">
        <f t="shared" si="111"/>
        <v>Yes</v>
      </c>
      <c r="K1039" t="s">
        <v>48</v>
      </c>
      <c r="L1039">
        <v>38.54</v>
      </c>
      <c r="M1039">
        <v>40</v>
      </c>
      <c r="N1039">
        <v>1</v>
      </c>
      <c r="S1039" t="str">
        <f t="shared" si="112"/>
        <v/>
      </c>
    </row>
    <row r="1040" spans="1:19" x14ac:dyDescent="0.55000000000000004">
      <c r="A1040">
        <v>73</v>
      </c>
      <c r="B1040" s="2">
        <v>45674.479166608799</v>
      </c>
      <c r="C1040" t="s">
        <v>215</v>
      </c>
      <c r="D1040">
        <v>2</v>
      </c>
      <c r="E1040" t="s">
        <v>49</v>
      </c>
      <c r="F1040" t="str">
        <f t="shared" si="107"/>
        <v>Paranephrops planifrons</v>
      </c>
      <c r="G1040" t="str">
        <f t="shared" si="108"/>
        <v>Freshwater_crayfish</v>
      </c>
      <c r="H1040" t="str">
        <f t="shared" si="109"/>
        <v>Kōura</v>
      </c>
      <c r="I1040" t="str">
        <f t="shared" si="110"/>
        <v>Native</v>
      </c>
      <c r="J1040" t="str">
        <f t="shared" si="111"/>
        <v>Yes</v>
      </c>
      <c r="K1040" t="s">
        <v>48</v>
      </c>
      <c r="L1040">
        <v>29.93</v>
      </c>
      <c r="M1040">
        <v>17</v>
      </c>
      <c r="N1040">
        <v>1</v>
      </c>
      <c r="S1040" t="str">
        <f t="shared" si="112"/>
        <v/>
      </c>
    </row>
    <row r="1041" spans="1:19" x14ac:dyDescent="0.55000000000000004">
      <c r="A1041">
        <v>73</v>
      </c>
      <c r="B1041" s="2">
        <v>45674.479166608799</v>
      </c>
      <c r="C1041" t="s">
        <v>215</v>
      </c>
      <c r="D1041">
        <v>2</v>
      </c>
      <c r="E1041" t="s">
        <v>49</v>
      </c>
      <c r="F1041" t="str">
        <f t="shared" si="107"/>
        <v>Paranephrops planifrons</v>
      </c>
      <c r="G1041" t="str">
        <f t="shared" si="108"/>
        <v>Freshwater_crayfish</v>
      </c>
      <c r="H1041" t="str">
        <f t="shared" si="109"/>
        <v>Kōura</v>
      </c>
      <c r="I1041" t="str">
        <f t="shared" si="110"/>
        <v>Native</v>
      </c>
      <c r="J1041" t="str">
        <f t="shared" si="111"/>
        <v>Yes</v>
      </c>
      <c r="K1041" t="s">
        <v>48</v>
      </c>
      <c r="L1041">
        <v>30.65</v>
      </c>
      <c r="M1041">
        <v>23</v>
      </c>
      <c r="N1041">
        <v>1</v>
      </c>
      <c r="S1041" t="str">
        <f t="shared" si="112"/>
        <v/>
      </c>
    </row>
    <row r="1042" spans="1:19" x14ac:dyDescent="0.55000000000000004">
      <c r="A1042">
        <v>73</v>
      </c>
      <c r="B1042" s="2">
        <v>45674.479166608799</v>
      </c>
      <c r="C1042" t="s">
        <v>215</v>
      </c>
      <c r="D1042">
        <v>2</v>
      </c>
      <c r="E1042" t="s">
        <v>49</v>
      </c>
      <c r="F1042" t="str">
        <f t="shared" si="107"/>
        <v>Paranephrops planifrons</v>
      </c>
      <c r="G1042" t="str">
        <f t="shared" si="108"/>
        <v>Freshwater_crayfish</v>
      </c>
      <c r="H1042" t="str">
        <f t="shared" si="109"/>
        <v>Kōura</v>
      </c>
      <c r="I1042" t="str">
        <f t="shared" si="110"/>
        <v>Native</v>
      </c>
      <c r="J1042" t="str">
        <f t="shared" si="111"/>
        <v>Yes</v>
      </c>
      <c r="K1042" t="s">
        <v>50</v>
      </c>
      <c r="L1042">
        <v>33.159999999999997</v>
      </c>
      <c r="M1042">
        <v>25</v>
      </c>
      <c r="N1042">
        <v>1</v>
      </c>
      <c r="S1042" t="str">
        <f t="shared" si="112"/>
        <v/>
      </c>
    </row>
    <row r="1043" spans="1:19" x14ac:dyDescent="0.55000000000000004">
      <c r="A1043">
        <v>73</v>
      </c>
      <c r="B1043" s="2">
        <v>45674.479166608799</v>
      </c>
      <c r="C1043" t="s">
        <v>215</v>
      </c>
      <c r="D1043">
        <v>2</v>
      </c>
      <c r="E1043" t="s">
        <v>49</v>
      </c>
      <c r="F1043" t="str">
        <f t="shared" si="107"/>
        <v>Paranephrops planifrons</v>
      </c>
      <c r="G1043" t="str">
        <f t="shared" si="108"/>
        <v>Freshwater_crayfish</v>
      </c>
      <c r="H1043" t="str">
        <f t="shared" si="109"/>
        <v>Kōura</v>
      </c>
      <c r="I1043" t="str">
        <f t="shared" si="110"/>
        <v>Native</v>
      </c>
      <c r="J1043" t="str">
        <f t="shared" si="111"/>
        <v>Yes</v>
      </c>
      <c r="K1043" t="s">
        <v>48</v>
      </c>
      <c r="L1043">
        <v>19.11</v>
      </c>
      <c r="M1043">
        <v>6</v>
      </c>
      <c r="N1043">
        <v>1</v>
      </c>
      <c r="S1043" t="str">
        <f t="shared" si="112"/>
        <v/>
      </c>
    </row>
    <row r="1044" spans="1:19" x14ac:dyDescent="0.55000000000000004">
      <c r="A1044">
        <v>73</v>
      </c>
      <c r="B1044" s="2">
        <v>45674.479166608799</v>
      </c>
      <c r="C1044" t="s">
        <v>215</v>
      </c>
      <c r="D1044">
        <v>2</v>
      </c>
      <c r="E1044" t="s">
        <v>49</v>
      </c>
      <c r="F1044" t="str">
        <f t="shared" si="107"/>
        <v>Paranephrops planifrons</v>
      </c>
      <c r="G1044" t="str">
        <f t="shared" si="108"/>
        <v>Freshwater_crayfish</v>
      </c>
      <c r="H1044" t="str">
        <f t="shared" si="109"/>
        <v>Kōura</v>
      </c>
      <c r="I1044" t="str">
        <f t="shared" si="110"/>
        <v>Native</v>
      </c>
      <c r="J1044" t="str">
        <f t="shared" si="111"/>
        <v>Yes</v>
      </c>
      <c r="K1044" t="s">
        <v>50</v>
      </c>
      <c r="L1044">
        <v>32.22</v>
      </c>
      <c r="M1044">
        <v>23</v>
      </c>
      <c r="N1044">
        <v>1</v>
      </c>
      <c r="S1044" t="str">
        <f t="shared" si="112"/>
        <v/>
      </c>
    </row>
    <row r="1045" spans="1:19" x14ac:dyDescent="0.55000000000000004">
      <c r="A1045">
        <v>73</v>
      </c>
      <c r="B1045" s="2">
        <v>45674.479166608799</v>
      </c>
      <c r="C1045" t="s">
        <v>215</v>
      </c>
      <c r="D1045">
        <v>2</v>
      </c>
      <c r="E1045" t="s">
        <v>49</v>
      </c>
      <c r="F1045" t="str">
        <f t="shared" si="107"/>
        <v>Paranephrops planifrons</v>
      </c>
      <c r="G1045" t="str">
        <f t="shared" si="108"/>
        <v>Freshwater_crayfish</v>
      </c>
      <c r="H1045" t="str">
        <f t="shared" si="109"/>
        <v>Kōura</v>
      </c>
      <c r="I1045" t="str">
        <f t="shared" si="110"/>
        <v>Native</v>
      </c>
      <c r="J1045" t="str">
        <f t="shared" si="111"/>
        <v>Yes</v>
      </c>
      <c r="K1045" t="s">
        <v>48</v>
      </c>
      <c r="L1045">
        <v>31.65</v>
      </c>
      <c r="M1045">
        <v>24</v>
      </c>
      <c r="N1045">
        <v>1</v>
      </c>
      <c r="S1045" t="str">
        <f t="shared" si="112"/>
        <v/>
      </c>
    </row>
    <row r="1046" spans="1:19" x14ac:dyDescent="0.55000000000000004">
      <c r="A1046">
        <v>73</v>
      </c>
      <c r="B1046" s="2">
        <v>45674.479166608799</v>
      </c>
      <c r="C1046" t="s">
        <v>215</v>
      </c>
      <c r="D1046">
        <v>2</v>
      </c>
      <c r="E1046" t="s">
        <v>49</v>
      </c>
      <c r="F1046" t="str">
        <f t="shared" si="107"/>
        <v>Paranephrops planifrons</v>
      </c>
      <c r="G1046" t="str">
        <f t="shared" si="108"/>
        <v>Freshwater_crayfish</v>
      </c>
      <c r="H1046" t="str">
        <f t="shared" si="109"/>
        <v>Kōura</v>
      </c>
      <c r="I1046" t="str">
        <f t="shared" si="110"/>
        <v>Native</v>
      </c>
      <c r="J1046" t="str">
        <f t="shared" si="111"/>
        <v>Yes</v>
      </c>
      <c r="K1046" t="s">
        <v>50</v>
      </c>
      <c r="L1046">
        <v>22.02</v>
      </c>
      <c r="M1046">
        <v>6</v>
      </c>
      <c r="N1046">
        <v>1</v>
      </c>
      <c r="S1046" t="str">
        <f t="shared" si="112"/>
        <v/>
      </c>
    </row>
    <row r="1047" spans="1:19" x14ac:dyDescent="0.55000000000000004">
      <c r="A1047">
        <v>73</v>
      </c>
      <c r="B1047" s="2">
        <v>45674.479166608799</v>
      </c>
      <c r="C1047" t="s">
        <v>215</v>
      </c>
      <c r="D1047">
        <v>2</v>
      </c>
      <c r="E1047" t="s">
        <v>49</v>
      </c>
      <c r="F1047" t="str">
        <f t="shared" si="107"/>
        <v>Paranephrops planifrons</v>
      </c>
      <c r="G1047" t="str">
        <f t="shared" si="108"/>
        <v>Freshwater_crayfish</v>
      </c>
      <c r="H1047" t="str">
        <f t="shared" si="109"/>
        <v>Kōura</v>
      </c>
      <c r="I1047" t="str">
        <f t="shared" si="110"/>
        <v>Native</v>
      </c>
      <c r="J1047" t="str">
        <f t="shared" si="111"/>
        <v>Yes</v>
      </c>
      <c r="K1047" t="s">
        <v>50</v>
      </c>
      <c r="L1047">
        <v>39.799999999999997</v>
      </c>
      <c r="M1047">
        <v>19</v>
      </c>
      <c r="N1047">
        <v>1</v>
      </c>
      <c r="S1047" t="str">
        <f t="shared" si="112"/>
        <v/>
      </c>
    </row>
    <row r="1048" spans="1:19" x14ac:dyDescent="0.55000000000000004">
      <c r="A1048">
        <v>73</v>
      </c>
      <c r="B1048" s="2">
        <v>45674.479166608799</v>
      </c>
      <c r="C1048" t="s">
        <v>215</v>
      </c>
      <c r="D1048">
        <v>2</v>
      </c>
      <c r="E1048" t="s">
        <v>49</v>
      </c>
      <c r="F1048" t="str">
        <f t="shared" si="107"/>
        <v>Paranephrops planifrons</v>
      </c>
      <c r="G1048" t="str">
        <f t="shared" si="108"/>
        <v>Freshwater_crayfish</v>
      </c>
      <c r="H1048" t="str">
        <f t="shared" si="109"/>
        <v>Kōura</v>
      </c>
      <c r="I1048" t="str">
        <f t="shared" si="110"/>
        <v>Native</v>
      </c>
      <c r="J1048" t="str">
        <f t="shared" si="111"/>
        <v>Yes</v>
      </c>
      <c r="K1048" t="s">
        <v>48</v>
      </c>
      <c r="L1048">
        <v>23.86</v>
      </c>
      <c r="M1048">
        <v>8</v>
      </c>
      <c r="N1048">
        <v>1</v>
      </c>
      <c r="S1048" t="str">
        <f t="shared" si="112"/>
        <v/>
      </c>
    </row>
    <row r="1049" spans="1:19" x14ac:dyDescent="0.55000000000000004">
      <c r="A1049">
        <v>73</v>
      </c>
      <c r="B1049" s="2">
        <v>45674.479166608799</v>
      </c>
      <c r="C1049" t="s">
        <v>215</v>
      </c>
      <c r="D1049">
        <v>2</v>
      </c>
      <c r="E1049" t="s">
        <v>49</v>
      </c>
      <c r="F1049" t="str">
        <f t="shared" si="107"/>
        <v>Paranephrops planifrons</v>
      </c>
      <c r="G1049" t="str">
        <f t="shared" si="108"/>
        <v>Freshwater_crayfish</v>
      </c>
      <c r="H1049" t="str">
        <f t="shared" si="109"/>
        <v>Kōura</v>
      </c>
      <c r="I1049" t="str">
        <f t="shared" si="110"/>
        <v>Native</v>
      </c>
      <c r="J1049" t="str">
        <f t="shared" si="111"/>
        <v>Yes</v>
      </c>
      <c r="K1049" t="s">
        <v>48</v>
      </c>
      <c r="L1049">
        <v>16.399999999999999</v>
      </c>
      <c r="M1049">
        <v>3</v>
      </c>
      <c r="N1049">
        <v>1</v>
      </c>
      <c r="S1049" t="str">
        <f t="shared" si="112"/>
        <v/>
      </c>
    </row>
    <row r="1050" spans="1:19" x14ac:dyDescent="0.55000000000000004">
      <c r="A1050">
        <v>73</v>
      </c>
      <c r="B1050" s="2">
        <v>45674.479166608799</v>
      </c>
      <c r="C1050" t="s">
        <v>215</v>
      </c>
      <c r="D1050">
        <v>2</v>
      </c>
      <c r="E1050" t="s">
        <v>247</v>
      </c>
      <c r="F1050" t="str">
        <f t="shared" si="107"/>
        <v>Retropinna retropinna</v>
      </c>
      <c r="G1050" t="str">
        <f t="shared" si="108"/>
        <v>Common_smelt</v>
      </c>
      <c r="H1050" t="str">
        <f t="shared" si="109"/>
        <v>Common_smelt</v>
      </c>
      <c r="I1050" t="str">
        <f t="shared" si="110"/>
        <v>Native</v>
      </c>
      <c r="J1050" t="str">
        <f t="shared" si="111"/>
        <v>No</v>
      </c>
      <c r="M1050">
        <v>19</v>
      </c>
      <c r="N1050">
        <v>26</v>
      </c>
      <c r="S1050" t="str">
        <f t="shared" si="112"/>
        <v/>
      </c>
    </row>
    <row r="1051" spans="1:19" x14ac:dyDescent="0.55000000000000004">
      <c r="A1051">
        <v>73</v>
      </c>
      <c r="B1051" s="2">
        <v>45674.479166608799</v>
      </c>
      <c r="C1051" t="s">
        <v>215</v>
      </c>
      <c r="D1051">
        <v>2</v>
      </c>
      <c r="E1051" t="s">
        <v>44</v>
      </c>
      <c r="F1051" t="str">
        <f t="shared" si="107"/>
        <v>Gobiomorphus cotidianus</v>
      </c>
      <c r="G1051" t="str">
        <f t="shared" si="108"/>
        <v>Common_bully</v>
      </c>
      <c r="H1051" t="str">
        <f t="shared" si="109"/>
        <v>Toitoi</v>
      </c>
      <c r="I1051" t="str">
        <f t="shared" si="110"/>
        <v>Native</v>
      </c>
      <c r="J1051" t="str">
        <f t="shared" si="111"/>
        <v>No</v>
      </c>
      <c r="M1051">
        <v>555</v>
      </c>
      <c r="R1051">
        <v>2.5</v>
      </c>
      <c r="S1051">
        <f t="shared" si="112"/>
        <v>591.47</v>
      </c>
    </row>
    <row r="1052" spans="1:19" x14ac:dyDescent="0.55000000000000004">
      <c r="A1052">
        <v>73</v>
      </c>
      <c r="B1052" s="2">
        <v>45674.479166666664</v>
      </c>
      <c r="C1052" t="s">
        <v>215</v>
      </c>
      <c r="D1052">
        <v>2</v>
      </c>
      <c r="E1052" t="s">
        <v>44</v>
      </c>
      <c r="F1052" t="str">
        <f t="shared" si="107"/>
        <v>Gobiomorphus cotidianus</v>
      </c>
      <c r="G1052" t="str">
        <f t="shared" si="108"/>
        <v>Common_bully</v>
      </c>
      <c r="H1052" t="str">
        <f t="shared" si="109"/>
        <v>Toitoi</v>
      </c>
      <c r="I1052" t="str">
        <f t="shared" si="110"/>
        <v>Native</v>
      </c>
      <c r="J1052" t="str">
        <f t="shared" si="111"/>
        <v>No</v>
      </c>
      <c r="M1052">
        <f>327-117</f>
        <v>210</v>
      </c>
      <c r="R1052">
        <v>1</v>
      </c>
      <c r="S1052">
        <f t="shared" si="112"/>
        <v>236.58799999999999</v>
      </c>
    </row>
    <row r="1053" spans="1:19" x14ac:dyDescent="0.55000000000000004">
      <c r="A1053">
        <v>74</v>
      </c>
      <c r="B1053" s="2">
        <v>45674.552083333336</v>
      </c>
      <c r="C1053" t="s">
        <v>216</v>
      </c>
      <c r="D1053">
        <v>2</v>
      </c>
      <c r="E1053" t="s">
        <v>44</v>
      </c>
      <c r="F1053" t="str">
        <f t="shared" si="107"/>
        <v>Gobiomorphus cotidianus</v>
      </c>
      <c r="G1053" t="str">
        <f t="shared" si="108"/>
        <v>Common_bully</v>
      </c>
      <c r="H1053" t="str">
        <f t="shared" si="109"/>
        <v>Toitoi</v>
      </c>
      <c r="I1053" t="str">
        <f t="shared" si="110"/>
        <v>Native</v>
      </c>
      <c r="J1053" t="str">
        <f t="shared" si="111"/>
        <v>No</v>
      </c>
      <c r="M1053">
        <f>125-117</f>
        <v>8</v>
      </c>
      <c r="N1053">
        <v>9</v>
      </c>
      <c r="S1053" t="str">
        <f t="shared" si="112"/>
        <v/>
      </c>
    </row>
    <row r="1054" spans="1:19" x14ac:dyDescent="0.55000000000000004">
      <c r="A1054">
        <v>74</v>
      </c>
      <c r="B1054" s="2">
        <v>45674.552083333336</v>
      </c>
      <c r="C1054" t="s">
        <v>215</v>
      </c>
      <c r="D1054">
        <v>2</v>
      </c>
      <c r="E1054" t="s">
        <v>123</v>
      </c>
      <c r="F1054" t="str">
        <f t="shared" si="107"/>
        <v>Carassius auratus</v>
      </c>
      <c r="G1054" t="str">
        <f t="shared" si="108"/>
        <v>Goldfish</v>
      </c>
      <c r="H1054" t="str">
        <f t="shared" si="109"/>
        <v>Morihana</v>
      </c>
      <c r="I1054" t="str">
        <f t="shared" si="110"/>
        <v>Nonnative</v>
      </c>
      <c r="J1054" t="str">
        <f t="shared" si="111"/>
        <v>No</v>
      </c>
      <c r="L1054">
        <v>82</v>
      </c>
      <c r="N1054">
        <v>1</v>
      </c>
      <c r="S1054" t="str">
        <f t="shared" si="112"/>
        <v/>
      </c>
    </row>
    <row r="1055" spans="1:19" x14ac:dyDescent="0.55000000000000004">
      <c r="A1055">
        <v>74</v>
      </c>
      <c r="B1055" s="2">
        <v>45674.552083333336</v>
      </c>
      <c r="C1055" t="s">
        <v>215</v>
      </c>
      <c r="D1055">
        <v>2</v>
      </c>
      <c r="E1055" t="s">
        <v>123</v>
      </c>
      <c r="F1055" t="str">
        <f t="shared" si="107"/>
        <v>Carassius auratus</v>
      </c>
      <c r="G1055" t="str">
        <f t="shared" si="108"/>
        <v>Goldfish</v>
      </c>
      <c r="H1055" t="str">
        <f t="shared" si="109"/>
        <v>Morihana</v>
      </c>
      <c r="I1055" t="str">
        <f t="shared" si="110"/>
        <v>Nonnative</v>
      </c>
      <c r="J1055" t="str">
        <f t="shared" si="111"/>
        <v>No</v>
      </c>
      <c r="L1055">
        <v>76</v>
      </c>
      <c r="M1055">
        <v>10</v>
      </c>
      <c r="N1055">
        <v>1</v>
      </c>
      <c r="S1055" t="str">
        <f t="shared" si="112"/>
        <v/>
      </c>
    </row>
    <row r="1056" spans="1:19" x14ac:dyDescent="0.55000000000000004">
      <c r="A1056">
        <v>74</v>
      </c>
      <c r="B1056" s="2">
        <v>45674.552083333336</v>
      </c>
      <c r="C1056" t="s">
        <v>215</v>
      </c>
      <c r="D1056">
        <v>2</v>
      </c>
      <c r="E1056" t="s">
        <v>51</v>
      </c>
      <c r="F1056" t="str">
        <f t="shared" si="107"/>
        <v>Oncorhynchus mykiss</v>
      </c>
      <c r="G1056" t="str">
        <f t="shared" si="108"/>
        <v>Rainbow_trout</v>
      </c>
      <c r="H1056" t="str">
        <f t="shared" si="109"/>
        <v>Rainbow_trout</v>
      </c>
      <c r="I1056" t="str">
        <f t="shared" si="110"/>
        <v>Nonnative</v>
      </c>
      <c r="J1056" t="str">
        <f t="shared" si="111"/>
        <v>No</v>
      </c>
      <c r="L1056">
        <v>94</v>
      </c>
      <c r="M1056">
        <v>12</v>
      </c>
      <c r="N1056">
        <v>1</v>
      </c>
      <c r="S1056" t="str">
        <f t="shared" si="112"/>
        <v/>
      </c>
    </row>
    <row r="1057" spans="1:19" x14ac:dyDescent="0.55000000000000004">
      <c r="A1057">
        <v>74</v>
      </c>
      <c r="B1057" s="2">
        <v>45674.552083333336</v>
      </c>
      <c r="C1057" t="s">
        <v>215</v>
      </c>
      <c r="D1057">
        <v>2</v>
      </c>
      <c r="E1057" t="s">
        <v>247</v>
      </c>
      <c r="F1057" t="str">
        <f t="shared" si="107"/>
        <v>Retropinna retropinna</v>
      </c>
      <c r="G1057" t="str">
        <f t="shared" si="108"/>
        <v>Common_smelt</v>
      </c>
      <c r="H1057" t="str">
        <f t="shared" si="109"/>
        <v>Common_smelt</v>
      </c>
      <c r="I1057" t="str">
        <f t="shared" si="110"/>
        <v>Native</v>
      </c>
      <c r="J1057" t="str">
        <f t="shared" si="111"/>
        <v>No</v>
      </c>
      <c r="M1057">
        <v>6</v>
      </c>
      <c r="N1057">
        <v>7</v>
      </c>
      <c r="S1057" t="str">
        <f t="shared" si="112"/>
        <v/>
      </c>
    </row>
    <row r="1058" spans="1:19" x14ac:dyDescent="0.55000000000000004">
      <c r="A1058">
        <v>74</v>
      </c>
      <c r="B1058" s="2">
        <v>45674.552083333336</v>
      </c>
      <c r="C1058" t="s">
        <v>215</v>
      </c>
      <c r="D1058">
        <v>2</v>
      </c>
      <c r="E1058" t="s">
        <v>44</v>
      </c>
      <c r="F1058" t="str">
        <f t="shared" si="107"/>
        <v>Gobiomorphus cotidianus</v>
      </c>
      <c r="G1058" t="str">
        <f t="shared" si="108"/>
        <v>Common_bully</v>
      </c>
      <c r="H1058" t="str">
        <f t="shared" si="109"/>
        <v>Toitoi</v>
      </c>
      <c r="I1058" t="str">
        <f t="shared" si="110"/>
        <v>Native</v>
      </c>
      <c r="J1058" t="str">
        <f t="shared" si="111"/>
        <v>No</v>
      </c>
      <c r="M1058">
        <f>594-117</f>
        <v>477</v>
      </c>
      <c r="R1058">
        <v>2.5</v>
      </c>
      <c r="S1058">
        <f t="shared" si="112"/>
        <v>591.47</v>
      </c>
    </row>
    <row r="1059" spans="1:19" x14ac:dyDescent="0.55000000000000004">
      <c r="A1059">
        <v>74</v>
      </c>
      <c r="B1059" s="2">
        <v>45674.552083333336</v>
      </c>
      <c r="C1059" t="s">
        <v>215</v>
      </c>
      <c r="D1059">
        <v>2</v>
      </c>
      <c r="E1059" t="s">
        <v>44</v>
      </c>
      <c r="F1059" t="str">
        <f t="shared" si="107"/>
        <v>Gobiomorphus cotidianus</v>
      </c>
      <c r="G1059" t="str">
        <f t="shared" si="108"/>
        <v>Common_bully</v>
      </c>
      <c r="H1059" t="str">
        <f t="shared" si="109"/>
        <v>Toitoi</v>
      </c>
      <c r="I1059" t="str">
        <f t="shared" si="110"/>
        <v>Native</v>
      </c>
      <c r="J1059" t="str">
        <f t="shared" si="111"/>
        <v>No</v>
      </c>
      <c r="M1059">
        <f>185-117</f>
        <v>68</v>
      </c>
      <c r="R1059">
        <v>0.25</v>
      </c>
      <c r="S1059">
        <f t="shared" si="112"/>
        <v>59.146999999999998</v>
      </c>
    </row>
    <row r="1060" spans="1:19" x14ac:dyDescent="0.55000000000000004">
      <c r="A1060">
        <v>75</v>
      </c>
      <c r="B1060" s="2">
        <v>45673.434027777781</v>
      </c>
      <c r="C1060" t="s">
        <v>216</v>
      </c>
      <c r="D1060">
        <v>2</v>
      </c>
      <c r="E1060" t="s">
        <v>44</v>
      </c>
      <c r="F1060" t="str">
        <f t="shared" si="107"/>
        <v>Gobiomorphus cotidianus</v>
      </c>
      <c r="G1060" t="str">
        <f t="shared" si="108"/>
        <v>Common_bully</v>
      </c>
      <c r="H1060" t="str">
        <f t="shared" si="109"/>
        <v>Toitoi</v>
      </c>
      <c r="I1060" t="str">
        <f t="shared" si="110"/>
        <v>Native</v>
      </c>
      <c r="J1060" t="str">
        <f t="shared" si="111"/>
        <v>No</v>
      </c>
      <c r="M1060">
        <v>4</v>
      </c>
      <c r="N1060">
        <v>12</v>
      </c>
      <c r="S1060" t="str">
        <f t="shared" si="112"/>
        <v/>
      </c>
    </row>
    <row r="1061" spans="1:19" x14ac:dyDescent="0.55000000000000004">
      <c r="A1061">
        <v>75</v>
      </c>
      <c r="B1061" s="2">
        <v>45673.434027777781</v>
      </c>
      <c r="C1061" t="s">
        <v>215</v>
      </c>
      <c r="D1061">
        <v>2</v>
      </c>
      <c r="E1061" t="s">
        <v>44</v>
      </c>
      <c r="F1061" t="str">
        <f t="shared" si="107"/>
        <v>Gobiomorphus cotidianus</v>
      </c>
      <c r="G1061" t="str">
        <f t="shared" si="108"/>
        <v>Common_bully</v>
      </c>
      <c r="H1061" t="str">
        <f t="shared" si="109"/>
        <v>Toitoi</v>
      </c>
      <c r="I1061" t="str">
        <f t="shared" si="110"/>
        <v>Native</v>
      </c>
      <c r="J1061" t="str">
        <f t="shared" si="111"/>
        <v>No</v>
      </c>
      <c r="M1061">
        <v>81</v>
      </c>
      <c r="N1061">
        <v>81</v>
      </c>
      <c r="S1061" t="str">
        <f t="shared" si="112"/>
        <v/>
      </c>
    </row>
    <row r="1062" spans="1:19" x14ac:dyDescent="0.55000000000000004">
      <c r="A1062">
        <v>75</v>
      </c>
      <c r="B1062" s="2">
        <v>45673.434027777781</v>
      </c>
      <c r="C1062" t="s">
        <v>215</v>
      </c>
      <c r="D1062">
        <v>2</v>
      </c>
      <c r="E1062" t="s">
        <v>49</v>
      </c>
      <c r="F1062" t="str">
        <f t="shared" si="107"/>
        <v>Paranephrops planifrons</v>
      </c>
      <c r="G1062" t="str">
        <f t="shared" si="108"/>
        <v>Freshwater_crayfish</v>
      </c>
      <c r="H1062" t="str">
        <f t="shared" si="109"/>
        <v>Kōura</v>
      </c>
      <c r="I1062" t="str">
        <f t="shared" si="110"/>
        <v>Native</v>
      </c>
      <c r="J1062" t="str">
        <f t="shared" si="111"/>
        <v>Yes</v>
      </c>
      <c r="K1062" t="s">
        <v>50</v>
      </c>
      <c r="L1062">
        <v>24.66</v>
      </c>
      <c r="M1062">
        <v>17</v>
      </c>
      <c r="N1062">
        <v>1</v>
      </c>
      <c r="S1062" t="str">
        <f t="shared" si="112"/>
        <v/>
      </c>
    </row>
    <row r="1063" spans="1:19" x14ac:dyDescent="0.55000000000000004">
      <c r="A1063">
        <v>75</v>
      </c>
      <c r="B1063" s="2">
        <v>45673.434027777781</v>
      </c>
      <c r="C1063" t="s">
        <v>215</v>
      </c>
      <c r="D1063">
        <v>2</v>
      </c>
      <c r="E1063" t="s">
        <v>49</v>
      </c>
      <c r="F1063" t="str">
        <f t="shared" si="107"/>
        <v>Paranephrops planifrons</v>
      </c>
      <c r="G1063" t="str">
        <f t="shared" si="108"/>
        <v>Freshwater_crayfish</v>
      </c>
      <c r="H1063" t="str">
        <f t="shared" si="109"/>
        <v>Kōura</v>
      </c>
      <c r="I1063" t="str">
        <f t="shared" si="110"/>
        <v>Native</v>
      </c>
      <c r="J1063" t="str">
        <f t="shared" si="111"/>
        <v>Yes</v>
      </c>
      <c r="K1063" t="s">
        <v>48</v>
      </c>
      <c r="L1063">
        <v>21.25</v>
      </c>
      <c r="M1063">
        <v>8</v>
      </c>
      <c r="N1063">
        <v>1</v>
      </c>
      <c r="S1063" t="str">
        <f t="shared" si="112"/>
        <v/>
      </c>
    </row>
    <row r="1064" spans="1:19" x14ac:dyDescent="0.55000000000000004">
      <c r="A1064">
        <v>75</v>
      </c>
      <c r="B1064" s="2">
        <v>45673.434027777781</v>
      </c>
      <c r="C1064" t="s">
        <v>215</v>
      </c>
      <c r="D1064">
        <v>2</v>
      </c>
      <c r="E1064" t="s">
        <v>49</v>
      </c>
      <c r="F1064" t="str">
        <f t="shared" si="107"/>
        <v>Paranephrops planifrons</v>
      </c>
      <c r="G1064" t="str">
        <f t="shared" si="108"/>
        <v>Freshwater_crayfish</v>
      </c>
      <c r="H1064" t="str">
        <f t="shared" si="109"/>
        <v>Kōura</v>
      </c>
      <c r="I1064" t="str">
        <f t="shared" si="110"/>
        <v>Native</v>
      </c>
      <c r="J1064" t="str">
        <f t="shared" si="111"/>
        <v>Yes</v>
      </c>
      <c r="K1064" t="s">
        <v>48</v>
      </c>
      <c r="L1064">
        <v>23.8</v>
      </c>
      <c r="M1064">
        <v>11</v>
      </c>
      <c r="N1064">
        <v>1</v>
      </c>
      <c r="S1064" t="str">
        <f t="shared" si="112"/>
        <v/>
      </c>
    </row>
    <row r="1065" spans="1:19" x14ac:dyDescent="0.55000000000000004">
      <c r="A1065">
        <v>76</v>
      </c>
      <c r="B1065" s="2">
        <v>45673.348611111112</v>
      </c>
      <c r="C1065" t="s">
        <v>216</v>
      </c>
      <c r="D1065">
        <v>2</v>
      </c>
      <c r="E1065" t="s">
        <v>49</v>
      </c>
      <c r="F1065" t="str">
        <f t="shared" si="107"/>
        <v>Paranephrops planifrons</v>
      </c>
      <c r="G1065" t="str">
        <f t="shared" si="108"/>
        <v>Freshwater_crayfish</v>
      </c>
      <c r="H1065" t="str">
        <f t="shared" si="109"/>
        <v>Kōura</v>
      </c>
      <c r="I1065" t="str">
        <f t="shared" si="110"/>
        <v>Native</v>
      </c>
      <c r="J1065" t="str">
        <f t="shared" si="111"/>
        <v>Yes</v>
      </c>
      <c r="K1065" t="s">
        <v>48</v>
      </c>
      <c r="L1065">
        <v>39.44</v>
      </c>
      <c r="M1065">
        <v>49</v>
      </c>
      <c r="N1065">
        <v>1</v>
      </c>
      <c r="S1065" t="str">
        <f t="shared" si="112"/>
        <v/>
      </c>
    </row>
    <row r="1066" spans="1:19" x14ac:dyDescent="0.55000000000000004">
      <c r="A1066">
        <v>76</v>
      </c>
      <c r="B1066" s="2">
        <v>45673.348611111112</v>
      </c>
      <c r="C1066" t="s">
        <v>216</v>
      </c>
      <c r="D1066">
        <v>2</v>
      </c>
      <c r="E1066" t="s">
        <v>49</v>
      </c>
      <c r="F1066" t="str">
        <f t="shared" si="107"/>
        <v>Paranephrops planifrons</v>
      </c>
      <c r="G1066" t="str">
        <f t="shared" si="108"/>
        <v>Freshwater_crayfish</v>
      </c>
      <c r="H1066" t="str">
        <f t="shared" si="109"/>
        <v>Kōura</v>
      </c>
      <c r="I1066" t="str">
        <f t="shared" si="110"/>
        <v>Native</v>
      </c>
      <c r="J1066" t="str">
        <f t="shared" si="111"/>
        <v>Yes</v>
      </c>
      <c r="K1066" t="s">
        <v>50</v>
      </c>
      <c r="L1066">
        <v>32.799999999999997</v>
      </c>
      <c r="M1066">
        <v>28</v>
      </c>
      <c r="N1066">
        <v>1</v>
      </c>
      <c r="S1066" t="str">
        <f t="shared" si="112"/>
        <v/>
      </c>
    </row>
    <row r="1067" spans="1:19" x14ac:dyDescent="0.55000000000000004">
      <c r="A1067">
        <v>76</v>
      </c>
      <c r="B1067" s="2">
        <v>45673.348611111112</v>
      </c>
      <c r="C1067" t="s">
        <v>216</v>
      </c>
      <c r="D1067">
        <v>2</v>
      </c>
      <c r="E1067" t="s">
        <v>49</v>
      </c>
      <c r="F1067" t="str">
        <f t="shared" si="107"/>
        <v>Paranephrops planifrons</v>
      </c>
      <c r="G1067" t="str">
        <f t="shared" si="108"/>
        <v>Freshwater_crayfish</v>
      </c>
      <c r="H1067" t="str">
        <f t="shared" si="109"/>
        <v>Kōura</v>
      </c>
      <c r="I1067" t="str">
        <f t="shared" si="110"/>
        <v>Native</v>
      </c>
      <c r="J1067" t="str">
        <f t="shared" si="111"/>
        <v>Yes</v>
      </c>
      <c r="K1067" t="s">
        <v>48</v>
      </c>
      <c r="L1067">
        <v>22.78</v>
      </c>
      <c r="M1067">
        <v>11</v>
      </c>
      <c r="N1067">
        <v>1</v>
      </c>
      <c r="S1067" t="str">
        <f t="shared" si="112"/>
        <v/>
      </c>
    </row>
    <row r="1068" spans="1:19" x14ac:dyDescent="0.55000000000000004">
      <c r="A1068">
        <v>76</v>
      </c>
      <c r="B1068" s="2">
        <v>45673.348611111112</v>
      </c>
      <c r="C1068" t="s">
        <v>216</v>
      </c>
      <c r="D1068">
        <v>2</v>
      </c>
      <c r="E1068" t="s">
        <v>49</v>
      </c>
      <c r="F1068" t="str">
        <f t="shared" si="107"/>
        <v>Paranephrops planifrons</v>
      </c>
      <c r="G1068" t="str">
        <f t="shared" si="108"/>
        <v>Freshwater_crayfish</v>
      </c>
      <c r="H1068" t="str">
        <f t="shared" si="109"/>
        <v>Kōura</v>
      </c>
      <c r="I1068" t="str">
        <f t="shared" si="110"/>
        <v>Native</v>
      </c>
      <c r="J1068" t="str">
        <f t="shared" si="111"/>
        <v>Yes</v>
      </c>
      <c r="K1068" t="s">
        <v>50</v>
      </c>
      <c r="L1068">
        <v>32.380000000000003</v>
      </c>
      <c r="M1068">
        <v>26</v>
      </c>
      <c r="N1068">
        <v>1</v>
      </c>
      <c r="S1068" t="str">
        <f t="shared" si="112"/>
        <v/>
      </c>
    </row>
    <row r="1069" spans="1:19" x14ac:dyDescent="0.55000000000000004">
      <c r="A1069">
        <v>76</v>
      </c>
      <c r="B1069" s="2">
        <v>45673.348611111112</v>
      </c>
      <c r="C1069" t="s">
        <v>215</v>
      </c>
      <c r="D1069">
        <v>2</v>
      </c>
      <c r="E1069" t="s">
        <v>44</v>
      </c>
      <c r="F1069" t="str">
        <f t="shared" si="107"/>
        <v>Gobiomorphus cotidianus</v>
      </c>
      <c r="G1069" t="str">
        <f t="shared" si="108"/>
        <v>Common_bully</v>
      </c>
      <c r="H1069" t="str">
        <f t="shared" si="109"/>
        <v>Toitoi</v>
      </c>
      <c r="I1069" t="str">
        <f t="shared" si="110"/>
        <v>Native</v>
      </c>
      <c r="J1069" t="str">
        <f t="shared" si="111"/>
        <v>No</v>
      </c>
      <c r="M1069">
        <v>19</v>
      </c>
      <c r="N1069">
        <v>11</v>
      </c>
      <c r="S1069" t="str">
        <f t="shared" si="112"/>
        <v/>
      </c>
    </row>
    <row r="1070" spans="1:19" x14ac:dyDescent="0.55000000000000004">
      <c r="A1070">
        <v>76</v>
      </c>
      <c r="B1070" s="2">
        <v>45673.348611111112</v>
      </c>
      <c r="C1070" t="s">
        <v>215</v>
      </c>
      <c r="D1070">
        <v>2</v>
      </c>
      <c r="E1070" t="s">
        <v>49</v>
      </c>
      <c r="F1070" t="str">
        <f t="shared" si="107"/>
        <v>Paranephrops planifrons</v>
      </c>
      <c r="G1070" t="str">
        <f t="shared" si="108"/>
        <v>Freshwater_crayfish</v>
      </c>
      <c r="H1070" t="str">
        <f t="shared" si="109"/>
        <v>Kōura</v>
      </c>
      <c r="I1070" t="str">
        <f t="shared" si="110"/>
        <v>Native</v>
      </c>
      <c r="J1070" t="str">
        <f t="shared" si="111"/>
        <v>Yes</v>
      </c>
      <c r="K1070" t="s">
        <v>50</v>
      </c>
      <c r="L1070">
        <v>21.38</v>
      </c>
      <c r="M1070">
        <v>6</v>
      </c>
      <c r="N1070">
        <v>1</v>
      </c>
      <c r="S1070" t="str">
        <f t="shared" si="112"/>
        <v/>
      </c>
    </row>
    <row r="1071" spans="1:19" x14ac:dyDescent="0.55000000000000004">
      <c r="A1071">
        <v>76</v>
      </c>
      <c r="B1071" s="2">
        <v>45673.348611111112</v>
      </c>
      <c r="C1071" t="s">
        <v>215</v>
      </c>
      <c r="D1071">
        <v>2</v>
      </c>
      <c r="E1071" t="s">
        <v>49</v>
      </c>
      <c r="F1071" t="str">
        <f t="shared" si="107"/>
        <v>Paranephrops planifrons</v>
      </c>
      <c r="G1071" t="str">
        <f t="shared" si="108"/>
        <v>Freshwater_crayfish</v>
      </c>
      <c r="H1071" t="str">
        <f t="shared" si="109"/>
        <v>Kōura</v>
      </c>
      <c r="I1071" t="str">
        <f t="shared" si="110"/>
        <v>Native</v>
      </c>
      <c r="J1071" t="str">
        <f t="shared" si="111"/>
        <v>Yes</v>
      </c>
      <c r="K1071" t="s">
        <v>50</v>
      </c>
      <c r="L1071">
        <v>26</v>
      </c>
      <c r="M1071">
        <v>14</v>
      </c>
      <c r="N1071">
        <v>1</v>
      </c>
      <c r="O1071">
        <v>1</v>
      </c>
      <c r="S1071" t="str">
        <f t="shared" si="112"/>
        <v/>
      </c>
    </row>
    <row r="1072" spans="1:19" x14ac:dyDescent="0.55000000000000004">
      <c r="A1072">
        <v>76</v>
      </c>
      <c r="B1072" s="2">
        <v>45673.348611111112</v>
      </c>
      <c r="C1072" t="s">
        <v>215</v>
      </c>
      <c r="D1072">
        <v>2</v>
      </c>
      <c r="E1072" t="s">
        <v>44</v>
      </c>
      <c r="F1072" t="str">
        <f t="shared" si="107"/>
        <v>Gobiomorphus cotidianus</v>
      </c>
      <c r="G1072" t="str">
        <f t="shared" si="108"/>
        <v>Common_bully</v>
      </c>
      <c r="H1072" t="str">
        <f t="shared" si="109"/>
        <v>Toitoi</v>
      </c>
      <c r="I1072" t="str">
        <f t="shared" si="110"/>
        <v>Native</v>
      </c>
      <c r="J1072" t="str">
        <f t="shared" si="111"/>
        <v>No</v>
      </c>
      <c r="M1072">
        <v>141</v>
      </c>
      <c r="N1072">
        <v>100</v>
      </c>
      <c r="S1072" t="str">
        <f t="shared" si="112"/>
        <v/>
      </c>
    </row>
    <row r="1073" spans="1:19" x14ac:dyDescent="0.55000000000000004">
      <c r="A1073">
        <v>76</v>
      </c>
      <c r="B1073" s="2">
        <v>45673.348611111112</v>
      </c>
      <c r="C1073" t="s">
        <v>215</v>
      </c>
      <c r="D1073">
        <v>2</v>
      </c>
      <c r="E1073" t="s">
        <v>44</v>
      </c>
      <c r="F1073" t="str">
        <f t="shared" si="107"/>
        <v>Gobiomorphus cotidianus</v>
      </c>
      <c r="G1073" t="str">
        <f t="shared" si="108"/>
        <v>Common_bully</v>
      </c>
      <c r="H1073" t="str">
        <f t="shared" si="109"/>
        <v>Toitoi</v>
      </c>
      <c r="I1073" t="str">
        <f t="shared" si="110"/>
        <v>Native</v>
      </c>
      <c r="J1073" t="str">
        <f t="shared" si="111"/>
        <v>No</v>
      </c>
      <c r="M1073">
        <v>100</v>
      </c>
      <c r="N1073">
        <v>100</v>
      </c>
      <c r="S1073" t="str">
        <f t="shared" si="112"/>
        <v/>
      </c>
    </row>
    <row r="1074" spans="1:19" x14ac:dyDescent="0.55000000000000004">
      <c r="A1074">
        <v>76</v>
      </c>
      <c r="B1074" s="2">
        <v>45673.348611111112</v>
      </c>
      <c r="C1074" t="s">
        <v>215</v>
      </c>
      <c r="D1074">
        <v>2</v>
      </c>
      <c r="E1074" t="s">
        <v>44</v>
      </c>
      <c r="F1074" t="str">
        <f t="shared" si="107"/>
        <v>Gobiomorphus cotidianus</v>
      </c>
      <c r="G1074" t="str">
        <f t="shared" si="108"/>
        <v>Common_bully</v>
      </c>
      <c r="H1074" t="str">
        <f t="shared" si="109"/>
        <v>Toitoi</v>
      </c>
      <c r="I1074" t="str">
        <f t="shared" si="110"/>
        <v>Native</v>
      </c>
      <c r="J1074" t="str">
        <f t="shared" si="111"/>
        <v>No</v>
      </c>
      <c r="M1074">
        <v>49</v>
      </c>
      <c r="N1074">
        <v>56</v>
      </c>
      <c r="S1074" t="str">
        <f t="shared" si="112"/>
        <v/>
      </c>
    </row>
    <row r="1075" spans="1:19" x14ac:dyDescent="0.55000000000000004">
      <c r="A1075">
        <v>76</v>
      </c>
      <c r="B1075" s="2">
        <v>45673.348611111112</v>
      </c>
      <c r="C1075" t="s">
        <v>215</v>
      </c>
      <c r="D1075">
        <v>2</v>
      </c>
      <c r="E1075" t="s">
        <v>47</v>
      </c>
      <c r="F1075" t="str">
        <f t="shared" si="107"/>
        <v>Ameiurus nebulosus</v>
      </c>
      <c r="G1075" t="str">
        <f t="shared" si="108"/>
        <v>Catfish</v>
      </c>
      <c r="H1075" t="str">
        <f t="shared" si="109"/>
        <v>Catfish</v>
      </c>
      <c r="I1075" t="str">
        <f t="shared" si="110"/>
        <v>Nonnative</v>
      </c>
      <c r="J1075" t="str">
        <f t="shared" si="111"/>
        <v>No</v>
      </c>
      <c r="L1075">
        <v>385</v>
      </c>
      <c r="N1075">
        <v>1</v>
      </c>
      <c r="S1075" t="str">
        <f t="shared" si="112"/>
        <v/>
      </c>
    </row>
    <row r="1076" spans="1:19" x14ac:dyDescent="0.55000000000000004">
      <c r="A1076">
        <v>76</v>
      </c>
      <c r="B1076" s="2">
        <v>45673.348611111112</v>
      </c>
      <c r="C1076" t="s">
        <v>215</v>
      </c>
      <c r="D1076">
        <v>2</v>
      </c>
      <c r="E1076" t="s">
        <v>47</v>
      </c>
      <c r="F1076" t="str">
        <f t="shared" si="107"/>
        <v>Ameiurus nebulosus</v>
      </c>
      <c r="G1076" t="str">
        <f t="shared" si="108"/>
        <v>Catfish</v>
      </c>
      <c r="H1076" t="str">
        <f t="shared" si="109"/>
        <v>Catfish</v>
      </c>
      <c r="I1076" t="str">
        <f t="shared" si="110"/>
        <v>Nonnative</v>
      </c>
      <c r="J1076" t="str">
        <f t="shared" si="111"/>
        <v>No</v>
      </c>
      <c r="L1076">
        <v>385</v>
      </c>
      <c r="N1076">
        <v>1</v>
      </c>
      <c r="S1076" t="str">
        <f t="shared" si="112"/>
        <v/>
      </c>
    </row>
    <row r="1077" spans="1:19" x14ac:dyDescent="0.55000000000000004">
      <c r="A1077">
        <v>76</v>
      </c>
      <c r="B1077" s="2">
        <v>45673.348611111112</v>
      </c>
      <c r="C1077" t="s">
        <v>215</v>
      </c>
      <c r="D1077">
        <v>2</v>
      </c>
      <c r="E1077" t="s">
        <v>49</v>
      </c>
      <c r="F1077" t="str">
        <f t="shared" si="107"/>
        <v>Paranephrops planifrons</v>
      </c>
      <c r="G1077" t="str">
        <f t="shared" si="108"/>
        <v>Freshwater_crayfish</v>
      </c>
      <c r="H1077" t="str">
        <f t="shared" si="109"/>
        <v>Kōura</v>
      </c>
      <c r="I1077" t="str">
        <f t="shared" si="110"/>
        <v>Native</v>
      </c>
      <c r="J1077" t="str">
        <f t="shared" si="111"/>
        <v>Yes</v>
      </c>
      <c r="K1077" t="s">
        <v>50</v>
      </c>
      <c r="L1077">
        <v>19.690000000000001</v>
      </c>
      <c r="M1077">
        <v>5</v>
      </c>
      <c r="N1077">
        <v>1</v>
      </c>
      <c r="S1077" t="str">
        <f t="shared" si="112"/>
        <v/>
      </c>
    </row>
    <row r="1078" spans="1:19" x14ac:dyDescent="0.55000000000000004">
      <c r="A1078">
        <v>76</v>
      </c>
      <c r="B1078" s="2">
        <v>45673.348611111112</v>
      </c>
      <c r="C1078" t="s">
        <v>215</v>
      </c>
      <c r="D1078">
        <v>2</v>
      </c>
      <c r="E1078" t="s">
        <v>49</v>
      </c>
      <c r="F1078" t="str">
        <f t="shared" si="107"/>
        <v>Paranephrops planifrons</v>
      </c>
      <c r="G1078" t="str">
        <f t="shared" si="108"/>
        <v>Freshwater_crayfish</v>
      </c>
      <c r="H1078" t="str">
        <f t="shared" si="109"/>
        <v>Kōura</v>
      </c>
      <c r="I1078" t="str">
        <f t="shared" si="110"/>
        <v>Native</v>
      </c>
      <c r="J1078" t="str">
        <f t="shared" si="111"/>
        <v>Yes</v>
      </c>
      <c r="K1078" t="s">
        <v>48</v>
      </c>
      <c r="L1078">
        <v>19.63</v>
      </c>
      <c r="M1078">
        <v>5</v>
      </c>
      <c r="N1078">
        <v>1</v>
      </c>
      <c r="S1078" t="str">
        <f t="shared" si="112"/>
        <v/>
      </c>
    </row>
    <row r="1079" spans="1:19" x14ac:dyDescent="0.55000000000000004">
      <c r="A1079">
        <v>76</v>
      </c>
      <c r="B1079" s="2">
        <v>45673.348611111112</v>
      </c>
      <c r="C1079" t="s">
        <v>215</v>
      </c>
      <c r="D1079">
        <v>2</v>
      </c>
      <c r="E1079" t="s">
        <v>44</v>
      </c>
      <c r="F1079" t="str">
        <f t="shared" si="107"/>
        <v>Gobiomorphus cotidianus</v>
      </c>
      <c r="G1079" t="str">
        <f t="shared" si="108"/>
        <v>Common_bully</v>
      </c>
      <c r="H1079" t="str">
        <f t="shared" si="109"/>
        <v>Toitoi</v>
      </c>
      <c r="I1079" t="str">
        <f t="shared" si="110"/>
        <v>Native</v>
      </c>
      <c r="J1079" t="str">
        <f t="shared" si="111"/>
        <v>No</v>
      </c>
      <c r="M1079">
        <v>386</v>
      </c>
      <c r="R1079">
        <v>2</v>
      </c>
      <c r="S1079">
        <f t="shared" si="112"/>
        <v>473.17599999999999</v>
      </c>
    </row>
    <row r="1080" spans="1:19" x14ac:dyDescent="0.55000000000000004">
      <c r="A1080">
        <v>77</v>
      </c>
      <c r="B1080" s="2">
        <v>45674.520833333336</v>
      </c>
      <c r="C1080" t="s">
        <v>216</v>
      </c>
      <c r="D1080">
        <v>2</v>
      </c>
      <c r="E1080" t="s">
        <v>49</v>
      </c>
      <c r="F1080" t="str">
        <f t="shared" si="107"/>
        <v>Paranephrops planifrons</v>
      </c>
      <c r="G1080" t="str">
        <f t="shared" si="108"/>
        <v>Freshwater_crayfish</v>
      </c>
      <c r="H1080" t="str">
        <f t="shared" si="109"/>
        <v>Kōura</v>
      </c>
      <c r="I1080" t="str">
        <f t="shared" si="110"/>
        <v>Native</v>
      </c>
      <c r="J1080" t="str">
        <f t="shared" si="111"/>
        <v>Yes</v>
      </c>
      <c r="S1080" t="str">
        <f t="shared" si="112"/>
        <v/>
      </c>
    </row>
    <row r="1081" spans="1:19" x14ac:dyDescent="0.55000000000000004">
      <c r="A1081">
        <v>77</v>
      </c>
      <c r="B1081" s="2">
        <v>45674.520833333336</v>
      </c>
      <c r="C1081" t="s">
        <v>216</v>
      </c>
      <c r="D1081">
        <v>2</v>
      </c>
      <c r="E1081" t="s">
        <v>49</v>
      </c>
      <c r="F1081" t="str">
        <f t="shared" si="107"/>
        <v>Paranephrops planifrons</v>
      </c>
      <c r="G1081" t="str">
        <f t="shared" si="108"/>
        <v>Freshwater_crayfish</v>
      </c>
      <c r="H1081" t="str">
        <f t="shared" si="109"/>
        <v>Kōura</v>
      </c>
      <c r="I1081" t="str">
        <f t="shared" si="110"/>
        <v>Native</v>
      </c>
      <c r="J1081" t="str">
        <f t="shared" si="111"/>
        <v>Yes</v>
      </c>
      <c r="S1081" t="str">
        <f t="shared" si="112"/>
        <v/>
      </c>
    </row>
    <row r="1082" spans="1:19" x14ac:dyDescent="0.55000000000000004">
      <c r="A1082">
        <v>77</v>
      </c>
      <c r="B1082" s="2">
        <v>45674.520833333336</v>
      </c>
      <c r="C1082" t="s">
        <v>216</v>
      </c>
      <c r="D1082">
        <v>2</v>
      </c>
      <c r="E1082" t="s">
        <v>49</v>
      </c>
      <c r="F1082" t="str">
        <f t="shared" si="107"/>
        <v>Paranephrops planifrons</v>
      </c>
      <c r="G1082" t="str">
        <f t="shared" si="108"/>
        <v>Freshwater_crayfish</v>
      </c>
      <c r="H1082" t="str">
        <f t="shared" si="109"/>
        <v>Kōura</v>
      </c>
      <c r="I1082" t="str">
        <f t="shared" si="110"/>
        <v>Native</v>
      </c>
      <c r="J1082" t="str">
        <f t="shared" si="111"/>
        <v>Yes</v>
      </c>
      <c r="S1082" t="str">
        <f t="shared" si="112"/>
        <v/>
      </c>
    </row>
    <row r="1083" spans="1:19" x14ac:dyDescent="0.55000000000000004">
      <c r="A1083">
        <v>77</v>
      </c>
      <c r="B1083" s="2">
        <v>45674.520833333336</v>
      </c>
      <c r="C1083" t="s">
        <v>216</v>
      </c>
      <c r="D1083">
        <v>2</v>
      </c>
      <c r="E1083" t="s">
        <v>49</v>
      </c>
      <c r="F1083" t="str">
        <f t="shared" si="107"/>
        <v>Paranephrops planifrons</v>
      </c>
      <c r="G1083" t="str">
        <f t="shared" si="108"/>
        <v>Freshwater_crayfish</v>
      </c>
      <c r="H1083" t="str">
        <f t="shared" si="109"/>
        <v>Kōura</v>
      </c>
      <c r="I1083" t="str">
        <f t="shared" si="110"/>
        <v>Native</v>
      </c>
      <c r="J1083" t="str">
        <f t="shared" si="111"/>
        <v>Yes</v>
      </c>
      <c r="S1083" t="str">
        <f t="shared" si="112"/>
        <v/>
      </c>
    </row>
    <row r="1084" spans="1:19" x14ac:dyDescent="0.55000000000000004">
      <c r="A1084">
        <v>77</v>
      </c>
      <c r="B1084" s="2">
        <v>45674.520833333336</v>
      </c>
      <c r="C1084" t="s">
        <v>216</v>
      </c>
      <c r="D1084">
        <v>2</v>
      </c>
      <c r="E1084" t="s">
        <v>49</v>
      </c>
      <c r="F1084" t="str">
        <f t="shared" si="107"/>
        <v>Paranephrops planifrons</v>
      </c>
      <c r="G1084" t="str">
        <f t="shared" si="108"/>
        <v>Freshwater_crayfish</v>
      </c>
      <c r="H1084" t="str">
        <f t="shared" si="109"/>
        <v>Kōura</v>
      </c>
      <c r="I1084" t="str">
        <f t="shared" si="110"/>
        <v>Native</v>
      </c>
      <c r="J1084" t="str">
        <f t="shared" si="111"/>
        <v>Yes</v>
      </c>
      <c r="S1084" t="str">
        <f t="shared" si="112"/>
        <v/>
      </c>
    </row>
    <row r="1085" spans="1:19" x14ac:dyDescent="0.55000000000000004">
      <c r="A1085">
        <v>77</v>
      </c>
      <c r="B1085" s="2">
        <v>45674.520833333336</v>
      </c>
      <c r="C1085" t="s">
        <v>216</v>
      </c>
      <c r="D1085">
        <v>2</v>
      </c>
      <c r="E1085" t="s">
        <v>49</v>
      </c>
      <c r="F1085" t="str">
        <f t="shared" si="107"/>
        <v>Paranephrops planifrons</v>
      </c>
      <c r="G1085" t="str">
        <f t="shared" si="108"/>
        <v>Freshwater_crayfish</v>
      </c>
      <c r="H1085" t="str">
        <f t="shared" si="109"/>
        <v>Kōura</v>
      </c>
      <c r="I1085" t="str">
        <f t="shared" si="110"/>
        <v>Native</v>
      </c>
      <c r="J1085" t="str">
        <f t="shared" si="111"/>
        <v>Yes</v>
      </c>
      <c r="S1085" t="str">
        <f t="shared" si="112"/>
        <v/>
      </c>
    </row>
    <row r="1086" spans="1:19" x14ac:dyDescent="0.55000000000000004">
      <c r="A1086">
        <v>77</v>
      </c>
      <c r="B1086" s="2">
        <v>45674.520833333336</v>
      </c>
      <c r="C1086" t="s">
        <v>216</v>
      </c>
      <c r="D1086">
        <v>2</v>
      </c>
      <c r="E1086" t="s">
        <v>49</v>
      </c>
      <c r="F1086" t="str">
        <f t="shared" si="107"/>
        <v>Paranephrops planifrons</v>
      </c>
      <c r="G1086" t="str">
        <f t="shared" si="108"/>
        <v>Freshwater_crayfish</v>
      </c>
      <c r="H1086" t="str">
        <f t="shared" si="109"/>
        <v>Kōura</v>
      </c>
      <c r="I1086" t="str">
        <f t="shared" si="110"/>
        <v>Native</v>
      </c>
      <c r="J1086" t="str">
        <f t="shared" si="111"/>
        <v>Yes</v>
      </c>
      <c r="S1086" t="str">
        <f t="shared" si="112"/>
        <v/>
      </c>
    </row>
    <row r="1087" spans="1:19" x14ac:dyDescent="0.55000000000000004">
      <c r="A1087">
        <v>77</v>
      </c>
      <c r="B1087" s="2">
        <v>45674.520833333336</v>
      </c>
      <c r="C1087" t="s">
        <v>216</v>
      </c>
      <c r="D1087">
        <v>2</v>
      </c>
      <c r="E1087" t="s">
        <v>49</v>
      </c>
      <c r="F1087" t="str">
        <f t="shared" si="107"/>
        <v>Paranephrops planifrons</v>
      </c>
      <c r="G1087" t="str">
        <f t="shared" si="108"/>
        <v>Freshwater_crayfish</v>
      </c>
      <c r="H1087" t="str">
        <f t="shared" si="109"/>
        <v>Kōura</v>
      </c>
      <c r="I1087" t="str">
        <f t="shared" si="110"/>
        <v>Native</v>
      </c>
      <c r="J1087" t="str">
        <f t="shared" si="111"/>
        <v>Yes</v>
      </c>
      <c r="S1087" t="str">
        <f t="shared" si="112"/>
        <v/>
      </c>
    </row>
    <row r="1088" spans="1:19" x14ac:dyDescent="0.55000000000000004">
      <c r="A1088">
        <v>77</v>
      </c>
      <c r="B1088" s="2">
        <v>45674.520833333336</v>
      </c>
      <c r="C1088" t="s">
        <v>216</v>
      </c>
      <c r="D1088">
        <v>2</v>
      </c>
      <c r="E1088" t="s">
        <v>44</v>
      </c>
      <c r="F1088" t="str">
        <f t="shared" si="107"/>
        <v>Gobiomorphus cotidianus</v>
      </c>
      <c r="G1088" t="str">
        <f t="shared" si="108"/>
        <v>Common_bully</v>
      </c>
      <c r="H1088" t="str">
        <f t="shared" si="109"/>
        <v>Toitoi</v>
      </c>
      <c r="I1088" t="str">
        <f t="shared" si="110"/>
        <v>Native</v>
      </c>
      <c r="J1088" t="str">
        <f t="shared" si="111"/>
        <v>No</v>
      </c>
      <c r="S1088" t="str">
        <f t="shared" si="112"/>
        <v/>
      </c>
    </row>
    <row r="1089" spans="1:19" x14ac:dyDescent="0.55000000000000004">
      <c r="A1089">
        <v>77</v>
      </c>
      <c r="B1089" s="2">
        <v>45674.520833333336</v>
      </c>
      <c r="C1089" t="s">
        <v>215</v>
      </c>
      <c r="D1089">
        <v>2</v>
      </c>
      <c r="E1089" t="s">
        <v>123</v>
      </c>
      <c r="F1089" t="str">
        <f t="shared" si="107"/>
        <v>Carassius auratus</v>
      </c>
      <c r="G1089" t="str">
        <f t="shared" si="108"/>
        <v>Goldfish</v>
      </c>
      <c r="H1089" t="str">
        <f t="shared" si="109"/>
        <v>Morihana</v>
      </c>
      <c r="I1089" t="str">
        <f t="shared" si="110"/>
        <v>Nonnative</v>
      </c>
      <c r="J1089" t="str">
        <f t="shared" si="111"/>
        <v>No</v>
      </c>
      <c r="S1089" t="str">
        <f t="shared" si="112"/>
        <v/>
      </c>
    </row>
    <row r="1090" spans="1:19" x14ac:dyDescent="0.55000000000000004">
      <c r="A1090">
        <v>77</v>
      </c>
      <c r="B1090" s="2">
        <v>45674.520833333336</v>
      </c>
      <c r="C1090" t="s">
        <v>215</v>
      </c>
      <c r="D1090">
        <v>2</v>
      </c>
      <c r="E1090" t="s">
        <v>49</v>
      </c>
      <c r="F1090" t="str">
        <f t="shared" ref="F1090:F1144" si="113">VLOOKUP($E1090, $V$1:$AA$9, 2, FALSE)</f>
        <v>Paranephrops planifrons</v>
      </c>
      <c r="G1090" t="str">
        <f t="shared" ref="G1090:G1144" si="114">VLOOKUP($E1090, $V$1:$AA$9, 3, FALSE)</f>
        <v>Freshwater_crayfish</v>
      </c>
      <c r="H1090" t="str">
        <f t="shared" ref="H1090:H1144" si="115">VLOOKUP($E1090, $V$1:$AA$9, 4, FALSE)</f>
        <v>Kōura</v>
      </c>
      <c r="I1090" t="str">
        <f t="shared" ref="I1090:I1144" si="116">VLOOKUP($E1090, $V$1:$AB$9, 5, FALSE)</f>
        <v>Native</v>
      </c>
      <c r="J1090" t="str">
        <f t="shared" ref="J1090:J1144" si="117">VLOOKUP($E1090, $V$1:$AA$9, 6, FALSE)</f>
        <v>Yes</v>
      </c>
      <c r="S1090" t="str">
        <f t="shared" si="112"/>
        <v/>
      </c>
    </row>
    <row r="1091" spans="1:19" x14ac:dyDescent="0.55000000000000004">
      <c r="A1091">
        <v>77</v>
      </c>
      <c r="B1091" s="2">
        <v>45674.520833333336</v>
      </c>
      <c r="C1091" t="s">
        <v>215</v>
      </c>
      <c r="D1091">
        <v>2</v>
      </c>
      <c r="E1091" t="s">
        <v>49</v>
      </c>
      <c r="F1091" t="str">
        <f t="shared" si="113"/>
        <v>Paranephrops planifrons</v>
      </c>
      <c r="G1091" t="str">
        <f t="shared" si="114"/>
        <v>Freshwater_crayfish</v>
      </c>
      <c r="H1091" t="str">
        <f t="shared" si="115"/>
        <v>Kōura</v>
      </c>
      <c r="I1091" t="str">
        <f t="shared" si="116"/>
        <v>Native</v>
      </c>
      <c r="J1091" t="str">
        <f t="shared" si="117"/>
        <v>Yes</v>
      </c>
      <c r="S1091" t="str">
        <f t="shared" si="112"/>
        <v/>
      </c>
    </row>
    <row r="1092" spans="1:19" x14ac:dyDescent="0.55000000000000004">
      <c r="A1092">
        <v>77</v>
      </c>
      <c r="B1092" s="2">
        <v>45674.520833333336</v>
      </c>
      <c r="C1092" t="s">
        <v>215</v>
      </c>
      <c r="D1092">
        <v>2</v>
      </c>
      <c r="E1092" t="s">
        <v>49</v>
      </c>
      <c r="F1092" t="str">
        <f t="shared" si="113"/>
        <v>Paranephrops planifrons</v>
      </c>
      <c r="G1092" t="str">
        <f t="shared" si="114"/>
        <v>Freshwater_crayfish</v>
      </c>
      <c r="H1092" t="str">
        <f t="shared" si="115"/>
        <v>Kōura</v>
      </c>
      <c r="I1092" t="str">
        <f t="shared" si="116"/>
        <v>Native</v>
      </c>
      <c r="J1092" t="str">
        <f t="shared" si="117"/>
        <v>Yes</v>
      </c>
      <c r="S1092" t="str">
        <f t="shared" ref="S1092:S1155" si="118">IF(R1092&lt;&gt;"", R1092*236.588, "")</f>
        <v/>
      </c>
    </row>
    <row r="1093" spans="1:19" x14ac:dyDescent="0.55000000000000004">
      <c r="A1093">
        <v>77</v>
      </c>
      <c r="B1093" s="2">
        <v>45674.520833333336</v>
      </c>
      <c r="C1093" t="s">
        <v>215</v>
      </c>
      <c r="D1093">
        <v>2</v>
      </c>
      <c r="E1093" t="s">
        <v>49</v>
      </c>
      <c r="F1093" t="str">
        <f t="shared" si="113"/>
        <v>Paranephrops planifrons</v>
      </c>
      <c r="G1093" t="str">
        <f t="shared" si="114"/>
        <v>Freshwater_crayfish</v>
      </c>
      <c r="H1093" t="str">
        <f t="shared" si="115"/>
        <v>Kōura</v>
      </c>
      <c r="I1093" t="str">
        <f t="shared" si="116"/>
        <v>Native</v>
      </c>
      <c r="J1093" t="str">
        <f t="shared" si="117"/>
        <v>Yes</v>
      </c>
      <c r="S1093" t="str">
        <f t="shared" si="118"/>
        <v/>
      </c>
    </row>
    <row r="1094" spans="1:19" x14ac:dyDescent="0.55000000000000004">
      <c r="A1094">
        <v>77</v>
      </c>
      <c r="B1094" s="2">
        <v>45674.520833333336</v>
      </c>
      <c r="C1094" t="s">
        <v>215</v>
      </c>
      <c r="D1094">
        <v>2</v>
      </c>
      <c r="E1094" t="s">
        <v>49</v>
      </c>
      <c r="F1094" t="str">
        <f t="shared" si="113"/>
        <v>Paranephrops planifrons</v>
      </c>
      <c r="G1094" t="str">
        <f t="shared" si="114"/>
        <v>Freshwater_crayfish</v>
      </c>
      <c r="H1094" t="str">
        <f t="shared" si="115"/>
        <v>Kōura</v>
      </c>
      <c r="I1094" t="str">
        <f t="shared" si="116"/>
        <v>Native</v>
      </c>
      <c r="J1094" t="str">
        <f t="shared" si="117"/>
        <v>Yes</v>
      </c>
      <c r="S1094" t="str">
        <f t="shared" si="118"/>
        <v/>
      </c>
    </row>
    <row r="1095" spans="1:19" x14ac:dyDescent="0.55000000000000004">
      <c r="A1095">
        <v>77</v>
      </c>
      <c r="B1095" s="2">
        <v>45674.520833333336</v>
      </c>
      <c r="C1095" t="s">
        <v>215</v>
      </c>
      <c r="D1095">
        <v>2</v>
      </c>
      <c r="E1095" t="s">
        <v>49</v>
      </c>
      <c r="F1095" t="str">
        <f t="shared" si="113"/>
        <v>Paranephrops planifrons</v>
      </c>
      <c r="G1095" t="str">
        <f t="shared" si="114"/>
        <v>Freshwater_crayfish</v>
      </c>
      <c r="H1095" t="str">
        <f t="shared" si="115"/>
        <v>Kōura</v>
      </c>
      <c r="I1095" t="str">
        <f t="shared" si="116"/>
        <v>Native</v>
      </c>
      <c r="J1095" t="str">
        <f t="shared" si="117"/>
        <v>Yes</v>
      </c>
      <c r="S1095" t="str">
        <f t="shared" si="118"/>
        <v/>
      </c>
    </row>
    <row r="1096" spans="1:19" x14ac:dyDescent="0.55000000000000004">
      <c r="A1096">
        <v>77</v>
      </c>
      <c r="B1096" s="2">
        <v>45674.520833333336</v>
      </c>
      <c r="C1096" t="s">
        <v>215</v>
      </c>
      <c r="D1096">
        <v>2</v>
      </c>
      <c r="E1096" t="s">
        <v>49</v>
      </c>
      <c r="F1096" t="str">
        <f t="shared" si="113"/>
        <v>Paranephrops planifrons</v>
      </c>
      <c r="G1096" t="str">
        <f t="shared" si="114"/>
        <v>Freshwater_crayfish</v>
      </c>
      <c r="H1096" t="str">
        <f t="shared" si="115"/>
        <v>Kōura</v>
      </c>
      <c r="I1096" t="str">
        <f t="shared" si="116"/>
        <v>Native</v>
      </c>
      <c r="J1096" t="str">
        <f t="shared" si="117"/>
        <v>Yes</v>
      </c>
      <c r="S1096" t="str">
        <f t="shared" si="118"/>
        <v/>
      </c>
    </row>
    <row r="1097" spans="1:19" x14ac:dyDescent="0.55000000000000004">
      <c r="A1097">
        <v>77</v>
      </c>
      <c r="B1097" s="2">
        <v>45674.520833333336</v>
      </c>
      <c r="C1097" t="s">
        <v>215</v>
      </c>
      <c r="D1097">
        <v>2</v>
      </c>
      <c r="E1097" t="s">
        <v>49</v>
      </c>
      <c r="F1097" t="str">
        <f t="shared" si="113"/>
        <v>Paranephrops planifrons</v>
      </c>
      <c r="G1097" t="str">
        <f t="shared" si="114"/>
        <v>Freshwater_crayfish</v>
      </c>
      <c r="H1097" t="str">
        <f t="shared" si="115"/>
        <v>Kōura</v>
      </c>
      <c r="I1097" t="str">
        <f t="shared" si="116"/>
        <v>Native</v>
      </c>
      <c r="J1097" t="str">
        <f t="shared" si="117"/>
        <v>Yes</v>
      </c>
      <c r="S1097" t="str">
        <f t="shared" si="118"/>
        <v/>
      </c>
    </row>
    <row r="1098" spans="1:19" x14ac:dyDescent="0.55000000000000004">
      <c r="A1098">
        <v>77</v>
      </c>
      <c r="B1098" s="2">
        <v>45674.520833333336</v>
      </c>
      <c r="C1098" t="s">
        <v>215</v>
      </c>
      <c r="D1098">
        <v>2</v>
      </c>
      <c r="E1098" t="s">
        <v>49</v>
      </c>
      <c r="F1098" t="str">
        <f t="shared" si="113"/>
        <v>Paranephrops planifrons</v>
      </c>
      <c r="G1098" t="str">
        <f t="shared" si="114"/>
        <v>Freshwater_crayfish</v>
      </c>
      <c r="H1098" t="str">
        <f t="shared" si="115"/>
        <v>Kōura</v>
      </c>
      <c r="I1098" t="str">
        <f t="shared" si="116"/>
        <v>Native</v>
      </c>
      <c r="J1098" t="str">
        <f t="shared" si="117"/>
        <v>Yes</v>
      </c>
      <c r="S1098" t="str">
        <f t="shared" si="118"/>
        <v/>
      </c>
    </row>
    <row r="1099" spans="1:19" x14ac:dyDescent="0.55000000000000004">
      <c r="A1099">
        <v>77</v>
      </c>
      <c r="B1099" s="2">
        <v>45674.520833333336</v>
      </c>
      <c r="C1099" t="s">
        <v>215</v>
      </c>
      <c r="D1099">
        <v>2</v>
      </c>
      <c r="E1099" t="s">
        <v>49</v>
      </c>
      <c r="F1099" t="str">
        <f t="shared" si="113"/>
        <v>Paranephrops planifrons</v>
      </c>
      <c r="G1099" t="str">
        <f t="shared" si="114"/>
        <v>Freshwater_crayfish</v>
      </c>
      <c r="H1099" t="str">
        <f t="shared" si="115"/>
        <v>Kōura</v>
      </c>
      <c r="I1099" t="str">
        <f t="shared" si="116"/>
        <v>Native</v>
      </c>
      <c r="J1099" t="str">
        <f t="shared" si="117"/>
        <v>Yes</v>
      </c>
      <c r="S1099" t="str">
        <f t="shared" si="118"/>
        <v/>
      </c>
    </row>
    <row r="1100" spans="1:19" x14ac:dyDescent="0.55000000000000004">
      <c r="A1100">
        <v>77</v>
      </c>
      <c r="B1100" s="2">
        <v>45674.520833333336</v>
      </c>
      <c r="C1100" t="s">
        <v>215</v>
      </c>
      <c r="D1100">
        <v>2</v>
      </c>
      <c r="E1100" t="s">
        <v>49</v>
      </c>
      <c r="F1100" t="str">
        <f t="shared" si="113"/>
        <v>Paranephrops planifrons</v>
      </c>
      <c r="G1100" t="str">
        <f t="shared" si="114"/>
        <v>Freshwater_crayfish</v>
      </c>
      <c r="H1100" t="str">
        <f t="shared" si="115"/>
        <v>Kōura</v>
      </c>
      <c r="I1100" t="str">
        <f t="shared" si="116"/>
        <v>Native</v>
      </c>
      <c r="J1100" t="str">
        <f t="shared" si="117"/>
        <v>Yes</v>
      </c>
      <c r="S1100" t="str">
        <f t="shared" si="118"/>
        <v/>
      </c>
    </row>
    <row r="1101" spans="1:19" x14ac:dyDescent="0.55000000000000004">
      <c r="A1101">
        <v>77</v>
      </c>
      <c r="B1101" s="2">
        <v>45674.520833333336</v>
      </c>
      <c r="C1101" t="s">
        <v>215</v>
      </c>
      <c r="D1101">
        <v>2</v>
      </c>
      <c r="E1101" t="s">
        <v>49</v>
      </c>
      <c r="F1101" t="str">
        <f t="shared" si="113"/>
        <v>Paranephrops planifrons</v>
      </c>
      <c r="G1101" t="str">
        <f t="shared" si="114"/>
        <v>Freshwater_crayfish</v>
      </c>
      <c r="H1101" t="str">
        <f t="shared" si="115"/>
        <v>Kōura</v>
      </c>
      <c r="I1101" t="str">
        <f t="shared" si="116"/>
        <v>Native</v>
      </c>
      <c r="J1101" t="str">
        <f t="shared" si="117"/>
        <v>Yes</v>
      </c>
      <c r="S1101" t="str">
        <f t="shared" si="118"/>
        <v/>
      </c>
    </row>
    <row r="1102" spans="1:19" x14ac:dyDescent="0.55000000000000004">
      <c r="A1102">
        <v>77</v>
      </c>
      <c r="B1102" s="2">
        <v>45674.520833333336</v>
      </c>
      <c r="C1102" t="s">
        <v>215</v>
      </c>
      <c r="D1102">
        <v>2</v>
      </c>
      <c r="E1102" t="s">
        <v>49</v>
      </c>
      <c r="F1102" t="str">
        <f t="shared" si="113"/>
        <v>Paranephrops planifrons</v>
      </c>
      <c r="G1102" t="str">
        <f t="shared" si="114"/>
        <v>Freshwater_crayfish</v>
      </c>
      <c r="H1102" t="str">
        <f t="shared" si="115"/>
        <v>Kōura</v>
      </c>
      <c r="I1102" t="str">
        <f t="shared" si="116"/>
        <v>Native</v>
      </c>
      <c r="J1102" t="str">
        <f t="shared" si="117"/>
        <v>Yes</v>
      </c>
      <c r="S1102" t="str">
        <f t="shared" si="118"/>
        <v/>
      </c>
    </row>
    <row r="1103" spans="1:19" x14ac:dyDescent="0.55000000000000004">
      <c r="A1103">
        <v>77</v>
      </c>
      <c r="B1103" s="2">
        <v>45674.520833333336</v>
      </c>
      <c r="C1103" t="s">
        <v>215</v>
      </c>
      <c r="D1103">
        <v>2</v>
      </c>
      <c r="E1103" t="s">
        <v>49</v>
      </c>
      <c r="F1103" t="str">
        <f t="shared" si="113"/>
        <v>Paranephrops planifrons</v>
      </c>
      <c r="G1103" t="str">
        <f t="shared" si="114"/>
        <v>Freshwater_crayfish</v>
      </c>
      <c r="H1103" t="str">
        <f t="shared" si="115"/>
        <v>Kōura</v>
      </c>
      <c r="I1103" t="str">
        <f t="shared" si="116"/>
        <v>Native</v>
      </c>
      <c r="J1103" t="str">
        <f t="shared" si="117"/>
        <v>Yes</v>
      </c>
      <c r="S1103" t="str">
        <f t="shared" si="118"/>
        <v/>
      </c>
    </row>
    <row r="1104" spans="1:19" x14ac:dyDescent="0.55000000000000004">
      <c r="A1104">
        <v>77</v>
      </c>
      <c r="B1104" s="2">
        <v>45674.520833333336</v>
      </c>
      <c r="C1104" t="s">
        <v>215</v>
      </c>
      <c r="D1104">
        <v>2</v>
      </c>
      <c r="E1104" t="s">
        <v>49</v>
      </c>
      <c r="F1104" t="str">
        <f t="shared" si="113"/>
        <v>Paranephrops planifrons</v>
      </c>
      <c r="G1104" t="str">
        <f t="shared" si="114"/>
        <v>Freshwater_crayfish</v>
      </c>
      <c r="H1104" t="str">
        <f t="shared" si="115"/>
        <v>Kōura</v>
      </c>
      <c r="I1104" t="str">
        <f t="shared" si="116"/>
        <v>Native</v>
      </c>
      <c r="J1104" t="str">
        <f t="shared" si="117"/>
        <v>Yes</v>
      </c>
      <c r="S1104" t="str">
        <f t="shared" si="118"/>
        <v/>
      </c>
    </row>
    <row r="1105" spans="1:19" x14ac:dyDescent="0.55000000000000004">
      <c r="A1105">
        <v>77</v>
      </c>
      <c r="B1105" s="2">
        <v>45674.520833333336</v>
      </c>
      <c r="C1105" t="s">
        <v>215</v>
      </c>
      <c r="D1105">
        <v>2</v>
      </c>
      <c r="E1105" t="s">
        <v>247</v>
      </c>
      <c r="F1105" t="str">
        <f t="shared" si="113"/>
        <v>Retropinna retropinna</v>
      </c>
      <c r="G1105" t="str">
        <f t="shared" si="114"/>
        <v>Common_smelt</v>
      </c>
      <c r="H1105" t="str">
        <f t="shared" si="115"/>
        <v>Common_smelt</v>
      </c>
      <c r="I1105" t="str">
        <f t="shared" si="116"/>
        <v>Native</v>
      </c>
      <c r="J1105" t="str">
        <f t="shared" si="117"/>
        <v>No</v>
      </c>
      <c r="S1105" t="str">
        <f t="shared" si="118"/>
        <v/>
      </c>
    </row>
    <row r="1106" spans="1:19" x14ac:dyDescent="0.55000000000000004">
      <c r="A1106">
        <v>77</v>
      </c>
      <c r="B1106" s="2">
        <v>45674.520833333336</v>
      </c>
      <c r="C1106" t="s">
        <v>215</v>
      </c>
      <c r="D1106">
        <v>2</v>
      </c>
      <c r="E1106" t="s">
        <v>247</v>
      </c>
      <c r="F1106" t="str">
        <f t="shared" si="113"/>
        <v>Retropinna retropinna</v>
      </c>
      <c r="G1106" t="str">
        <f t="shared" si="114"/>
        <v>Common_smelt</v>
      </c>
      <c r="H1106" t="str">
        <f t="shared" si="115"/>
        <v>Common_smelt</v>
      </c>
      <c r="I1106" t="str">
        <f t="shared" si="116"/>
        <v>Native</v>
      </c>
      <c r="J1106" t="str">
        <f t="shared" si="117"/>
        <v>No</v>
      </c>
      <c r="S1106" t="str">
        <f t="shared" si="118"/>
        <v/>
      </c>
    </row>
    <row r="1107" spans="1:19" x14ac:dyDescent="0.55000000000000004">
      <c r="A1107">
        <v>77</v>
      </c>
      <c r="B1107" s="2">
        <v>45674.520833333336</v>
      </c>
      <c r="C1107" t="s">
        <v>215</v>
      </c>
      <c r="D1107">
        <v>2</v>
      </c>
      <c r="E1107" t="s">
        <v>44</v>
      </c>
      <c r="F1107" t="str">
        <f t="shared" si="113"/>
        <v>Gobiomorphus cotidianus</v>
      </c>
      <c r="G1107" t="str">
        <f t="shared" si="114"/>
        <v>Common_bully</v>
      </c>
      <c r="H1107" t="str">
        <f t="shared" si="115"/>
        <v>Toitoi</v>
      </c>
      <c r="I1107" t="str">
        <f t="shared" si="116"/>
        <v>Native</v>
      </c>
      <c r="J1107" t="str">
        <f t="shared" si="117"/>
        <v>No</v>
      </c>
      <c r="S1107" t="str">
        <f t="shared" si="118"/>
        <v/>
      </c>
    </row>
    <row r="1108" spans="1:19" x14ac:dyDescent="0.55000000000000004">
      <c r="A1108">
        <v>77</v>
      </c>
      <c r="B1108" s="2">
        <v>45674.520833333336</v>
      </c>
      <c r="C1108" t="s">
        <v>215</v>
      </c>
      <c r="D1108">
        <v>2</v>
      </c>
      <c r="E1108" t="s">
        <v>44</v>
      </c>
      <c r="F1108" t="str">
        <f t="shared" si="113"/>
        <v>Gobiomorphus cotidianus</v>
      </c>
      <c r="G1108" t="str">
        <f t="shared" si="114"/>
        <v>Common_bully</v>
      </c>
      <c r="H1108" t="str">
        <f t="shared" si="115"/>
        <v>Toitoi</v>
      </c>
      <c r="I1108" t="str">
        <f t="shared" si="116"/>
        <v>Native</v>
      </c>
      <c r="J1108" t="str">
        <f t="shared" si="117"/>
        <v>No</v>
      </c>
      <c r="S1108" t="str">
        <f t="shared" si="118"/>
        <v/>
      </c>
    </row>
    <row r="1109" spans="1:19" x14ac:dyDescent="0.55000000000000004">
      <c r="D1109">
        <v>2</v>
      </c>
      <c r="F1109" t="e">
        <f t="shared" si="113"/>
        <v>#N/A</v>
      </c>
      <c r="G1109" t="e">
        <f t="shared" si="114"/>
        <v>#N/A</v>
      </c>
      <c r="H1109" t="e">
        <f t="shared" si="115"/>
        <v>#N/A</v>
      </c>
      <c r="I1109" t="e">
        <f t="shared" si="116"/>
        <v>#N/A</v>
      </c>
      <c r="J1109" t="e">
        <f t="shared" si="117"/>
        <v>#N/A</v>
      </c>
      <c r="S1109" t="str">
        <f t="shared" si="118"/>
        <v/>
      </c>
    </row>
    <row r="1110" spans="1:19" x14ac:dyDescent="0.55000000000000004">
      <c r="D1110">
        <v>2</v>
      </c>
      <c r="F1110" t="e">
        <f t="shared" si="113"/>
        <v>#N/A</v>
      </c>
      <c r="G1110" t="e">
        <f t="shared" si="114"/>
        <v>#N/A</v>
      </c>
      <c r="H1110" t="e">
        <f t="shared" si="115"/>
        <v>#N/A</v>
      </c>
      <c r="I1110" t="e">
        <f t="shared" si="116"/>
        <v>#N/A</v>
      </c>
      <c r="J1110" t="e">
        <f t="shared" si="117"/>
        <v>#N/A</v>
      </c>
      <c r="S1110" t="str">
        <f t="shared" si="118"/>
        <v/>
      </c>
    </row>
    <row r="1111" spans="1:19" x14ac:dyDescent="0.55000000000000004">
      <c r="D1111">
        <v>2</v>
      </c>
      <c r="F1111" t="e">
        <f t="shared" si="113"/>
        <v>#N/A</v>
      </c>
      <c r="G1111" t="e">
        <f t="shared" si="114"/>
        <v>#N/A</v>
      </c>
      <c r="H1111" t="e">
        <f t="shared" si="115"/>
        <v>#N/A</v>
      </c>
      <c r="I1111" t="e">
        <f t="shared" si="116"/>
        <v>#N/A</v>
      </c>
      <c r="J1111" t="e">
        <f t="shared" si="117"/>
        <v>#N/A</v>
      </c>
      <c r="S1111" t="str">
        <f t="shared" si="118"/>
        <v/>
      </c>
    </row>
    <row r="1112" spans="1:19" x14ac:dyDescent="0.55000000000000004">
      <c r="D1112">
        <v>2</v>
      </c>
      <c r="F1112" t="e">
        <f t="shared" si="113"/>
        <v>#N/A</v>
      </c>
      <c r="G1112" t="e">
        <f t="shared" si="114"/>
        <v>#N/A</v>
      </c>
      <c r="H1112" t="e">
        <f t="shared" si="115"/>
        <v>#N/A</v>
      </c>
      <c r="I1112" t="e">
        <f t="shared" si="116"/>
        <v>#N/A</v>
      </c>
      <c r="J1112" t="e">
        <f t="shared" si="117"/>
        <v>#N/A</v>
      </c>
      <c r="S1112" t="str">
        <f t="shared" si="118"/>
        <v/>
      </c>
    </row>
    <row r="1113" spans="1:19" x14ac:dyDescent="0.55000000000000004">
      <c r="D1113">
        <v>2</v>
      </c>
      <c r="F1113" t="e">
        <f t="shared" si="113"/>
        <v>#N/A</v>
      </c>
      <c r="G1113" t="e">
        <f t="shared" si="114"/>
        <v>#N/A</v>
      </c>
      <c r="H1113" t="e">
        <f t="shared" si="115"/>
        <v>#N/A</v>
      </c>
      <c r="I1113" t="e">
        <f t="shared" si="116"/>
        <v>#N/A</v>
      </c>
      <c r="J1113" t="e">
        <f t="shared" si="117"/>
        <v>#N/A</v>
      </c>
      <c r="S1113" t="str">
        <f t="shared" si="118"/>
        <v/>
      </c>
    </row>
    <row r="1114" spans="1:19" x14ac:dyDescent="0.55000000000000004">
      <c r="D1114">
        <v>2</v>
      </c>
      <c r="F1114" t="e">
        <f t="shared" si="113"/>
        <v>#N/A</v>
      </c>
      <c r="G1114" t="e">
        <f t="shared" si="114"/>
        <v>#N/A</v>
      </c>
      <c r="H1114" t="e">
        <f t="shared" si="115"/>
        <v>#N/A</v>
      </c>
      <c r="I1114" t="e">
        <f t="shared" si="116"/>
        <v>#N/A</v>
      </c>
      <c r="J1114" t="e">
        <f t="shared" si="117"/>
        <v>#N/A</v>
      </c>
      <c r="S1114" t="str">
        <f t="shared" si="118"/>
        <v/>
      </c>
    </row>
    <row r="1115" spans="1:19" x14ac:dyDescent="0.55000000000000004">
      <c r="D1115">
        <v>2</v>
      </c>
      <c r="F1115" t="e">
        <f t="shared" si="113"/>
        <v>#N/A</v>
      </c>
      <c r="G1115" t="e">
        <f t="shared" si="114"/>
        <v>#N/A</v>
      </c>
      <c r="H1115" t="e">
        <f t="shared" si="115"/>
        <v>#N/A</v>
      </c>
      <c r="I1115" t="e">
        <f t="shared" si="116"/>
        <v>#N/A</v>
      </c>
      <c r="J1115" t="e">
        <f t="shared" si="117"/>
        <v>#N/A</v>
      </c>
      <c r="S1115" t="str">
        <f t="shared" si="118"/>
        <v/>
      </c>
    </row>
    <row r="1116" spans="1:19" x14ac:dyDescent="0.55000000000000004">
      <c r="D1116">
        <v>2</v>
      </c>
      <c r="F1116" t="e">
        <f t="shared" si="113"/>
        <v>#N/A</v>
      </c>
      <c r="G1116" t="e">
        <f t="shared" si="114"/>
        <v>#N/A</v>
      </c>
      <c r="H1116" t="e">
        <f t="shared" si="115"/>
        <v>#N/A</v>
      </c>
      <c r="I1116" t="e">
        <f t="shared" si="116"/>
        <v>#N/A</v>
      </c>
      <c r="J1116" t="e">
        <f t="shared" si="117"/>
        <v>#N/A</v>
      </c>
      <c r="S1116" t="str">
        <f t="shared" si="118"/>
        <v/>
      </c>
    </row>
    <row r="1117" spans="1:19" x14ac:dyDescent="0.55000000000000004">
      <c r="D1117">
        <v>2</v>
      </c>
      <c r="F1117" t="e">
        <f t="shared" si="113"/>
        <v>#N/A</v>
      </c>
      <c r="G1117" t="e">
        <f t="shared" si="114"/>
        <v>#N/A</v>
      </c>
      <c r="H1117" t="e">
        <f t="shared" si="115"/>
        <v>#N/A</v>
      </c>
      <c r="I1117" t="e">
        <f t="shared" si="116"/>
        <v>#N/A</v>
      </c>
      <c r="J1117" t="e">
        <f t="shared" si="117"/>
        <v>#N/A</v>
      </c>
      <c r="S1117" t="str">
        <f t="shared" si="118"/>
        <v/>
      </c>
    </row>
    <row r="1118" spans="1:19" x14ac:dyDescent="0.55000000000000004">
      <c r="D1118">
        <v>2</v>
      </c>
      <c r="F1118" t="e">
        <f t="shared" si="113"/>
        <v>#N/A</v>
      </c>
      <c r="G1118" t="e">
        <f t="shared" si="114"/>
        <v>#N/A</v>
      </c>
      <c r="H1118" t="e">
        <f t="shared" si="115"/>
        <v>#N/A</v>
      </c>
      <c r="I1118" t="e">
        <f t="shared" si="116"/>
        <v>#N/A</v>
      </c>
      <c r="J1118" t="e">
        <f t="shared" si="117"/>
        <v>#N/A</v>
      </c>
      <c r="S1118" t="str">
        <f t="shared" si="118"/>
        <v/>
      </c>
    </row>
    <row r="1119" spans="1:19" x14ac:dyDescent="0.55000000000000004">
      <c r="D1119">
        <v>2</v>
      </c>
      <c r="F1119" t="e">
        <f t="shared" si="113"/>
        <v>#N/A</v>
      </c>
      <c r="G1119" t="e">
        <f t="shared" si="114"/>
        <v>#N/A</v>
      </c>
      <c r="H1119" t="e">
        <f t="shared" si="115"/>
        <v>#N/A</v>
      </c>
      <c r="I1119" t="e">
        <f t="shared" si="116"/>
        <v>#N/A</v>
      </c>
      <c r="J1119" t="e">
        <f t="shared" si="117"/>
        <v>#N/A</v>
      </c>
      <c r="S1119" t="str">
        <f t="shared" si="118"/>
        <v/>
      </c>
    </row>
    <row r="1120" spans="1:19" x14ac:dyDescent="0.55000000000000004">
      <c r="D1120">
        <v>2</v>
      </c>
      <c r="F1120" t="e">
        <f t="shared" si="113"/>
        <v>#N/A</v>
      </c>
      <c r="G1120" t="e">
        <f t="shared" si="114"/>
        <v>#N/A</v>
      </c>
      <c r="H1120" t="e">
        <f t="shared" si="115"/>
        <v>#N/A</v>
      </c>
      <c r="I1120" t="e">
        <f t="shared" si="116"/>
        <v>#N/A</v>
      </c>
      <c r="J1120" t="e">
        <f t="shared" si="117"/>
        <v>#N/A</v>
      </c>
      <c r="S1120" t="str">
        <f t="shared" si="118"/>
        <v/>
      </c>
    </row>
    <row r="1121" spans="4:19" x14ac:dyDescent="0.55000000000000004">
      <c r="D1121">
        <v>2</v>
      </c>
      <c r="F1121" t="e">
        <f t="shared" si="113"/>
        <v>#N/A</v>
      </c>
      <c r="G1121" t="e">
        <f t="shared" si="114"/>
        <v>#N/A</v>
      </c>
      <c r="H1121" t="e">
        <f t="shared" si="115"/>
        <v>#N/A</v>
      </c>
      <c r="I1121" t="e">
        <f t="shared" si="116"/>
        <v>#N/A</v>
      </c>
      <c r="J1121" t="e">
        <f t="shared" si="117"/>
        <v>#N/A</v>
      </c>
      <c r="S1121" t="str">
        <f t="shared" si="118"/>
        <v/>
      </c>
    </row>
    <row r="1122" spans="4:19" x14ac:dyDescent="0.55000000000000004">
      <c r="D1122">
        <v>2</v>
      </c>
      <c r="F1122" t="e">
        <f t="shared" si="113"/>
        <v>#N/A</v>
      </c>
      <c r="G1122" t="e">
        <f t="shared" si="114"/>
        <v>#N/A</v>
      </c>
      <c r="H1122" t="e">
        <f t="shared" si="115"/>
        <v>#N/A</v>
      </c>
      <c r="I1122" t="e">
        <f t="shared" si="116"/>
        <v>#N/A</v>
      </c>
      <c r="J1122" t="e">
        <f t="shared" si="117"/>
        <v>#N/A</v>
      </c>
      <c r="S1122" t="str">
        <f t="shared" si="118"/>
        <v/>
      </c>
    </row>
    <row r="1123" spans="4:19" x14ac:dyDescent="0.55000000000000004">
      <c r="D1123">
        <v>2</v>
      </c>
      <c r="F1123" t="e">
        <f t="shared" si="113"/>
        <v>#N/A</v>
      </c>
      <c r="G1123" t="e">
        <f t="shared" si="114"/>
        <v>#N/A</v>
      </c>
      <c r="H1123" t="e">
        <f t="shared" si="115"/>
        <v>#N/A</v>
      </c>
      <c r="I1123" t="e">
        <f t="shared" si="116"/>
        <v>#N/A</v>
      </c>
      <c r="J1123" t="e">
        <f t="shared" si="117"/>
        <v>#N/A</v>
      </c>
      <c r="S1123" t="str">
        <f t="shared" si="118"/>
        <v/>
      </c>
    </row>
    <row r="1124" spans="4:19" x14ac:dyDescent="0.55000000000000004">
      <c r="D1124">
        <v>2</v>
      </c>
      <c r="F1124" t="e">
        <f t="shared" si="113"/>
        <v>#N/A</v>
      </c>
      <c r="G1124" t="e">
        <f t="shared" si="114"/>
        <v>#N/A</v>
      </c>
      <c r="H1124" t="e">
        <f t="shared" si="115"/>
        <v>#N/A</v>
      </c>
      <c r="I1124" t="e">
        <f t="shared" si="116"/>
        <v>#N/A</v>
      </c>
      <c r="J1124" t="e">
        <f t="shared" si="117"/>
        <v>#N/A</v>
      </c>
      <c r="S1124" t="str">
        <f t="shared" si="118"/>
        <v/>
      </c>
    </row>
    <row r="1125" spans="4:19" x14ac:dyDescent="0.55000000000000004">
      <c r="D1125">
        <v>2</v>
      </c>
      <c r="F1125" t="e">
        <f t="shared" si="113"/>
        <v>#N/A</v>
      </c>
      <c r="G1125" t="e">
        <f t="shared" si="114"/>
        <v>#N/A</v>
      </c>
      <c r="H1125" t="e">
        <f t="shared" si="115"/>
        <v>#N/A</v>
      </c>
      <c r="I1125" t="e">
        <f t="shared" si="116"/>
        <v>#N/A</v>
      </c>
      <c r="J1125" t="e">
        <f t="shared" si="117"/>
        <v>#N/A</v>
      </c>
      <c r="S1125" t="str">
        <f t="shared" si="118"/>
        <v/>
      </c>
    </row>
    <row r="1126" spans="4:19" x14ac:dyDescent="0.55000000000000004">
      <c r="D1126">
        <v>2</v>
      </c>
      <c r="F1126" t="e">
        <f t="shared" si="113"/>
        <v>#N/A</v>
      </c>
      <c r="G1126" t="e">
        <f t="shared" si="114"/>
        <v>#N/A</v>
      </c>
      <c r="H1126" t="e">
        <f t="shared" si="115"/>
        <v>#N/A</v>
      </c>
      <c r="I1126" t="e">
        <f t="shared" si="116"/>
        <v>#N/A</v>
      </c>
      <c r="J1126" t="e">
        <f t="shared" si="117"/>
        <v>#N/A</v>
      </c>
      <c r="S1126" t="str">
        <f t="shared" si="118"/>
        <v/>
      </c>
    </row>
    <row r="1127" spans="4:19" x14ac:dyDescent="0.55000000000000004">
      <c r="D1127">
        <v>2</v>
      </c>
      <c r="F1127" t="e">
        <f t="shared" si="113"/>
        <v>#N/A</v>
      </c>
      <c r="G1127" t="e">
        <f t="shared" si="114"/>
        <v>#N/A</v>
      </c>
      <c r="H1127" t="e">
        <f t="shared" si="115"/>
        <v>#N/A</v>
      </c>
      <c r="I1127" t="e">
        <f t="shared" si="116"/>
        <v>#N/A</v>
      </c>
      <c r="J1127" t="e">
        <f t="shared" si="117"/>
        <v>#N/A</v>
      </c>
      <c r="S1127" t="str">
        <f t="shared" si="118"/>
        <v/>
      </c>
    </row>
    <row r="1128" spans="4:19" x14ac:dyDescent="0.55000000000000004">
      <c r="D1128">
        <v>2</v>
      </c>
      <c r="F1128" t="e">
        <f t="shared" si="113"/>
        <v>#N/A</v>
      </c>
      <c r="G1128" t="e">
        <f t="shared" si="114"/>
        <v>#N/A</v>
      </c>
      <c r="H1128" t="e">
        <f t="shared" si="115"/>
        <v>#N/A</v>
      </c>
      <c r="I1128" t="e">
        <f t="shared" si="116"/>
        <v>#N/A</v>
      </c>
      <c r="J1128" t="e">
        <f t="shared" si="117"/>
        <v>#N/A</v>
      </c>
      <c r="S1128" t="str">
        <f t="shared" si="118"/>
        <v/>
      </c>
    </row>
    <row r="1129" spans="4:19" x14ac:dyDescent="0.55000000000000004">
      <c r="D1129">
        <v>2</v>
      </c>
      <c r="F1129" t="e">
        <f t="shared" si="113"/>
        <v>#N/A</v>
      </c>
      <c r="G1129" t="e">
        <f t="shared" si="114"/>
        <v>#N/A</v>
      </c>
      <c r="H1129" t="e">
        <f t="shared" si="115"/>
        <v>#N/A</v>
      </c>
      <c r="I1129" t="e">
        <f t="shared" si="116"/>
        <v>#N/A</v>
      </c>
      <c r="J1129" t="e">
        <f t="shared" si="117"/>
        <v>#N/A</v>
      </c>
      <c r="S1129" t="str">
        <f t="shared" si="118"/>
        <v/>
      </c>
    </row>
    <row r="1130" spans="4:19" x14ac:dyDescent="0.55000000000000004">
      <c r="D1130">
        <v>2</v>
      </c>
      <c r="F1130" t="e">
        <f t="shared" si="113"/>
        <v>#N/A</v>
      </c>
      <c r="G1130" t="e">
        <f t="shared" si="114"/>
        <v>#N/A</v>
      </c>
      <c r="H1130" t="e">
        <f t="shared" si="115"/>
        <v>#N/A</v>
      </c>
      <c r="I1130" t="e">
        <f t="shared" si="116"/>
        <v>#N/A</v>
      </c>
      <c r="J1130" t="e">
        <f t="shared" si="117"/>
        <v>#N/A</v>
      </c>
      <c r="S1130" t="str">
        <f t="shared" si="118"/>
        <v/>
      </c>
    </row>
    <row r="1131" spans="4:19" x14ac:dyDescent="0.55000000000000004">
      <c r="D1131">
        <v>2</v>
      </c>
      <c r="F1131" t="e">
        <f t="shared" si="113"/>
        <v>#N/A</v>
      </c>
      <c r="G1131" t="e">
        <f t="shared" si="114"/>
        <v>#N/A</v>
      </c>
      <c r="H1131" t="e">
        <f t="shared" si="115"/>
        <v>#N/A</v>
      </c>
      <c r="I1131" t="e">
        <f t="shared" si="116"/>
        <v>#N/A</v>
      </c>
      <c r="J1131" t="e">
        <f t="shared" si="117"/>
        <v>#N/A</v>
      </c>
      <c r="S1131" t="str">
        <f t="shared" si="118"/>
        <v/>
      </c>
    </row>
    <row r="1132" spans="4:19" x14ac:dyDescent="0.55000000000000004">
      <c r="D1132">
        <v>2</v>
      </c>
      <c r="F1132" t="e">
        <f t="shared" si="113"/>
        <v>#N/A</v>
      </c>
      <c r="G1132" t="e">
        <f t="shared" si="114"/>
        <v>#N/A</v>
      </c>
      <c r="H1132" t="e">
        <f t="shared" si="115"/>
        <v>#N/A</v>
      </c>
      <c r="I1132" t="e">
        <f t="shared" si="116"/>
        <v>#N/A</v>
      </c>
      <c r="J1132" t="e">
        <f t="shared" si="117"/>
        <v>#N/A</v>
      </c>
      <c r="S1132" t="str">
        <f t="shared" si="118"/>
        <v/>
      </c>
    </row>
    <row r="1133" spans="4:19" x14ac:dyDescent="0.55000000000000004">
      <c r="D1133">
        <v>2</v>
      </c>
      <c r="F1133" t="e">
        <f t="shared" si="113"/>
        <v>#N/A</v>
      </c>
      <c r="G1133" t="e">
        <f t="shared" si="114"/>
        <v>#N/A</v>
      </c>
      <c r="H1133" t="e">
        <f t="shared" si="115"/>
        <v>#N/A</v>
      </c>
      <c r="I1133" t="e">
        <f t="shared" si="116"/>
        <v>#N/A</v>
      </c>
      <c r="J1133" t="e">
        <f t="shared" si="117"/>
        <v>#N/A</v>
      </c>
      <c r="S1133" t="str">
        <f t="shared" si="118"/>
        <v/>
      </c>
    </row>
    <row r="1134" spans="4:19" x14ac:dyDescent="0.55000000000000004">
      <c r="D1134">
        <v>2</v>
      </c>
      <c r="F1134" t="e">
        <f t="shared" si="113"/>
        <v>#N/A</v>
      </c>
      <c r="G1134" t="e">
        <f t="shared" si="114"/>
        <v>#N/A</v>
      </c>
      <c r="H1134" t="e">
        <f t="shared" si="115"/>
        <v>#N/A</v>
      </c>
      <c r="I1134" t="e">
        <f t="shared" si="116"/>
        <v>#N/A</v>
      </c>
      <c r="J1134" t="e">
        <f t="shared" si="117"/>
        <v>#N/A</v>
      </c>
      <c r="S1134" t="str">
        <f t="shared" si="118"/>
        <v/>
      </c>
    </row>
    <row r="1135" spans="4:19" x14ac:dyDescent="0.55000000000000004">
      <c r="D1135">
        <v>2</v>
      </c>
      <c r="F1135" t="e">
        <f t="shared" si="113"/>
        <v>#N/A</v>
      </c>
      <c r="G1135" t="e">
        <f t="shared" si="114"/>
        <v>#N/A</v>
      </c>
      <c r="H1135" t="e">
        <f t="shared" si="115"/>
        <v>#N/A</v>
      </c>
      <c r="I1135" t="e">
        <f t="shared" si="116"/>
        <v>#N/A</v>
      </c>
      <c r="J1135" t="e">
        <f t="shared" si="117"/>
        <v>#N/A</v>
      </c>
      <c r="S1135" t="str">
        <f t="shared" si="118"/>
        <v/>
      </c>
    </row>
    <row r="1136" spans="4:19" x14ac:dyDescent="0.55000000000000004">
      <c r="D1136">
        <v>2</v>
      </c>
      <c r="F1136" t="e">
        <f t="shared" si="113"/>
        <v>#N/A</v>
      </c>
      <c r="G1136" t="e">
        <f t="shared" si="114"/>
        <v>#N/A</v>
      </c>
      <c r="H1136" t="e">
        <f t="shared" si="115"/>
        <v>#N/A</v>
      </c>
      <c r="I1136" t="e">
        <f t="shared" si="116"/>
        <v>#N/A</v>
      </c>
      <c r="J1136" t="e">
        <f t="shared" si="117"/>
        <v>#N/A</v>
      </c>
      <c r="S1136" t="str">
        <f t="shared" si="118"/>
        <v/>
      </c>
    </row>
    <row r="1137" spans="4:19" x14ac:dyDescent="0.55000000000000004">
      <c r="D1137">
        <v>2</v>
      </c>
      <c r="F1137" t="e">
        <f t="shared" si="113"/>
        <v>#N/A</v>
      </c>
      <c r="G1137" t="e">
        <f t="shared" si="114"/>
        <v>#N/A</v>
      </c>
      <c r="H1137" t="e">
        <f t="shared" si="115"/>
        <v>#N/A</v>
      </c>
      <c r="I1137" t="e">
        <f t="shared" si="116"/>
        <v>#N/A</v>
      </c>
      <c r="J1137" t="e">
        <f t="shared" si="117"/>
        <v>#N/A</v>
      </c>
      <c r="S1137" t="str">
        <f t="shared" si="118"/>
        <v/>
      </c>
    </row>
    <row r="1138" spans="4:19" x14ac:dyDescent="0.55000000000000004">
      <c r="D1138">
        <v>2</v>
      </c>
      <c r="F1138" t="e">
        <f t="shared" si="113"/>
        <v>#N/A</v>
      </c>
      <c r="G1138" t="e">
        <f t="shared" si="114"/>
        <v>#N/A</v>
      </c>
      <c r="H1138" t="e">
        <f t="shared" si="115"/>
        <v>#N/A</v>
      </c>
      <c r="I1138" t="e">
        <f t="shared" si="116"/>
        <v>#N/A</v>
      </c>
      <c r="J1138" t="e">
        <f t="shared" si="117"/>
        <v>#N/A</v>
      </c>
      <c r="S1138" t="str">
        <f t="shared" si="118"/>
        <v/>
      </c>
    </row>
    <row r="1139" spans="4:19" x14ac:dyDescent="0.55000000000000004">
      <c r="D1139">
        <v>2</v>
      </c>
      <c r="F1139" t="e">
        <f t="shared" si="113"/>
        <v>#N/A</v>
      </c>
      <c r="G1139" t="e">
        <f t="shared" si="114"/>
        <v>#N/A</v>
      </c>
      <c r="H1139" t="e">
        <f t="shared" si="115"/>
        <v>#N/A</v>
      </c>
      <c r="I1139" t="e">
        <f t="shared" si="116"/>
        <v>#N/A</v>
      </c>
      <c r="J1139" t="e">
        <f t="shared" si="117"/>
        <v>#N/A</v>
      </c>
      <c r="S1139" t="str">
        <f t="shared" si="118"/>
        <v/>
      </c>
    </row>
    <row r="1140" spans="4:19" x14ac:dyDescent="0.55000000000000004">
      <c r="D1140">
        <v>2</v>
      </c>
      <c r="F1140" t="e">
        <f t="shared" si="113"/>
        <v>#N/A</v>
      </c>
      <c r="G1140" t="e">
        <f t="shared" si="114"/>
        <v>#N/A</v>
      </c>
      <c r="H1140" t="e">
        <f t="shared" si="115"/>
        <v>#N/A</v>
      </c>
      <c r="I1140" t="e">
        <f t="shared" si="116"/>
        <v>#N/A</v>
      </c>
      <c r="J1140" t="e">
        <f t="shared" si="117"/>
        <v>#N/A</v>
      </c>
      <c r="S1140" t="str">
        <f t="shared" si="118"/>
        <v/>
      </c>
    </row>
    <row r="1141" spans="4:19" x14ac:dyDescent="0.55000000000000004">
      <c r="D1141">
        <v>2</v>
      </c>
      <c r="F1141" t="e">
        <f t="shared" si="113"/>
        <v>#N/A</v>
      </c>
      <c r="G1141" t="e">
        <f t="shared" si="114"/>
        <v>#N/A</v>
      </c>
      <c r="H1141" t="e">
        <f t="shared" si="115"/>
        <v>#N/A</v>
      </c>
      <c r="I1141" t="e">
        <f t="shared" si="116"/>
        <v>#N/A</v>
      </c>
      <c r="J1141" t="e">
        <f t="shared" si="117"/>
        <v>#N/A</v>
      </c>
      <c r="S1141" t="str">
        <f t="shared" si="118"/>
        <v/>
      </c>
    </row>
    <row r="1142" spans="4:19" x14ac:dyDescent="0.55000000000000004">
      <c r="D1142">
        <v>2</v>
      </c>
      <c r="F1142" t="e">
        <f t="shared" si="113"/>
        <v>#N/A</v>
      </c>
      <c r="G1142" t="e">
        <f t="shared" si="114"/>
        <v>#N/A</v>
      </c>
      <c r="H1142" t="e">
        <f t="shared" si="115"/>
        <v>#N/A</v>
      </c>
      <c r="I1142" t="e">
        <f t="shared" si="116"/>
        <v>#N/A</v>
      </c>
      <c r="J1142" t="e">
        <f t="shared" si="117"/>
        <v>#N/A</v>
      </c>
      <c r="S1142" t="str">
        <f t="shared" si="118"/>
        <v/>
      </c>
    </row>
    <row r="1143" spans="4:19" x14ac:dyDescent="0.55000000000000004">
      <c r="D1143">
        <v>2</v>
      </c>
      <c r="F1143" t="e">
        <f t="shared" si="113"/>
        <v>#N/A</v>
      </c>
      <c r="G1143" t="e">
        <f t="shared" si="114"/>
        <v>#N/A</v>
      </c>
      <c r="H1143" t="e">
        <f t="shared" si="115"/>
        <v>#N/A</v>
      </c>
      <c r="I1143" t="e">
        <f t="shared" si="116"/>
        <v>#N/A</v>
      </c>
      <c r="J1143" t="e">
        <f t="shared" si="117"/>
        <v>#N/A</v>
      </c>
      <c r="S1143" t="str">
        <f t="shared" si="118"/>
        <v/>
      </c>
    </row>
    <row r="1144" spans="4:19" x14ac:dyDescent="0.55000000000000004">
      <c r="D1144">
        <v>2</v>
      </c>
      <c r="F1144" t="e">
        <f t="shared" si="113"/>
        <v>#N/A</v>
      </c>
      <c r="G1144" t="e">
        <f t="shared" si="114"/>
        <v>#N/A</v>
      </c>
      <c r="H1144" t="e">
        <f t="shared" si="115"/>
        <v>#N/A</v>
      </c>
      <c r="I1144" t="e">
        <f t="shared" si="116"/>
        <v>#N/A</v>
      </c>
      <c r="J1144" t="e">
        <f t="shared" si="117"/>
        <v>#N/A</v>
      </c>
      <c r="S1144" t="str">
        <f t="shared" si="118"/>
        <v/>
      </c>
    </row>
    <row r="1145" spans="4:19" x14ac:dyDescent="0.55000000000000004">
      <c r="S1145" t="str">
        <f t="shared" si="118"/>
        <v/>
      </c>
    </row>
    <row r="1146" spans="4:19" x14ac:dyDescent="0.55000000000000004">
      <c r="S1146" t="str">
        <f t="shared" si="118"/>
        <v/>
      </c>
    </row>
    <row r="1147" spans="4:19" x14ac:dyDescent="0.55000000000000004">
      <c r="S1147" t="str">
        <f t="shared" si="118"/>
        <v/>
      </c>
    </row>
    <row r="1148" spans="4:19" x14ac:dyDescent="0.55000000000000004">
      <c r="S1148" t="str">
        <f t="shared" si="118"/>
        <v/>
      </c>
    </row>
    <row r="1149" spans="4:19" x14ac:dyDescent="0.55000000000000004">
      <c r="S1149" t="str">
        <f t="shared" si="118"/>
        <v/>
      </c>
    </row>
    <row r="1150" spans="4:19" x14ac:dyDescent="0.55000000000000004">
      <c r="S1150" t="str">
        <f t="shared" si="118"/>
        <v/>
      </c>
    </row>
    <row r="1151" spans="4:19" x14ac:dyDescent="0.55000000000000004">
      <c r="S1151" t="str">
        <f t="shared" si="118"/>
        <v/>
      </c>
    </row>
    <row r="1152" spans="4:19" x14ac:dyDescent="0.55000000000000004">
      <c r="S1152" t="str">
        <f t="shared" si="118"/>
        <v/>
      </c>
    </row>
    <row r="1153" spans="19:19" x14ac:dyDescent="0.55000000000000004">
      <c r="S1153" t="str">
        <f t="shared" si="118"/>
        <v/>
      </c>
    </row>
    <row r="1154" spans="19:19" x14ac:dyDescent="0.55000000000000004">
      <c r="S1154" t="str">
        <f t="shared" si="118"/>
        <v/>
      </c>
    </row>
    <row r="1155" spans="19:19" x14ac:dyDescent="0.55000000000000004">
      <c r="S1155" t="str">
        <f t="shared" si="118"/>
        <v/>
      </c>
    </row>
    <row r="1156" spans="19:19" x14ac:dyDescent="0.55000000000000004">
      <c r="S1156" t="str">
        <f t="shared" ref="S1156:S1219" si="119">IF(R1156&lt;&gt;"", R1156*236.588, "")</f>
        <v/>
      </c>
    </row>
    <row r="1157" spans="19:19" x14ac:dyDescent="0.55000000000000004">
      <c r="S1157" t="str">
        <f t="shared" si="119"/>
        <v/>
      </c>
    </row>
    <row r="1158" spans="19:19" x14ac:dyDescent="0.55000000000000004">
      <c r="S1158" t="str">
        <f t="shared" si="119"/>
        <v/>
      </c>
    </row>
    <row r="1159" spans="19:19" x14ac:dyDescent="0.55000000000000004">
      <c r="S1159" t="str">
        <f t="shared" si="119"/>
        <v/>
      </c>
    </row>
    <row r="1160" spans="19:19" x14ac:dyDescent="0.55000000000000004">
      <c r="S1160" t="str">
        <f t="shared" si="119"/>
        <v/>
      </c>
    </row>
    <row r="1161" spans="19:19" x14ac:dyDescent="0.55000000000000004">
      <c r="S1161" t="str">
        <f t="shared" si="119"/>
        <v/>
      </c>
    </row>
    <row r="1162" spans="19:19" x14ac:dyDescent="0.55000000000000004">
      <c r="S1162" t="str">
        <f t="shared" si="119"/>
        <v/>
      </c>
    </row>
    <row r="1163" spans="19:19" x14ac:dyDescent="0.55000000000000004">
      <c r="S1163" t="str">
        <f t="shared" si="119"/>
        <v/>
      </c>
    </row>
    <row r="1164" spans="19:19" x14ac:dyDescent="0.55000000000000004">
      <c r="S1164" t="str">
        <f t="shared" si="119"/>
        <v/>
      </c>
    </row>
    <row r="1165" spans="19:19" x14ac:dyDescent="0.55000000000000004">
      <c r="S1165" t="str">
        <f t="shared" si="119"/>
        <v/>
      </c>
    </row>
    <row r="1166" spans="19:19" x14ac:dyDescent="0.55000000000000004">
      <c r="S1166" t="str">
        <f t="shared" si="119"/>
        <v/>
      </c>
    </row>
    <row r="1167" spans="19:19" x14ac:dyDescent="0.55000000000000004">
      <c r="S1167" t="str">
        <f t="shared" si="119"/>
        <v/>
      </c>
    </row>
    <row r="1168" spans="19:19" x14ac:dyDescent="0.55000000000000004">
      <c r="S1168" t="str">
        <f t="shared" si="119"/>
        <v/>
      </c>
    </row>
    <row r="1169" spans="19:19" x14ac:dyDescent="0.55000000000000004">
      <c r="S1169" t="str">
        <f t="shared" si="119"/>
        <v/>
      </c>
    </row>
    <row r="1170" spans="19:19" x14ac:dyDescent="0.55000000000000004">
      <c r="S1170" t="str">
        <f t="shared" si="119"/>
        <v/>
      </c>
    </row>
    <row r="1171" spans="19:19" x14ac:dyDescent="0.55000000000000004">
      <c r="S1171" t="str">
        <f t="shared" si="119"/>
        <v/>
      </c>
    </row>
    <row r="1172" spans="19:19" x14ac:dyDescent="0.55000000000000004">
      <c r="S1172" t="str">
        <f t="shared" si="119"/>
        <v/>
      </c>
    </row>
    <row r="1173" spans="19:19" x14ac:dyDescent="0.55000000000000004">
      <c r="S1173" t="str">
        <f t="shared" si="119"/>
        <v/>
      </c>
    </row>
    <row r="1174" spans="19:19" x14ac:dyDescent="0.55000000000000004">
      <c r="S1174" t="str">
        <f t="shared" si="119"/>
        <v/>
      </c>
    </row>
    <row r="1175" spans="19:19" x14ac:dyDescent="0.55000000000000004">
      <c r="S1175" t="str">
        <f t="shared" si="119"/>
        <v/>
      </c>
    </row>
    <row r="1176" spans="19:19" x14ac:dyDescent="0.55000000000000004">
      <c r="S1176" t="str">
        <f t="shared" si="119"/>
        <v/>
      </c>
    </row>
    <row r="1177" spans="19:19" x14ac:dyDescent="0.55000000000000004">
      <c r="S1177" t="str">
        <f t="shared" si="119"/>
        <v/>
      </c>
    </row>
    <row r="1178" spans="19:19" x14ac:dyDescent="0.55000000000000004">
      <c r="S1178" t="str">
        <f t="shared" si="119"/>
        <v/>
      </c>
    </row>
    <row r="1179" spans="19:19" x14ac:dyDescent="0.55000000000000004">
      <c r="S1179" t="str">
        <f t="shared" si="119"/>
        <v/>
      </c>
    </row>
    <row r="1180" spans="19:19" x14ac:dyDescent="0.55000000000000004">
      <c r="S1180" t="str">
        <f t="shared" si="119"/>
        <v/>
      </c>
    </row>
    <row r="1181" spans="19:19" x14ac:dyDescent="0.55000000000000004">
      <c r="S1181" t="str">
        <f t="shared" si="119"/>
        <v/>
      </c>
    </row>
    <row r="1182" spans="19:19" x14ac:dyDescent="0.55000000000000004">
      <c r="S1182" t="str">
        <f t="shared" si="119"/>
        <v/>
      </c>
    </row>
    <row r="1183" spans="19:19" x14ac:dyDescent="0.55000000000000004">
      <c r="S1183" t="str">
        <f t="shared" si="119"/>
        <v/>
      </c>
    </row>
    <row r="1184" spans="19:19" x14ac:dyDescent="0.55000000000000004">
      <c r="S1184" t="str">
        <f t="shared" si="119"/>
        <v/>
      </c>
    </row>
    <row r="1185" spans="19:19" x14ac:dyDescent="0.55000000000000004">
      <c r="S1185" t="str">
        <f t="shared" si="119"/>
        <v/>
      </c>
    </row>
    <row r="1186" spans="19:19" x14ac:dyDescent="0.55000000000000004">
      <c r="S1186" t="str">
        <f t="shared" si="119"/>
        <v/>
      </c>
    </row>
    <row r="1187" spans="19:19" x14ac:dyDescent="0.55000000000000004">
      <c r="S1187" t="str">
        <f t="shared" si="119"/>
        <v/>
      </c>
    </row>
    <row r="1188" spans="19:19" x14ac:dyDescent="0.55000000000000004">
      <c r="S1188" t="str">
        <f t="shared" si="119"/>
        <v/>
      </c>
    </row>
    <row r="1189" spans="19:19" x14ac:dyDescent="0.55000000000000004">
      <c r="S1189" t="str">
        <f t="shared" si="119"/>
        <v/>
      </c>
    </row>
    <row r="1190" spans="19:19" x14ac:dyDescent="0.55000000000000004">
      <c r="S1190" t="str">
        <f t="shared" si="119"/>
        <v/>
      </c>
    </row>
    <row r="1191" spans="19:19" x14ac:dyDescent="0.55000000000000004">
      <c r="S1191" t="str">
        <f t="shared" si="119"/>
        <v/>
      </c>
    </row>
    <row r="1192" spans="19:19" x14ac:dyDescent="0.55000000000000004">
      <c r="S1192" t="str">
        <f t="shared" si="119"/>
        <v/>
      </c>
    </row>
    <row r="1193" spans="19:19" x14ac:dyDescent="0.55000000000000004">
      <c r="S1193" t="str">
        <f t="shared" si="119"/>
        <v/>
      </c>
    </row>
    <row r="1194" spans="19:19" x14ac:dyDescent="0.55000000000000004">
      <c r="S1194" t="str">
        <f t="shared" si="119"/>
        <v/>
      </c>
    </row>
    <row r="1195" spans="19:19" x14ac:dyDescent="0.55000000000000004">
      <c r="S1195" t="str">
        <f t="shared" si="119"/>
        <v/>
      </c>
    </row>
    <row r="1196" spans="19:19" x14ac:dyDescent="0.55000000000000004">
      <c r="S1196" t="str">
        <f t="shared" si="119"/>
        <v/>
      </c>
    </row>
    <row r="1197" spans="19:19" x14ac:dyDescent="0.55000000000000004">
      <c r="S1197" t="str">
        <f t="shared" si="119"/>
        <v/>
      </c>
    </row>
    <row r="1198" spans="19:19" x14ac:dyDescent="0.55000000000000004">
      <c r="S1198" t="str">
        <f t="shared" si="119"/>
        <v/>
      </c>
    </row>
    <row r="1199" spans="19:19" x14ac:dyDescent="0.55000000000000004">
      <c r="S1199" t="str">
        <f t="shared" si="119"/>
        <v/>
      </c>
    </row>
    <row r="1200" spans="19:19" x14ac:dyDescent="0.55000000000000004">
      <c r="S1200" t="str">
        <f t="shared" si="119"/>
        <v/>
      </c>
    </row>
    <row r="1201" spans="19:19" x14ac:dyDescent="0.55000000000000004">
      <c r="S1201" t="str">
        <f t="shared" si="119"/>
        <v/>
      </c>
    </row>
    <row r="1202" spans="19:19" x14ac:dyDescent="0.55000000000000004">
      <c r="S1202" t="str">
        <f t="shared" si="119"/>
        <v/>
      </c>
    </row>
    <row r="1203" spans="19:19" x14ac:dyDescent="0.55000000000000004">
      <c r="S1203" t="str">
        <f t="shared" si="119"/>
        <v/>
      </c>
    </row>
    <row r="1204" spans="19:19" x14ac:dyDescent="0.55000000000000004">
      <c r="S1204" t="str">
        <f t="shared" si="119"/>
        <v/>
      </c>
    </row>
    <row r="1205" spans="19:19" x14ac:dyDescent="0.55000000000000004">
      <c r="S1205" t="str">
        <f t="shared" si="119"/>
        <v/>
      </c>
    </row>
    <row r="1206" spans="19:19" x14ac:dyDescent="0.55000000000000004">
      <c r="S1206" t="str">
        <f t="shared" si="119"/>
        <v/>
      </c>
    </row>
    <row r="1207" spans="19:19" x14ac:dyDescent="0.55000000000000004">
      <c r="S1207" t="str">
        <f t="shared" si="119"/>
        <v/>
      </c>
    </row>
    <row r="1208" spans="19:19" x14ac:dyDescent="0.55000000000000004">
      <c r="S1208" t="str">
        <f t="shared" si="119"/>
        <v/>
      </c>
    </row>
    <row r="1209" spans="19:19" x14ac:dyDescent="0.55000000000000004">
      <c r="S1209" t="str">
        <f t="shared" si="119"/>
        <v/>
      </c>
    </row>
    <row r="1210" spans="19:19" x14ac:dyDescent="0.55000000000000004">
      <c r="S1210" t="str">
        <f t="shared" si="119"/>
        <v/>
      </c>
    </row>
    <row r="1211" spans="19:19" x14ac:dyDescent="0.55000000000000004">
      <c r="S1211" t="str">
        <f t="shared" si="119"/>
        <v/>
      </c>
    </row>
    <row r="1212" spans="19:19" x14ac:dyDescent="0.55000000000000004">
      <c r="S1212" t="str">
        <f t="shared" si="119"/>
        <v/>
      </c>
    </row>
    <row r="1213" spans="19:19" x14ac:dyDescent="0.55000000000000004">
      <c r="S1213" t="str">
        <f t="shared" si="119"/>
        <v/>
      </c>
    </row>
    <row r="1214" spans="19:19" x14ac:dyDescent="0.55000000000000004">
      <c r="S1214" t="str">
        <f t="shared" si="119"/>
        <v/>
      </c>
    </row>
    <row r="1215" spans="19:19" x14ac:dyDescent="0.55000000000000004">
      <c r="S1215" t="str">
        <f t="shared" si="119"/>
        <v/>
      </c>
    </row>
    <row r="1216" spans="19:19" x14ac:dyDescent="0.55000000000000004">
      <c r="S1216" t="str">
        <f t="shared" si="119"/>
        <v/>
      </c>
    </row>
    <row r="1217" spans="19:19" x14ac:dyDescent="0.55000000000000004">
      <c r="S1217" t="str">
        <f t="shared" si="119"/>
        <v/>
      </c>
    </row>
    <row r="1218" spans="19:19" x14ac:dyDescent="0.55000000000000004">
      <c r="S1218" t="str">
        <f t="shared" si="119"/>
        <v/>
      </c>
    </row>
    <row r="1219" spans="19:19" x14ac:dyDescent="0.55000000000000004">
      <c r="S1219" t="str">
        <f t="shared" si="119"/>
        <v/>
      </c>
    </row>
    <row r="1220" spans="19:19" x14ac:dyDescent="0.55000000000000004">
      <c r="S1220" t="str">
        <f t="shared" ref="S1220:S1283" si="120">IF(R1220&lt;&gt;"", R1220*236.588, "")</f>
        <v/>
      </c>
    </row>
    <row r="1221" spans="19:19" x14ac:dyDescent="0.55000000000000004">
      <c r="S1221" t="str">
        <f t="shared" si="120"/>
        <v/>
      </c>
    </row>
    <row r="1222" spans="19:19" x14ac:dyDescent="0.55000000000000004">
      <c r="S1222" t="str">
        <f t="shared" si="120"/>
        <v/>
      </c>
    </row>
    <row r="1223" spans="19:19" x14ac:dyDescent="0.55000000000000004">
      <c r="S1223" t="str">
        <f t="shared" si="120"/>
        <v/>
      </c>
    </row>
    <row r="1224" spans="19:19" x14ac:dyDescent="0.55000000000000004">
      <c r="S1224" t="str">
        <f t="shared" si="120"/>
        <v/>
      </c>
    </row>
    <row r="1225" spans="19:19" x14ac:dyDescent="0.55000000000000004">
      <c r="S1225" t="str">
        <f t="shared" si="120"/>
        <v/>
      </c>
    </row>
    <row r="1226" spans="19:19" x14ac:dyDescent="0.55000000000000004">
      <c r="S1226" t="str">
        <f t="shared" si="120"/>
        <v/>
      </c>
    </row>
    <row r="1227" spans="19:19" x14ac:dyDescent="0.55000000000000004">
      <c r="S1227" t="str">
        <f t="shared" si="120"/>
        <v/>
      </c>
    </row>
    <row r="1228" spans="19:19" x14ac:dyDescent="0.55000000000000004">
      <c r="S1228" t="str">
        <f t="shared" si="120"/>
        <v/>
      </c>
    </row>
    <row r="1229" spans="19:19" x14ac:dyDescent="0.55000000000000004">
      <c r="S1229" t="str">
        <f t="shared" si="120"/>
        <v/>
      </c>
    </row>
    <row r="1230" spans="19:19" x14ac:dyDescent="0.55000000000000004">
      <c r="S1230" t="str">
        <f t="shared" si="120"/>
        <v/>
      </c>
    </row>
    <row r="1231" spans="19:19" x14ac:dyDescent="0.55000000000000004">
      <c r="S1231" t="str">
        <f t="shared" si="120"/>
        <v/>
      </c>
    </row>
    <row r="1232" spans="19:19" x14ac:dyDescent="0.55000000000000004">
      <c r="S1232" t="str">
        <f t="shared" si="120"/>
        <v/>
      </c>
    </row>
    <row r="1233" spans="19:19" x14ac:dyDescent="0.55000000000000004">
      <c r="S1233" t="str">
        <f t="shared" si="120"/>
        <v/>
      </c>
    </row>
    <row r="1234" spans="19:19" x14ac:dyDescent="0.55000000000000004">
      <c r="S1234" t="str">
        <f t="shared" si="120"/>
        <v/>
      </c>
    </row>
    <row r="1235" spans="19:19" x14ac:dyDescent="0.55000000000000004">
      <c r="S1235" t="str">
        <f t="shared" si="120"/>
        <v/>
      </c>
    </row>
    <row r="1236" spans="19:19" x14ac:dyDescent="0.55000000000000004">
      <c r="S1236" t="str">
        <f t="shared" si="120"/>
        <v/>
      </c>
    </row>
    <row r="1237" spans="19:19" x14ac:dyDescent="0.55000000000000004">
      <c r="S1237" t="str">
        <f t="shared" si="120"/>
        <v/>
      </c>
    </row>
    <row r="1238" spans="19:19" x14ac:dyDescent="0.55000000000000004">
      <c r="S1238" t="str">
        <f t="shared" si="120"/>
        <v/>
      </c>
    </row>
    <row r="1239" spans="19:19" x14ac:dyDescent="0.55000000000000004">
      <c r="S1239" t="str">
        <f t="shared" si="120"/>
        <v/>
      </c>
    </row>
    <row r="1240" spans="19:19" x14ac:dyDescent="0.55000000000000004">
      <c r="S1240" t="str">
        <f t="shared" si="120"/>
        <v/>
      </c>
    </row>
    <row r="1241" spans="19:19" x14ac:dyDescent="0.55000000000000004">
      <c r="S1241" t="str">
        <f t="shared" si="120"/>
        <v/>
      </c>
    </row>
    <row r="1242" spans="19:19" x14ac:dyDescent="0.55000000000000004">
      <c r="S1242" t="str">
        <f t="shared" si="120"/>
        <v/>
      </c>
    </row>
    <row r="1243" spans="19:19" x14ac:dyDescent="0.55000000000000004">
      <c r="S1243" t="str">
        <f t="shared" si="120"/>
        <v/>
      </c>
    </row>
    <row r="1244" spans="19:19" x14ac:dyDescent="0.55000000000000004">
      <c r="S1244" t="str">
        <f t="shared" si="120"/>
        <v/>
      </c>
    </row>
    <row r="1245" spans="19:19" x14ac:dyDescent="0.55000000000000004">
      <c r="S1245" t="str">
        <f t="shared" si="120"/>
        <v/>
      </c>
    </row>
    <row r="1246" spans="19:19" x14ac:dyDescent="0.55000000000000004">
      <c r="S1246" t="str">
        <f t="shared" si="120"/>
        <v/>
      </c>
    </row>
    <row r="1247" spans="19:19" x14ac:dyDescent="0.55000000000000004">
      <c r="S1247" t="str">
        <f t="shared" si="120"/>
        <v/>
      </c>
    </row>
    <row r="1248" spans="19:19" x14ac:dyDescent="0.55000000000000004">
      <c r="S1248" t="str">
        <f t="shared" si="120"/>
        <v/>
      </c>
    </row>
    <row r="1249" spans="19:19" x14ac:dyDescent="0.55000000000000004">
      <c r="S1249" t="str">
        <f t="shared" si="120"/>
        <v/>
      </c>
    </row>
    <row r="1250" spans="19:19" x14ac:dyDescent="0.55000000000000004">
      <c r="S1250" t="str">
        <f t="shared" si="120"/>
        <v/>
      </c>
    </row>
    <row r="1251" spans="19:19" x14ac:dyDescent="0.55000000000000004">
      <c r="S1251" t="str">
        <f t="shared" si="120"/>
        <v/>
      </c>
    </row>
    <row r="1252" spans="19:19" x14ac:dyDescent="0.55000000000000004">
      <c r="S1252" t="str">
        <f t="shared" si="120"/>
        <v/>
      </c>
    </row>
    <row r="1253" spans="19:19" x14ac:dyDescent="0.55000000000000004">
      <c r="S1253" t="str">
        <f t="shared" si="120"/>
        <v/>
      </c>
    </row>
    <row r="1254" spans="19:19" x14ac:dyDescent="0.55000000000000004">
      <c r="S1254" t="str">
        <f t="shared" si="120"/>
        <v/>
      </c>
    </row>
    <row r="1255" spans="19:19" x14ac:dyDescent="0.55000000000000004">
      <c r="S1255" t="str">
        <f t="shared" si="120"/>
        <v/>
      </c>
    </row>
    <row r="1256" spans="19:19" x14ac:dyDescent="0.55000000000000004">
      <c r="S1256" t="str">
        <f t="shared" si="120"/>
        <v/>
      </c>
    </row>
    <row r="1257" spans="19:19" x14ac:dyDescent="0.55000000000000004">
      <c r="S1257" t="str">
        <f t="shared" si="120"/>
        <v/>
      </c>
    </row>
    <row r="1258" spans="19:19" x14ac:dyDescent="0.55000000000000004">
      <c r="S1258" t="str">
        <f t="shared" si="120"/>
        <v/>
      </c>
    </row>
    <row r="1259" spans="19:19" x14ac:dyDescent="0.55000000000000004">
      <c r="S1259" t="str">
        <f t="shared" si="120"/>
        <v/>
      </c>
    </row>
    <row r="1260" spans="19:19" x14ac:dyDescent="0.55000000000000004">
      <c r="S1260" t="str">
        <f t="shared" si="120"/>
        <v/>
      </c>
    </row>
    <row r="1261" spans="19:19" x14ac:dyDescent="0.55000000000000004">
      <c r="S1261" t="str">
        <f t="shared" si="120"/>
        <v/>
      </c>
    </row>
    <row r="1262" spans="19:19" x14ac:dyDescent="0.55000000000000004">
      <c r="S1262" t="str">
        <f t="shared" si="120"/>
        <v/>
      </c>
    </row>
    <row r="1263" spans="19:19" x14ac:dyDescent="0.55000000000000004">
      <c r="S1263" t="str">
        <f t="shared" si="120"/>
        <v/>
      </c>
    </row>
    <row r="1264" spans="19:19" x14ac:dyDescent="0.55000000000000004">
      <c r="S1264" t="str">
        <f t="shared" si="120"/>
        <v/>
      </c>
    </row>
    <row r="1265" spans="19:19" x14ac:dyDescent="0.55000000000000004">
      <c r="S1265" t="str">
        <f t="shared" si="120"/>
        <v/>
      </c>
    </row>
    <row r="1266" spans="19:19" x14ac:dyDescent="0.55000000000000004">
      <c r="S1266" t="str">
        <f t="shared" si="120"/>
        <v/>
      </c>
    </row>
    <row r="1267" spans="19:19" x14ac:dyDescent="0.55000000000000004">
      <c r="S1267" t="str">
        <f t="shared" si="120"/>
        <v/>
      </c>
    </row>
    <row r="1268" spans="19:19" x14ac:dyDescent="0.55000000000000004">
      <c r="S1268" t="str">
        <f t="shared" si="120"/>
        <v/>
      </c>
    </row>
    <row r="1269" spans="19:19" x14ac:dyDescent="0.55000000000000004">
      <c r="S1269" t="str">
        <f t="shared" si="120"/>
        <v/>
      </c>
    </row>
    <row r="1270" spans="19:19" x14ac:dyDescent="0.55000000000000004">
      <c r="S1270" t="str">
        <f t="shared" si="120"/>
        <v/>
      </c>
    </row>
    <row r="1271" spans="19:19" x14ac:dyDescent="0.55000000000000004">
      <c r="S1271" t="str">
        <f t="shared" si="120"/>
        <v/>
      </c>
    </row>
    <row r="1272" spans="19:19" x14ac:dyDescent="0.55000000000000004">
      <c r="S1272" t="str">
        <f t="shared" si="120"/>
        <v/>
      </c>
    </row>
    <row r="1273" spans="19:19" x14ac:dyDescent="0.55000000000000004">
      <c r="S1273" t="str">
        <f t="shared" si="120"/>
        <v/>
      </c>
    </row>
    <row r="1274" spans="19:19" x14ac:dyDescent="0.55000000000000004">
      <c r="S1274" t="str">
        <f t="shared" si="120"/>
        <v/>
      </c>
    </row>
    <row r="1275" spans="19:19" x14ac:dyDescent="0.55000000000000004">
      <c r="S1275" t="str">
        <f t="shared" si="120"/>
        <v/>
      </c>
    </row>
    <row r="1276" spans="19:19" x14ac:dyDescent="0.55000000000000004">
      <c r="S1276" t="str">
        <f t="shared" si="120"/>
        <v/>
      </c>
    </row>
    <row r="1277" spans="19:19" x14ac:dyDescent="0.55000000000000004">
      <c r="S1277" t="str">
        <f t="shared" si="120"/>
        <v/>
      </c>
    </row>
    <row r="1278" spans="19:19" x14ac:dyDescent="0.55000000000000004">
      <c r="S1278" t="str">
        <f t="shared" si="120"/>
        <v/>
      </c>
    </row>
    <row r="1279" spans="19:19" x14ac:dyDescent="0.55000000000000004">
      <c r="S1279" t="str">
        <f t="shared" si="120"/>
        <v/>
      </c>
    </row>
    <row r="1280" spans="19:19" x14ac:dyDescent="0.55000000000000004">
      <c r="S1280" t="str">
        <f t="shared" si="120"/>
        <v/>
      </c>
    </row>
    <row r="1281" spans="19:19" x14ac:dyDescent="0.55000000000000004">
      <c r="S1281" t="str">
        <f t="shared" si="120"/>
        <v/>
      </c>
    </row>
    <row r="1282" spans="19:19" x14ac:dyDescent="0.55000000000000004">
      <c r="S1282" t="str">
        <f t="shared" si="120"/>
        <v/>
      </c>
    </row>
    <row r="1283" spans="19:19" x14ac:dyDescent="0.55000000000000004">
      <c r="S1283" t="str">
        <f t="shared" si="120"/>
        <v/>
      </c>
    </row>
    <row r="1284" spans="19:19" x14ac:dyDescent="0.55000000000000004">
      <c r="S1284" t="str">
        <f t="shared" ref="S1284:S1347" si="121">IF(R1284&lt;&gt;"", R1284*236.588, "")</f>
        <v/>
      </c>
    </row>
    <row r="1285" spans="19:19" x14ac:dyDescent="0.55000000000000004">
      <c r="S1285" t="str">
        <f t="shared" si="121"/>
        <v/>
      </c>
    </row>
    <row r="1286" spans="19:19" x14ac:dyDescent="0.55000000000000004">
      <c r="S1286" t="str">
        <f t="shared" si="121"/>
        <v/>
      </c>
    </row>
    <row r="1287" spans="19:19" x14ac:dyDescent="0.55000000000000004">
      <c r="S1287" t="str">
        <f t="shared" si="121"/>
        <v/>
      </c>
    </row>
    <row r="1288" spans="19:19" x14ac:dyDescent="0.55000000000000004">
      <c r="S1288" t="str">
        <f t="shared" si="121"/>
        <v/>
      </c>
    </row>
    <row r="1289" spans="19:19" x14ac:dyDescent="0.55000000000000004">
      <c r="S1289" t="str">
        <f t="shared" si="121"/>
        <v/>
      </c>
    </row>
    <row r="1290" spans="19:19" x14ac:dyDescent="0.55000000000000004">
      <c r="S1290" t="str">
        <f t="shared" si="121"/>
        <v/>
      </c>
    </row>
    <row r="1291" spans="19:19" x14ac:dyDescent="0.55000000000000004">
      <c r="S1291" t="str">
        <f t="shared" si="121"/>
        <v/>
      </c>
    </row>
    <row r="1292" spans="19:19" x14ac:dyDescent="0.55000000000000004">
      <c r="S1292" t="str">
        <f t="shared" si="121"/>
        <v/>
      </c>
    </row>
    <row r="1293" spans="19:19" x14ac:dyDescent="0.55000000000000004">
      <c r="S1293" t="str">
        <f t="shared" si="121"/>
        <v/>
      </c>
    </row>
    <row r="1294" spans="19:19" x14ac:dyDescent="0.55000000000000004">
      <c r="S1294" t="str">
        <f t="shared" si="121"/>
        <v/>
      </c>
    </row>
    <row r="1295" spans="19:19" x14ac:dyDescent="0.55000000000000004">
      <c r="S1295" t="str">
        <f t="shared" si="121"/>
        <v/>
      </c>
    </row>
    <row r="1296" spans="19:19" x14ac:dyDescent="0.55000000000000004">
      <c r="S1296" t="str">
        <f t="shared" si="121"/>
        <v/>
      </c>
    </row>
    <row r="1297" spans="19:19" x14ac:dyDescent="0.55000000000000004">
      <c r="S1297" t="str">
        <f t="shared" si="121"/>
        <v/>
      </c>
    </row>
    <row r="1298" spans="19:19" x14ac:dyDescent="0.55000000000000004">
      <c r="S1298" t="str">
        <f t="shared" si="121"/>
        <v/>
      </c>
    </row>
    <row r="1299" spans="19:19" x14ac:dyDescent="0.55000000000000004">
      <c r="S1299" t="str">
        <f t="shared" si="121"/>
        <v/>
      </c>
    </row>
    <row r="1300" spans="19:19" x14ac:dyDescent="0.55000000000000004">
      <c r="S1300" t="str">
        <f t="shared" si="121"/>
        <v/>
      </c>
    </row>
    <row r="1301" spans="19:19" x14ac:dyDescent="0.55000000000000004">
      <c r="S1301" t="str">
        <f t="shared" si="121"/>
        <v/>
      </c>
    </row>
    <row r="1302" spans="19:19" x14ac:dyDescent="0.55000000000000004">
      <c r="S1302" t="str">
        <f t="shared" si="121"/>
        <v/>
      </c>
    </row>
    <row r="1303" spans="19:19" x14ac:dyDescent="0.55000000000000004">
      <c r="S1303" t="str">
        <f t="shared" si="121"/>
        <v/>
      </c>
    </row>
    <row r="1304" spans="19:19" x14ac:dyDescent="0.55000000000000004">
      <c r="S1304" t="str">
        <f t="shared" si="121"/>
        <v/>
      </c>
    </row>
    <row r="1305" spans="19:19" x14ac:dyDescent="0.55000000000000004">
      <c r="S1305" t="str">
        <f t="shared" si="121"/>
        <v/>
      </c>
    </row>
    <row r="1306" spans="19:19" x14ac:dyDescent="0.55000000000000004">
      <c r="S1306" t="str">
        <f t="shared" si="121"/>
        <v/>
      </c>
    </row>
    <row r="1307" spans="19:19" x14ac:dyDescent="0.55000000000000004">
      <c r="S1307" t="str">
        <f t="shared" si="121"/>
        <v/>
      </c>
    </row>
    <row r="1308" spans="19:19" x14ac:dyDescent="0.55000000000000004">
      <c r="S1308" t="str">
        <f t="shared" si="121"/>
        <v/>
      </c>
    </row>
    <row r="1309" spans="19:19" x14ac:dyDescent="0.55000000000000004">
      <c r="S1309" t="str">
        <f t="shared" si="121"/>
        <v/>
      </c>
    </row>
    <row r="1310" spans="19:19" x14ac:dyDescent="0.55000000000000004">
      <c r="S1310" t="str">
        <f t="shared" si="121"/>
        <v/>
      </c>
    </row>
    <row r="1311" spans="19:19" x14ac:dyDescent="0.55000000000000004">
      <c r="S1311" t="str">
        <f t="shared" si="121"/>
        <v/>
      </c>
    </row>
    <row r="1312" spans="19:19" x14ac:dyDescent="0.55000000000000004">
      <c r="S1312" t="str">
        <f t="shared" si="121"/>
        <v/>
      </c>
    </row>
    <row r="1313" spans="19:19" x14ac:dyDescent="0.55000000000000004">
      <c r="S1313" t="str">
        <f t="shared" si="121"/>
        <v/>
      </c>
    </row>
    <row r="1314" spans="19:19" x14ac:dyDescent="0.55000000000000004">
      <c r="S1314" t="str">
        <f t="shared" si="121"/>
        <v/>
      </c>
    </row>
    <row r="1315" spans="19:19" x14ac:dyDescent="0.55000000000000004">
      <c r="S1315" t="str">
        <f t="shared" si="121"/>
        <v/>
      </c>
    </row>
    <row r="1316" spans="19:19" x14ac:dyDescent="0.55000000000000004">
      <c r="S1316" t="str">
        <f t="shared" si="121"/>
        <v/>
      </c>
    </row>
    <row r="1317" spans="19:19" x14ac:dyDescent="0.55000000000000004">
      <c r="S1317" t="str">
        <f t="shared" si="121"/>
        <v/>
      </c>
    </row>
    <row r="1318" spans="19:19" x14ac:dyDescent="0.55000000000000004">
      <c r="S1318" t="str">
        <f t="shared" si="121"/>
        <v/>
      </c>
    </row>
    <row r="1319" spans="19:19" x14ac:dyDescent="0.55000000000000004">
      <c r="S1319" t="str">
        <f t="shared" si="121"/>
        <v/>
      </c>
    </row>
    <row r="1320" spans="19:19" x14ac:dyDescent="0.55000000000000004">
      <c r="S1320" t="str">
        <f t="shared" si="121"/>
        <v/>
      </c>
    </row>
    <row r="1321" spans="19:19" x14ac:dyDescent="0.55000000000000004">
      <c r="S1321" t="str">
        <f t="shared" si="121"/>
        <v/>
      </c>
    </row>
    <row r="1322" spans="19:19" x14ac:dyDescent="0.55000000000000004">
      <c r="S1322" t="str">
        <f t="shared" si="121"/>
        <v/>
      </c>
    </row>
    <row r="1323" spans="19:19" x14ac:dyDescent="0.55000000000000004">
      <c r="S1323" t="str">
        <f t="shared" si="121"/>
        <v/>
      </c>
    </row>
    <row r="1324" spans="19:19" x14ac:dyDescent="0.55000000000000004">
      <c r="S1324" t="str">
        <f t="shared" si="121"/>
        <v/>
      </c>
    </row>
    <row r="1325" spans="19:19" x14ac:dyDescent="0.55000000000000004">
      <c r="S1325" t="str">
        <f t="shared" si="121"/>
        <v/>
      </c>
    </row>
    <row r="1326" spans="19:19" x14ac:dyDescent="0.55000000000000004">
      <c r="S1326" t="str">
        <f t="shared" si="121"/>
        <v/>
      </c>
    </row>
    <row r="1327" spans="19:19" x14ac:dyDescent="0.55000000000000004">
      <c r="S1327" t="str">
        <f t="shared" si="121"/>
        <v/>
      </c>
    </row>
    <row r="1328" spans="19:19" x14ac:dyDescent="0.55000000000000004">
      <c r="S1328" t="str">
        <f t="shared" si="121"/>
        <v/>
      </c>
    </row>
    <row r="1329" spans="19:19" x14ac:dyDescent="0.55000000000000004">
      <c r="S1329" t="str">
        <f t="shared" si="121"/>
        <v/>
      </c>
    </row>
    <row r="1330" spans="19:19" x14ac:dyDescent="0.55000000000000004">
      <c r="S1330" t="str">
        <f t="shared" si="121"/>
        <v/>
      </c>
    </row>
    <row r="1331" spans="19:19" x14ac:dyDescent="0.55000000000000004">
      <c r="S1331" t="str">
        <f t="shared" si="121"/>
        <v/>
      </c>
    </row>
    <row r="1332" spans="19:19" x14ac:dyDescent="0.55000000000000004">
      <c r="S1332" t="str">
        <f t="shared" si="121"/>
        <v/>
      </c>
    </row>
    <row r="1333" spans="19:19" x14ac:dyDescent="0.55000000000000004">
      <c r="S1333" t="str">
        <f t="shared" si="121"/>
        <v/>
      </c>
    </row>
    <row r="1334" spans="19:19" x14ac:dyDescent="0.55000000000000004">
      <c r="S1334" t="str">
        <f t="shared" si="121"/>
        <v/>
      </c>
    </row>
    <row r="1335" spans="19:19" x14ac:dyDescent="0.55000000000000004">
      <c r="S1335" t="str">
        <f t="shared" si="121"/>
        <v/>
      </c>
    </row>
    <row r="1336" spans="19:19" x14ac:dyDescent="0.55000000000000004">
      <c r="S1336" t="str">
        <f t="shared" si="121"/>
        <v/>
      </c>
    </row>
    <row r="1337" spans="19:19" x14ac:dyDescent="0.55000000000000004">
      <c r="S1337" t="str">
        <f t="shared" si="121"/>
        <v/>
      </c>
    </row>
    <row r="1338" spans="19:19" x14ac:dyDescent="0.55000000000000004">
      <c r="S1338" t="str">
        <f t="shared" si="121"/>
        <v/>
      </c>
    </row>
    <row r="1339" spans="19:19" x14ac:dyDescent="0.55000000000000004">
      <c r="S1339" t="str">
        <f t="shared" si="121"/>
        <v/>
      </c>
    </row>
    <row r="1340" spans="19:19" x14ac:dyDescent="0.55000000000000004">
      <c r="S1340" t="str">
        <f t="shared" si="121"/>
        <v/>
      </c>
    </row>
    <row r="1341" spans="19:19" x14ac:dyDescent="0.55000000000000004">
      <c r="S1341" t="str">
        <f t="shared" si="121"/>
        <v/>
      </c>
    </row>
    <row r="1342" spans="19:19" x14ac:dyDescent="0.55000000000000004">
      <c r="S1342" t="str">
        <f t="shared" si="121"/>
        <v/>
      </c>
    </row>
    <row r="1343" spans="19:19" x14ac:dyDescent="0.55000000000000004">
      <c r="S1343" t="str">
        <f t="shared" si="121"/>
        <v/>
      </c>
    </row>
    <row r="1344" spans="19:19" x14ac:dyDescent="0.55000000000000004">
      <c r="S1344" t="str">
        <f t="shared" si="121"/>
        <v/>
      </c>
    </row>
    <row r="1345" spans="19:19" x14ac:dyDescent="0.55000000000000004">
      <c r="S1345" t="str">
        <f t="shared" si="121"/>
        <v/>
      </c>
    </row>
    <row r="1346" spans="19:19" x14ac:dyDescent="0.55000000000000004">
      <c r="S1346" t="str">
        <f t="shared" si="121"/>
        <v/>
      </c>
    </row>
    <row r="1347" spans="19:19" x14ac:dyDescent="0.55000000000000004">
      <c r="S1347" t="str">
        <f t="shared" si="121"/>
        <v/>
      </c>
    </row>
    <row r="1348" spans="19:19" x14ac:dyDescent="0.55000000000000004">
      <c r="S1348" t="str">
        <f t="shared" ref="S1348:S1411" si="122">IF(R1348&lt;&gt;"", R1348*236.588, "")</f>
        <v/>
      </c>
    </row>
    <row r="1349" spans="19:19" x14ac:dyDescent="0.55000000000000004">
      <c r="S1349" t="str">
        <f t="shared" si="122"/>
        <v/>
      </c>
    </row>
    <row r="1350" spans="19:19" x14ac:dyDescent="0.55000000000000004">
      <c r="S1350" t="str">
        <f t="shared" si="122"/>
        <v/>
      </c>
    </row>
    <row r="1351" spans="19:19" x14ac:dyDescent="0.55000000000000004">
      <c r="S1351" t="str">
        <f t="shared" si="122"/>
        <v/>
      </c>
    </row>
    <row r="1352" spans="19:19" x14ac:dyDescent="0.55000000000000004">
      <c r="S1352" t="str">
        <f t="shared" si="122"/>
        <v/>
      </c>
    </row>
    <row r="1353" spans="19:19" x14ac:dyDescent="0.55000000000000004">
      <c r="S1353" t="str">
        <f t="shared" si="122"/>
        <v/>
      </c>
    </row>
    <row r="1354" spans="19:19" x14ac:dyDescent="0.55000000000000004">
      <c r="S1354" t="str">
        <f t="shared" si="122"/>
        <v/>
      </c>
    </row>
    <row r="1355" spans="19:19" x14ac:dyDescent="0.55000000000000004">
      <c r="S1355" t="str">
        <f t="shared" si="122"/>
        <v/>
      </c>
    </row>
    <row r="1356" spans="19:19" x14ac:dyDescent="0.55000000000000004">
      <c r="S1356" t="str">
        <f t="shared" si="122"/>
        <v/>
      </c>
    </row>
    <row r="1357" spans="19:19" x14ac:dyDescent="0.55000000000000004">
      <c r="S1357" t="str">
        <f t="shared" si="122"/>
        <v/>
      </c>
    </row>
    <row r="1358" spans="19:19" x14ac:dyDescent="0.55000000000000004">
      <c r="S1358" t="str">
        <f t="shared" si="122"/>
        <v/>
      </c>
    </row>
    <row r="1359" spans="19:19" x14ac:dyDescent="0.55000000000000004">
      <c r="S1359" t="str">
        <f t="shared" si="122"/>
        <v/>
      </c>
    </row>
    <row r="1360" spans="19:19" x14ac:dyDescent="0.55000000000000004">
      <c r="S1360" t="str">
        <f t="shared" si="122"/>
        <v/>
      </c>
    </row>
    <row r="1361" spans="19:19" x14ac:dyDescent="0.55000000000000004">
      <c r="S1361" t="str">
        <f t="shared" si="122"/>
        <v/>
      </c>
    </row>
    <row r="1362" spans="19:19" x14ac:dyDescent="0.55000000000000004">
      <c r="S1362" t="str">
        <f t="shared" si="122"/>
        <v/>
      </c>
    </row>
    <row r="1363" spans="19:19" x14ac:dyDescent="0.55000000000000004">
      <c r="S1363" t="str">
        <f t="shared" si="122"/>
        <v/>
      </c>
    </row>
    <row r="1364" spans="19:19" x14ac:dyDescent="0.55000000000000004">
      <c r="S1364" t="str">
        <f t="shared" si="122"/>
        <v/>
      </c>
    </row>
    <row r="1365" spans="19:19" x14ac:dyDescent="0.55000000000000004">
      <c r="S1365" t="str">
        <f t="shared" si="122"/>
        <v/>
      </c>
    </row>
    <row r="1366" spans="19:19" x14ac:dyDescent="0.55000000000000004">
      <c r="S1366" t="str">
        <f t="shared" si="122"/>
        <v/>
      </c>
    </row>
    <row r="1367" spans="19:19" x14ac:dyDescent="0.55000000000000004">
      <c r="S1367" t="str">
        <f t="shared" si="122"/>
        <v/>
      </c>
    </row>
    <row r="1368" spans="19:19" x14ac:dyDescent="0.55000000000000004">
      <c r="S1368" t="str">
        <f t="shared" si="122"/>
        <v/>
      </c>
    </row>
    <row r="1369" spans="19:19" x14ac:dyDescent="0.55000000000000004">
      <c r="S1369" t="str">
        <f t="shared" si="122"/>
        <v/>
      </c>
    </row>
    <row r="1370" spans="19:19" x14ac:dyDescent="0.55000000000000004">
      <c r="S1370" t="str">
        <f t="shared" si="122"/>
        <v/>
      </c>
    </row>
    <row r="1371" spans="19:19" x14ac:dyDescent="0.55000000000000004">
      <c r="S1371" t="str">
        <f t="shared" si="122"/>
        <v/>
      </c>
    </row>
    <row r="1372" spans="19:19" x14ac:dyDescent="0.55000000000000004">
      <c r="S1372" t="str">
        <f t="shared" si="122"/>
        <v/>
      </c>
    </row>
    <row r="1373" spans="19:19" x14ac:dyDescent="0.55000000000000004">
      <c r="S1373" t="str">
        <f t="shared" si="122"/>
        <v/>
      </c>
    </row>
    <row r="1374" spans="19:19" x14ac:dyDescent="0.55000000000000004">
      <c r="S1374" t="str">
        <f t="shared" si="122"/>
        <v/>
      </c>
    </row>
    <row r="1375" spans="19:19" x14ac:dyDescent="0.55000000000000004">
      <c r="S1375" t="str">
        <f t="shared" si="122"/>
        <v/>
      </c>
    </row>
    <row r="1376" spans="19:19" x14ac:dyDescent="0.55000000000000004">
      <c r="S1376" t="str">
        <f t="shared" si="122"/>
        <v/>
      </c>
    </row>
    <row r="1377" spans="19:19" x14ac:dyDescent="0.55000000000000004">
      <c r="S1377" t="str">
        <f t="shared" si="122"/>
        <v/>
      </c>
    </row>
    <row r="1378" spans="19:19" x14ac:dyDescent="0.55000000000000004">
      <c r="S1378" t="str">
        <f t="shared" si="122"/>
        <v/>
      </c>
    </row>
    <row r="1379" spans="19:19" x14ac:dyDescent="0.55000000000000004">
      <c r="S1379" t="str">
        <f t="shared" si="122"/>
        <v/>
      </c>
    </row>
    <row r="1380" spans="19:19" x14ac:dyDescent="0.55000000000000004">
      <c r="S1380" t="str">
        <f t="shared" si="122"/>
        <v/>
      </c>
    </row>
    <row r="1381" spans="19:19" x14ac:dyDescent="0.55000000000000004">
      <c r="S1381" t="str">
        <f t="shared" si="122"/>
        <v/>
      </c>
    </row>
    <row r="1382" spans="19:19" x14ac:dyDescent="0.55000000000000004">
      <c r="S1382" t="str">
        <f t="shared" si="122"/>
        <v/>
      </c>
    </row>
    <row r="1383" spans="19:19" x14ac:dyDescent="0.55000000000000004">
      <c r="S1383" t="str">
        <f t="shared" si="122"/>
        <v/>
      </c>
    </row>
    <row r="1384" spans="19:19" x14ac:dyDescent="0.55000000000000004">
      <c r="S1384" t="str">
        <f t="shared" si="122"/>
        <v/>
      </c>
    </row>
    <row r="1385" spans="19:19" x14ac:dyDescent="0.55000000000000004">
      <c r="S1385" t="str">
        <f t="shared" si="122"/>
        <v/>
      </c>
    </row>
    <row r="1386" spans="19:19" x14ac:dyDescent="0.55000000000000004">
      <c r="S1386" t="str">
        <f t="shared" si="122"/>
        <v/>
      </c>
    </row>
    <row r="1387" spans="19:19" x14ac:dyDescent="0.55000000000000004">
      <c r="S1387" t="str">
        <f t="shared" si="122"/>
        <v/>
      </c>
    </row>
    <row r="1388" spans="19:19" x14ac:dyDescent="0.55000000000000004">
      <c r="S1388" t="str">
        <f t="shared" si="122"/>
        <v/>
      </c>
    </row>
    <row r="1389" spans="19:19" x14ac:dyDescent="0.55000000000000004">
      <c r="S1389" t="str">
        <f t="shared" si="122"/>
        <v/>
      </c>
    </row>
    <row r="1390" spans="19:19" x14ac:dyDescent="0.55000000000000004">
      <c r="S1390" t="str">
        <f t="shared" si="122"/>
        <v/>
      </c>
    </row>
    <row r="1391" spans="19:19" x14ac:dyDescent="0.55000000000000004">
      <c r="S1391" t="str">
        <f t="shared" si="122"/>
        <v/>
      </c>
    </row>
    <row r="1392" spans="19:19" x14ac:dyDescent="0.55000000000000004">
      <c r="S1392" t="str">
        <f t="shared" si="122"/>
        <v/>
      </c>
    </row>
    <row r="1393" spans="19:19" x14ac:dyDescent="0.55000000000000004">
      <c r="S1393" t="str">
        <f t="shared" si="122"/>
        <v/>
      </c>
    </row>
    <row r="1394" spans="19:19" x14ac:dyDescent="0.55000000000000004">
      <c r="S1394" t="str">
        <f t="shared" si="122"/>
        <v/>
      </c>
    </row>
    <row r="1395" spans="19:19" x14ac:dyDescent="0.55000000000000004">
      <c r="S1395" t="str">
        <f t="shared" si="122"/>
        <v/>
      </c>
    </row>
    <row r="1396" spans="19:19" x14ac:dyDescent="0.55000000000000004">
      <c r="S1396" t="str">
        <f t="shared" si="122"/>
        <v/>
      </c>
    </row>
    <row r="1397" spans="19:19" x14ac:dyDescent="0.55000000000000004">
      <c r="S1397" t="str">
        <f t="shared" si="122"/>
        <v/>
      </c>
    </row>
    <row r="1398" spans="19:19" x14ac:dyDescent="0.55000000000000004">
      <c r="S1398" t="str">
        <f t="shared" si="122"/>
        <v/>
      </c>
    </row>
    <row r="1399" spans="19:19" x14ac:dyDescent="0.55000000000000004">
      <c r="S1399" t="str">
        <f t="shared" si="122"/>
        <v/>
      </c>
    </row>
    <row r="1400" spans="19:19" x14ac:dyDescent="0.55000000000000004">
      <c r="S1400" t="str">
        <f t="shared" si="122"/>
        <v/>
      </c>
    </row>
    <row r="1401" spans="19:19" x14ac:dyDescent="0.55000000000000004">
      <c r="S1401" t="str">
        <f t="shared" si="122"/>
        <v/>
      </c>
    </row>
    <row r="1402" spans="19:19" x14ac:dyDescent="0.55000000000000004">
      <c r="S1402" t="str">
        <f t="shared" si="122"/>
        <v/>
      </c>
    </row>
    <row r="1403" spans="19:19" x14ac:dyDescent="0.55000000000000004">
      <c r="S1403" t="str">
        <f t="shared" si="122"/>
        <v/>
      </c>
    </row>
    <row r="1404" spans="19:19" x14ac:dyDescent="0.55000000000000004">
      <c r="S1404" t="str">
        <f t="shared" si="122"/>
        <v/>
      </c>
    </row>
    <row r="1405" spans="19:19" x14ac:dyDescent="0.55000000000000004">
      <c r="S1405" t="str">
        <f t="shared" si="122"/>
        <v/>
      </c>
    </row>
    <row r="1406" spans="19:19" x14ac:dyDescent="0.55000000000000004">
      <c r="S1406" t="str">
        <f t="shared" si="122"/>
        <v/>
      </c>
    </row>
    <row r="1407" spans="19:19" x14ac:dyDescent="0.55000000000000004">
      <c r="S1407" t="str">
        <f t="shared" si="122"/>
        <v/>
      </c>
    </row>
    <row r="1408" spans="19:19" x14ac:dyDescent="0.55000000000000004">
      <c r="S1408" t="str">
        <f t="shared" si="122"/>
        <v/>
      </c>
    </row>
    <row r="1409" spans="19:19" x14ac:dyDescent="0.55000000000000004">
      <c r="S1409" t="str">
        <f t="shared" si="122"/>
        <v/>
      </c>
    </row>
    <row r="1410" spans="19:19" x14ac:dyDescent="0.55000000000000004">
      <c r="S1410" t="str">
        <f t="shared" si="122"/>
        <v/>
      </c>
    </row>
    <row r="1411" spans="19:19" x14ac:dyDescent="0.55000000000000004">
      <c r="S1411" t="str">
        <f t="shared" si="122"/>
        <v/>
      </c>
    </row>
    <row r="1412" spans="19:19" x14ac:dyDescent="0.55000000000000004">
      <c r="S1412" t="str">
        <f t="shared" ref="S1412:S1475" si="123">IF(R1412&lt;&gt;"", R1412*236.588, "")</f>
        <v/>
      </c>
    </row>
    <row r="1413" spans="19:19" x14ac:dyDescent="0.55000000000000004">
      <c r="S1413" t="str">
        <f t="shared" si="123"/>
        <v/>
      </c>
    </row>
    <row r="1414" spans="19:19" x14ac:dyDescent="0.55000000000000004">
      <c r="S1414" t="str">
        <f t="shared" si="123"/>
        <v/>
      </c>
    </row>
    <row r="1415" spans="19:19" x14ac:dyDescent="0.55000000000000004">
      <c r="S1415" t="str">
        <f t="shared" si="123"/>
        <v/>
      </c>
    </row>
    <row r="1416" spans="19:19" x14ac:dyDescent="0.55000000000000004">
      <c r="S1416" t="str">
        <f t="shared" si="123"/>
        <v/>
      </c>
    </row>
    <row r="1417" spans="19:19" x14ac:dyDescent="0.55000000000000004">
      <c r="S1417" t="str">
        <f t="shared" si="123"/>
        <v/>
      </c>
    </row>
    <row r="1418" spans="19:19" x14ac:dyDescent="0.55000000000000004">
      <c r="S1418" t="str">
        <f t="shared" si="123"/>
        <v/>
      </c>
    </row>
    <row r="1419" spans="19:19" x14ac:dyDescent="0.55000000000000004">
      <c r="S1419" t="str">
        <f t="shared" si="123"/>
        <v/>
      </c>
    </row>
    <row r="1420" spans="19:19" x14ac:dyDescent="0.55000000000000004">
      <c r="S1420" t="str">
        <f t="shared" si="123"/>
        <v/>
      </c>
    </row>
    <row r="1421" spans="19:19" x14ac:dyDescent="0.55000000000000004">
      <c r="S1421" t="str">
        <f t="shared" si="123"/>
        <v/>
      </c>
    </row>
    <row r="1422" spans="19:19" x14ac:dyDescent="0.55000000000000004">
      <c r="S1422" t="str">
        <f t="shared" si="123"/>
        <v/>
      </c>
    </row>
    <row r="1423" spans="19:19" x14ac:dyDescent="0.55000000000000004">
      <c r="S1423" t="str">
        <f t="shared" si="123"/>
        <v/>
      </c>
    </row>
    <row r="1424" spans="19:19" x14ac:dyDescent="0.55000000000000004">
      <c r="S1424" t="str">
        <f t="shared" si="123"/>
        <v/>
      </c>
    </row>
    <row r="1425" spans="19:19" x14ac:dyDescent="0.55000000000000004">
      <c r="S1425" t="str">
        <f t="shared" si="123"/>
        <v/>
      </c>
    </row>
    <row r="1426" spans="19:19" x14ac:dyDescent="0.55000000000000004">
      <c r="S1426" t="str">
        <f t="shared" si="123"/>
        <v/>
      </c>
    </row>
    <row r="1427" spans="19:19" x14ac:dyDescent="0.55000000000000004">
      <c r="S1427" t="str">
        <f t="shared" si="123"/>
        <v/>
      </c>
    </row>
    <row r="1428" spans="19:19" x14ac:dyDescent="0.55000000000000004">
      <c r="S1428" t="str">
        <f t="shared" si="123"/>
        <v/>
      </c>
    </row>
    <row r="1429" spans="19:19" x14ac:dyDescent="0.55000000000000004">
      <c r="S1429" t="str">
        <f t="shared" si="123"/>
        <v/>
      </c>
    </row>
    <row r="1430" spans="19:19" x14ac:dyDescent="0.55000000000000004">
      <c r="S1430" t="str">
        <f t="shared" si="123"/>
        <v/>
      </c>
    </row>
    <row r="1431" spans="19:19" x14ac:dyDescent="0.55000000000000004">
      <c r="S1431" t="str">
        <f t="shared" si="123"/>
        <v/>
      </c>
    </row>
    <row r="1432" spans="19:19" x14ac:dyDescent="0.55000000000000004">
      <c r="S1432" t="str">
        <f t="shared" si="123"/>
        <v/>
      </c>
    </row>
    <row r="1433" spans="19:19" x14ac:dyDescent="0.55000000000000004">
      <c r="S1433" t="str">
        <f t="shared" si="123"/>
        <v/>
      </c>
    </row>
    <row r="1434" spans="19:19" x14ac:dyDescent="0.55000000000000004">
      <c r="S1434" t="str">
        <f t="shared" si="123"/>
        <v/>
      </c>
    </row>
    <row r="1435" spans="19:19" x14ac:dyDescent="0.55000000000000004">
      <c r="S1435" t="str">
        <f t="shared" si="123"/>
        <v/>
      </c>
    </row>
    <row r="1436" spans="19:19" x14ac:dyDescent="0.55000000000000004">
      <c r="S1436" t="str">
        <f t="shared" si="123"/>
        <v/>
      </c>
    </row>
    <row r="1437" spans="19:19" x14ac:dyDescent="0.55000000000000004">
      <c r="S1437" t="str">
        <f t="shared" si="123"/>
        <v/>
      </c>
    </row>
    <row r="1438" spans="19:19" x14ac:dyDescent="0.55000000000000004">
      <c r="S1438" t="str">
        <f t="shared" si="123"/>
        <v/>
      </c>
    </row>
    <row r="1439" spans="19:19" x14ac:dyDescent="0.55000000000000004">
      <c r="S1439" t="str">
        <f t="shared" si="123"/>
        <v/>
      </c>
    </row>
    <row r="1440" spans="19:19" x14ac:dyDescent="0.55000000000000004">
      <c r="S1440" t="str">
        <f t="shared" si="123"/>
        <v/>
      </c>
    </row>
    <row r="1441" spans="19:19" x14ac:dyDescent="0.55000000000000004">
      <c r="S1441" t="str">
        <f t="shared" si="123"/>
        <v/>
      </c>
    </row>
    <row r="1442" spans="19:19" x14ac:dyDescent="0.55000000000000004">
      <c r="S1442" t="str">
        <f t="shared" si="123"/>
        <v/>
      </c>
    </row>
    <row r="1443" spans="19:19" x14ac:dyDescent="0.55000000000000004">
      <c r="S1443" t="str">
        <f t="shared" si="123"/>
        <v/>
      </c>
    </row>
    <row r="1444" spans="19:19" x14ac:dyDescent="0.55000000000000004">
      <c r="S1444" t="str">
        <f t="shared" si="123"/>
        <v/>
      </c>
    </row>
    <row r="1445" spans="19:19" x14ac:dyDescent="0.55000000000000004">
      <c r="S1445" t="str">
        <f t="shared" si="123"/>
        <v/>
      </c>
    </row>
    <row r="1446" spans="19:19" x14ac:dyDescent="0.55000000000000004">
      <c r="S1446" t="str">
        <f t="shared" si="123"/>
        <v/>
      </c>
    </row>
    <row r="1447" spans="19:19" x14ac:dyDescent="0.55000000000000004">
      <c r="S1447" t="str">
        <f t="shared" si="123"/>
        <v/>
      </c>
    </row>
    <row r="1448" spans="19:19" x14ac:dyDescent="0.55000000000000004">
      <c r="S1448" t="str">
        <f t="shared" si="123"/>
        <v/>
      </c>
    </row>
    <row r="1449" spans="19:19" x14ac:dyDescent="0.55000000000000004">
      <c r="S1449" t="str">
        <f t="shared" si="123"/>
        <v/>
      </c>
    </row>
    <row r="1450" spans="19:19" x14ac:dyDescent="0.55000000000000004">
      <c r="S1450" t="str">
        <f t="shared" si="123"/>
        <v/>
      </c>
    </row>
    <row r="1451" spans="19:19" x14ac:dyDescent="0.55000000000000004">
      <c r="S1451" t="str">
        <f t="shared" si="123"/>
        <v/>
      </c>
    </row>
    <row r="1452" spans="19:19" x14ac:dyDescent="0.55000000000000004">
      <c r="S1452" t="str">
        <f t="shared" si="123"/>
        <v/>
      </c>
    </row>
    <row r="1453" spans="19:19" x14ac:dyDescent="0.55000000000000004">
      <c r="S1453" t="str">
        <f t="shared" si="123"/>
        <v/>
      </c>
    </row>
    <row r="1454" spans="19:19" x14ac:dyDescent="0.55000000000000004">
      <c r="S1454" t="str">
        <f t="shared" si="123"/>
        <v/>
      </c>
    </row>
    <row r="1455" spans="19:19" x14ac:dyDescent="0.55000000000000004">
      <c r="S1455" t="str">
        <f t="shared" si="123"/>
        <v/>
      </c>
    </row>
    <row r="1456" spans="19:19" x14ac:dyDescent="0.55000000000000004">
      <c r="S1456" t="str">
        <f t="shared" si="123"/>
        <v/>
      </c>
    </row>
    <row r="1457" spans="19:19" x14ac:dyDescent="0.55000000000000004">
      <c r="S1457" t="str">
        <f t="shared" si="123"/>
        <v/>
      </c>
    </row>
    <row r="1458" spans="19:19" x14ac:dyDescent="0.55000000000000004">
      <c r="S1458" t="str">
        <f t="shared" si="123"/>
        <v/>
      </c>
    </row>
    <row r="1459" spans="19:19" x14ac:dyDescent="0.55000000000000004">
      <c r="S1459" t="str">
        <f t="shared" si="123"/>
        <v/>
      </c>
    </row>
    <row r="1460" spans="19:19" x14ac:dyDescent="0.55000000000000004">
      <c r="S1460" t="str">
        <f t="shared" si="123"/>
        <v/>
      </c>
    </row>
    <row r="1461" spans="19:19" x14ac:dyDescent="0.55000000000000004">
      <c r="S1461" t="str">
        <f t="shared" si="123"/>
        <v/>
      </c>
    </row>
    <row r="1462" spans="19:19" x14ac:dyDescent="0.55000000000000004">
      <c r="S1462" t="str">
        <f t="shared" si="123"/>
        <v/>
      </c>
    </row>
    <row r="1463" spans="19:19" x14ac:dyDescent="0.55000000000000004">
      <c r="S1463" t="str">
        <f t="shared" si="123"/>
        <v/>
      </c>
    </row>
    <row r="1464" spans="19:19" x14ac:dyDescent="0.55000000000000004">
      <c r="S1464" t="str">
        <f t="shared" si="123"/>
        <v/>
      </c>
    </row>
    <row r="1465" spans="19:19" x14ac:dyDescent="0.55000000000000004">
      <c r="S1465" t="str">
        <f t="shared" si="123"/>
        <v/>
      </c>
    </row>
    <row r="1466" spans="19:19" x14ac:dyDescent="0.55000000000000004">
      <c r="S1466" t="str">
        <f t="shared" si="123"/>
        <v/>
      </c>
    </row>
    <row r="1467" spans="19:19" x14ac:dyDescent="0.55000000000000004">
      <c r="S1467" t="str">
        <f t="shared" si="123"/>
        <v/>
      </c>
    </row>
    <row r="1468" spans="19:19" x14ac:dyDescent="0.55000000000000004">
      <c r="S1468" t="str">
        <f t="shared" si="123"/>
        <v/>
      </c>
    </row>
    <row r="1469" spans="19:19" x14ac:dyDescent="0.55000000000000004">
      <c r="S1469" t="str">
        <f t="shared" si="123"/>
        <v/>
      </c>
    </row>
    <row r="1470" spans="19:19" x14ac:dyDescent="0.55000000000000004">
      <c r="S1470" t="str">
        <f t="shared" si="123"/>
        <v/>
      </c>
    </row>
    <row r="1471" spans="19:19" x14ac:dyDescent="0.55000000000000004">
      <c r="S1471" t="str">
        <f t="shared" si="123"/>
        <v/>
      </c>
    </row>
    <row r="1472" spans="19:19" x14ac:dyDescent="0.55000000000000004">
      <c r="S1472" t="str">
        <f t="shared" si="123"/>
        <v/>
      </c>
    </row>
    <row r="1473" spans="19:19" x14ac:dyDescent="0.55000000000000004">
      <c r="S1473" t="str">
        <f t="shared" si="123"/>
        <v/>
      </c>
    </row>
    <row r="1474" spans="19:19" x14ac:dyDescent="0.55000000000000004">
      <c r="S1474" t="str">
        <f t="shared" si="123"/>
        <v/>
      </c>
    </row>
    <row r="1475" spans="19:19" x14ac:dyDescent="0.55000000000000004">
      <c r="S1475" t="str">
        <f t="shared" si="123"/>
        <v/>
      </c>
    </row>
    <row r="1476" spans="19:19" x14ac:dyDescent="0.55000000000000004">
      <c r="S1476" t="str">
        <f t="shared" ref="S1476:S1539" si="124">IF(R1476&lt;&gt;"", R1476*236.588, "")</f>
        <v/>
      </c>
    </row>
    <row r="1477" spans="19:19" x14ac:dyDescent="0.55000000000000004">
      <c r="S1477" t="str">
        <f t="shared" si="124"/>
        <v/>
      </c>
    </row>
    <row r="1478" spans="19:19" x14ac:dyDescent="0.55000000000000004">
      <c r="S1478" t="str">
        <f t="shared" si="124"/>
        <v/>
      </c>
    </row>
    <row r="1479" spans="19:19" x14ac:dyDescent="0.55000000000000004">
      <c r="S1479" t="str">
        <f t="shared" si="124"/>
        <v/>
      </c>
    </row>
    <row r="1480" spans="19:19" x14ac:dyDescent="0.55000000000000004">
      <c r="S1480" t="str">
        <f t="shared" si="124"/>
        <v/>
      </c>
    </row>
    <row r="1481" spans="19:19" x14ac:dyDescent="0.55000000000000004">
      <c r="S1481" t="str">
        <f t="shared" si="124"/>
        <v/>
      </c>
    </row>
    <row r="1482" spans="19:19" x14ac:dyDescent="0.55000000000000004">
      <c r="S1482" t="str">
        <f t="shared" si="124"/>
        <v/>
      </c>
    </row>
    <row r="1483" spans="19:19" x14ac:dyDescent="0.55000000000000004">
      <c r="S1483" t="str">
        <f t="shared" si="124"/>
        <v/>
      </c>
    </row>
    <row r="1484" spans="19:19" x14ac:dyDescent="0.55000000000000004">
      <c r="S1484" t="str">
        <f t="shared" si="124"/>
        <v/>
      </c>
    </row>
    <row r="1485" spans="19:19" x14ac:dyDescent="0.55000000000000004">
      <c r="S1485" t="str">
        <f t="shared" si="124"/>
        <v/>
      </c>
    </row>
    <row r="1486" spans="19:19" x14ac:dyDescent="0.55000000000000004">
      <c r="S1486" t="str">
        <f t="shared" si="124"/>
        <v/>
      </c>
    </row>
    <row r="1487" spans="19:19" x14ac:dyDescent="0.55000000000000004">
      <c r="S1487" t="str">
        <f t="shared" si="124"/>
        <v/>
      </c>
    </row>
    <row r="1488" spans="19:19" x14ac:dyDescent="0.55000000000000004">
      <c r="S1488" t="str">
        <f t="shared" si="124"/>
        <v/>
      </c>
    </row>
    <row r="1489" spans="19:19" x14ac:dyDescent="0.55000000000000004">
      <c r="S1489" t="str">
        <f t="shared" si="124"/>
        <v/>
      </c>
    </row>
    <row r="1490" spans="19:19" x14ac:dyDescent="0.55000000000000004">
      <c r="S1490" t="str">
        <f t="shared" si="124"/>
        <v/>
      </c>
    </row>
    <row r="1491" spans="19:19" x14ac:dyDescent="0.55000000000000004">
      <c r="S1491" t="str">
        <f t="shared" si="124"/>
        <v/>
      </c>
    </row>
    <row r="1492" spans="19:19" x14ac:dyDescent="0.55000000000000004">
      <c r="S1492" t="str">
        <f t="shared" si="124"/>
        <v/>
      </c>
    </row>
    <row r="1493" spans="19:19" x14ac:dyDescent="0.55000000000000004">
      <c r="S1493" t="str">
        <f t="shared" si="124"/>
        <v/>
      </c>
    </row>
    <row r="1494" spans="19:19" x14ac:dyDescent="0.55000000000000004">
      <c r="S1494" t="str">
        <f t="shared" si="124"/>
        <v/>
      </c>
    </row>
    <row r="1495" spans="19:19" x14ac:dyDescent="0.55000000000000004">
      <c r="S1495" t="str">
        <f t="shared" si="124"/>
        <v/>
      </c>
    </row>
    <row r="1496" spans="19:19" x14ac:dyDescent="0.55000000000000004">
      <c r="S1496" t="str">
        <f t="shared" si="124"/>
        <v/>
      </c>
    </row>
    <row r="1497" spans="19:19" x14ac:dyDescent="0.55000000000000004">
      <c r="S1497" t="str">
        <f t="shared" si="124"/>
        <v/>
      </c>
    </row>
    <row r="1498" spans="19:19" x14ac:dyDescent="0.55000000000000004">
      <c r="S1498" t="str">
        <f t="shared" si="124"/>
        <v/>
      </c>
    </row>
    <row r="1499" spans="19:19" x14ac:dyDescent="0.55000000000000004">
      <c r="S1499" t="str">
        <f t="shared" si="124"/>
        <v/>
      </c>
    </row>
    <row r="1500" spans="19:19" x14ac:dyDescent="0.55000000000000004">
      <c r="S1500" t="str">
        <f t="shared" si="124"/>
        <v/>
      </c>
    </row>
    <row r="1501" spans="19:19" x14ac:dyDescent="0.55000000000000004">
      <c r="S1501" t="str">
        <f t="shared" si="124"/>
        <v/>
      </c>
    </row>
    <row r="1502" spans="19:19" x14ac:dyDescent="0.55000000000000004">
      <c r="S1502" t="str">
        <f t="shared" si="124"/>
        <v/>
      </c>
    </row>
    <row r="1503" spans="19:19" x14ac:dyDescent="0.55000000000000004">
      <c r="S1503" t="str">
        <f t="shared" si="124"/>
        <v/>
      </c>
    </row>
    <row r="1504" spans="19:19" x14ac:dyDescent="0.55000000000000004">
      <c r="S1504" t="str">
        <f t="shared" si="124"/>
        <v/>
      </c>
    </row>
    <row r="1505" spans="19:19" x14ac:dyDescent="0.55000000000000004">
      <c r="S1505" t="str">
        <f t="shared" si="124"/>
        <v/>
      </c>
    </row>
    <row r="1506" spans="19:19" x14ac:dyDescent="0.55000000000000004">
      <c r="S1506" t="str">
        <f t="shared" si="124"/>
        <v/>
      </c>
    </row>
    <row r="1507" spans="19:19" x14ac:dyDescent="0.55000000000000004">
      <c r="S1507" t="str">
        <f t="shared" si="124"/>
        <v/>
      </c>
    </row>
    <row r="1508" spans="19:19" x14ac:dyDescent="0.55000000000000004">
      <c r="S1508" t="str">
        <f t="shared" si="124"/>
        <v/>
      </c>
    </row>
    <row r="1509" spans="19:19" x14ac:dyDescent="0.55000000000000004">
      <c r="S1509" t="str">
        <f t="shared" si="124"/>
        <v/>
      </c>
    </row>
    <row r="1510" spans="19:19" x14ac:dyDescent="0.55000000000000004">
      <c r="S1510" t="str">
        <f t="shared" si="124"/>
        <v/>
      </c>
    </row>
    <row r="1511" spans="19:19" x14ac:dyDescent="0.55000000000000004">
      <c r="S1511" t="str">
        <f t="shared" si="124"/>
        <v/>
      </c>
    </row>
    <row r="1512" spans="19:19" x14ac:dyDescent="0.55000000000000004">
      <c r="S1512" t="str">
        <f t="shared" si="124"/>
        <v/>
      </c>
    </row>
    <row r="1513" spans="19:19" x14ac:dyDescent="0.55000000000000004">
      <c r="S1513" t="str">
        <f t="shared" si="124"/>
        <v/>
      </c>
    </row>
    <row r="1514" spans="19:19" x14ac:dyDescent="0.55000000000000004">
      <c r="S1514" t="str">
        <f t="shared" si="124"/>
        <v/>
      </c>
    </row>
    <row r="1515" spans="19:19" x14ac:dyDescent="0.55000000000000004">
      <c r="S1515" t="str">
        <f t="shared" si="124"/>
        <v/>
      </c>
    </row>
    <row r="1516" spans="19:19" x14ac:dyDescent="0.55000000000000004">
      <c r="S1516" t="str">
        <f t="shared" si="124"/>
        <v/>
      </c>
    </row>
    <row r="1517" spans="19:19" x14ac:dyDescent="0.55000000000000004">
      <c r="S1517" t="str">
        <f t="shared" si="124"/>
        <v/>
      </c>
    </row>
    <row r="1518" spans="19:19" x14ac:dyDescent="0.55000000000000004">
      <c r="S1518" t="str">
        <f t="shared" si="124"/>
        <v/>
      </c>
    </row>
    <row r="1519" spans="19:19" x14ac:dyDescent="0.55000000000000004">
      <c r="S1519" t="str">
        <f t="shared" si="124"/>
        <v/>
      </c>
    </row>
    <row r="1520" spans="19:19" x14ac:dyDescent="0.55000000000000004">
      <c r="S1520" t="str">
        <f t="shared" si="124"/>
        <v/>
      </c>
    </row>
    <row r="1521" spans="19:19" x14ac:dyDescent="0.55000000000000004">
      <c r="S1521" t="str">
        <f t="shared" si="124"/>
        <v/>
      </c>
    </row>
    <row r="1522" spans="19:19" x14ac:dyDescent="0.55000000000000004">
      <c r="S1522" t="str">
        <f t="shared" si="124"/>
        <v/>
      </c>
    </row>
    <row r="1523" spans="19:19" x14ac:dyDescent="0.55000000000000004">
      <c r="S1523" t="str">
        <f t="shared" si="124"/>
        <v/>
      </c>
    </row>
    <row r="1524" spans="19:19" x14ac:dyDescent="0.55000000000000004">
      <c r="S1524" t="str">
        <f t="shared" si="124"/>
        <v/>
      </c>
    </row>
    <row r="1525" spans="19:19" x14ac:dyDescent="0.55000000000000004">
      <c r="S1525" t="str">
        <f t="shared" si="124"/>
        <v/>
      </c>
    </row>
    <row r="1526" spans="19:19" x14ac:dyDescent="0.55000000000000004">
      <c r="S1526" t="str">
        <f t="shared" si="124"/>
        <v/>
      </c>
    </row>
    <row r="1527" spans="19:19" x14ac:dyDescent="0.55000000000000004">
      <c r="S1527" t="str">
        <f t="shared" si="124"/>
        <v/>
      </c>
    </row>
    <row r="1528" spans="19:19" x14ac:dyDescent="0.55000000000000004">
      <c r="S1528" t="str">
        <f t="shared" si="124"/>
        <v/>
      </c>
    </row>
    <row r="1529" spans="19:19" x14ac:dyDescent="0.55000000000000004">
      <c r="S1529" t="str">
        <f t="shared" si="124"/>
        <v/>
      </c>
    </row>
    <row r="1530" spans="19:19" x14ac:dyDescent="0.55000000000000004">
      <c r="S1530" t="str">
        <f t="shared" si="124"/>
        <v/>
      </c>
    </row>
    <row r="1531" spans="19:19" x14ac:dyDescent="0.55000000000000004">
      <c r="S1531" t="str">
        <f t="shared" si="124"/>
        <v/>
      </c>
    </row>
    <row r="1532" spans="19:19" x14ac:dyDescent="0.55000000000000004">
      <c r="S1532" t="str">
        <f t="shared" si="124"/>
        <v/>
      </c>
    </row>
    <row r="1533" spans="19:19" x14ac:dyDescent="0.55000000000000004">
      <c r="S1533" t="str">
        <f t="shared" si="124"/>
        <v/>
      </c>
    </row>
    <row r="1534" spans="19:19" x14ac:dyDescent="0.55000000000000004">
      <c r="S1534" t="str">
        <f t="shared" si="124"/>
        <v/>
      </c>
    </row>
    <row r="1535" spans="19:19" x14ac:dyDescent="0.55000000000000004">
      <c r="S1535" t="str">
        <f t="shared" si="124"/>
        <v/>
      </c>
    </row>
    <row r="1536" spans="19:19" x14ac:dyDescent="0.55000000000000004">
      <c r="S1536" t="str">
        <f t="shared" si="124"/>
        <v/>
      </c>
    </row>
    <row r="1537" spans="19:19" x14ac:dyDescent="0.55000000000000004">
      <c r="S1537" t="str">
        <f t="shared" si="124"/>
        <v/>
      </c>
    </row>
    <row r="1538" spans="19:19" x14ac:dyDescent="0.55000000000000004">
      <c r="S1538" t="str">
        <f t="shared" si="124"/>
        <v/>
      </c>
    </row>
    <row r="1539" spans="19:19" x14ac:dyDescent="0.55000000000000004">
      <c r="S1539" t="str">
        <f t="shared" si="124"/>
        <v/>
      </c>
    </row>
    <row r="1540" spans="19:19" x14ac:dyDescent="0.55000000000000004">
      <c r="S1540" t="str">
        <f t="shared" ref="S1540:S1603" si="125">IF(R1540&lt;&gt;"", R1540*236.588, "")</f>
        <v/>
      </c>
    </row>
    <row r="1541" spans="19:19" x14ac:dyDescent="0.55000000000000004">
      <c r="S1541" t="str">
        <f t="shared" si="125"/>
        <v/>
      </c>
    </row>
    <row r="1542" spans="19:19" x14ac:dyDescent="0.55000000000000004">
      <c r="S1542" t="str">
        <f t="shared" si="125"/>
        <v/>
      </c>
    </row>
    <row r="1543" spans="19:19" x14ac:dyDescent="0.55000000000000004">
      <c r="S1543" t="str">
        <f t="shared" si="125"/>
        <v/>
      </c>
    </row>
    <row r="1544" spans="19:19" x14ac:dyDescent="0.55000000000000004">
      <c r="S1544" t="str">
        <f t="shared" si="125"/>
        <v/>
      </c>
    </row>
    <row r="1545" spans="19:19" x14ac:dyDescent="0.55000000000000004">
      <c r="S1545" t="str">
        <f t="shared" si="125"/>
        <v/>
      </c>
    </row>
    <row r="1546" spans="19:19" x14ac:dyDescent="0.55000000000000004">
      <c r="S1546" t="str">
        <f t="shared" si="125"/>
        <v/>
      </c>
    </row>
    <row r="1547" spans="19:19" x14ac:dyDescent="0.55000000000000004">
      <c r="S1547" t="str">
        <f t="shared" si="125"/>
        <v/>
      </c>
    </row>
    <row r="1548" spans="19:19" x14ac:dyDescent="0.55000000000000004">
      <c r="S1548" t="str">
        <f t="shared" si="125"/>
        <v/>
      </c>
    </row>
    <row r="1549" spans="19:19" x14ac:dyDescent="0.55000000000000004">
      <c r="S1549" t="str">
        <f t="shared" si="125"/>
        <v/>
      </c>
    </row>
    <row r="1550" spans="19:19" x14ac:dyDescent="0.55000000000000004">
      <c r="S1550" t="str">
        <f t="shared" si="125"/>
        <v/>
      </c>
    </row>
    <row r="1551" spans="19:19" x14ac:dyDescent="0.55000000000000004">
      <c r="S1551" t="str">
        <f t="shared" si="125"/>
        <v/>
      </c>
    </row>
    <row r="1552" spans="19:19" x14ac:dyDescent="0.55000000000000004">
      <c r="S1552" t="str">
        <f t="shared" si="125"/>
        <v/>
      </c>
    </row>
    <row r="1553" spans="19:19" x14ac:dyDescent="0.55000000000000004">
      <c r="S1553" t="str">
        <f t="shared" si="125"/>
        <v/>
      </c>
    </row>
    <row r="1554" spans="19:19" x14ac:dyDescent="0.55000000000000004">
      <c r="S1554" t="str">
        <f t="shared" si="125"/>
        <v/>
      </c>
    </row>
    <row r="1555" spans="19:19" x14ac:dyDescent="0.55000000000000004">
      <c r="S1555" t="str">
        <f t="shared" si="125"/>
        <v/>
      </c>
    </row>
    <row r="1556" spans="19:19" x14ac:dyDescent="0.55000000000000004">
      <c r="S1556" t="str">
        <f t="shared" si="125"/>
        <v/>
      </c>
    </row>
    <row r="1557" spans="19:19" x14ac:dyDescent="0.55000000000000004">
      <c r="S1557" t="str">
        <f t="shared" si="125"/>
        <v/>
      </c>
    </row>
    <row r="1558" spans="19:19" x14ac:dyDescent="0.55000000000000004">
      <c r="S1558" t="str">
        <f t="shared" si="125"/>
        <v/>
      </c>
    </row>
    <row r="1559" spans="19:19" x14ac:dyDescent="0.55000000000000004">
      <c r="S1559" t="str">
        <f t="shared" si="125"/>
        <v/>
      </c>
    </row>
    <row r="1560" spans="19:19" x14ac:dyDescent="0.55000000000000004">
      <c r="S1560" t="str">
        <f t="shared" si="125"/>
        <v/>
      </c>
    </row>
    <row r="1561" spans="19:19" x14ac:dyDescent="0.55000000000000004">
      <c r="S1561" t="str">
        <f t="shared" si="125"/>
        <v/>
      </c>
    </row>
    <row r="1562" spans="19:19" x14ac:dyDescent="0.55000000000000004">
      <c r="S1562" t="str">
        <f t="shared" si="125"/>
        <v/>
      </c>
    </row>
    <row r="1563" spans="19:19" x14ac:dyDescent="0.55000000000000004">
      <c r="S1563" t="str">
        <f t="shared" si="125"/>
        <v/>
      </c>
    </row>
    <row r="1564" spans="19:19" x14ac:dyDescent="0.55000000000000004">
      <c r="S1564" t="str">
        <f t="shared" si="125"/>
        <v/>
      </c>
    </row>
    <row r="1565" spans="19:19" x14ac:dyDescent="0.55000000000000004">
      <c r="S1565" t="str">
        <f t="shared" si="125"/>
        <v/>
      </c>
    </row>
    <row r="1566" spans="19:19" x14ac:dyDescent="0.55000000000000004">
      <c r="S1566" t="str">
        <f t="shared" si="125"/>
        <v/>
      </c>
    </row>
    <row r="1567" spans="19:19" x14ac:dyDescent="0.55000000000000004">
      <c r="S1567" t="str">
        <f t="shared" si="125"/>
        <v/>
      </c>
    </row>
    <row r="1568" spans="19:19" x14ac:dyDescent="0.55000000000000004">
      <c r="S1568" t="str">
        <f t="shared" si="125"/>
        <v/>
      </c>
    </row>
    <row r="1569" spans="19:19" x14ac:dyDescent="0.55000000000000004">
      <c r="S1569" t="str">
        <f t="shared" si="125"/>
        <v/>
      </c>
    </row>
    <row r="1570" spans="19:19" x14ac:dyDescent="0.55000000000000004">
      <c r="S1570" t="str">
        <f t="shared" si="125"/>
        <v/>
      </c>
    </row>
    <row r="1571" spans="19:19" x14ac:dyDescent="0.55000000000000004">
      <c r="S1571" t="str">
        <f t="shared" si="125"/>
        <v/>
      </c>
    </row>
    <row r="1572" spans="19:19" x14ac:dyDescent="0.55000000000000004">
      <c r="S1572" t="str">
        <f t="shared" si="125"/>
        <v/>
      </c>
    </row>
    <row r="1573" spans="19:19" x14ac:dyDescent="0.55000000000000004">
      <c r="S1573" t="str">
        <f t="shared" si="125"/>
        <v/>
      </c>
    </row>
    <row r="1574" spans="19:19" x14ac:dyDescent="0.55000000000000004">
      <c r="S1574" t="str">
        <f t="shared" si="125"/>
        <v/>
      </c>
    </row>
    <row r="1575" spans="19:19" x14ac:dyDescent="0.55000000000000004">
      <c r="S1575" t="str">
        <f t="shared" si="125"/>
        <v/>
      </c>
    </row>
    <row r="1576" spans="19:19" x14ac:dyDescent="0.55000000000000004">
      <c r="S1576" t="str">
        <f t="shared" si="125"/>
        <v/>
      </c>
    </row>
    <row r="1577" spans="19:19" x14ac:dyDescent="0.55000000000000004">
      <c r="S1577" t="str">
        <f t="shared" si="125"/>
        <v/>
      </c>
    </row>
    <row r="1578" spans="19:19" x14ac:dyDescent="0.55000000000000004">
      <c r="S1578" t="str">
        <f t="shared" si="125"/>
        <v/>
      </c>
    </row>
    <row r="1579" spans="19:19" x14ac:dyDescent="0.55000000000000004">
      <c r="S1579" t="str">
        <f t="shared" si="125"/>
        <v/>
      </c>
    </row>
    <row r="1580" spans="19:19" x14ac:dyDescent="0.55000000000000004">
      <c r="S1580" t="str">
        <f t="shared" si="125"/>
        <v/>
      </c>
    </row>
    <row r="1581" spans="19:19" x14ac:dyDescent="0.55000000000000004">
      <c r="S1581" t="str">
        <f t="shared" si="125"/>
        <v/>
      </c>
    </row>
    <row r="1582" spans="19:19" x14ac:dyDescent="0.55000000000000004">
      <c r="S1582" t="str">
        <f t="shared" si="125"/>
        <v/>
      </c>
    </row>
    <row r="1583" spans="19:19" x14ac:dyDescent="0.55000000000000004">
      <c r="S1583" t="str">
        <f t="shared" si="125"/>
        <v/>
      </c>
    </row>
    <row r="1584" spans="19:19" x14ac:dyDescent="0.55000000000000004">
      <c r="S1584" t="str">
        <f t="shared" si="125"/>
        <v/>
      </c>
    </row>
    <row r="1585" spans="19:19" x14ac:dyDescent="0.55000000000000004">
      <c r="S1585" t="str">
        <f t="shared" si="125"/>
        <v/>
      </c>
    </row>
    <row r="1586" spans="19:19" x14ac:dyDescent="0.55000000000000004">
      <c r="S1586" t="str">
        <f t="shared" si="125"/>
        <v/>
      </c>
    </row>
    <row r="1587" spans="19:19" x14ac:dyDescent="0.55000000000000004">
      <c r="S1587" t="str">
        <f t="shared" si="125"/>
        <v/>
      </c>
    </row>
    <row r="1588" spans="19:19" x14ac:dyDescent="0.55000000000000004">
      <c r="S1588" t="str">
        <f t="shared" si="125"/>
        <v/>
      </c>
    </row>
    <row r="1589" spans="19:19" x14ac:dyDescent="0.55000000000000004">
      <c r="S1589" t="str">
        <f t="shared" si="125"/>
        <v/>
      </c>
    </row>
    <row r="1590" spans="19:19" x14ac:dyDescent="0.55000000000000004">
      <c r="S1590" t="str">
        <f t="shared" si="125"/>
        <v/>
      </c>
    </row>
    <row r="1591" spans="19:19" x14ac:dyDescent="0.55000000000000004">
      <c r="S1591" t="str">
        <f t="shared" si="125"/>
        <v/>
      </c>
    </row>
    <row r="1592" spans="19:19" x14ac:dyDescent="0.55000000000000004">
      <c r="S1592" t="str">
        <f t="shared" si="125"/>
        <v/>
      </c>
    </row>
    <row r="1593" spans="19:19" x14ac:dyDescent="0.55000000000000004">
      <c r="S1593" t="str">
        <f t="shared" si="125"/>
        <v/>
      </c>
    </row>
    <row r="1594" spans="19:19" x14ac:dyDescent="0.55000000000000004">
      <c r="S1594" t="str">
        <f t="shared" si="125"/>
        <v/>
      </c>
    </row>
    <row r="1595" spans="19:19" x14ac:dyDescent="0.55000000000000004">
      <c r="S1595" t="str">
        <f t="shared" si="125"/>
        <v/>
      </c>
    </row>
    <row r="1596" spans="19:19" x14ac:dyDescent="0.55000000000000004">
      <c r="S1596" t="str">
        <f t="shared" si="125"/>
        <v/>
      </c>
    </row>
    <row r="1597" spans="19:19" x14ac:dyDescent="0.55000000000000004">
      <c r="S1597" t="str">
        <f t="shared" si="125"/>
        <v/>
      </c>
    </row>
    <row r="1598" spans="19:19" x14ac:dyDescent="0.55000000000000004">
      <c r="S1598" t="str">
        <f t="shared" si="125"/>
        <v/>
      </c>
    </row>
    <row r="1599" spans="19:19" x14ac:dyDescent="0.55000000000000004">
      <c r="S1599" t="str">
        <f t="shared" si="125"/>
        <v/>
      </c>
    </row>
    <row r="1600" spans="19:19" x14ac:dyDescent="0.55000000000000004">
      <c r="S1600" t="str">
        <f t="shared" si="125"/>
        <v/>
      </c>
    </row>
    <row r="1601" spans="19:19" x14ac:dyDescent="0.55000000000000004">
      <c r="S1601" t="str">
        <f t="shared" si="125"/>
        <v/>
      </c>
    </row>
    <row r="1602" spans="19:19" x14ac:dyDescent="0.55000000000000004">
      <c r="S1602" t="str">
        <f t="shared" si="125"/>
        <v/>
      </c>
    </row>
    <row r="1603" spans="19:19" x14ac:dyDescent="0.55000000000000004">
      <c r="S1603" t="str">
        <f t="shared" si="125"/>
        <v/>
      </c>
    </row>
    <row r="1604" spans="19:19" x14ac:dyDescent="0.55000000000000004">
      <c r="S1604" t="str">
        <f t="shared" ref="S1604:S1667" si="126">IF(R1604&lt;&gt;"", R1604*236.588, "")</f>
        <v/>
      </c>
    </row>
    <row r="1605" spans="19:19" x14ac:dyDescent="0.55000000000000004">
      <c r="S1605" t="str">
        <f t="shared" si="126"/>
        <v/>
      </c>
    </row>
    <row r="1606" spans="19:19" x14ac:dyDescent="0.55000000000000004">
      <c r="S1606" t="str">
        <f t="shared" si="126"/>
        <v/>
      </c>
    </row>
    <row r="1607" spans="19:19" x14ac:dyDescent="0.55000000000000004">
      <c r="S1607" t="str">
        <f t="shared" si="126"/>
        <v/>
      </c>
    </row>
    <row r="1608" spans="19:19" x14ac:dyDescent="0.55000000000000004">
      <c r="S1608" t="str">
        <f t="shared" si="126"/>
        <v/>
      </c>
    </row>
    <row r="1609" spans="19:19" x14ac:dyDescent="0.55000000000000004">
      <c r="S1609" t="str">
        <f t="shared" si="126"/>
        <v/>
      </c>
    </row>
    <row r="1610" spans="19:19" x14ac:dyDescent="0.55000000000000004">
      <c r="S1610" t="str">
        <f t="shared" si="126"/>
        <v/>
      </c>
    </row>
    <row r="1611" spans="19:19" x14ac:dyDescent="0.55000000000000004">
      <c r="S1611" t="str">
        <f t="shared" si="126"/>
        <v/>
      </c>
    </row>
    <row r="1612" spans="19:19" x14ac:dyDescent="0.55000000000000004">
      <c r="S1612" t="str">
        <f t="shared" si="126"/>
        <v/>
      </c>
    </row>
    <row r="1613" spans="19:19" x14ac:dyDescent="0.55000000000000004">
      <c r="S1613" t="str">
        <f t="shared" si="126"/>
        <v/>
      </c>
    </row>
    <row r="1614" spans="19:19" x14ac:dyDescent="0.55000000000000004">
      <c r="S1614" t="str">
        <f t="shared" si="126"/>
        <v/>
      </c>
    </row>
    <row r="1615" spans="19:19" x14ac:dyDescent="0.55000000000000004">
      <c r="S1615" t="str">
        <f t="shared" si="126"/>
        <v/>
      </c>
    </row>
    <row r="1616" spans="19:19" x14ac:dyDescent="0.55000000000000004">
      <c r="S1616" t="str">
        <f t="shared" si="126"/>
        <v/>
      </c>
    </row>
    <row r="1617" spans="19:19" x14ac:dyDescent="0.55000000000000004">
      <c r="S1617" t="str">
        <f t="shared" si="126"/>
        <v/>
      </c>
    </row>
    <row r="1618" spans="19:19" x14ac:dyDescent="0.55000000000000004">
      <c r="S1618" t="str">
        <f t="shared" si="126"/>
        <v/>
      </c>
    </row>
    <row r="1619" spans="19:19" x14ac:dyDescent="0.55000000000000004">
      <c r="S1619" t="str">
        <f t="shared" si="126"/>
        <v/>
      </c>
    </row>
    <row r="1620" spans="19:19" x14ac:dyDescent="0.55000000000000004">
      <c r="S1620" t="str">
        <f t="shared" si="126"/>
        <v/>
      </c>
    </row>
    <row r="1621" spans="19:19" x14ac:dyDescent="0.55000000000000004">
      <c r="S1621" t="str">
        <f t="shared" si="126"/>
        <v/>
      </c>
    </row>
    <row r="1622" spans="19:19" x14ac:dyDescent="0.55000000000000004">
      <c r="S1622" t="str">
        <f t="shared" si="126"/>
        <v/>
      </c>
    </row>
    <row r="1623" spans="19:19" x14ac:dyDescent="0.55000000000000004">
      <c r="S1623" t="str">
        <f t="shared" si="126"/>
        <v/>
      </c>
    </row>
    <row r="1624" spans="19:19" x14ac:dyDescent="0.55000000000000004">
      <c r="S1624" t="str">
        <f t="shared" si="126"/>
        <v/>
      </c>
    </row>
    <row r="1625" spans="19:19" x14ac:dyDescent="0.55000000000000004">
      <c r="S1625" t="str">
        <f t="shared" si="126"/>
        <v/>
      </c>
    </row>
    <row r="1626" spans="19:19" x14ac:dyDescent="0.55000000000000004">
      <c r="S1626" t="str">
        <f t="shared" si="126"/>
        <v/>
      </c>
    </row>
    <row r="1627" spans="19:19" x14ac:dyDescent="0.55000000000000004">
      <c r="S1627" t="str">
        <f t="shared" si="126"/>
        <v/>
      </c>
    </row>
    <row r="1628" spans="19:19" x14ac:dyDescent="0.55000000000000004">
      <c r="S1628" t="str">
        <f t="shared" si="126"/>
        <v/>
      </c>
    </row>
    <row r="1629" spans="19:19" x14ac:dyDescent="0.55000000000000004">
      <c r="S1629" t="str">
        <f t="shared" si="126"/>
        <v/>
      </c>
    </row>
    <row r="1630" spans="19:19" x14ac:dyDescent="0.55000000000000004">
      <c r="S1630" t="str">
        <f t="shared" si="126"/>
        <v/>
      </c>
    </row>
    <row r="1631" spans="19:19" x14ac:dyDescent="0.55000000000000004">
      <c r="S1631" t="str">
        <f t="shared" si="126"/>
        <v/>
      </c>
    </row>
    <row r="1632" spans="19:19" x14ac:dyDescent="0.55000000000000004">
      <c r="S1632" t="str">
        <f t="shared" si="126"/>
        <v/>
      </c>
    </row>
    <row r="1633" spans="19:19" x14ac:dyDescent="0.55000000000000004">
      <c r="S1633" t="str">
        <f t="shared" si="126"/>
        <v/>
      </c>
    </row>
    <row r="1634" spans="19:19" x14ac:dyDescent="0.55000000000000004">
      <c r="S1634" t="str">
        <f t="shared" si="126"/>
        <v/>
      </c>
    </row>
    <row r="1635" spans="19:19" x14ac:dyDescent="0.55000000000000004">
      <c r="S1635" t="str">
        <f t="shared" si="126"/>
        <v/>
      </c>
    </row>
    <row r="1636" spans="19:19" x14ac:dyDescent="0.55000000000000004">
      <c r="S1636" t="str">
        <f t="shared" si="126"/>
        <v/>
      </c>
    </row>
    <row r="1637" spans="19:19" x14ac:dyDescent="0.55000000000000004">
      <c r="S1637" t="str">
        <f t="shared" si="126"/>
        <v/>
      </c>
    </row>
    <row r="1638" spans="19:19" x14ac:dyDescent="0.55000000000000004">
      <c r="S1638" t="str">
        <f t="shared" si="126"/>
        <v/>
      </c>
    </row>
    <row r="1639" spans="19:19" x14ac:dyDescent="0.55000000000000004">
      <c r="S1639" t="str">
        <f t="shared" si="126"/>
        <v/>
      </c>
    </row>
    <row r="1640" spans="19:19" x14ac:dyDescent="0.55000000000000004">
      <c r="S1640" t="str">
        <f t="shared" si="126"/>
        <v/>
      </c>
    </row>
    <row r="1641" spans="19:19" x14ac:dyDescent="0.55000000000000004">
      <c r="S1641" t="str">
        <f t="shared" si="126"/>
        <v/>
      </c>
    </row>
    <row r="1642" spans="19:19" x14ac:dyDescent="0.55000000000000004">
      <c r="S1642" t="str">
        <f t="shared" si="126"/>
        <v/>
      </c>
    </row>
    <row r="1643" spans="19:19" x14ac:dyDescent="0.55000000000000004">
      <c r="S1643" t="str">
        <f t="shared" si="126"/>
        <v/>
      </c>
    </row>
    <row r="1644" spans="19:19" x14ac:dyDescent="0.55000000000000004">
      <c r="S1644" t="str">
        <f t="shared" si="126"/>
        <v/>
      </c>
    </row>
    <row r="1645" spans="19:19" x14ac:dyDescent="0.55000000000000004">
      <c r="S1645" t="str">
        <f t="shared" si="126"/>
        <v/>
      </c>
    </row>
    <row r="1646" spans="19:19" x14ac:dyDescent="0.55000000000000004">
      <c r="S1646" t="str">
        <f t="shared" si="126"/>
        <v/>
      </c>
    </row>
    <row r="1647" spans="19:19" x14ac:dyDescent="0.55000000000000004">
      <c r="S1647" t="str">
        <f t="shared" si="126"/>
        <v/>
      </c>
    </row>
    <row r="1648" spans="19:19" x14ac:dyDescent="0.55000000000000004">
      <c r="S1648" t="str">
        <f t="shared" si="126"/>
        <v/>
      </c>
    </row>
    <row r="1649" spans="19:19" x14ac:dyDescent="0.55000000000000004">
      <c r="S1649" t="str">
        <f t="shared" si="126"/>
        <v/>
      </c>
    </row>
    <row r="1650" spans="19:19" x14ac:dyDescent="0.55000000000000004">
      <c r="S1650" t="str">
        <f t="shared" si="126"/>
        <v/>
      </c>
    </row>
    <row r="1651" spans="19:19" x14ac:dyDescent="0.55000000000000004">
      <c r="S1651" t="str">
        <f t="shared" si="126"/>
        <v/>
      </c>
    </row>
    <row r="1652" spans="19:19" x14ac:dyDescent="0.55000000000000004">
      <c r="S1652" t="str">
        <f t="shared" si="126"/>
        <v/>
      </c>
    </row>
    <row r="1653" spans="19:19" x14ac:dyDescent="0.55000000000000004">
      <c r="S1653" t="str">
        <f t="shared" si="126"/>
        <v/>
      </c>
    </row>
    <row r="1654" spans="19:19" x14ac:dyDescent="0.55000000000000004">
      <c r="S1654" t="str">
        <f t="shared" si="126"/>
        <v/>
      </c>
    </row>
    <row r="1655" spans="19:19" x14ac:dyDescent="0.55000000000000004">
      <c r="S1655" t="str">
        <f t="shared" si="126"/>
        <v/>
      </c>
    </row>
    <row r="1656" spans="19:19" x14ac:dyDescent="0.55000000000000004">
      <c r="S1656" t="str">
        <f t="shared" si="126"/>
        <v/>
      </c>
    </row>
    <row r="1657" spans="19:19" x14ac:dyDescent="0.55000000000000004">
      <c r="S1657" t="str">
        <f t="shared" si="126"/>
        <v/>
      </c>
    </row>
    <row r="1658" spans="19:19" x14ac:dyDescent="0.55000000000000004">
      <c r="S1658" t="str">
        <f t="shared" si="126"/>
        <v/>
      </c>
    </row>
    <row r="1659" spans="19:19" x14ac:dyDescent="0.55000000000000004">
      <c r="S1659" t="str">
        <f t="shared" si="126"/>
        <v/>
      </c>
    </row>
    <row r="1660" spans="19:19" x14ac:dyDescent="0.55000000000000004">
      <c r="S1660" t="str">
        <f t="shared" si="126"/>
        <v/>
      </c>
    </row>
    <row r="1661" spans="19:19" x14ac:dyDescent="0.55000000000000004">
      <c r="S1661" t="str">
        <f t="shared" si="126"/>
        <v/>
      </c>
    </row>
    <row r="1662" spans="19:19" x14ac:dyDescent="0.55000000000000004">
      <c r="S1662" t="str">
        <f t="shared" si="126"/>
        <v/>
      </c>
    </row>
    <row r="1663" spans="19:19" x14ac:dyDescent="0.55000000000000004">
      <c r="S1663" t="str">
        <f t="shared" si="126"/>
        <v/>
      </c>
    </row>
    <row r="1664" spans="19:19" x14ac:dyDescent="0.55000000000000004">
      <c r="S1664" t="str">
        <f t="shared" si="126"/>
        <v/>
      </c>
    </row>
    <row r="1665" spans="19:19" x14ac:dyDescent="0.55000000000000004">
      <c r="S1665" t="str">
        <f t="shared" si="126"/>
        <v/>
      </c>
    </row>
    <row r="1666" spans="19:19" x14ac:dyDescent="0.55000000000000004">
      <c r="S1666" t="str">
        <f t="shared" si="126"/>
        <v/>
      </c>
    </row>
    <row r="1667" spans="19:19" x14ac:dyDescent="0.55000000000000004">
      <c r="S1667" t="str">
        <f t="shared" si="126"/>
        <v/>
      </c>
    </row>
    <row r="1668" spans="19:19" x14ac:dyDescent="0.55000000000000004">
      <c r="S1668" t="str">
        <f t="shared" ref="S1668:S1731" si="127">IF(R1668&lt;&gt;"", R1668*236.588, "")</f>
        <v/>
      </c>
    </row>
    <row r="1669" spans="19:19" x14ac:dyDescent="0.55000000000000004">
      <c r="S1669" t="str">
        <f t="shared" si="127"/>
        <v/>
      </c>
    </row>
    <row r="1670" spans="19:19" x14ac:dyDescent="0.55000000000000004">
      <c r="S1670" t="str">
        <f t="shared" si="127"/>
        <v/>
      </c>
    </row>
    <row r="1671" spans="19:19" x14ac:dyDescent="0.55000000000000004">
      <c r="S1671" t="str">
        <f t="shared" si="127"/>
        <v/>
      </c>
    </row>
    <row r="1672" spans="19:19" x14ac:dyDescent="0.55000000000000004">
      <c r="S1672" t="str">
        <f t="shared" si="127"/>
        <v/>
      </c>
    </row>
    <row r="1673" spans="19:19" x14ac:dyDescent="0.55000000000000004">
      <c r="S1673" t="str">
        <f t="shared" si="127"/>
        <v/>
      </c>
    </row>
    <row r="1674" spans="19:19" x14ac:dyDescent="0.55000000000000004">
      <c r="S1674" t="str">
        <f t="shared" si="127"/>
        <v/>
      </c>
    </row>
    <row r="1675" spans="19:19" x14ac:dyDescent="0.55000000000000004">
      <c r="S1675" t="str">
        <f t="shared" si="127"/>
        <v/>
      </c>
    </row>
    <row r="1676" spans="19:19" x14ac:dyDescent="0.55000000000000004">
      <c r="S1676" t="str">
        <f t="shared" si="127"/>
        <v/>
      </c>
    </row>
    <row r="1677" spans="19:19" x14ac:dyDescent="0.55000000000000004">
      <c r="S1677" t="str">
        <f t="shared" si="127"/>
        <v/>
      </c>
    </row>
    <row r="1678" spans="19:19" x14ac:dyDescent="0.55000000000000004">
      <c r="S1678" t="str">
        <f t="shared" si="127"/>
        <v/>
      </c>
    </row>
    <row r="1679" spans="19:19" x14ac:dyDescent="0.55000000000000004">
      <c r="S1679" t="str">
        <f t="shared" si="127"/>
        <v/>
      </c>
    </row>
    <row r="1680" spans="19:19" x14ac:dyDescent="0.55000000000000004">
      <c r="S1680" t="str">
        <f t="shared" si="127"/>
        <v/>
      </c>
    </row>
    <row r="1681" spans="19:19" x14ac:dyDescent="0.55000000000000004">
      <c r="S1681" t="str">
        <f t="shared" si="127"/>
        <v/>
      </c>
    </row>
    <row r="1682" spans="19:19" x14ac:dyDescent="0.55000000000000004">
      <c r="S1682" t="str">
        <f t="shared" si="127"/>
        <v/>
      </c>
    </row>
    <row r="1683" spans="19:19" x14ac:dyDescent="0.55000000000000004">
      <c r="S1683" t="str">
        <f t="shared" si="127"/>
        <v/>
      </c>
    </row>
    <row r="1684" spans="19:19" x14ac:dyDescent="0.55000000000000004">
      <c r="S1684" t="str">
        <f t="shared" si="127"/>
        <v/>
      </c>
    </row>
    <row r="1685" spans="19:19" x14ac:dyDescent="0.55000000000000004">
      <c r="S1685" t="str">
        <f t="shared" si="127"/>
        <v/>
      </c>
    </row>
    <row r="1686" spans="19:19" x14ac:dyDescent="0.55000000000000004">
      <c r="S1686" t="str">
        <f t="shared" si="127"/>
        <v/>
      </c>
    </row>
    <row r="1687" spans="19:19" x14ac:dyDescent="0.55000000000000004">
      <c r="S1687" t="str">
        <f t="shared" si="127"/>
        <v/>
      </c>
    </row>
    <row r="1688" spans="19:19" x14ac:dyDescent="0.55000000000000004">
      <c r="S1688" t="str">
        <f t="shared" si="127"/>
        <v/>
      </c>
    </row>
    <row r="1689" spans="19:19" x14ac:dyDescent="0.55000000000000004">
      <c r="S1689" t="str">
        <f t="shared" si="127"/>
        <v/>
      </c>
    </row>
    <row r="1690" spans="19:19" x14ac:dyDescent="0.55000000000000004">
      <c r="S1690" t="str">
        <f t="shared" si="127"/>
        <v/>
      </c>
    </row>
    <row r="1691" spans="19:19" x14ac:dyDescent="0.55000000000000004">
      <c r="S1691" t="str">
        <f t="shared" si="127"/>
        <v/>
      </c>
    </row>
    <row r="1692" spans="19:19" x14ac:dyDescent="0.55000000000000004">
      <c r="S1692" t="str">
        <f t="shared" si="127"/>
        <v/>
      </c>
    </row>
    <row r="1693" spans="19:19" x14ac:dyDescent="0.55000000000000004">
      <c r="S1693" t="str">
        <f t="shared" si="127"/>
        <v/>
      </c>
    </row>
    <row r="1694" spans="19:19" x14ac:dyDescent="0.55000000000000004">
      <c r="S1694" t="str">
        <f t="shared" si="127"/>
        <v/>
      </c>
    </row>
    <row r="1695" spans="19:19" x14ac:dyDescent="0.55000000000000004">
      <c r="S1695" t="str">
        <f t="shared" si="127"/>
        <v/>
      </c>
    </row>
    <row r="1696" spans="19:19" x14ac:dyDescent="0.55000000000000004">
      <c r="S1696" t="str">
        <f t="shared" si="127"/>
        <v/>
      </c>
    </row>
    <row r="1697" spans="19:19" x14ac:dyDescent="0.55000000000000004">
      <c r="S1697" t="str">
        <f t="shared" si="127"/>
        <v/>
      </c>
    </row>
    <row r="1698" spans="19:19" x14ac:dyDescent="0.55000000000000004">
      <c r="S1698" t="str">
        <f t="shared" si="127"/>
        <v/>
      </c>
    </row>
    <row r="1699" spans="19:19" x14ac:dyDescent="0.55000000000000004">
      <c r="S1699" t="str">
        <f t="shared" si="127"/>
        <v/>
      </c>
    </row>
    <row r="1700" spans="19:19" x14ac:dyDescent="0.55000000000000004">
      <c r="S1700" t="str">
        <f t="shared" si="127"/>
        <v/>
      </c>
    </row>
    <row r="1701" spans="19:19" x14ac:dyDescent="0.55000000000000004">
      <c r="S1701" t="str">
        <f t="shared" si="127"/>
        <v/>
      </c>
    </row>
    <row r="1702" spans="19:19" x14ac:dyDescent="0.55000000000000004">
      <c r="S1702" t="str">
        <f t="shared" si="127"/>
        <v/>
      </c>
    </row>
    <row r="1703" spans="19:19" x14ac:dyDescent="0.55000000000000004">
      <c r="S1703" t="str">
        <f t="shared" si="127"/>
        <v/>
      </c>
    </row>
    <row r="1704" spans="19:19" x14ac:dyDescent="0.55000000000000004">
      <c r="S1704" t="str">
        <f t="shared" si="127"/>
        <v/>
      </c>
    </row>
    <row r="1705" spans="19:19" x14ac:dyDescent="0.55000000000000004">
      <c r="S1705" t="str">
        <f t="shared" si="127"/>
        <v/>
      </c>
    </row>
    <row r="1706" spans="19:19" x14ac:dyDescent="0.55000000000000004">
      <c r="S1706" t="str">
        <f t="shared" si="127"/>
        <v/>
      </c>
    </row>
    <row r="1707" spans="19:19" x14ac:dyDescent="0.55000000000000004">
      <c r="S1707" t="str">
        <f t="shared" si="127"/>
        <v/>
      </c>
    </row>
    <row r="1708" spans="19:19" x14ac:dyDescent="0.55000000000000004">
      <c r="S1708" t="str">
        <f t="shared" si="127"/>
        <v/>
      </c>
    </row>
    <row r="1709" spans="19:19" x14ac:dyDescent="0.55000000000000004">
      <c r="S1709" t="str">
        <f t="shared" si="127"/>
        <v/>
      </c>
    </row>
    <row r="1710" spans="19:19" x14ac:dyDescent="0.55000000000000004">
      <c r="S1710" t="str">
        <f t="shared" si="127"/>
        <v/>
      </c>
    </row>
    <row r="1711" spans="19:19" x14ac:dyDescent="0.55000000000000004">
      <c r="S1711" t="str">
        <f t="shared" si="127"/>
        <v/>
      </c>
    </row>
    <row r="1712" spans="19:19" x14ac:dyDescent="0.55000000000000004">
      <c r="S1712" t="str">
        <f t="shared" si="127"/>
        <v/>
      </c>
    </row>
    <row r="1713" spans="19:19" x14ac:dyDescent="0.55000000000000004">
      <c r="S1713" t="str">
        <f t="shared" si="127"/>
        <v/>
      </c>
    </row>
    <row r="1714" spans="19:19" x14ac:dyDescent="0.55000000000000004">
      <c r="S1714" t="str">
        <f t="shared" si="127"/>
        <v/>
      </c>
    </row>
    <row r="1715" spans="19:19" x14ac:dyDescent="0.55000000000000004">
      <c r="S1715" t="str">
        <f t="shared" si="127"/>
        <v/>
      </c>
    </row>
    <row r="1716" spans="19:19" x14ac:dyDescent="0.55000000000000004">
      <c r="S1716" t="str">
        <f t="shared" si="127"/>
        <v/>
      </c>
    </row>
    <row r="1717" spans="19:19" x14ac:dyDescent="0.55000000000000004">
      <c r="S1717" t="str">
        <f t="shared" si="127"/>
        <v/>
      </c>
    </row>
    <row r="1718" spans="19:19" x14ac:dyDescent="0.55000000000000004">
      <c r="S1718" t="str">
        <f t="shared" si="127"/>
        <v/>
      </c>
    </row>
    <row r="1719" spans="19:19" x14ac:dyDescent="0.55000000000000004">
      <c r="S1719" t="str">
        <f t="shared" si="127"/>
        <v/>
      </c>
    </row>
    <row r="1720" spans="19:19" x14ac:dyDescent="0.55000000000000004">
      <c r="S1720" t="str">
        <f t="shared" si="127"/>
        <v/>
      </c>
    </row>
    <row r="1721" spans="19:19" x14ac:dyDescent="0.55000000000000004">
      <c r="S1721" t="str">
        <f t="shared" si="127"/>
        <v/>
      </c>
    </row>
    <row r="1722" spans="19:19" x14ac:dyDescent="0.55000000000000004">
      <c r="S1722" t="str">
        <f t="shared" si="127"/>
        <v/>
      </c>
    </row>
    <row r="1723" spans="19:19" x14ac:dyDescent="0.55000000000000004">
      <c r="S1723" t="str">
        <f t="shared" si="127"/>
        <v/>
      </c>
    </row>
    <row r="1724" spans="19:19" x14ac:dyDescent="0.55000000000000004">
      <c r="S1724" t="str">
        <f t="shared" si="127"/>
        <v/>
      </c>
    </row>
    <row r="1725" spans="19:19" x14ac:dyDescent="0.55000000000000004">
      <c r="S1725" t="str">
        <f t="shared" si="127"/>
        <v/>
      </c>
    </row>
    <row r="1726" spans="19:19" x14ac:dyDescent="0.55000000000000004">
      <c r="S1726" t="str">
        <f t="shared" si="127"/>
        <v/>
      </c>
    </row>
    <row r="1727" spans="19:19" x14ac:dyDescent="0.55000000000000004">
      <c r="S1727" t="str">
        <f t="shared" si="127"/>
        <v/>
      </c>
    </row>
    <row r="1728" spans="19:19" x14ac:dyDescent="0.55000000000000004">
      <c r="S1728" t="str">
        <f t="shared" si="127"/>
        <v/>
      </c>
    </row>
    <row r="1729" spans="19:19" x14ac:dyDescent="0.55000000000000004">
      <c r="S1729" t="str">
        <f t="shared" si="127"/>
        <v/>
      </c>
    </row>
    <row r="1730" spans="19:19" x14ac:dyDescent="0.55000000000000004">
      <c r="S1730" t="str">
        <f t="shared" si="127"/>
        <v/>
      </c>
    </row>
    <row r="1731" spans="19:19" x14ac:dyDescent="0.55000000000000004">
      <c r="S1731" t="str">
        <f t="shared" si="127"/>
        <v/>
      </c>
    </row>
    <row r="1732" spans="19:19" x14ac:dyDescent="0.55000000000000004">
      <c r="S1732" t="str">
        <f t="shared" ref="S1732:S1795" si="128">IF(R1732&lt;&gt;"", R1732*236.588, "")</f>
        <v/>
      </c>
    </row>
    <row r="1733" spans="19:19" x14ac:dyDescent="0.55000000000000004">
      <c r="S1733" t="str">
        <f t="shared" si="128"/>
        <v/>
      </c>
    </row>
    <row r="1734" spans="19:19" x14ac:dyDescent="0.55000000000000004">
      <c r="S1734" t="str">
        <f t="shared" si="128"/>
        <v/>
      </c>
    </row>
    <row r="1735" spans="19:19" x14ac:dyDescent="0.55000000000000004">
      <c r="S1735" t="str">
        <f t="shared" si="128"/>
        <v/>
      </c>
    </row>
    <row r="1736" spans="19:19" x14ac:dyDescent="0.55000000000000004">
      <c r="S1736" t="str">
        <f t="shared" si="128"/>
        <v/>
      </c>
    </row>
    <row r="1737" spans="19:19" x14ac:dyDescent="0.55000000000000004">
      <c r="S1737" t="str">
        <f t="shared" si="128"/>
        <v/>
      </c>
    </row>
    <row r="1738" spans="19:19" x14ac:dyDescent="0.55000000000000004">
      <c r="S1738" t="str">
        <f t="shared" si="128"/>
        <v/>
      </c>
    </row>
    <row r="1739" spans="19:19" x14ac:dyDescent="0.55000000000000004">
      <c r="S1739" t="str">
        <f t="shared" si="128"/>
        <v/>
      </c>
    </row>
    <row r="1740" spans="19:19" x14ac:dyDescent="0.55000000000000004">
      <c r="S1740" t="str">
        <f t="shared" si="128"/>
        <v/>
      </c>
    </row>
    <row r="1741" spans="19:19" x14ac:dyDescent="0.55000000000000004">
      <c r="S1741" t="str">
        <f t="shared" si="128"/>
        <v/>
      </c>
    </row>
    <row r="1742" spans="19:19" x14ac:dyDescent="0.55000000000000004">
      <c r="S1742" t="str">
        <f t="shared" si="128"/>
        <v/>
      </c>
    </row>
    <row r="1743" spans="19:19" x14ac:dyDescent="0.55000000000000004">
      <c r="S1743" t="str">
        <f t="shared" si="128"/>
        <v/>
      </c>
    </row>
    <row r="1744" spans="19:19" x14ac:dyDescent="0.55000000000000004">
      <c r="S1744" t="str">
        <f t="shared" si="128"/>
        <v/>
      </c>
    </row>
    <row r="1745" spans="19:19" x14ac:dyDescent="0.55000000000000004">
      <c r="S1745" t="str">
        <f t="shared" si="128"/>
        <v/>
      </c>
    </row>
    <row r="1746" spans="19:19" x14ac:dyDescent="0.55000000000000004">
      <c r="S1746" t="str">
        <f t="shared" si="128"/>
        <v/>
      </c>
    </row>
    <row r="1747" spans="19:19" x14ac:dyDescent="0.55000000000000004">
      <c r="S1747" t="str">
        <f t="shared" si="128"/>
        <v/>
      </c>
    </row>
    <row r="1748" spans="19:19" x14ac:dyDescent="0.55000000000000004">
      <c r="S1748" t="str">
        <f t="shared" si="128"/>
        <v/>
      </c>
    </row>
    <row r="1749" spans="19:19" x14ac:dyDescent="0.55000000000000004">
      <c r="S1749" t="str">
        <f t="shared" si="128"/>
        <v/>
      </c>
    </row>
    <row r="1750" spans="19:19" x14ac:dyDescent="0.55000000000000004">
      <c r="S1750" t="str">
        <f t="shared" si="128"/>
        <v/>
      </c>
    </row>
    <row r="1751" spans="19:19" x14ac:dyDescent="0.55000000000000004">
      <c r="S1751" t="str">
        <f t="shared" si="128"/>
        <v/>
      </c>
    </row>
    <row r="1752" spans="19:19" x14ac:dyDescent="0.55000000000000004">
      <c r="S1752" t="str">
        <f t="shared" si="128"/>
        <v/>
      </c>
    </row>
    <row r="1753" spans="19:19" x14ac:dyDescent="0.55000000000000004">
      <c r="S1753" t="str">
        <f t="shared" si="128"/>
        <v/>
      </c>
    </row>
    <row r="1754" spans="19:19" x14ac:dyDescent="0.55000000000000004">
      <c r="S1754" t="str">
        <f t="shared" si="128"/>
        <v/>
      </c>
    </row>
    <row r="1755" spans="19:19" x14ac:dyDescent="0.55000000000000004">
      <c r="S1755" t="str">
        <f t="shared" si="128"/>
        <v/>
      </c>
    </row>
    <row r="1756" spans="19:19" x14ac:dyDescent="0.55000000000000004">
      <c r="S1756" t="str">
        <f t="shared" si="128"/>
        <v/>
      </c>
    </row>
    <row r="1757" spans="19:19" x14ac:dyDescent="0.55000000000000004">
      <c r="S1757" t="str">
        <f t="shared" si="128"/>
        <v/>
      </c>
    </row>
    <row r="1758" spans="19:19" x14ac:dyDescent="0.55000000000000004">
      <c r="S1758" t="str">
        <f t="shared" si="128"/>
        <v/>
      </c>
    </row>
    <row r="1759" spans="19:19" x14ac:dyDescent="0.55000000000000004">
      <c r="S1759" t="str">
        <f t="shared" si="128"/>
        <v/>
      </c>
    </row>
    <row r="1760" spans="19:19" x14ac:dyDescent="0.55000000000000004">
      <c r="S1760" t="str">
        <f t="shared" si="128"/>
        <v/>
      </c>
    </row>
    <row r="1761" spans="19:19" x14ac:dyDescent="0.55000000000000004">
      <c r="S1761" t="str">
        <f t="shared" si="128"/>
        <v/>
      </c>
    </row>
    <row r="1762" spans="19:19" x14ac:dyDescent="0.55000000000000004">
      <c r="S1762" t="str">
        <f t="shared" si="128"/>
        <v/>
      </c>
    </row>
    <row r="1763" spans="19:19" x14ac:dyDescent="0.55000000000000004">
      <c r="S1763" t="str">
        <f t="shared" si="128"/>
        <v/>
      </c>
    </row>
    <row r="1764" spans="19:19" x14ac:dyDescent="0.55000000000000004">
      <c r="S1764" t="str">
        <f t="shared" si="128"/>
        <v/>
      </c>
    </row>
    <row r="1765" spans="19:19" x14ac:dyDescent="0.55000000000000004">
      <c r="S1765" t="str">
        <f t="shared" si="128"/>
        <v/>
      </c>
    </row>
    <row r="1766" spans="19:19" x14ac:dyDescent="0.55000000000000004">
      <c r="S1766" t="str">
        <f t="shared" si="128"/>
        <v/>
      </c>
    </row>
    <row r="1767" spans="19:19" x14ac:dyDescent="0.55000000000000004">
      <c r="S1767" t="str">
        <f t="shared" si="128"/>
        <v/>
      </c>
    </row>
    <row r="1768" spans="19:19" x14ac:dyDescent="0.55000000000000004">
      <c r="S1768" t="str">
        <f t="shared" si="128"/>
        <v/>
      </c>
    </row>
    <row r="1769" spans="19:19" x14ac:dyDescent="0.55000000000000004">
      <c r="S1769" t="str">
        <f t="shared" si="128"/>
        <v/>
      </c>
    </row>
    <row r="1770" spans="19:19" x14ac:dyDescent="0.55000000000000004">
      <c r="S1770" t="str">
        <f t="shared" si="128"/>
        <v/>
      </c>
    </row>
    <row r="1771" spans="19:19" x14ac:dyDescent="0.55000000000000004">
      <c r="S1771" t="str">
        <f t="shared" si="128"/>
        <v/>
      </c>
    </row>
    <row r="1772" spans="19:19" x14ac:dyDescent="0.55000000000000004">
      <c r="S1772" t="str">
        <f t="shared" si="128"/>
        <v/>
      </c>
    </row>
    <row r="1773" spans="19:19" x14ac:dyDescent="0.55000000000000004">
      <c r="S1773" t="str">
        <f t="shared" si="128"/>
        <v/>
      </c>
    </row>
    <row r="1774" spans="19:19" x14ac:dyDescent="0.55000000000000004">
      <c r="S1774" t="str">
        <f t="shared" si="128"/>
        <v/>
      </c>
    </row>
    <row r="1775" spans="19:19" x14ac:dyDescent="0.55000000000000004">
      <c r="S1775" t="str">
        <f t="shared" si="128"/>
        <v/>
      </c>
    </row>
    <row r="1776" spans="19:19" x14ac:dyDescent="0.55000000000000004">
      <c r="S1776" t="str">
        <f t="shared" si="128"/>
        <v/>
      </c>
    </row>
    <row r="1777" spans="19:19" x14ac:dyDescent="0.55000000000000004">
      <c r="S1777" t="str">
        <f t="shared" si="128"/>
        <v/>
      </c>
    </row>
    <row r="1778" spans="19:19" x14ac:dyDescent="0.55000000000000004">
      <c r="S1778" t="str">
        <f t="shared" si="128"/>
        <v/>
      </c>
    </row>
    <row r="1779" spans="19:19" x14ac:dyDescent="0.55000000000000004">
      <c r="S1779" t="str">
        <f t="shared" si="128"/>
        <v/>
      </c>
    </row>
    <row r="1780" spans="19:19" x14ac:dyDescent="0.55000000000000004">
      <c r="S1780" t="str">
        <f t="shared" si="128"/>
        <v/>
      </c>
    </row>
    <row r="1781" spans="19:19" x14ac:dyDescent="0.55000000000000004">
      <c r="S1781" t="str">
        <f t="shared" si="128"/>
        <v/>
      </c>
    </row>
    <row r="1782" spans="19:19" x14ac:dyDescent="0.55000000000000004">
      <c r="S1782" t="str">
        <f t="shared" si="128"/>
        <v/>
      </c>
    </row>
    <row r="1783" spans="19:19" x14ac:dyDescent="0.55000000000000004">
      <c r="S1783" t="str">
        <f t="shared" si="128"/>
        <v/>
      </c>
    </row>
    <row r="1784" spans="19:19" x14ac:dyDescent="0.55000000000000004">
      <c r="S1784" t="str">
        <f t="shared" si="128"/>
        <v/>
      </c>
    </row>
    <row r="1785" spans="19:19" x14ac:dyDescent="0.55000000000000004">
      <c r="S1785" t="str">
        <f t="shared" si="128"/>
        <v/>
      </c>
    </row>
    <row r="1786" spans="19:19" x14ac:dyDescent="0.55000000000000004">
      <c r="S1786" t="str">
        <f t="shared" si="128"/>
        <v/>
      </c>
    </row>
    <row r="1787" spans="19:19" x14ac:dyDescent="0.55000000000000004">
      <c r="S1787" t="str">
        <f t="shared" si="128"/>
        <v/>
      </c>
    </row>
    <row r="1788" spans="19:19" x14ac:dyDescent="0.55000000000000004">
      <c r="S1788" t="str">
        <f t="shared" si="128"/>
        <v/>
      </c>
    </row>
    <row r="1789" spans="19:19" x14ac:dyDescent="0.55000000000000004">
      <c r="S1789" t="str">
        <f t="shared" si="128"/>
        <v/>
      </c>
    </row>
    <row r="1790" spans="19:19" x14ac:dyDescent="0.55000000000000004">
      <c r="S1790" t="str">
        <f t="shared" si="128"/>
        <v/>
      </c>
    </row>
    <row r="1791" spans="19:19" x14ac:dyDescent="0.55000000000000004">
      <c r="S1791" t="str">
        <f t="shared" si="128"/>
        <v/>
      </c>
    </row>
    <row r="1792" spans="19:19" x14ac:dyDescent="0.55000000000000004">
      <c r="S1792" t="str">
        <f t="shared" si="128"/>
        <v/>
      </c>
    </row>
    <row r="1793" spans="19:19" x14ac:dyDescent="0.55000000000000004">
      <c r="S1793" t="str">
        <f t="shared" si="128"/>
        <v/>
      </c>
    </row>
    <row r="1794" spans="19:19" x14ac:dyDescent="0.55000000000000004">
      <c r="S1794" t="str">
        <f t="shared" si="128"/>
        <v/>
      </c>
    </row>
    <row r="1795" spans="19:19" x14ac:dyDescent="0.55000000000000004">
      <c r="S1795" t="str">
        <f t="shared" si="128"/>
        <v/>
      </c>
    </row>
    <row r="1796" spans="19:19" x14ac:dyDescent="0.55000000000000004">
      <c r="S1796" t="str">
        <f t="shared" ref="S1796:S1859" si="129">IF(R1796&lt;&gt;"", R1796*236.588, "")</f>
        <v/>
      </c>
    </row>
    <row r="1797" spans="19:19" x14ac:dyDescent="0.55000000000000004">
      <c r="S1797" t="str">
        <f t="shared" si="129"/>
        <v/>
      </c>
    </row>
    <row r="1798" spans="19:19" x14ac:dyDescent="0.55000000000000004">
      <c r="S1798" t="str">
        <f t="shared" si="129"/>
        <v/>
      </c>
    </row>
    <row r="1799" spans="19:19" x14ac:dyDescent="0.55000000000000004">
      <c r="S1799" t="str">
        <f t="shared" si="129"/>
        <v/>
      </c>
    </row>
    <row r="1800" spans="19:19" x14ac:dyDescent="0.55000000000000004">
      <c r="S1800" t="str">
        <f t="shared" si="129"/>
        <v/>
      </c>
    </row>
    <row r="1801" spans="19:19" x14ac:dyDescent="0.55000000000000004">
      <c r="S1801" t="str">
        <f t="shared" si="129"/>
        <v/>
      </c>
    </row>
    <row r="1802" spans="19:19" x14ac:dyDescent="0.55000000000000004">
      <c r="S1802" t="str">
        <f t="shared" si="129"/>
        <v/>
      </c>
    </row>
    <row r="1803" spans="19:19" x14ac:dyDescent="0.55000000000000004">
      <c r="S1803" t="str">
        <f t="shared" si="129"/>
        <v/>
      </c>
    </row>
    <row r="1804" spans="19:19" x14ac:dyDescent="0.55000000000000004">
      <c r="S1804" t="str">
        <f t="shared" si="129"/>
        <v/>
      </c>
    </row>
    <row r="1805" spans="19:19" x14ac:dyDescent="0.55000000000000004">
      <c r="S1805" t="str">
        <f t="shared" si="129"/>
        <v/>
      </c>
    </row>
    <row r="1806" spans="19:19" x14ac:dyDescent="0.55000000000000004">
      <c r="S1806" t="str">
        <f t="shared" si="129"/>
        <v/>
      </c>
    </row>
    <row r="1807" spans="19:19" x14ac:dyDescent="0.55000000000000004">
      <c r="S1807" t="str">
        <f t="shared" si="129"/>
        <v/>
      </c>
    </row>
    <row r="1808" spans="19:19" x14ac:dyDescent="0.55000000000000004">
      <c r="S1808" t="str">
        <f t="shared" si="129"/>
        <v/>
      </c>
    </row>
    <row r="1809" spans="19:19" x14ac:dyDescent="0.55000000000000004">
      <c r="S1809" t="str">
        <f t="shared" si="129"/>
        <v/>
      </c>
    </row>
    <row r="1810" spans="19:19" x14ac:dyDescent="0.55000000000000004">
      <c r="S1810" t="str">
        <f t="shared" si="129"/>
        <v/>
      </c>
    </row>
    <row r="1811" spans="19:19" x14ac:dyDescent="0.55000000000000004">
      <c r="S1811" t="str">
        <f t="shared" si="129"/>
        <v/>
      </c>
    </row>
    <row r="1812" spans="19:19" x14ac:dyDescent="0.55000000000000004">
      <c r="S1812" t="str">
        <f t="shared" si="129"/>
        <v/>
      </c>
    </row>
    <row r="1813" spans="19:19" x14ac:dyDescent="0.55000000000000004">
      <c r="S1813" t="str">
        <f t="shared" si="129"/>
        <v/>
      </c>
    </row>
    <row r="1814" spans="19:19" x14ac:dyDescent="0.55000000000000004">
      <c r="S1814" t="str">
        <f t="shared" si="129"/>
        <v/>
      </c>
    </row>
    <row r="1815" spans="19:19" x14ac:dyDescent="0.55000000000000004">
      <c r="S1815" t="str">
        <f t="shared" si="129"/>
        <v/>
      </c>
    </row>
    <row r="1816" spans="19:19" x14ac:dyDescent="0.55000000000000004">
      <c r="S1816" t="str">
        <f t="shared" si="129"/>
        <v/>
      </c>
    </row>
    <row r="1817" spans="19:19" x14ac:dyDescent="0.55000000000000004">
      <c r="S1817" t="str">
        <f t="shared" si="129"/>
        <v/>
      </c>
    </row>
    <row r="1818" spans="19:19" x14ac:dyDescent="0.55000000000000004">
      <c r="S1818" t="str">
        <f t="shared" si="129"/>
        <v/>
      </c>
    </row>
    <row r="1819" spans="19:19" x14ac:dyDescent="0.55000000000000004">
      <c r="S1819" t="str">
        <f t="shared" si="129"/>
        <v/>
      </c>
    </row>
    <row r="1820" spans="19:19" x14ac:dyDescent="0.55000000000000004">
      <c r="S1820" t="str">
        <f t="shared" si="129"/>
        <v/>
      </c>
    </row>
    <row r="1821" spans="19:19" x14ac:dyDescent="0.55000000000000004">
      <c r="S1821" t="str">
        <f t="shared" si="129"/>
        <v/>
      </c>
    </row>
    <row r="1822" spans="19:19" x14ac:dyDescent="0.55000000000000004">
      <c r="S1822" t="str">
        <f t="shared" si="129"/>
        <v/>
      </c>
    </row>
    <row r="1823" spans="19:19" x14ac:dyDescent="0.55000000000000004">
      <c r="S1823" t="str">
        <f t="shared" si="129"/>
        <v/>
      </c>
    </row>
    <row r="1824" spans="19:19" x14ac:dyDescent="0.55000000000000004">
      <c r="S1824" t="str">
        <f t="shared" si="129"/>
        <v/>
      </c>
    </row>
    <row r="1825" spans="19:19" x14ac:dyDescent="0.55000000000000004">
      <c r="S1825" t="str">
        <f t="shared" si="129"/>
        <v/>
      </c>
    </row>
    <row r="1826" spans="19:19" x14ac:dyDescent="0.55000000000000004">
      <c r="S1826" t="str">
        <f t="shared" si="129"/>
        <v/>
      </c>
    </row>
    <row r="1827" spans="19:19" x14ac:dyDescent="0.55000000000000004">
      <c r="S1827" t="str">
        <f t="shared" si="129"/>
        <v/>
      </c>
    </row>
    <row r="1828" spans="19:19" x14ac:dyDescent="0.55000000000000004">
      <c r="S1828" t="str">
        <f t="shared" si="129"/>
        <v/>
      </c>
    </row>
    <row r="1829" spans="19:19" x14ac:dyDescent="0.55000000000000004">
      <c r="S1829" t="str">
        <f t="shared" si="129"/>
        <v/>
      </c>
    </row>
    <row r="1830" spans="19:19" x14ac:dyDescent="0.55000000000000004">
      <c r="S1830" t="str">
        <f t="shared" si="129"/>
        <v/>
      </c>
    </row>
    <row r="1831" spans="19:19" x14ac:dyDescent="0.55000000000000004">
      <c r="S1831" t="str">
        <f t="shared" si="129"/>
        <v/>
      </c>
    </row>
    <row r="1832" spans="19:19" x14ac:dyDescent="0.55000000000000004">
      <c r="S1832" t="str">
        <f t="shared" si="129"/>
        <v/>
      </c>
    </row>
    <row r="1833" spans="19:19" x14ac:dyDescent="0.55000000000000004">
      <c r="S1833" t="str">
        <f t="shared" si="129"/>
        <v/>
      </c>
    </row>
    <row r="1834" spans="19:19" x14ac:dyDescent="0.55000000000000004">
      <c r="S1834" t="str">
        <f t="shared" si="129"/>
        <v/>
      </c>
    </row>
    <row r="1835" spans="19:19" x14ac:dyDescent="0.55000000000000004">
      <c r="S1835" t="str">
        <f t="shared" si="129"/>
        <v/>
      </c>
    </row>
    <row r="1836" spans="19:19" x14ac:dyDescent="0.55000000000000004">
      <c r="S1836" t="str">
        <f t="shared" si="129"/>
        <v/>
      </c>
    </row>
    <row r="1837" spans="19:19" x14ac:dyDescent="0.55000000000000004">
      <c r="S1837" t="str">
        <f t="shared" si="129"/>
        <v/>
      </c>
    </row>
    <row r="1838" spans="19:19" x14ac:dyDescent="0.55000000000000004">
      <c r="S1838" t="str">
        <f t="shared" si="129"/>
        <v/>
      </c>
    </row>
    <row r="1839" spans="19:19" x14ac:dyDescent="0.55000000000000004">
      <c r="S1839" t="str">
        <f t="shared" si="129"/>
        <v/>
      </c>
    </row>
    <row r="1840" spans="19:19" x14ac:dyDescent="0.55000000000000004">
      <c r="S1840" t="str">
        <f t="shared" si="129"/>
        <v/>
      </c>
    </row>
    <row r="1841" spans="19:19" x14ac:dyDescent="0.55000000000000004">
      <c r="S1841" t="str">
        <f t="shared" si="129"/>
        <v/>
      </c>
    </row>
    <row r="1842" spans="19:19" x14ac:dyDescent="0.55000000000000004">
      <c r="S1842" t="str">
        <f t="shared" si="129"/>
        <v/>
      </c>
    </row>
    <row r="1843" spans="19:19" x14ac:dyDescent="0.55000000000000004">
      <c r="S1843" t="str">
        <f t="shared" si="129"/>
        <v/>
      </c>
    </row>
    <row r="1844" spans="19:19" x14ac:dyDescent="0.55000000000000004">
      <c r="S1844" t="str">
        <f t="shared" si="129"/>
        <v/>
      </c>
    </row>
    <row r="1845" spans="19:19" x14ac:dyDescent="0.55000000000000004">
      <c r="S1845" t="str">
        <f t="shared" si="129"/>
        <v/>
      </c>
    </row>
    <row r="1846" spans="19:19" x14ac:dyDescent="0.55000000000000004">
      <c r="S1846" t="str">
        <f t="shared" si="129"/>
        <v/>
      </c>
    </row>
    <row r="1847" spans="19:19" x14ac:dyDescent="0.55000000000000004">
      <c r="S1847" t="str">
        <f t="shared" si="129"/>
        <v/>
      </c>
    </row>
    <row r="1848" spans="19:19" x14ac:dyDescent="0.55000000000000004">
      <c r="S1848" t="str">
        <f t="shared" si="129"/>
        <v/>
      </c>
    </row>
    <row r="1849" spans="19:19" x14ac:dyDescent="0.55000000000000004">
      <c r="S1849" t="str">
        <f t="shared" si="129"/>
        <v/>
      </c>
    </row>
    <row r="1850" spans="19:19" x14ac:dyDescent="0.55000000000000004">
      <c r="S1850" t="str">
        <f t="shared" si="129"/>
        <v/>
      </c>
    </row>
    <row r="1851" spans="19:19" x14ac:dyDescent="0.55000000000000004">
      <c r="S1851" t="str">
        <f t="shared" si="129"/>
        <v/>
      </c>
    </row>
    <row r="1852" spans="19:19" x14ac:dyDescent="0.55000000000000004">
      <c r="S1852" t="str">
        <f t="shared" si="129"/>
        <v/>
      </c>
    </row>
    <row r="1853" spans="19:19" x14ac:dyDescent="0.55000000000000004">
      <c r="S1853" t="str">
        <f t="shared" si="129"/>
        <v/>
      </c>
    </row>
    <row r="1854" spans="19:19" x14ac:dyDescent="0.55000000000000004">
      <c r="S1854" t="str">
        <f t="shared" si="129"/>
        <v/>
      </c>
    </row>
    <row r="1855" spans="19:19" x14ac:dyDescent="0.55000000000000004">
      <c r="S1855" t="str">
        <f t="shared" si="129"/>
        <v/>
      </c>
    </row>
    <row r="1856" spans="19:19" x14ac:dyDescent="0.55000000000000004">
      <c r="S1856" t="str">
        <f t="shared" si="129"/>
        <v/>
      </c>
    </row>
    <row r="1857" spans="19:19" x14ac:dyDescent="0.55000000000000004">
      <c r="S1857" t="str">
        <f t="shared" si="129"/>
        <v/>
      </c>
    </row>
    <row r="1858" spans="19:19" x14ac:dyDescent="0.55000000000000004">
      <c r="S1858" t="str">
        <f t="shared" si="129"/>
        <v/>
      </c>
    </row>
    <row r="1859" spans="19:19" x14ac:dyDescent="0.55000000000000004">
      <c r="S1859" t="str">
        <f t="shared" si="129"/>
        <v/>
      </c>
    </row>
    <row r="1860" spans="19:19" x14ac:dyDescent="0.55000000000000004">
      <c r="S1860" t="str">
        <f t="shared" ref="S1860:S1923" si="130">IF(R1860&lt;&gt;"", R1860*236.588, "")</f>
        <v/>
      </c>
    </row>
    <row r="1861" spans="19:19" x14ac:dyDescent="0.55000000000000004">
      <c r="S1861" t="str">
        <f t="shared" si="130"/>
        <v/>
      </c>
    </row>
    <row r="1862" spans="19:19" x14ac:dyDescent="0.55000000000000004">
      <c r="S1862" t="str">
        <f t="shared" si="130"/>
        <v/>
      </c>
    </row>
    <row r="1863" spans="19:19" x14ac:dyDescent="0.55000000000000004">
      <c r="S1863" t="str">
        <f t="shared" si="130"/>
        <v/>
      </c>
    </row>
    <row r="1864" spans="19:19" x14ac:dyDescent="0.55000000000000004">
      <c r="S1864" t="str">
        <f t="shared" si="130"/>
        <v/>
      </c>
    </row>
    <row r="1865" spans="19:19" x14ac:dyDescent="0.55000000000000004">
      <c r="S1865" t="str">
        <f t="shared" si="130"/>
        <v/>
      </c>
    </row>
    <row r="1866" spans="19:19" x14ac:dyDescent="0.55000000000000004">
      <c r="S1866" t="str">
        <f t="shared" si="130"/>
        <v/>
      </c>
    </row>
    <row r="1867" spans="19:19" x14ac:dyDescent="0.55000000000000004">
      <c r="S1867" t="str">
        <f t="shared" si="130"/>
        <v/>
      </c>
    </row>
    <row r="1868" spans="19:19" x14ac:dyDescent="0.55000000000000004">
      <c r="S1868" t="str">
        <f t="shared" si="130"/>
        <v/>
      </c>
    </row>
    <row r="1869" spans="19:19" x14ac:dyDescent="0.55000000000000004">
      <c r="S1869" t="str">
        <f t="shared" si="130"/>
        <v/>
      </c>
    </row>
    <row r="1870" spans="19:19" x14ac:dyDescent="0.55000000000000004">
      <c r="S1870" t="str">
        <f t="shared" si="130"/>
        <v/>
      </c>
    </row>
    <row r="1871" spans="19:19" x14ac:dyDescent="0.55000000000000004">
      <c r="S1871" t="str">
        <f t="shared" si="130"/>
        <v/>
      </c>
    </row>
    <row r="1872" spans="19:19" x14ac:dyDescent="0.55000000000000004">
      <c r="S1872" t="str">
        <f t="shared" si="130"/>
        <v/>
      </c>
    </row>
    <row r="1873" spans="19:19" x14ac:dyDescent="0.55000000000000004">
      <c r="S1873" t="str">
        <f t="shared" si="130"/>
        <v/>
      </c>
    </row>
    <row r="1874" spans="19:19" x14ac:dyDescent="0.55000000000000004">
      <c r="S1874" t="str">
        <f t="shared" si="130"/>
        <v/>
      </c>
    </row>
    <row r="1875" spans="19:19" x14ac:dyDescent="0.55000000000000004">
      <c r="S1875" t="str">
        <f t="shared" si="130"/>
        <v/>
      </c>
    </row>
    <row r="1876" spans="19:19" x14ac:dyDescent="0.55000000000000004">
      <c r="S1876" t="str">
        <f t="shared" si="130"/>
        <v/>
      </c>
    </row>
    <row r="1877" spans="19:19" x14ac:dyDescent="0.55000000000000004">
      <c r="S1877" t="str">
        <f t="shared" si="130"/>
        <v/>
      </c>
    </row>
    <row r="1878" spans="19:19" x14ac:dyDescent="0.55000000000000004">
      <c r="S1878" t="str">
        <f t="shared" si="130"/>
        <v/>
      </c>
    </row>
    <row r="1879" spans="19:19" x14ac:dyDescent="0.55000000000000004">
      <c r="S1879" t="str">
        <f t="shared" si="130"/>
        <v/>
      </c>
    </row>
    <row r="1880" spans="19:19" x14ac:dyDescent="0.55000000000000004">
      <c r="S1880" t="str">
        <f t="shared" si="130"/>
        <v/>
      </c>
    </row>
    <row r="1881" spans="19:19" x14ac:dyDescent="0.55000000000000004">
      <c r="S1881" t="str">
        <f t="shared" si="130"/>
        <v/>
      </c>
    </row>
    <row r="1882" spans="19:19" x14ac:dyDescent="0.55000000000000004">
      <c r="S1882" t="str">
        <f t="shared" si="130"/>
        <v/>
      </c>
    </row>
    <row r="1883" spans="19:19" x14ac:dyDescent="0.55000000000000004">
      <c r="S1883" t="str">
        <f t="shared" si="130"/>
        <v/>
      </c>
    </row>
    <row r="1884" spans="19:19" x14ac:dyDescent="0.55000000000000004">
      <c r="S1884" t="str">
        <f t="shared" si="130"/>
        <v/>
      </c>
    </row>
    <row r="1885" spans="19:19" x14ac:dyDescent="0.55000000000000004">
      <c r="S1885" t="str">
        <f t="shared" si="130"/>
        <v/>
      </c>
    </row>
    <row r="1886" spans="19:19" x14ac:dyDescent="0.55000000000000004">
      <c r="S1886" t="str">
        <f t="shared" si="130"/>
        <v/>
      </c>
    </row>
    <row r="1887" spans="19:19" x14ac:dyDescent="0.55000000000000004">
      <c r="S1887" t="str">
        <f t="shared" si="130"/>
        <v/>
      </c>
    </row>
    <row r="1888" spans="19:19" x14ac:dyDescent="0.55000000000000004">
      <c r="S1888" t="str">
        <f t="shared" si="130"/>
        <v/>
      </c>
    </row>
    <row r="1889" spans="19:19" x14ac:dyDescent="0.55000000000000004">
      <c r="S1889" t="str">
        <f t="shared" si="130"/>
        <v/>
      </c>
    </row>
    <row r="1890" spans="19:19" x14ac:dyDescent="0.55000000000000004">
      <c r="S1890" t="str">
        <f t="shared" si="130"/>
        <v/>
      </c>
    </row>
    <row r="1891" spans="19:19" x14ac:dyDescent="0.55000000000000004">
      <c r="S1891" t="str">
        <f t="shared" si="130"/>
        <v/>
      </c>
    </row>
    <row r="1892" spans="19:19" x14ac:dyDescent="0.55000000000000004">
      <c r="S1892" t="str">
        <f t="shared" si="130"/>
        <v/>
      </c>
    </row>
    <row r="1893" spans="19:19" x14ac:dyDescent="0.55000000000000004">
      <c r="S1893" t="str">
        <f t="shared" si="130"/>
        <v/>
      </c>
    </row>
    <row r="1894" spans="19:19" x14ac:dyDescent="0.55000000000000004">
      <c r="S1894" t="str">
        <f t="shared" si="130"/>
        <v/>
      </c>
    </row>
    <row r="1895" spans="19:19" x14ac:dyDescent="0.55000000000000004">
      <c r="S1895" t="str">
        <f t="shared" si="130"/>
        <v/>
      </c>
    </row>
    <row r="1896" spans="19:19" x14ac:dyDescent="0.55000000000000004">
      <c r="S1896" t="str">
        <f t="shared" si="130"/>
        <v/>
      </c>
    </row>
    <row r="1897" spans="19:19" x14ac:dyDescent="0.55000000000000004">
      <c r="S1897" t="str">
        <f t="shared" si="130"/>
        <v/>
      </c>
    </row>
    <row r="1898" spans="19:19" x14ac:dyDescent="0.55000000000000004">
      <c r="S1898" t="str">
        <f t="shared" si="130"/>
        <v/>
      </c>
    </row>
    <row r="1899" spans="19:19" x14ac:dyDescent="0.55000000000000004">
      <c r="S1899" t="str">
        <f t="shared" si="130"/>
        <v/>
      </c>
    </row>
    <row r="1900" spans="19:19" x14ac:dyDescent="0.55000000000000004">
      <c r="S1900" t="str">
        <f t="shared" si="130"/>
        <v/>
      </c>
    </row>
    <row r="1901" spans="19:19" x14ac:dyDescent="0.55000000000000004">
      <c r="S1901" t="str">
        <f t="shared" si="130"/>
        <v/>
      </c>
    </row>
    <row r="1902" spans="19:19" x14ac:dyDescent="0.55000000000000004">
      <c r="S1902" t="str">
        <f t="shared" si="130"/>
        <v/>
      </c>
    </row>
    <row r="1903" spans="19:19" x14ac:dyDescent="0.55000000000000004">
      <c r="S1903" t="str">
        <f t="shared" si="130"/>
        <v/>
      </c>
    </row>
    <row r="1904" spans="19:19" x14ac:dyDescent="0.55000000000000004">
      <c r="S1904" t="str">
        <f t="shared" si="130"/>
        <v/>
      </c>
    </row>
    <row r="1905" spans="19:19" x14ac:dyDescent="0.55000000000000004">
      <c r="S1905" t="str">
        <f t="shared" si="130"/>
        <v/>
      </c>
    </row>
    <row r="1906" spans="19:19" x14ac:dyDescent="0.55000000000000004">
      <c r="S1906" t="str">
        <f t="shared" si="130"/>
        <v/>
      </c>
    </row>
    <row r="1907" spans="19:19" x14ac:dyDescent="0.55000000000000004">
      <c r="S1907" t="str">
        <f t="shared" si="130"/>
        <v/>
      </c>
    </row>
    <row r="1908" spans="19:19" x14ac:dyDescent="0.55000000000000004">
      <c r="S1908" t="str">
        <f t="shared" si="130"/>
        <v/>
      </c>
    </row>
    <row r="1909" spans="19:19" x14ac:dyDescent="0.55000000000000004">
      <c r="S1909" t="str">
        <f t="shared" si="130"/>
        <v/>
      </c>
    </row>
    <row r="1910" spans="19:19" x14ac:dyDescent="0.55000000000000004">
      <c r="S1910" t="str">
        <f t="shared" si="130"/>
        <v/>
      </c>
    </row>
    <row r="1911" spans="19:19" x14ac:dyDescent="0.55000000000000004">
      <c r="S1911" t="str">
        <f t="shared" si="130"/>
        <v/>
      </c>
    </row>
    <row r="1912" spans="19:19" x14ac:dyDescent="0.55000000000000004">
      <c r="S1912" t="str">
        <f t="shared" si="130"/>
        <v/>
      </c>
    </row>
    <row r="1913" spans="19:19" x14ac:dyDescent="0.55000000000000004">
      <c r="S1913" t="str">
        <f t="shared" si="130"/>
        <v/>
      </c>
    </row>
    <row r="1914" spans="19:19" x14ac:dyDescent="0.55000000000000004">
      <c r="S1914" t="str">
        <f t="shared" si="130"/>
        <v/>
      </c>
    </row>
    <row r="1915" spans="19:19" x14ac:dyDescent="0.55000000000000004">
      <c r="S1915" t="str">
        <f t="shared" si="130"/>
        <v/>
      </c>
    </row>
    <row r="1916" spans="19:19" x14ac:dyDescent="0.55000000000000004">
      <c r="S1916" t="str">
        <f t="shared" si="130"/>
        <v/>
      </c>
    </row>
    <row r="1917" spans="19:19" x14ac:dyDescent="0.55000000000000004">
      <c r="S1917" t="str">
        <f t="shared" si="130"/>
        <v/>
      </c>
    </row>
    <row r="1918" spans="19:19" x14ac:dyDescent="0.55000000000000004">
      <c r="S1918" t="str">
        <f t="shared" si="130"/>
        <v/>
      </c>
    </row>
    <row r="1919" spans="19:19" x14ac:dyDescent="0.55000000000000004">
      <c r="S1919" t="str">
        <f t="shared" si="130"/>
        <v/>
      </c>
    </row>
    <row r="1920" spans="19:19" x14ac:dyDescent="0.55000000000000004">
      <c r="S1920" t="str">
        <f t="shared" si="130"/>
        <v/>
      </c>
    </row>
    <row r="1921" spans="19:19" x14ac:dyDescent="0.55000000000000004">
      <c r="S1921" t="str">
        <f t="shared" si="130"/>
        <v/>
      </c>
    </row>
    <row r="1922" spans="19:19" x14ac:dyDescent="0.55000000000000004">
      <c r="S1922" t="str">
        <f t="shared" si="130"/>
        <v/>
      </c>
    </row>
    <row r="1923" spans="19:19" x14ac:dyDescent="0.55000000000000004">
      <c r="S1923" t="str">
        <f t="shared" si="130"/>
        <v/>
      </c>
    </row>
    <row r="1924" spans="19:19" x14ac:dyDescent="0.55000000000000004">
      <c r="S1924" t="str">
        <f t="shared" ref="S1924:S1987" si="131">IF(R1924&lt;&gt;"", R1924*236.588, "")</f>
        <v/>
      </c>
    </row>
    <row r="1925" spans="19:19" x14ac:dyDescent="0.55000000000000004">
      <c r="S1925" t="str">
        <f t="shared" si="131"/>
        <v/>
      </c>
    </row>
    <row r="1926" spans="19:19" x14ac:dyDescent="0.55000000000000004">
      <c r="S1926" t="str">
        <f t="shared" si="131"/>
        <v/>
      </c>
    </row>
    <row r="1927" spans="19:19" x14ac:dyDescent="0.55000000000000004">
      <c r="S1927" t="str">
        <f t="shared" si="131"/>
        <v/>
      </c>
    </row>
    <row r="1928" spans="19:19" x14ac:dyDescent="0.55000000000000004">
      <c r="S1928" t="str">
        <f t="shared" si="131"/>
        <v/>
      </c>
    </row>
    <row r="1929" spans="19:19" x14ac:dyDescent="0.55000000000000004">
      <c r="S1929" t="str">
        <f t="shared" si="131"/>
        <v/>
      </c>
    </row>
    <row r="1930" spans="19:19" x14ac:dyDescent="0.55000000000000004">
      <c r="S1930" t="str">
        <f t="shared" si="131"/>
        <v/>
      </c>
    </row>
    <row r="1931" spans="19:19" x14ac:dyDescent="0.55000000000000004">
      <c r="S1931" t="str">
        <f t="shared" si="131"/>
        <v/>
      </c>
    </row>
    <row r="1932" spans="19:19" x14ac:dyDescent="0.55000000000000004">
      <c r="S1932" t="str">
        <f t="shared" si="131"/>
        <v/>
      </c>
    </row>
    <row r="1933" spans="19:19" x14ac:dyDescent="0.55000000000000004">
      <c r="S1933" t="str">
        <f t="shared" si="131"/>
        <v/>
      </c>
    </row>
    <row r="1934" spans="19:19" x14ac:dyDescent="0.55000000000000004">
      <c r="S1934" t="str">
        <f t="shared" si="131"/>
        <v/>
      </c>
    </row>
    <row r="1935" spans="19:19" x14ac:dyDescent="0.55000000000000004">
      <c r="S1935" t="str">
        <f t="shared" si="131"/>
        <v/>
      </c>
    </row>
    <row r="1936" spans="19:19" x14ac:dyDescent="0.55000000000000004">
      <c r="S1936" t="str">
        <f t="shared" si="131"/>
        <v/>
      </c>
    </row>
    <row r="1937" spans="19:19" x14ac:dyDescent="0.55000000000000004">
      <c r="S1937" t="str">
        <f t="shared" si="131"/>
        <v/>
      </c>
    </row>
    <row r="1938" spans="19:19" x14ac:dyDescent="0.55000000000000004">
      <c r="S1938" t="str">
        <f t="shared" si="131"/>
        <v/>
      </c>
    </row>
    <row r="1939" spans="19:19" x14ac:dyDescent="0.55000000000000004">
      <c r="S1939" t="str">
        <f t="shared" si="131"/>
        <v/>
      </c>
    </row>
    <row r="1940" spans="19:19" x14ac:dyDescent="0.55000000000000004">
      <c r="S1940" t="str">
        <f t="shared" si="131"/>
        <v/>
      </c>
    </row>
    <row r="1941" spans="19:19" x14ac:dyDescent="0.55000000000000004">
      <c r="S1941" t="str">
        <f t="shared" si="131"/>
        <v/>
      </c>
    </row>
    <row r="1942" spans="19:19" x14ac:dyDescent="0.55000000000000004">
      <c r="S1942" t="str">
        <f t="shared" si="131"/>
        <v/>
      </c>
    </row>
    <row r="1943" spans="19:19" x14ac:dyDescent="0.55000000000000004">
      <c r="S1943" t="str">
        <f t="shared" si="131"/>
        <v/>
      </c>
    </row>
    <row r="1944" spans="19:19" x14ac:dyDescent="0.55000000000000004">
      <c r="S1944" t="str">
        <f t="shared" si="131"/>
        <v/>
      </c>
    </row>
    <row r="1945" spans="19:19" x14ac:dyDescent="0.55000000000000004">
      <c r="S1945" t="str">
        <f t="shared" si="131"/>
        <v/>
      </c>
    </row>
    <row r="1946" spans="19:19" x14ac:dyDescent="0.55000000000000004">
      <c r="S1946" t="str">
        <f t="shared" si="131"/>
        <v/>
      </c>
    </row>
    <row r="1947" spans="19:19" x14ac:dyDescent="0.55000000000000004">
      <c r="S1947" t="str">
        <f t="shared" si="131"/>
        <v/>
      </c>
    </row>
    <row r="1948" spans="19:19" x14ac:dyDescent="0.55000000000000004">
      <c r="S1948" t="str">
        <f t="shared" si="131"/>
        <v/>
      </c>
    </row>
    <row r="1949" spans="19:19" x14ac:dyDescent="0.55000000000000004">
      <c r="S1949" t="str">
        <f t="shared" si="131"/>
        <v/>
      </c>
    </row>
    <row r="1950" spans="19:19" x14ac:dyDescent="0.55000000000000004">
      <c r="S1950" t="str">
        <f t="shared" si="131"/>
        <v/>
      </c>
    </row>
    <row r="1951" spans="19:19" x14ac:dyDescent="0.55000000000000004">
      <c r="S1951" t="str">
        <f t="shared" si="131"/>
        <v/>
      </c>
    </row>
    <row r="1952" spans="19:19" x14ac:dyDescent="0.55000000000000004">
      <c r="S1952" t="str">
        <f t="shared" si="131"/>
        <v/>
      </c>
    </row>
    <row r="1953" spans="19:19" x14ac:dyDescent="0.55000000000000004">
      <c r="S1953" t="str">
        <f t="shared" si="131"/>
        <v/>
      </c>
    </row>
    <row r="1954" spans="19:19" x14ac:dyDescent="0.55000000000000004">
      <c r="S1954" t="str">
        <f t="shared" si="131"/>
        <v/>
      </c>
    </row>
    <row r="1955" spans="19:19" x14ac:dyDescent="0.55000000000000004">
      <c r="S1955" t="str">
        <f t="shared" si="131"/>
        <v/>
      </c>
    </row>
    <row r="1956" spans="19:19" x14ac:dyDescent="0.55000000000000004">
      <c r="S1956" t="str">
        <f t="shared" si="131"/>
        <v/>
      </c>
    </row>
    <row r="1957" spans="19:19" x14ac:dyDescent="0.55000000000000004">
      <c r="S1957" t="str">
        <f t="shared" si="131"/>
        <v/>
      </c>
    </row>
    <row r="1958" spans="19:19" x14ac:dyDescent="0.55000000000000004">
      <c r="S1958" t="str">
        <f t="shared" si="131"/>
        <v/>
      </c>
    </row>
    <row r="1959" spans="19:19" x14ac:dyDescent="0.55000000000000004">
      <c r="S1959" t="str">
        <f t="shared" si="131"/>
        <v/>
      </c>
    </row>
    <row r="1960" spans="19:19" x14ac:dyDescent="0.55000000000000004">
      <c r="S1960" t="str">
        <f t="shared" si="131"/>
        <v/>
      </c>
    </row>
    <row r="1961" spans="19:19" x14ac:dyDescent="0.55000000000000004">
      <c r="S1961" t="str">
        <f t="shared" si="131"/>
        <v/>
      </c>
    </row>
    <row r="1962" spans="19:19" x14ac:dyDescent="0.55000000000000004">
      <c r="S1962" t="str">
        <f t="shared" si="131"/>
        <v/>
      </c>
    </row>
    <row r="1963" spans="19:19" x14ac:dyDescent="0.55000000000000004">
      <c r="S1963" t="str">
        <f t="shared" si="131"/>
        <v/>
      </c>
    </row>
    <row r="1964" spans="19:19" x14ac:dyDescent="0.55000000000000004">
      <c r="S1964" t="str">
        <f t="shared" si="131"/>
        <v/>
      </c>
    </row>
    <row r="1965" spans="19:19" x14ac:dyDescent="0.55000000000000004">
      <c r="S1965" t="str">
        <f t="shared" si="131"/>
        <v/>
      </c>
    </row>
    <row r="1966" spans="19:19" x14ac:dyDescent="0.55000000000000004">
      <c r="S1966" t="str">
        <f t="shared" si="131"/>
        <v/>
      </c>
    </row>
    <row r="1967" spans="19:19" x14ac:dyDescent="0.55000000000000004">
      <c r="S1967" t="str">
        <f t="shared" si="131"/>
        <v/>
      </c>
    </row>
    <row r="1968" spans="19:19" x14ac:dyDescent="0.55000000000000004">
      <c r="S1968" t="str">
        <f t="shared" si="131"/>
        <v/>
      </c>
    </row>
    <row r="1969" spans="19:19" x14ac:dyDescent="0.55000000000000004">
      <c r="S1969" t="str">
        <f t="shared" si="131"/>
        <v/>
      </c>
    </row>
    <row r="1970" spans="19:19" x14ac:dyDescent="0.55000000000000004">
      <c r="S1970" t="str">
        <f t="shared" si="131"/>
        <v/>
      </c>
    </row>
    <row r="1971" spans="19:19" x14ac:dyDescent="0.55000000000000004">
      <c r="S1971" t="str">
        <f t="shared" si="131"/>
        <v/>
      </c>
    </row>
    <row r="1972" spans="19:19" x14ac:dyDescent="0.55000000000000004">
      <c r="S1972" t="str">
        <f t="shared" si="131"/>
        <v/>
      </c>
    </row>
    <row r="1973" spans="19:19" x14ac:dyDescent="0.55000000000000004">
      <c r="S1973" t="str">
        <f t="shared" si="131"/>
        <v/>
      </c>
    </row>
    <row r="1974" spans="19:19" x14ac:dyDescent="0.55000000000000004">
      <c r="S1974" t="str">
        <f t="shared" si="131"/>
        <v/>
      </c>
    </row>
    <row r="1975" spans="19:19" x14ac:dyDescent="0.55000000000000004">
      <c r="S1975" t="str">
        <f t="shared" si="131"/>
        <v/>
      </c>
    </row>
    <row r="1976" spans="19:19" x14ac:dyDescent="0.55000000000000004">
      <c r="S1976" t="str">
        <f t="shared" si="131"/>
        <v/>
      </c>
    </row>
    <row r="1977" spans="19:19" x14ac:dyDescent="0.55000000000000004">
      <c r="S1977" t="str">
        <f t="shared" si="131"/>
        <v/>
      </c>
    </row>
    <row r="1978" spans="19:19" x14ac:dyDescent="0.55000000000000004">
      <c r="S1978" t="str">
        <f t="shared" si="131"/>
        <v/>
      </c>
    </row>
    <row r="1979" spans="19:19" x14ac:dyDescent="0.55000000000000004">
      <c r="S1979" t="str">
        <f t="shared" si="131"/>
        <v/>
      </c>
    </row>
    <row r="1980" spans="19:19" x14ac:dyDescent="0.55000000000000004">
      <c r="S1980" t="str">
        <f t="shared" si="131"/>
        <v/>
      </c>
    </row>
    <row r="1981" spans="19:19" x14ac:dyDescent="0.55000000000000004">
      <c r="S1981" t="str">
        <f t="shared" si="131"/>
        <v/>
      </c>
    </row>
    <row r="1982" spans="19:19" x14ac:dyDescent="0.55000000000000004">
      <c r="S1982" t="str">
        <f t="shared" si="131"/>
        <v/>
      </c>
    </row>
    <row r="1983" spans="19:19" x14ac:dyDescent="0.55000000000000004">
      <c r="S1983" t="str">
        <f t="shared" si="131"/>
        <v/>
      </c>
    </row>
    <row r="1984" spans="19:19" x14ac:dyDescent="0.55000000000000004">
      <c r="S1984" t="str">
        <f t="shared" si="131"/>
        <v/>
      </c>
    </row>
    <row r="1985" spans="19:19" x14ac:dyDescent="0.55000000000000004">
      <c r="S1985" t="str">
        <f t="shared" si="131"/>
        <v/>
      </c>
    </row>
    <row r="1986" spans="19:19" x14ac:dyDescent="0.55000000000000004">
      <c r="S1986" t="str">
        <f t="shared" si="131"/>
        <v/>
      </c>
    </row>
    <row r="1987" spans="19:19" x14ac:dyDescent="0.55000000000000004">
      <c r="S1987" t="str">
        <f t="shared" si="131"/>
        <v/>
      </c>
    </row>
    <row r="1988" spans="19:19" x14ac:dyDescent="0.55000000000000004">
      <c r="S1988" t="str">
        <f t="shared" ref="S1988:S2051" si="132">IF(R1988&lt;&gt;"", R1988*236.588, "")</f>
        <v/>
      </c>
    </row>
    <row r="1989" spans="19:19" x14ac:dyDescent="0.55000000000000004">
      <c r="S1989" t="str">
        <f t="shared" si="132"/>
        <v/>
      </c>
    </row>
    <row r="1990" spans="19:19" x14ac:dyDescent="0.55000000000000004">
      <c r="S1990" t="str">
        <f t="shared" si="132"/>
        <v/>
      </c>
    </row>
    <row r="1991" spans="19:19" x14ac:dyDescent="0.55000000000000004">
      <c r="S1991" t="str">
        <f t="shared" si="132"/>
        <v/>
      </c>
    </row>
    <row r="1992" spans="19:19" x14ac:dyDescent="0.55000000000000004">
      <c r="S1992" t="str">
        <f t="shared" si="132"/>
        <v/>
      </c>
    </row>
    <row r="1993" spans="19:19" x14ac:dyDescent="0.55000000000000004">
      <c r="S1993" t="str">
        <f t="shared" si="132"/>
        <v/>
      </c>
    </row>
    <row r="1994" spans="19:19" x14ac:dyDescent="0.55000000000000004">
      <c r="S1994" t="str">
        <f t="shared" si="132"/>
        <v/>
      </c>
    </row>
    <row r="1995" spans="19:19" x14ac:dyDescent="0.55000000000000004">
      <c r="S1995" t="str">
        <f t="shared" si="132"/>
        <v/>
      </c>
    </row>
    <row r="1996" spans="19:19" x14ac:dyDescent="0.55000000000000004">
      <c r="S1996" t="str">
        <f t="shared" si="132"/>
        <v/>
      </c>
    </row>
    <row r="1997" spans="19:19" x14ac:dyDescent="0.55000000000000004">
      <c r="S1997" t="str">
        <f t="shared" si="132"/>
        <v/>
      </c>
    </row>
    <row r="1998" spans="19:19" x14ac:dyDescent="0.55000000000000004">
      <c r="S1998" t="str">
        <f t="shared" si="132"/>
        <v/>
      </c>
    </row>
    <row r="1999" spans="19:19" x14ac:dyDescent="0.55000000000000004">
      <c r="S1999" t="str">
        <f t="shared" si="132"/>
        <v/>
      </c>
    </row>
    <row r="2000" spans="19:19" x14ac:dyDescent="0.55000000000000004">
      <c r="S2000" t="str">
        <f t="shared" si="132"/>
        <v/>
      </c>
    </row>
    <row r="2001" spans="19:19" x14ac:dyDescent="0.55000000000000004">
      <c r="S2001" t="str">
        <f t="shared" si="132"/>
        <v/>
      </c>
    </row>
    <row r="2002" spans="19:19" x14ac:dyDescent="0.55000000000000004">
      <c r="S2002" t="str">
        <f t="shared" si="132"/>
        <v/>
      </c>
    </row>
    <row r="2003" spans="19:19" x14ac:dyDescent="0.55000000000000004">
      <c r="S2003" t="str">
        <f t="shared" si="132"/>
        <v/>
      </c>
    </row>
    <row r="2004" spans="19:19" x14ac:dyDescent="0.55000000000000004">
      <c r="S2004" t="str">
        <f t="shared" si="132"/>
        <v/>
      </c>
    </row>
    <row r="2005" spans="19:19" x14ac:dyDescent="0.55000000000000004">
      <c r="S2005" t="str">
        <f t="shared" si="132"/>
        <v/>
      </c>
    </row>
    <row r="2006" spans="19:19" x14ac:dyDescent="0.55000000000000004">
      <c r="S2006" t="str">
        <f t="shared" si="132"/>
        <v/>
      </c>
    </row>
    <row r="2007" spans="19:19" x14ac:dyDescent="0.55000000000000004">
      <c r="S2007" t="str">
        <f t="shared" si="132"/>
        <v/>
      </c>
    </row>
    <row r="2008" spans="19:19" x14ac:dyDescent="0.55000000000000004">
      <c r="S2008" t="str">
        <f t="shared" si="132"/>
        <v/>
      </c>
    </row>
    <row r="2009" spans="19:19" x14ac:dyDescent="0.55000000000000004">
      <c r="S2009" t="str">
        <f t="shared" si="132"/>
        <v/>
      </c>
    </row>
    <row r="2010" spans="19:19" x14ac:dyDescent="0.55000000000000004">
      <c r="S2010" t="str">
        <f t="shared" si="132"/>
        <v/>
      </c>
    </row>
    <row r="2011" spans="19:19" x14ac:dyDescent="0.55000000000000004">
      <c r="S2011" t="str">
        <f t="shared" si="132"/>
        <v/>
      </c>
    </row>
    <row r="2012" spans="19:19" x14ac:dyDescent="0.55000000000000004">
      <c r="S2012" t="str">
        <f t="shared" si="132"/>
        <v/>
      </c>
    </row>
    <row r="2013" spans="19:19" x14ac:dyDescent="0.55000000000000004">
      <c r="S2013" t="str">
        <f t="shared" si="132"/>
        <v/>
      </c>
    </row>
    <row r="2014" spans="19:19" x14ac:dyDescent="0.55000000000000004">
      <c r="S2014" t="str">
        <f t="shared" si="132"/>
        <v/>
      </c>
    </row>
    <row r="2015" spans="19:19" x14ac:dyDescent="0.55000000000000004">
      <c r="S2015" t="str">
        <f t="shared" si="132"/>
        <v/>
      </c>
    </row>
    <row r="2016" spans="19:19" x14ac:dyDescent="0.55000000000000004">
      <c r="S2016" t="str">
        <f t="shared" si="132"/>
        <v/>
      </c>
    </row>
    <row r="2017" spans="19:19" x14ac:dyDescent="0.55000000000000004">
      <c r="S2017" t="str">
        <f t="shared" si="132"/>
        <v/>
      </c>
    </row>
    <row r="2018" spans="19:19" x14ac:dyDescent="0.55000000000000004">
      <c r="S2018" t="str">
        <f t="shared" si="132"/>
        <v/>
      </c>
    </row>
    <row r="2019" spans="19:19" x14ac:dyDescent="0.55000000000000004">
      <c r="S2019" t="str">
        <f t="shared" si="132"/>
        <v/>
      </c>
    </row>
    <row r="2020" spans="19:19" x14ac:dyDescent="0.55000000000000004">
      <c r="S2020" t="str">
        <f t="shared" si="132"/>
        <v/>
      </c>
    </row>
    <row r="2021" spans="19:19" x14ac:dyDescent="0.55000000000000004">
      <c r="S2021" t="str">
        <f t="shared" si="132"/>
        <v/>
      </c>
    </row>
    <row r="2022" spans="19:19" x14ac:dyDescent="0.55000000000000004">
      <c r="S2022" t="str">
        <f t="shared" si="132"/>
        <v/>
      </c>
    </row>
    <row r="2023" spans="19:19" x14ac:dyDescent="0.55000000000000004">
      <c r="S2023" t="str">
        <f t="shared" si="132"/>
        <v/>
      </c>
    </row>
    <row r="2024" spans="19:19" x14ac:dyDescent="0.55000000000000004">
      <c r="S2024" t="str">
        <f t="shared" si="132"/>
        <v/>
      </c>
    </row>
    <row r="2025" spans="19:19" x14ac:dyDescent="0.55000000000000004">
      <c r="S2025" t="str">
        <f t="shared" si="132"/>
        <v/>
      </c>
    </row>
    <row r="2026" spans="19:19" x14ac:dyDescent="0.55000000000000004">
      <c r="S2026" t="str">
        <f t="shared" si="132"/>
        <v/>
      </c>
    </row>
    <row r="2027" spans="19:19" x14ac:dyDescent="0.55000000000000004">
      <c r="S2027" t="str">
        <f t="shared" si="132"/>
        <v/>
      </c>
    </row>
    <row r="2028" spans="19:19" x14ac:dyDescent="0.55000000000000004">
      <c r="S2028" t="str">
        <f t="shared" si="132"/>
        <v/>
      </c>
    </row>
    <row r="2029" spans="19:19" x14ac:dyDescent="0.55000000000000004">
      <c r="S2029" t="str">
        <f t="shared" si="132"/>
        <v/>
      </c>
    </row>
    <row r="2030" spans="19:19" x14ac:dyDescent="0.55000000000000004">
      <c r="S2030" t="str">
        <f t="shared" si="132"/>
        <v/>
      </c>
    </row>
    <row r="2031" spans="19:19" x14ac:dyDescent="0.55000000000000004">
      <c r="S2031" t="str">
        <f t="shared" si="132"/>
        <v/>
      </c>
    </row>
    <row r="2032" spans="19:19" x14ac:dyDescent="0.55000000000000004">
      <c r="S2032" t="str">
        <f t="shared" si="132"/>
        <v/>
      </c>
    </row>
    <row r="2033" spans="19:19" x14ac:dyDescent="0.55000000000000004">
      <c r="S2033" t="str">
        <f t="shared" si="132"/>
        <v/>
      </c>
    </row>
    <row r="2034" spans="19:19" x14ac:dyDescent="0.55000000000000004">
      <c r="S2034" t="str">
        <f t="shared" si="132"/>
        <v/>
      </c>
    </row>
    <row r="2035" spans="19:19" x14ac:dyDescent="0.55000000000000004">
      <c r="S2035" t="str">
        <f t="shared" si="132"/>
        <v/>
      </c>
    </row>
    <row r="2036" spans="19:19" x14ac:dyDescent="0.55000000000000004">
      <c r="S2036" t="str">
        <f t="shared" si="132"/>
        <v/>
      </c>
    </row>
    <row r="2037" spans="19:19" x14ac:dyDescent="0.55000000000000004">
      <c r="S2037" t="str">
        <f t="shared" si="132"/>
        <v/>
      </c>
    </row>
    <row r="2038" spans="19:19" x14ac:dyDescent="0.55000000000000004">
      <c r="S2038" t="str">
        <f t="shared" si="132"/>
        <v/>
      </c>
    </row>
    <row r="2039" spans="19:19" x14ac:dyDescent="0.55000000000000004">
      <c r="S2039" t="str">
        <f t="shared" si="132"/>
        <v/>
      </c>
    </row>
    <row r="2040" spans="19:19" x14ac:dyDescent="0.55000000000000004">
      <c r="S2040" t="str">
        <f t="shared" si="132"/>
        <v/>
      </c>
    </row>
    <row r="2041" spans="19:19" x14ac:dyDescent="0.55000000000000004">
      <c r="S2041" t="str">
        <f t="shared" si="132"/>
        <v/>
      </c>
    </row>
    <row r="2042" spans="19:19" x14ac:dyDescent="0.55000000000000004">
      <c r="S2042" t="str">
        <f t="shared" si="132"/>
        <v/>
      </c>
    </row>
    <row r="2043" spans="19:19" x14ac:dyDescent="0.55000000000000004">
      <c r="S2043" t="str">
        <f t="shared" si="132"/>
        <v/>
      </c>
    </row>
    <row r="2044" spans="19:19" x14ac:dyDescent="0.55000000000000004">
      <c r="S2044" t="str">
        <f t="shared" si="132"/>
        <v/>
      </c>
    </row>
    <row r="2045" spans="19:19" x14ac:dyDescent="0.55000000000000004">
      <c r="S2045" t="str">
        <f t="shared" si="132"/>
        <v/>
      </c>
    </row>
    <row r="2046" spans="19:19" x14ac:dyDescent="0.55000000000000004">
      <c r="S2046" t="str">
        <f t="shared" si="132"/>
        <v/>
      </c>
    </row>
    <row r="2047" spans="19:19" x14ac:dyDescent="0.55000000000000004">
      <c r="S2047" t="str">
        <f t="shared" si="132"/>
        <v/>
      </c>
    </row>
    <row r="2048" spans="19:19" x14ac:dyDescent="0.55000000000000004">
      <c r="S2048" t="str">
        <f t="shared" si="132"/>
        <v/>
      </c>
    </row>
    <row r="2049" spans="19:19" x14ac:dyDescent="0.55000000000000004">
      <c r="S2049" t="str">
        <f t="shared" si="132"/>
        <v/>
      </c>
    </row>
    <row r="2050" spans="19:19" x14ac:dyDescent="0.55000000000000004">
      <c r="S2050" t="str">
        <f t="shared" si="132"/>
        <v/>
      </c>
    </row>
    <row r="2051" spans="19:19" x14ac:dyDescent="0.55000000000000004">
      <c r="S2051" t="str">
        <f t="shared" si="132"/>
        <v/>
      </c>
    </row>
    <row r="2052" spans="19:19" x14ac:dyDescent="0.55000000000000004">
      <c r="S2052" t="str">
        <f t="shared" ref="S2052:S2115" si="133">IF(R2052&lt;&gt;"", R2052*236.588, "")</f>
        <v/>
      </c>
    </row>
    <row r="2053" spans="19:19" x14ac:dyDescent="0.55000000000000004">
      <c r="S2053" t="str">
        <f t="shared" si="133"/>
        <v/>
      </c>
    </row>
    <row r="2054" spans="19:19" x14ac:dyDescent="0.55000000000000004">
      <c r="S2054" t="str">
        <f t="shared" si="133"/>
        <v/>
      </c>
    </row>
    <row r="2055" spans="19:19" x14ac:dyDescent="0.55000000000000004">
      <c r="S2055" t="str">
        <f t="shared" si="133"/>
        <v/>
      </c>
    </row>
    <row r="2056" spans="19:19" x14ac:dyDescent="0.55000000000000004">
      <c r="S2056" t="str">
        <f t="shared" si="133"/>
        <v/>
      </c>
    </row>
    <row r="2057" spans="19:19" x14ac:dyDescent="0.55000000000000004">
      <c r="S2057" t="str">
        <f t="shared" si="133"/>
        <v/>
      </c>
    </row>
    <row r="2058" spans="19:19" x14ac:dyDescent="0.55000000000000004">
      <c r="S2058" t="str">
        <f t="shared" si="133"/>
        <v/>
      </c>
    </row>
    <row r="2059" spans="19:19" x14ac:dyDescent="0.55000000000000004">
      <c r="S2059" t="str">
        <f t="shared" si="133"/>
        <v/>
      </c>
    </row>
    <row r="2060" spans="19:19" x14ac:dyDescent="0.55000000000000004">
      <c r="S2060" t="str">
        <f t="shared" si="133"/>
        <v/>
      </c>
    </row>
    <row r="2061" spans="19:19" x14ac:dyDescent="0.55000000000000004">
      <c r="S2061" t="str">
        <f t="shared" si="133"/>
        <v/>
      </c>
    </row>
    <row r="2062" spans="19:19" x14ac:dyDescent="0.55000000000000004">
      <c r="S2062" t="str">
        <f t="shared" si="133"/>
        <v/>
      </c>
    </row>
    <row r="2063" spans="19:19" x14ac:dyDescent="0.55000000000000004">
      <c r="S2063" t="str">
        <f t="shared" si="133"/>
        <v/>
      </c>
    </row>
    <row r="2064" spans="19:19" x14ac:dyDescent="0.55000000000000004">
      <c r="S2064" t="str">
        <f t="shared" si="133"/>
        <v/>
      </c>
    </row>
    <row r="2065" spans="19:19" x14ac:dyDescent="0.55000000000000004">
      <c r="S2065" t="str">
        <f t="shared" si="133"/>
        <v/>
      </c>
    </row>
    <row r="2066" spans="19:19" x14ac:dyDescent="0.55000000000000004">
      <c r="S2066" t="str">
        <f t="shared" si="133"/>
        <v/>
      </c>
    </row>
    <row r="2067" spans="19:19" x14ac:dyDescent="0.55000000000000004">
      <c r="S2067" t="str">
        <f t="shared" si="133"/>
        <v/>
      </c>
    </row>
    <row r="2068" spans="19:19" x14ac:dyDescent="0.55000000000000004">
      <c r="S2068" t="str">
        <f t="shared" si="133"/>
        <v/>
      </c>
    </row>
    <row r="2069" spans="19:19" x14ac:dyDescent="0.55000000000000004">
      <c r="S2069" t="str">
        <f t="shared" si="133"/>
        <v/>
      </c>
    </row>
    <row r="2070" spans="19:19" x14ac:dyDescent="0.55000000000000004">
      <c r="S2070" t="str">
        <f t="shared" si="133"/>
        <v/>
      </c>
    </row>
    <row r="2071" spans="19:19" x14ac:dyDescent="0.55000000000000004">
      <c r="S2071" t="str">
        <f t="shared" si="133"/>
        <v/>
      </c>
    </row>
    <row r="2072" spans="19:19" x14ac:dyDescent="0.55000000000000004">
      <c r="S2072" t="str">
        <f t="shared" si="133"/>
        <v/>
      </c>
    </row>
    <row r="2073" spans="19:19" x14ac:dyDescent="0.55000000000000004">
      <c r="S2073" t="str">
        <f t="shared" si="133"/>
        <v/>
      </c>
    </row>
    <row r="2074" spans="19:19" x14ac:dyDescent="0.55000000000000004">
      <c r="S2074" t="str">
        <f t="shared" si="133"/>
        <v/>
      </c>
    </row>
    <row r="2075" spans="19:19" x14ac:dyDescent="0.55000000000000004">
      <c r="S2075" t="str">
        <f t="shared" si="133"/>
        <v/>
      </c>
    </row>
    <row r="2076" spans="19:19" x14ac:dyDescent="0.55000000000000004">
      <c r="S2076" t="str">
        <f t="shared" si="133"/>
        <v/>
      </c>
    </row>
    <row r="2077" spans="19:19" x14ac:dyDescent="0.55000000000000004">
      <c r="S2077" t="str">
        <f t="shared" si="133"/>
        <v/>
      </c>
    </row>
    <row r="2078" spans="19:19" x14ac:dyDescent="0.55000000000000004">
      <c r="S2078" t="str">
        <f t="shared" si="133"/>
        <v/>
      </c>
    </row>
    <row r="2079" spans="19:19" x14ac:dyDescent="0.55000000000000004">
      <c r="S2079" t="str">
        <f t="shared" si="133"/>
        <v/>
      </c>
    </row>
    <row r="2080" spans="19:19" x14ac:dyDescent="0.55000000000000004">
      <c r="S2080" t="str">
        <f t="shared" si="133"/>
        <v/>
      </c>
    </row>
    <row r="2081" spans="19:19" x14ac:dyDescent="0.55000000000000004">
      <c r="S2081" t="str">
        <f t="shared" si="133"/>
        <v/>
      </c>
    </row>
    <row r="2082" spans="19:19" x14ac:dyDescent="0.55000000000000004">
      <c r="S2082" t="str">
        <f t="shared" si="133"/>
        <v/>
      </c>
    </row>
    <row r="2083" spans="19:19" x14ac:dyDescent="0.55000000000000004">
      <c r="S2083" t="str">
        <f t="shared" si="133"/>
        <v/>
      </c>
    </row>
    <row r="2084" spans="19:19" x14ac:dyDescent="0.55000000000000004">
      <c r="S2084" t="str">
        <f t="shared" si="133"/>
        <v/>
      </c>
    </row>
    <row r="2085" spans="19:19" x14ac:dyDescent="0.55000000000000004">
      <c r="S2085" t="str">
        <f t="shared" si="133"/>
        <v/>
      </c>
    </row>
    <row r="2086" spans="19:19" x14ac:dyDescent="0.55000000000000004">
      <c r="S2086" t="str">
        <f t="shared" si="133"/>
        <v/>
      </c>
    </row>
    <row r="2087" spans="19:19" x14ac:dyDescent="0.55000000000000004">
      <c r="S2087" t="str">
        <f t="shared" si="133"/>
        <v/>
      </c>
    </row>
    <row r="2088" spans="19:19" x14ac:dyDescent="0.55000000000000004">
      <c r="S2088" t="str">
        <f t="shared" si="133"/>
        <v/>
      </c>
    </row>
    <row r="2089" spans="19:19" x14ac:dyDescent="0.55000000000000004">
      <c r="S2089" t="str">
        <f t="shared" si="133"/>
        <v/>
      </c>
    </row>
    <row r="2090" spans="19:19" x14ac:dyDescent="0.55000000000000004">
      <c r="S2090" t="str">
        <f t="shared" si="133"/>
        <v/>
      </c>
    </row>
    <row r="2091" spans="19:19" x14ac:dyDescent="0.55000000000000004">
      <c r="S2091" t="str">
        <f t="shared" si="133"/>
        <v/>
      </c>
    </row>
    <row r="2092" spans="19:19" x14ac:dyDescent="0.55000000000000004">
      <c r="S2092" t="str">
        <f t="shared" si="133"/>
        <v/>
      </c>
    </row>
    <row r="2093" spans="19:19" x14ac:dyDescent="0.55000000000000004">
      <c r="S2093" t="str">
        <f t="shared" si="133"/>
        <v/>
      </c>
    </row>
    <row r="2094" spans="19:19" x14ac:dyDescent="0.55000000000000004">
      <c r="S2094" t="str">
        <f t="shared" si="133"/>
        <v/>
      </c>
    </row>
    <row r="2095" spans="19:19" x14ac:dyDescent="0.55000000000000004">
      <c r="S2095" t="str">
        <f t="shared" si="133"/>
        <v/>
      </c>
    </row>
    <row r="2096" spans="19:19" x14ac:dyDescent="0.55000000000000004">
      <c r="S2096" t="str">
        <f t="shared" si="133"/>
        <v/>
      </c>
    </row>
    <row r="2097" spans="19:19" x14ac:dyDescent="0.55000000000000004">
      <c r="S2097" t="str">
        <f t="shared" si="133"/>
        <v/>
      </c>
    </row>
    <row r="2098" spans="19:19" x14ac:dyDescent="0.55000000000000004">
      <c r="S2098" t="str">
        <f t="shared" si="133"/>
        <v/>
      </c>
    </row>
    <row r="2099" spans="19:19" x14ac:dyDescent="0.55000000000000004">
      <c r="S2099" t="str">
        <f t="shared" si="133"/>
        <v/>
      </c>
    </row>
    <row r="2100" spans="19:19" x14ac:dyDescent="0.55000000000000004">
      <c r="S2100" t="str">
        <f t="shared" si="133"/>
        <v/>
      </c>
    </row>
    <row r="2101" spans="19:19" x14ac:dyDescent="0.55000000000000004">
      <c r="S2101" t="str">
        <f t="shared" si="133"/>
        <v/>
      </c>
    </row>
    <row r="2102" spans="19:19" x14ac:dyDescent="0.55000000000000004">
      <c r="S2102" t="str">
        <f t="shared" si="133"/>
        <v/>
      </c>
    </row>
    <row r="2103" spans="19:19" x14ac:dyDescent="0.55000000000000004">
      <c r="S2103" t="str">
        <f t="shared" si="133"/>
        <v/>
      </c>
    </row>
    <row r="2104" spans="19:19" x14ac:dyDescent="0.55000000000000004">
      <c r="S2104" t="str">
        <f t="shared" si="133"/>
        <v/>
      </c>
    </row>
    <row r="2105" spans="19:19" x14ac:dyDescent="0.55000000000000004">
      <c r="S2105" t="str">
        <f t="shared" si="133"/>
        <v/>
      </c>
    </row>
    <row r="2106" spans="19:19" x14ac:dyDescent="0.55000000000000004">
      <c r="S2106" t="str">
        <f t="shared" si="133"/>
        <v/>
      </c>
    </row>
    <row r="2107" spans="19:19" x14ac:dyDescent="0.55000000000000004">
      <c r="S2107" t="str">
        <f t="shared" si="133"/>
        <v/>
      </c>
    </row>
    <row r="2108" spans="19:19" x14ac:dyDescent="0.55000000000000004">
      <c r="S2108" t="str">
        <f t="shared" si="133"/>
        <v/>
      </c>
    </row>
    <row r="2109" spans="19:19" x14ac:dyDescent="0.55000000000000004">
      <c r="S2109" t="str">
        <f t="shared" si="133"/>
        <v/>
      </c>
    </row>
    <row r="2110" spans="19:19" x14ac:dyDescent="0.55000000000000004">
      <c r="S2110" t="str">
        <f t="shared" si="133"/>
        <v/>
      </c>
    </row>
    <row r="2111" spans="19:19" x14ac:dyDescent="0.55000000000000004">
      <c r="S2111" t="str">
        <f t="shared" si="133"/>
        <v/>
      </c>
    </row>
    <row r="2112" spans="19:19" x14ac:dyDescent="0.55000000000000004">
      <c r="S2112" t="str">
        <f t="shared" si="133"/>
        <v/>
      </c>
    </row>
    <row r="2113" spans="19:19" x14ac:dyDescent="0.55000000000000004">
      <c r="S2113" t="str">
        <f t="shared" si="133"/>
        <v/>
      </c>
    </row>
    <row r="2114" spans="19:19" x14ac:dyDescent="0.55000000000000004">
      <c r="S2114" t="str">
        <f t="shared" si="133"/>
        <v/>
      </c>
    </row>
    <row r="2115" spans="19:19" x14ac:dyDescent="0.55000000000000004">
      <c r="S2115" t="str">
        <f t="shared" si="133"/>
        <v/>
      </c>
    </row>
    <row r="2116" spans="19:19" x14ac:dyDescent="0.55000000000000004">
      <c r="S2116" t="str">
        <f t="shared" ref="S2116:S2179" si="134">IF(R2116&lt;&gt;"", R2116*236.588, "")</f>
        <v/>
      </c>
    </row>
    <row r="2117" spans="19:19" x14ac:dyDescent="0.55000000000000004">
      <c r="S2117" t="str">
        <f t="shared" si="134"/>
        <v/>
      </c>
    </row>
    <row r="2118" spans="19:19" x14ac:dyDescent="0.55000000000000004">
      <c r="S2118" t="str">
        <f t="shared" si="134"/>
        <v/>
      </c>
    </row>
    <row r="2119" spans="19:19" x14ac:dyDescent="0.55000000000000004">
      <c r="S2119" t="str">
        <f t="shared" si="134"/>
        <v/>
      </c>
    </row>
    <row r="2120" spans="19:19" x14ac:dyDescent="0.55000000000000004">
      <c r="S2120" t="str">
        <f t="shared" si="134"/>
        <v/>
      </c>
    </row>
    <row r="2121" spans="19:19" x14ac:dyDescent="0.55000000000000004">
      <c r="S2121" t="str">
        <f t="shared" si="134"/>
        <v/>
      </c>
    </row>
    <row r="2122" spans="19:19" x14ac:dyDescent="0.55000000000000004">
      <c r="S2122" t="str">
        <f t="shared" si="134"/>
        <v/>
      </c>
    </row>
    <row r="2123" spans="19:19" x14ac:dyDescent="0.55000000000000004">
      <c r="S2123" t="str">
        <f t="shared" si="134"/>
        <v/>
      </c>
    </row>
    <row r="2124" spans="19:19" x14ac:dyDescent="0.55000000000000004">
      <c r="S2124" t="str">
        <f t="shared" si="134"/>
        <v/>
      </c>
    </row>
    <row r="2125" spans="19:19" x14ac:dyDescent="0.55000000000000004">
      <c r="S2125" t="str">
        <f t="shared" si="134"/>
        <v/>
      </c>
    </row>
    <row r="2126" spans="19:19" x14ac:dyDescent="0.55000000000000004">
      <c r="S2126" t="str">
        <f t="shared" si="134"/>
        <v/>
      </c>
    </row>
    <row r="2127" spans="19:19" x14ac:dyDescent="0.55000000000000004">
      <c r="S2127" t="str">
        <f t="shared" si="134"/>
        <v/>
      </c>
    </row>
    <row r="2128" spans="19:19" x14ac:dyDescent="0.55000000000000004">
      <c r="S2128" t="str">
        <f t="shared" si="134"/>
        <v/>
      </c>
    </row>
    <row r="2129" spans="19:19" x14ac:dyDescent="0.55000000000000004">
      <c r="S2129" t="str">
        <f t="shared" si="134"/>
        <v/>
      </c>
    </row>
    <row r="2130" spans="19:19" x14ac:dyDescent="0.55000000000000004">
      <c r="S2130" t="str">
        <f t="shared" si="134"/>
        <v/>
      </c>
    </row>
    <row r="2131" spans="19:19" x14ac:dyDescent="0.55000000000000004">
      <c r="S2131" t="str">
        <f t="shared" si="134"/>
        <v/>
      </c>
    </row>
    <row r="2132" spans="19:19" x14ac:dyDescent="0.55000000000000004">
      <c r="S2132" t="str">
        <f t="shared" si="134"/>
        <v/>
      </c>
    </row>
    <row r="2133" spans="19:19" x14ac:dyDescent="0.55000000000000004">
      <c r="S2133" t="str">
        <f t="shared" si="134"/>
        <v/>
      </c>
    </row>
    <row r="2134" spans="19:19" x14ac:dyDescent="0.55000000000000004">
      <c r="S2134" t="str">
        <f t="shared" si="134"/>
        <v/>
      </c>
    </row>
    <row r="2135" spans="19:19" x14ac:dyDescent="0.55000000000000004">
      <c r="S2135" t="str">
        <f t="shared" si="134"/>
        <v/>
      </c>
    </row>
    <row r="2136" spans="19:19" x14ac:dyDescent="0.55000000000000004">
      <c r="S2136" t="str">
        <f t="shared" si="134"/>
        <v/>
      </c>
    </row>
    <row r="2137" spans="19:19" x14ac:dyDescent="0.55000000000000004">
      <c r="S2137" t="str">
        <f t="shared" si="134"/>
        <v/>
      </c>
    </row>
    <row r="2138" spans="19:19" x14ac:dyDescent="0.55000000000000004">
      <c r="S2138" t="str">
        <f t="shared" si="134"/>
        <v/>
      </c>
    </row>
    <row r="2139" spans="19:19" x14ac:dyDescent="0.55000000000000004">
      <c r="S2139" t="str">
        <f t="shared" si="134"/>
        <v/>
      </c>
    </row>
    <row r="2140" spans="19:19" x14ac:dyDescent="0.55000000000000004">
      <c r="S2140" t="str">
        <f t="shared" si="134"/>
        <v/>
      </c>
    </row>
    <row r="2141" spans="19:19" x14ac:dyDescent="0.55000000000000004">
      <c r="S2141" t="str">
        <f t="shared" si="134"/>
        <v/>
      </c>
    </row>
    <row r="2142" spans="19:19" x14ac:dyDescent="0.55000000000000004">
      <c r="S2142" t="str">
        <f t="shared" si="134"/>
        <v/>
      </c>
    </row>
    <row r="2143" spans="19:19" x14ac:dyDescent="0.55000000000000004">
      <c r="S2143" t="str">
        <f t="shared" si="134"/>
        <v/>
      </c>
    </row>
    <row r="2144" spans="19:19" x14ac:dyDescent="0.55000000000000004">
      <c r="S2144" t="str">
        <f t="shared" si="134"/>
        <v/>
      </c>
    </row>
    <row r="2145" spans="19:19" x14ac:dyDescent="0.55000000000000004">
      <c r="S2145" t="str">
        <f t="shared" si="134"/>
        <v/>
      </c>
    </row>
    <row r="2146" spans="19:19" x14ac:dyDescent="0.55000000000000004">
      <c r="S2146" t="str">
        <f t="shared" si="134"/>
        <v/>
      </c>
    </row>
    <row r="2147" spans="19:19" x14ac:dyDescent="0.55000000000000004">
      <c r="S2147" t="str">
        <f t="shared" si="134"/>
        <v/>
      </c>
    </row>
    <row r="2148" spans="19:19" x14ac:dyDescent="0.55000000000000004">
      <c r="S2148" t="str">
        <f t="shared" si="134"/>
        <v/>
      </c>
    </row>
    <row r="2149" spans="19:19" x14ac:dyDescent="0.55000000000000004">
      <c r="S2149" t="str">
        <f t="shared" si="134"/>
        <v/>
      </c>
    </row>
    <row r="2150" spans="19:19" x14ac:dyDescent="0.55000000000000004">
      <c r="S2150" t="str">
        <f t="shared" si="134"/>
        <v/>
      </c>
    </row>
    <row r="2151" spans="19:19" x14ac:dyDescent="0.55000000000000004">
      <c r="S2151" t="str">
        <f t="shared" si="134"/>
        <v/>
      </c>
    </row>
    <row r="2152" spans="19:19" x14ac:dyDescent="0.55000000000000004">
      <c r="S2152" t="str">
        <f t="shared" si="134"/>
        <v/>
      </c>
    </row>
    <row r="2153" spans="19:19" x14ac:dyDescent="0.55000000000000004">
      <c r="S2153" t="str">
        <f t="shared" si="134"/>
        <v/>
      </c>
    </row>
    <row r="2154" spans="19:19" x14ac:dyDescent="0.55000000000000004">
      <c r="S2154" t="str">
        <f t="shared" si="134"/>
        <v/>
      </c>
    </row>
    <row r="2155" spans="19:19" x14ac:dyDescent="0.55000000000000004">
      <c r="S2155" t="str">
        <f t="shared" si="134"/>
        <v/>
      </c>
    </row>
    <row r="2156" spans="19:19" x14ac:dyDescent="0.55000000000000004">
      <c r="S2156" t="str">
        <f t="shared" si="134"/>
        <v/>
      </c>
    </row>
    <row r="2157" spans="19:19" x14ac:dyDescent="0.55000000000000004">
      <c r="S2157" t="str">
        <f t="shared" si="134"/>
        <v/>
      </c>
    </row>
    <row r="2158" spans="19:19" x14ac:dyDescent="0.55000000000000004">
      <c r="S2158" t="str">
        <f t="shared" si="134"/>
        <v/>
      </c>
    </row>
    <row r="2159" spans="19:19" x14ac:dyDescent="0.55000000000000004">
      <c r="S2159" t="str">
        <f t="shared" si="134"/>
        <v/>
      </c>
    </row>
    <row r="2160" spans="19:19" x14ac:dyDescent="0.55000000000000004">
      <c r="S2160" t="str">
        <f t="shared" si="134"/>
        <v/>
      </c>
    </row>
    <row r="2161" spans="19:19" x14ac:dyDescent="0.55000000000000004">
      <c r="S2161" t="str">
        <f t="shared" si="134"/>
        <v/>
      </c>
    </row>
    <row r="2162" spans="19:19" x14ac:dyDescent="0.55000000000000004">
      <c r="S2162" t="str">
        <f t="shared" si="134"/>
        <v/>
      </c>
    </row>
    <row r="2163" spans="19:19" x14ac:dyDescent="0.55000000000000004">
      <c r="S2163" t="str">
        <f t="shared" si="134"/>
        <v/>
      </c>
    </row>
    <row r="2164" spans="19:19" x14ac:dyDescent="0.55000000000000004">
      <c r="S2164" t="str">
        <f t="shared" si="134"/>
        <v/>
      </c>
    </row>
    <row r="2165" spans="19:19" x14ac:dyDescent="0.55000000000000004">
      <c r="S2165" t="str">
        <f t="shared" si="134"/>
        <v/>
      </c>
    </row>
    <row r="2166" spans="19:19" x14ac:dyDescent="0.55000000000000004">
      <c r="S2166" t="str">
        <f t="shared" si="134"/>
        <v/>
      </c>
    </row>
    <row r="2167" spans="19:19" x14ac:dyDescent="0.55000000000000004">
      <c r="S2167" t="str">
        <f t="shared" si="134"/>
        <v/>
      </c>
    </row>
    <row r="2168" spans="19:19" x14ac:dyDescent="0.55000000000000004">
      <c r="S2168" t="str">
        <f t="shared" si="134"/>
        <v/>
      </c>
    </row>
    <row r="2169" spans="19:19" x14ac:dyDescent="0.55000000000000004">
      <c r="S2169" t="str">
        <f t="shared" si="134"/>
        <v/>
      </c>
    </row>
    <row r="2170" spans="19:19" x14ac:dyDescent="0.55000000000000004">
      <c r="S2170" t="str">
        <f t="shared" si="134"/>
        <v/>
      </c>
    </row>
    <row r="2171" spans="19:19" x14ac:dyDescent="0.55000000000000004">
      <c r="S2171" t="str">
        <f t="shared" si="134"/>
        <v/>
      </c>
    </row>
    <row r="2172" spans="19:19" x14ac:dyDescent="0.55000000000000004">
      <c r="S2172" t="str">
        <f t="shared" si="134"/>
        <v/>
      </c>
    </row>
    <row r="2173" spans="19:19" x14ac:dyDescent="0.55000000000000004">
      <c r="S2173" t="str">
        <f t="shared" si="134"/>
        <v/>
      </c>
    </row>
    <row r="2174" spans="19:19" x14ac:dyDescent="0.55000000000000004">
      <c r="S2174" t="str">
        <f t="shared" si="134"/>
        <v/>
      </c>
    </row>
    <row r="2175" spans="19:19" x14ac:dyDescent="0.55000000000000004">
      <c r="S2175" t="str">
        <f t="shared" si="134"/>
        <v/>
      </c>
    </row>
    <row r="2176" spans="19:19" x14ac:dyDescent="0.55000000000000004">
      <c r="S2176" t="str">
        <f t="shared" si="134"/>
        <v/>
      </c>
    </row>
    <row r="2177" spans="19:19" x14ac:dyDescent="0.55000000000000004">
      <c r="S2177" t="str">
        <f t="shared" si="134"/>
        <v/>
      </c>
    </row>
    <row r="2178" spans="19:19" x14ac:dyDescent="0.55000000000000004">
      <c r="S2178" t="str">
        <f t="shared" si="134"/>
        <v/>
      </c>
    </row>
    <row r="2179" spans="19:19" x14ac:dyDescent="0.55000000000000004">
      <c r="S2179" t="str">
        <f t="shared" si="134"/>
        <v/>
      </c>
    </row>
    <row r="2180" spans="19:19" x14ac:dyDescent="0.55000000000000004">
      <c r="S2180" t="str">
        <f t="shared" ref="S2180:S2243" si="135">IF(R2180&lt;&gt;"", R2180*236.588, "")</f>
        <v/>
      </c>
    </row>
    <row r="2181" spans="19:19" x14ac:dyDescent="0.55000000000000004">
      <c r="S2181" t="str">
        <f t="shared" si="135"/>
        <v/>
      </c>
    </row>
    <row r="2182" spans="19:19" x14ac:dyDescent="0.55000000000000004">
      <c r="S2182" t="str">
        <f t="shared" si="135"/>
        <v/>
      </c>
    </row>
    <row r="2183" spans="19:19" x14ac:dyDescent="0.55000000000000004">
      <c r="S2183" t="str">
        <f t="shared" si="135"/>
        <v/>
      </c>
    </row>
    <row r="2184" spans="19:19" x14ac:dyDescent="0.55000000000000004">
      <c r="S2184" t="str">
        <f t="shared" si="135"/>
        <v/>
      </c>
    </row>
    <row r="2185" spans="19:19" x14ac:dyDescent="0.55000000000000004">
      <c r="S2185" t="str">
        <f t="shared" si="135"/>
        <v/>
      </c>
    </row>
    <row r="2186" spans="19:19" x14ac:dyDescent="0.55000000000000004">
      <c r="S2186" t="str">
        <f t="shared" si="135"/>
        <v/>
      </c>
    </row>
    <row r="2187" spans="19:19" x14ac:dyDescent="0.55000000000000004">
      <c r="S2187" t="str">
        <f t="shared" si="135"/>
        <v/>
      </c>
    </row>
    <row r="2188" spans="19:19" x14ac:dyDescent="0.55000000000000004">
      <c r="S2188" t="str">
        <f t="shared" si="135"/>
        <v/>
      </c>
    </row>
    <row r="2189" spans="19:19" x14ac:dyDescent="0.55000000000000004">
      <c r="S2189" t="str">
        <f t="shared" si="135"/>
        <v/>
      </c>
    </row>
    <row r="2190" spans="19:19" x14ac:dyDescent="0.55000000000000004">
      <c r="S2190" t="str">
        <f t="shared" si="135"/>
        <v/>
      </c>
    </row>
    <row r="2191" spans="19:19" x14ac:dyDescent="0.55000000000000004">
      <c r="S2191" t="str">
        <f t="shared" si="135"/>
        <v/>
      </c>
    </row>
    <row r="2192" spans="19:19" x14ac:dyDescent="0.55000000000000004">
      <c r="S2192" t="str">
        <f t="shared" si="135"/>
        <v/>
      </c>
    </row>
    <row r="2193" spans="19:19" x14ac:dyDescent="0.55000000000000004">
      <c r="S2193" t="str">
        <f t="shared" si="135"/>
        <v/>
      </c>
    </row>
    <row r="2194" spans="19:19" x14ac:dyDescent="0.55000000000000004">
      <c r="S2194" t="str">
        <f t="shared" si="135"/>
        <v/>
      </c>
    </row>
    <row r="2195" spans="19:19" x14ac:dyDescent="0.55000000000000004">
      <c r="S2195" t="str">
        <f t="shared" si="135"/>
        <v/>
      </c>
    </row>
    <row r="2196" spans="19:19" x14ac:dyDescent="0.55000000000000004">
      <c r="S2196" t="str">
        <f t="shared" si="135"/>
        <v/>
      </c>
    </row>
    <row r="2197" spans="19:19" x14ac:dyDescent="0.55000000000000004">
      <c r="S2197" t="str">
        <f t="shared" si="135"/>
        <v/>
      </c>
    </row>
    <row r="2198" spans="19:19" x14ac:dyDescent="0.55000000000000004">
      <c r="S2198" t="str">
        <f t="shared" si="135"/>
        <v/>
      </c>
    </row>
    <row r="2199" spans="19:19" x14ac:dyDescent="0.55000000000000004">
      <c r="S2199" t="str">
        <f t="shared" si="135"/>
        <v/>
      </c>
    </row>
    <row r="2200" spans="19:19" x14ac:dyDescent="0.55000000000000004">
      <c r="S2200" t="str">
        <f t="shared" si="135"/>
        <v/>
      </c>
    </row>
    <row r="2201" spans="19:19" x14ac:dyDescent="0.55000000000000004">
      <c r="S2201" t="str">
        <f t="shared" si="135"/>
        <v/>
      </c>
    </row>
    <row r="2202" spans="19:19" x14ac:dyDescent="0.55000000000000004">
      <c r="S2202" t="str">
        <f t="shared" si="135"/>
        <v/>
      </c>
    </row>
    <row r="2203" spans="19:19" x14ac:dyDescent="0.55000000000000004">
      <c r="S2203" t="str">
        <f t="shared" si="135"/>
        <v/>
      </c>
    </row>
    <row r="2204" spans="19:19" x14ac:dyDescent="0.55000000000000004">
      <c r="S2204" t="str">
        <f t="shared" si="135"/>
        <v/>
      </c>
    </row>
    <row r="2205" spans="19:19" x14ac:dyDescent="0.55000000000000004">
      <c r="S2205" t="str">
        <f t="shared" si="135"/>
        <v/>
      </c>
    </row>
    <row r="2206" spans="19:19" x14ac:dyDescent="0.55000000000000004">
      <c r="S2206" t="str">
        <f t="shared" si="135"/>
        <v/>
      </c>
    </row>
    <row r="2207" spans="19:19" x14ac:dyDescent="0.55000000000000004">
      <c r="S2207" t="str">
        <f t="shared" si="135"/>
        <v/>
      </c>
    </row>
    <row r="2208" spans="19:19" x14ac:dyDescent="0.55000000000000004">
      <c r="S2208" t="str">
        <f t="shared" si="135"/>
        <v/>
      </c>
    </row>
    <row r="2209" spans="19:19" x14ac:dyDescent="0.55000000000000004">
      <c r="S2209" t="str">
        <f t="shared" si="135"/>
        <v/>
      </c>
    </row>
    <row r="2210" spans="19:19" x14ac:dyDescent="0.55000000000000004">
      <c r="S2210" t="str">
        <f t="shared" si="135"/>
        <v/>
      </c>
    </row>
    <row r="2211" spans="19:19" x14ac:dyDescent="0.55000000000000004">
      <c r="S2211" t="str">
        <f t="shared" si="135"/>
        <v/>
      </c>
    </row>
    <row r="2212" spans="19:19" x14ac:dyDescent="0.55000000000000004">
      <c r="S2212" t="str">
        <f t="shared" si="135"/>
        <v/>
      </c>
    </row>
    <row r="2213" spans="19:19" x14ac:dyDescent="0.55000000000000004">
      <c r="S2213" t="str">
        <f t="shared" si="135"/>
        <v/>
      </c>
    </row>
    <row r="2214" spans="19:19" x14ac:dyDescent="0.55000000000000004">
      <c r="S2214" t="str">
        <f t="shared" si="135"/>
        <v/>
      </c>
    </row>
    <row r="2215" spans="19:19" x14ac:dyDescent="0.55000000000000004">
      <c r="S2215" t="str">
        <f t="shared" si="135"/>
        <v/>
      </c>
    </row>
    <row r="2216" spans="19:19" x14ac:dyDescent="0.55000000000000004">
      <c r="S2216" t="str">
        <f t="shared" si="135"/>
        <v/>
      </c>
    </row>
    <row r="2217" spans="19:19" x14ac:dyDescent="0.55000000000000004">
      <c r="S2217" t="str">
        <f t="shared" si="135"/>
        <v/>
      </c>
    </row>
    <row r="2218" spans="19:19" x14ac:dyDescent="0.55000000000000004">
      <c r="S2218" t="str">
        <f t="shared" si="135"/>
        <v/>
      </c>
    </row>
    <row r="2219" spans="19:19" x14ac:dyDescent="0.55000000000000004">
      <c r="S2219" t="str">
        <f t="shared" si="135"/>
        <v/>
      </c>
    </row>
    <row r="2220" spans="19:19" x14ac:dyDescent="0.55000000000000004">
      <c r="S2220" t="str">
        <f t="shared" si="135"/>
        <v/>
      </c>
    </row>
    <row r="2221" spans="19:19" x14ac:dyDescent="0.55000000000000004">
      <c r="S2221" t="str">
        <f t="shared" si="135"/>
        <v/>
      </c>
    </row>
    <row r="2222" spans="19:19" x14ac:dyDescent="0.55000000000000004">
      <c r="S2222" t="str">
        <f t="shared" si="135"/>
        <v/>
      </c>
    </row>
    <row r="2223" spans="19:19" x14ac:dyDescent="0.55000000000000004">
      <c r="S2223" t="str">
        <f t="shared" si="135"/>
        <v/>
      </c>
    </row>
    <row r="2224" spans="19:19" x14ac:dyDescent="0.55000000000000004">
      <c r="S2224" t="str">
        <f t="shared" si="135"/>
        <v/>
      </c>
    </row>
    <row r="2225" spans="19:19" x14ac:dyDescent="0.55000000000000004">
      <c r="S2225" t="str">
        <f t="shared" si="135"/>
        <v/>
      </c>
    </row>
    <row r="2226" spans="19:19" x14ac:dyDescent="0.55000000000000004">
      <c r="S2226" t="str">
        <f t="shared" si="135"/>
        <v/>
      </c>
    </row>
    <row r="2227" spans="19:19" x14ac:dyDescent="0.55000000000000004">
      <c r="S2227" t="str">
        <f t="shared" si="135"/>
        <v/>
      </c>
    </row>
    <row r="2228" spans="19:19" x14ac:dyDescent="0.55000000000000004">
      <c r="S2228" t="str">
        <f t="shared" si="135"/>
        <v/>
      </c>
    </row>
    <row r="2229" spans="19:19" x14ac:dyDescent="0.55000000000000004">
      <c r="S2229" t="str">
        <f t="shared" si="135"/>
        <v/>
      </c>
    </row>
    <row r="2230" spans="19:19" x14ac:dyDescent="0.55000000000000004">
      <c r="S2230" t="str">
        <f t="shared" si="135"/>
        <v/>
      </c>
    </row>
    <row r="2231" spans="19:19" x14ac:dyDescent="0.55000000000000004">
      <c r="S2231" t="str">
        <f t="shared" si="135"/>
        <v/>
      </c>
    </row>
    <row r="2232" spans="19:19" x14ac:dyDescent="0.55000000000000004">
      <c r="S2232" t="str">
        <f t="shared" si="135"/>
        <v/>
      </c>
    </row>
    <row r="2233" spans="19:19" x14ac:dyDescent="0.55000000000000004">
      <c r="S2233" t="str">
        <f t="shared" si="135"/>
        <v/>
      </c>
    </row>
    <row r="2234" spans="19:19" x14ac:dyDescent="0.55000000000000004">
      <c r="S2234" t="str">
        <f t="shared" si="135"/>
        <v/>
      </c>
    </row>
    <row r="2235" spans="19:19" x14ac:dyDescent="0.55000000000000004">
      <c r="S2235" t="str">
        <f t="shared" si="135"/>
        <v/>
      </c>
    </row>
    <row r="2236" spans="19:19" x14ac:dyDescent="0.55000000000000004">
      <c r="S2236" t="str">
        <f t="shared" si="135"/>
        <v/>
      </c>
    </row>
    <row r="2237" spans="19:19" x14ac:dyDescent="0.55000000000000004">
      <c r="S2237" t="str">
        <f t="shared" si="135"/>
        <v/>
      </c>
    </row>
    <row r="2238" spans="19:19" x14ac:dyDescent="0.55000000000000004">
      <c r="S2238" t="str">
        <f t="shared" si="135"/>
        <v/>
      </c>
    </row>
    <row r="2239" spans="19:19" x14ac:dyDescent="0.55000000000000004">
      <c r="S2239" t="str">
        <f t="shared" si="135"/>
        <v/>
      </c>
    </row>
    <row r="2240" spans="19:19" x14ac:dyDescent="0.55000000000000004">
      <c r="S2240" t="str">
        <f t="shared" si="135"/>
        <v/>
      </c>
    </row>
    <row r="2241" spans="19:19" x14ac:dyDescent="0.55000000000000004">
      <c r="S2241" t="str">
        <f t="shared" si="135"/>
        <v/>
      </c>
    </row>
    <row r="2242" spans="19:19" x14ac:dyDescent="0.55000000000000004">
      <c r="S2242" t="str">
        <f t="shared" si="135"/>
        <v/>
      </c>
    </row>
    <row r="2243" spans="19:19" x14ac:dyDescent="0.55000000000000004">
      <c r="S2243" t="str">
        <f t="shared" si="135"/>
        <v/>
      </c>
    </row>
    <row r="2244" spans="19:19" x14ac:dyDescent="0.55000000000000004">
      <c r="S2244" t="str">
        <f t="shared" ref="S2244:S2307" si="136">IF(R2244&lt;&gt;"", R2244*236.588, "")</f>
        <v/>
      </c>
    </row>
    <row r="2245" spans="19:19" x14ac:dyDescent="0.55000000000000004">
      <c r="S2245" t="str">
        <f t="shared" si="136"/>
        <v/>
      </c>
    </row>
    <row r="2246" spans="19:19" x14ac:dyDescent="0.55000000000000004">
      <c r="S2246" t="str">
        <f t="shared" si="136"/>
        <v/>
      </c>
    </row>
    <row r="2247" spans="19:19" x14ac:dyDescent="0.55000000000000004">
      <c r="S2247" t="str">
        <f t="shared" si="136"/>
        <v/>
      </c>
    </row>
    <row r="2248" spans="19:19" x14ac:dyDescent="0.55000000000000004">
      <c r="S2248" t="str">
        <f t="shared" si="136"/>
        <v/>
      </c>
    </row>
    <row r="2249" spans="19:19" x14ac:dyDescent="0.55000000000000004">
      <c r="S2249" t="str">
        <f t="shared" si="136"/>
        <v/>
      </c>
    </row>
    <row r="2250" spans="19:19" x14ac:dyDescent="0.55000000000000004">
      <c r="S2250" t="str">
        <f t="shared" si="136"/>
        <v/>
      </c>
    </row>
    <row r="2251" spans="19:19" x14ac:dyDescent="0.55000000000000004">
      <c r="S2251" t="str">
        <f t="shared" si="136"/>
        <v/>
      </c>
    </row>
    <row r="2252" spans="19:19" x14ac:dyDescent="0.55000000000000004">
      <c r="S2252" t="str">
        <f t="shared" si="136"/>
        <v/>
      </c>
    </row>
    <row r="2253" spans="19:19" x14ac:dyDescent="0.55000000000000004">
      <c r="S2253" t="str">
        <f t="shared" si="136"/>
        <v/>
      </c>
    </row>
    <row r="2254" spans="19:19" x14ac:dyDescent="0.55000000000000004">
      <c r="S2254" t="str">
        <f t="shared" si="136"/>
        <v/>
      </c>
    </row>
    <row r="2255" spans="19:19" x14ac:dyDescent="0.55000000000000004">
      <c r="S2255" t="str">
        <f t="shared" si="136"/>
        <v/>
      </c>
    </row>
    <row r="2256" spans="19:19" x14ac:dyDescent="0.55000000000000004">
      <c r="S2256" t="str">
        <f t="shared" si="136"/>
        <v/>
      </c>
    </row>
    <row r="2257" spans="19:19" x14ac:dyDescent="0.55000000000000004">
      <c r="S2257" t="str">
        <f t="shared" si="136"/>
        <v/>
      </c>
    </row>
    <row r="2258" spans="19:19" x14ac:dyDescent="0.55000000000000004">
      <c r="S2258" t="str">
        <f t="shared" si="136"/>
        <v/>
      </c>
    </row>
    <row r="2259" spans="19:19" x14ac:dyDescent="0.55000000000000004">
      <c r="S2259" t="str">
        <f t="shared" si="136"/>
        <v/>
      </c>
    </row>
    <row r="2260" spans="19:19" x14ac:dyDescent="0.55000000000000004">
      <c r="S2260" t="str">
        <f t="shared" si="136"/>
        <v/>
      </c>
    </row>
    <row r="2261" spans="19:19" x14ac:dyDescent="0.55000000000000004">
      <c r="S2261" t="str">
        <f t="shared" si="136"/>
        <v/>
      </c>
    </row>
    <row r="2262" spans="19:19" x14ac:dyDescent="0.55000000000000004">
      <c r="S2262" t="str">
        <f t="shared" si="136"/>
        <v/>
      </c>
    </row>
    <row r="2263" spans="19:19" x14ac:dyDescent="0.55000000000000004">
      <c r="S2263" t="str">
        <f t="shared" si="136"/>
        <v/>
      </c>
    </row>
    <row r="2264" spans="19:19" x14ac:dyDescent="0.55000000000000004">
      <c r="S2264" t="str">
        <f t="shared" si="136"/>
        <v/>
      </c>
    </row>
    <row r="2265" spans="19:19" x14ac:dyDescent="0.55000000000000004">
      <c r="S2265" t="str">
        <f t="shared" si="136"/>
        <v/>
      </c>
    </row>
    <row r="2266" spans="19:19" x14ac:dyDescent="0.55000000000000004">
      <c r="S2266" t="str">
        <f t="shared" si="136"/>
        <v/>
      </c>
    </row>
    <row r="2267" spans="19:19" x14ac:dyDescent="0.55000000000000004">
      <c r="S2267" t="str">
        <f t="shared" si="136"/>
        <v/>
      </c>
    </row>
    <row r="2268" spans="19:19" x14ac:dyDescent="0.55000000000000004">
      <c r="S2268" t="str">
        <f t="shared" si="136"/>
        <v/>
      </c>
    </row>
    <row r="2269" spans="19:19" x14ac:dyDescent="0.55000000000000004">
      <c r="S2269" t="str">
        <f t="shared" si="136"/>
        <v/>
      </c>
    </row>
    <row r="2270" spans="19:19" x14ac:dyDescent="0.55000000000000004">
      <c r="S2270" t="str">
        <f t="shared" si="136"/>
        <v/>
      </c>
    </row>
    <row r="2271" spans="19:19" x14ac:dyDescent="0.55000000000000004">
      <c r="S2271" t="str">
        <f t="shared" si="136"/>
        <v/>
      </c>
    </row>
    <row r="2272" spans="19:19" x14ac:dyDescent="0.55000000000000004">
      <c r="S2272" t="str">
        <f t="shared" si="136"/>
        <v/>
      </c>
    </row>
    <row r="2273" spans="19:19" x14ac:dyDescent="0.55000000000000004">
      <c r="S2273" t="str">
        <f t="shared" si="136"/>
        <v/>
      </c>
    </row>
    <row r="2274" spans="19:19" x14ac:dyDescent="0.55000000000000004">
      <c r="S2274" t="str">
        <f t="shared" si="136"/>
        <v/>
      </c>
    </row>
    <row r="2275" spans="19:19" x14ac:dyDescent="0.55000000000000004">
      <c r="S2275" t="str">
        <f t="shared" si="136"/>
        <v/>
      </c>
    </row>
    <row r="2276" spans="19:19" x14ac:dyDescent="0.55000000000000004">
      <c r="S2276" t="str">
        <f t="shared" si="136"/>
        <v/>
      </c>
    </row>
    <row r="2277" spans="19:19" x14ac:dyDescent="0.55000000000000004">
      <c r="S2277" t="str">
        <f t="shared" si="136"/>
        <v/>
      </c>
    </row>
    <row r="2278" spans="19:19" x14ac:dyDescent="0.55000000000000004">
      <c r="S2278" t="str">
        <f t="shared" si="136"/>
        <v/>
      </c>
    </row>
    <row r="2279" spans="19:19" x14ac:dyDescent="0.55000000000000004">
      <c r="S2279" t="str">
        <f t="shared" si="136"/>
        <v/>
      </c>
    </row>
    <row r="2280" spans="19:19" x14ac:dyDescent="0.55000000000000004">
      <c r="S2280" t="str">
        <f t="shared" si="136"/>
        <v/>
      </c>
    </row>
    <row r="2281" spans="19:19" x14ac:dyDescent="0.55000000000000004">
      <c r="S2281" t="str">
        <f t="shared" si="136"/>
        <v/>
      </c>
    </row>
    <row r="2282" spans="19:19" x14ac:dyDescent="0.55000000000000004">
      <c r="S2282" t="str">
        <f t="shared" si="136"/>
        <v/>
      </c>
    </row>
    <row r="2283" spans="19:19" x14ac:dyDescent="0.55000000000000004">
      <c r="S2283" t="str">
        <f t="shared" si="136"/>
        <v/>
      </c>
    </row>
    <row r="2284" spans="19:19" x14ac:dyDescent="0.55000000000000004">
      <c r="S2284" t="str">
        <f t="shared" si="136"/>
        <v/>
      </c>
    </row>
    <row r="2285" spans="19:19" x14ac:dyDescent="0.55000000000000004">
      <c r="S2285" t="str">
        <f t="shared" si="136"/>
        <v/>
      </c>
    </row>
    <row r="2286" spans="19:19" x14ac:dyDescent="0.55000000000000004">
      <c r="S2286" t="str">
        <f t="shared" si="136"/>
        <v/>
      </c>
    </row>
    <row r="2287" spans="19:19" x14ac:dyDescent="0.55000000000000004">
      <c r="S2287" t="str">
        <f t="shared" si="136"/>
        <v/>
      </c>
    </row>
    <row r="2288" spans="19:19" x14ac:dyDescent="0.55000000000000004">
      <c r="S2288" t="str">
        <f t="shared" si="136"/>
        <v/>
      </c>
    </row>
    <row r="2289" spans="19:19" x14ac:dyDescent="0.55000000000000004">
      <c r="S2289" t="str">
        <f t="shared" si="136"/>
        <v/>
      </c>
    </row>
    <row r="2290" spans="19:19" x14ac:dyDescent="0.55000000000000004">
      <c r="S2290" t="str">
        <f t="shared" si="136"/>
        <v/>
      </c>
    </row>
    <row r="2291" spans="19:19" x14ac:dyDescent="0.55000000000000004">
      <c r="S2291" t="str">
        <f t="shared" si="136"/>
        <v/>
      </c>
    </row>
    <row r="2292" spans="19:19" x14ac:dyDescent="0.55000000000000004">
      <c r="S2292" t="str">
        <f t="shared" si="136"/>
        <v/>
      </c>
    </row>
    <row r="2293" spans="19:19" x14ac:dyDescent="0.55000000000000004">
      <c r="S2293" t="str">
        <f t="shared" si="136"/>
        <v/>
      </c>
    </row>
    <row r="2294" spans="19:19" x14ac:dyDescent="0.55000000000000004">
      <c r="S2294" t="str">
        <f t="shared" si="136"/>
        <v/>
      </c>
    </row>
    <row r="2295" spans="19:19" x14ac:dyDescent="0.55000000000000004">
      <c r="S2295" t="str">
        <f t="shared" si="136"/>
        <v/>
      </c>
    </row>
    <row r="2296" spans="19:19" x14ac:dyDescent="0.55000000000000004">
      <c r="S2296" t="str">
        <f t="shared" si="136"/>
        <v/>
      </c>
    </row>
    <row r="2297" spans="19:19" x14ac:dyDescent="0.55000000000000004">
      <c r="S2297" t="str">
        <f t="shared" si="136"/>
        <v/>
      </c>
    </row>
    <row r="2298" spans="19:19" x14ac:dyDescent="0.55000000000000004">
      <c r="S2298" t="str">
        <f t="shared" si="136"/>
        <v/>
      </c>
    </row>
    <row r="2299" spans="19:19" x14ac:dyDescent="0.55000000000000004">
      <c r="S2299" t="str">
        <f t="shared" si="136"/>
        <v/>
      </c>
    </row>
    <row r="2300" spans="19:19" x14ac:dyDescent="0.55000000000000004">
      <c r="S2300" t="str">
        <f t="shared" si="136"/>
        <v/>
      </c>
    </row>
    <row r="2301" spans="19:19" x14ac:dyDescent="0.55000000000000004">
      <c r="S2301" t="str">
        <f t="shared" si="136"/>
        <v/>
      </c>
    </row>
    <row r="2302" spans="19:19" x14ac:dyDescent="0.55000000000000004">
      <c r="S2302" t="str">
        <f t="shared" si="136"/>
        <v/>
      </c>
    </row>
    <row r="2303" spans="19:19" x14ac:dyDescent="0.55000000000000004">
      <c r="S2303" t="str">
        <f t="shared" si="136"/>
        <v/>
      </c>
    </row>
    <row r="2304" spans="19:19" x14ac:dyDescent="0.55000000000000004">
      <c r="S2304" t="str">
        <f t="shared" si="136"/>
        <v/>
      </c>
    </row>
    <row r="2305" spans="19:19" x14ac:dyDescent="0.55000000000000004">
      <c r="S2305" t="str">
        <f t="shared" si="136"/>
        <v/>
      </c>
    </row>
    <row r="2306" spans="19:19" x14ac:dyDescent="0.55000000000000004">
      <c r="S2306" t="str">
        <f t="shared" si="136"/>
        <v/>
      </c>
    </row>
    <row r="2307" spans="19:19" x14ac:dyDescent="0.55000000000000004">
      <c r="S2307" t="str">
        <f t="shared" si="136"/>
        <v/>
      </c>
    </row>
    <row r="2308" spans="19:19" x14ac:dyDescent="0.55000000000000004">
      <c r="S2308" t="str">
        <f t="shared" ref="S2308:S2371" si="137">IF(R2308&lt;&gt;"", R2308*236.588, "")</f>
        <v/>
      </c>
    </row>
    <row r="2309" spans="19:19" x14ac:dyDescent="0.55000000000000004">
      <c r="S2309" t="str">
        <f t="shared" si="137"/>
        <v/>
      </c>
    </row>
    <row r="2310" spans="19:19" x14ac:dyDescent="0.55000000000000004">
      <c r="S2310" t="str">
        <f t="shared" si="137"/>
        <v/>
      </c>
    </row>
    <row r="2311" spans="19:19" x14ac:dyDescent="0.55000000000000004">
      <c r="S2311" t="str">
        <f t="shared" si="137"/>
        <v/>
      </c>
    </row>
    <row r="2312" spans="19:19" x14ac:dyDescent="0.55000000000000004">
      <c r="S2312" t="str">
        <f t="shared" si="137"/>
        <v/>
      </c>
    </row>
    <row r="2313" spans="19:19" x14ac:dyDescent="0.55000000000000004">
      <c r="S2313" t="str">
        <f t="shared" si="137"/>
        <v/>
      </c>
    </row>
    <row r="2314" spans="19:19" x14ac:dyDescent="0.55000000000000004">
      <c r="S2314" t="str">
        <f t="shared" si="137"/>
        <v/>
      </c>
    </row>
    <row r="2315" spans="19:19" x14ac:dyDescent="0.55000000000000004">
      <c r="S2315" t="str">
        <f t="shared" si="137"/>
        <v/>
      </c>
    </row>
    <row r="2316" spans="19:19" x14ac:dyDescent="0.55000000000000004">
      <c r="S2316" t="str">
        <f t="shared" si="137"/>
        <v/>
      </c>
    </row>
    <row r="2317" spans="19:19" x14ac:dyDescent="0.55000000000000004">
      <c r="S2317" t="str">
        <f t="shared" si="137"/>
        <v/>
      </c>
    </row>
    <row r="2318" spans="19:19" x14ac:dyDescent="0.55000000000000004">
      <c r="S2318" t="str">
        <f t="shared" si="137"/>
        <v/>
      </c>
    </row>
    <row r="2319" spans="19:19" x14ac:dyDescent="0.55000000000000004">
      <c r="S2319" t="str">
        <f t="shared" si="137"/>
        <v/>
      </c>
    </row>
    <row r="2320" spans="19:19" x14ac:dyDescent="0.55000000000000004">
      <c r="S2320" t="str">
        <f t="shared" si="137"/>
        <v/>
      </c>
    </row>
    <row r="2321" spans="19:19" x14ac:dyDescent="0.55000000000000004">
      <c r="S2321" t="str">
        <f t="shared" si="137"/>
        <v/>
      </c>
    </row>
    <row r="2322" spans="19:19" x14ac:dyDescent="0.55000000000000004">
      <c r="S2322" t="str">
        <f t="shared" si="137"/>
        <v/>
      </c>
    </row>
    <row r="2323" spans="19:19" x14ac:dyDescent="0.55000000000000004">
      <c r="S2323" t="str">
        <f t="shared" si="137"/>
        <v/>
      </c>
    </row>
    <row r="2324" spans="19:19" x14ac:dyDescent="0.55000000000000004">
      <c r="S2324" t="str">
        <f t="shared" si="137"/>
        <v/>
      </c>
    </row>
    <row r="2325" spans="19:19" x14ac:dyDescent="0.55000000000000004">
      <c r="S2325" t="str">
        <f t="shared" si="137"/>
        <v/>
      </c>
    </row>
    <row r="2326" spans="19:19" x14ac:dyDescent="0.55000000000000004">
      <c r="S2326" t="str">
        <f t="shared" si="137"/>
        <v/>
      </c>
    </row>
    <row r="2327" spans="19:19" x14ac:dyDescent="0.55000000000000004">
      <c r="S2327" t="str">
        <f t="shared" si="137"/>
        <v/>
      </c>
    </row>
    <row r="2328" spans="19:19" x14ac:dyDescent="0.55000000000000004">
      <c r="S2328" t="str">
        <f t="shared" si="137"/>
        <v/>
      </c>
    </row>
    <row r="2329" spans="19:19" x14ac:dyDescent="0.55000000000000004">
      <c r="S2329" t="str">
        <f t="shared" si="137"/>
        <v/>
      </c>
    </row>
    <row r="2330" spans="19:19" x14ac:dyDescent="0.55000000000000004">
      <c r="S2330" t="str">
        <f t="shared" si="137"/>
        <v/>
      </c>
    </row>
    <row r="2331" spans="19:19" x14ac:dyDescent="0.55000000000000004">
      <c r="S2331" t="str">
        <f t="shared" si="137"/>
        <v/>
      </c>
    </row>
    <row r="2332" spans="19:19" x14ac:dyDescent="0.55000000000000004">
      <c r="S2332" t="str">
        <f t="shared" si="137"/>
        <v/>
      </c>
    </row>
    <row r="2333" spans="19:19" x14ac:dyDescent="0.55000000000000004">
      <c r="S2333" t="str">
        <f t="shared" si="137"/>
        <v/>
      </c>
    </row>
    <row r="2334" spans="19:19" x14ac:dyDescent="0.55000000000000004">
      <c r="S2334" t="str">
        <f t="shared" si="137"/>
        <v/>
      </c>
    </row>
    <row r="2335" spans="19:19" x14ac:dyDescent="0.55000000000000004">
      <c r="S2335" t="str">
        <f t="shared" si="137"/>
        <v/>
      </c>
    </row>
    <row r="2336" spans="19:19" x14ac:dyDescent="0.55000000000000004">
      <c r="S2336" t="str">
        <f t="shared" si="137"/>
        <v/>
      </c>
    </row>
    <row r="2337" spans="19:19" x14ac:dyDescent="0.55000000000000004">
      <c r="S2337" t="str">
        <f t="shared" si="137"/>
        <v/>
      </c>
    </row>
    <row r="2338" spans="19:19" x14ac:dyDescent="0.55000000000000004">
      <c r="S2338" t="str">
        <f t="shared" si="137"/>
        <v/>
      </c>
    </row>
    <row r="2339" spans="19:19" x14ac:dyDescent="0.55000000000000004">
      <c r="S2339" t="str">
        <f t="shared" si="137"/>
        <v/>
      </c>
    </row>
    <row r="2340" spans="19:19" x14ac:dyDescent="0.55000000000000004">
      <c r="S2340" t="str">
        <f t="shared" si="137"/>
        <v/>
      </c>
    </row>
    <row r="2341" spans="19:19" x14ac:dyDescent="0.55000000000000004">
      <c r="S2341" t="str">
        <f t="shared" si="137"/>
        <v/>
      </c>
    </row>
    <row r="2342" spans="19:19" x14ac:dyDescent="0.55000000000000004">
      <c r="S2342" t="str">
        <f t="shared" si="137"/>
        <v/>
      </c>
    </row>
    <row r="2343" spans="19:19" x14ac:dyDescent="0.55000000000000004">
      <c r="S2343" t="str">
        <f t="shared" si="137"/>
        <v/>
      </c>
    </row>
    <row r="2344" spans="19:19" x14ac:dyDescent="0.55000000000000004">
      <c r="S2344" t="str">
        <f t="shared" si="137"/>
        <v/>
      </c>
    </row>
    <row r="2345" spans="19:19" x14ac:dyDescent="0.55000000000000004">
      <c r="S2345" t="str">
        <f t="shared" si="137"/>
        <v/>
      </c>
    </row>
    <row r="2346" spans="19:19" x14ac:dyDescent="0.55000000000000004">
      <c r="S2346" t="str">
        <f t="shared" si="137"/>
        <v/>
      </c>
    </row>
    <row r="2347" spans="19:19" x14ac:dyDescent="0.55000000000000004">
      <c r="S2347" t="str">
        <f t="shared" si="137"/>
        <v/>
      </c>
    </row>
    <row r="2348" spans="19:19" x14ac:dyDescent="0.55000000000000004">
      <c r="S2348" t="str">
        <f t="shared" si="137"/>
        <v/>
      </c>
    </row>
    <row r="2349" spans="19:19" x14ac:dyDescent="0.55000000000000004">
      <c r="S2349" t="str">
        <f t="shared" si="137"/>
        <v/>
      </c>
    </row>
    <row r="2350" spans="19:19" x14ac:dyDescent="0.55000000000000004">
      <c r="S2350" t="str">
        <f t="shared" si="137"/>
        <v/>
      </c>
    </row>
    <row r="2351" spans="19:19" x14ac:dyDescent="0.55000000000000004">
      <c r="S2351" t="str">
        <f t="shared" si="137"/>
        <v/>
      </c>
    </row>
    <row r="2352" spans="19:19" x14ac:dyDescent="0.55000000000000004">
      <c r="S2352" t="str">
        <f t="shared" si="137"/>
        <v/>
      </c>
    </row>
    <row r="2353" spans="19:19" x14ac:dyDescent="0.55000000000000004">
      <c r="S2353" t="str">
        <f t="shared" si="137"/>
        <v/>
      </c>
    </row>
    <row r="2354" spans="19:19" x14ac:dyDescent="0.55000000000000004">
      <c r="S2354" t="str">
        <f t="shared" si="137"/>
        <v/>
      </c>
    </row>
    <row r="2355" spans="19:19" x14ac:dyDescent="0.55000000000000004">
      <c r="S2355" t="str">
        <f t="shared" si="137"/>
        <v/>
      </c>
    </row>
    <row r="2356" spans="19:19" x14ac:dyDescent="0.55000000000000004">
      <c r="S2356" t="str">
        <f t="shared" si="137"/>
        <v/>
      </c>
    </row>
    <row r="2357" spans="19:19" x14ac:dyDescent="0.55000000000000004">
      <c r="S2357" t="str">
        <f t="shared" si="137"/>
        <v/>
      </c>
    </row>
    <row r="2358" spans="19:19" x14ac:dyDescent="0.55000000000000004">
      <c r="S2358" t="str">
        <f t="shared" si="137"/>
        <v/>
      </c>
    </row>
    <row r="2359" spans="19:19" x14ac:dyDescent="0.55000000000000004">
      <c r="S2359" t="str">
        <f t="shared" si="137"/>
        <v/>
      </c>
    </row>
    <row r="2360" spans="19:19" x14ac:dyDescent="0.55000000000000004">
      <c r="S2360" t="str">
        <f t="shared" si="137"/>
        <v/>
      </c>
    </row>
    <row r="2361" spans="19:19" x14ac:dyDescent="0.55000000000000004">
      <c r="S2361" t="str">
        <f t="shared" si="137"/>
        <v/>
      </c>
    </row>
    <row r="2362" spans="19:19" x14ac:dyDescent="0.55000000000000004">
      <c r="S2362" t="str">
        <f t="shared" si="137"/>
        <v/>
      </c>
    </row>
    <row r="2363" spans="19:19" x14ac:dyDescent="0.55000000000000004">
      <c r="S2363" t="str">
        <f t="shared" si="137"/>
        <v/>
      </c>
    </row>
    <row r="2364" spans="19:19" x14ac:dyDescent="0.55000000000000004">
      <c r="S2364" t="str">
        <f t="shared" si="137"/>
        <v/>
      </c>
    </row>
    <row r="2365" spans="19:19" x14ac:dyDescent="0.55000000000000004">
      <c r="S2365" t="str">
        <f t="shared" si="137"/>
        <v/>
      </c>
    </row>
    <row r="2366" spans="19:19" x14ac:dyDescent="0.55000000000000004">
      <c r="S2366" t="str">
        <f t="shared" si="137"/>
        <v/>
      </c>
    </row>
    <row r="2367" spans="19:19" x14ac:dyDescent="0.55000000000000004">
      <c r="S2367" t="str">
        <f t="shared" si="137"/>
        <v/>
      </c>
    </row>
    <row r="2368" spans="19:19" x14ac:dyDescent="0.55000000000000004">
      <c r="S2368" t="str">
        <f t="shared" si="137"/>
        <v/>
      </c>
    </row>
    <row r="2369" spans="19:19" x14ac:dyDescent="0.55000000000000004">
      <c r="S2369" t="str">
        <f t="shared" si="137"/>
        <v/>
      </c>
    </row>
    <row r="2370" spans="19:19" x14ac:dyDescent="0.55000000000000004">
      <c r="S2370" t="str">
        <f t="shared" si="137"/>
        <v/>
      </c>
    </row>
    <row r="2371" spans="19:19" x14ac:dyDescent="0.55000000000000004">
      <c r="S2371" t="str">
        <f t="shared" si="137"/>
        <v/>
      </c>
    </row>
    <row r="2372" spans="19:19" x14ac:dyDescent="0.55000000000000004">
      <c r="S2372" t="str">
        <f t="shared" ref="S2372:S2435" si="138">IF(R2372&lt;&gt;"", R2372*236.588, "")</f>
        <v/>
      </c>
    </row>
    <row r="2373" spans="19:19" x14ac:dyDescent="0.55000000000000004">
      <c r="S2373" t="str">
        <f t="shared" si="138"/>
        <v/>
      </c>
    </row>
    <row r="2374" spans="19:19" x14ac:dyDescent="0.55000000000000004">
      <c r="S2374" t="str">
        <f t="shared" si="138"/>
        <v/>
      </c>
    </row>
    <row r="2375" spans="19:19" x14ac:dyDescent="0.55000000000000004">
      <c r="S2375" t="str">
        <f t="shared" si="138"/>
        <v/>
      </c>
    </row>
    <row r="2376" spans="19:19" x14ac:dyDescent="0.55000000000000004">
      <c r="S2376" t="str">
        <f t="shared" si="138"/>
        <v/>
      </c>
    </row>
    <row r="2377" spans="19:19" x14ac:dyDescent="0.55000000000000004">
      <c r="S2377" t="str">
        <f t="shared" si="138"/>
        <v/>
      </c>
    </row>
    <row r="2378" spans="19:19" x14ac:dyDescent="0.55000000000000004">
      <c r="S2378" t="str">
        <f t="shared" si="138"/>
        <v/>
      </c>
    </row>
    <row r="2379" spans="19:19" x14ac:dyDescent="0.55000000000000004">
      <c r="S2379" t="str">
        <f t="shared" si="138"/>
        <v/>
      </c>
    </row>
    <row r="2380" spans="19:19" x14ac:dyDescent="0.55000000000000004">
      <c r="S2380" t="str">
        <f t="shared" si="138"/>
        <v/>
      </c>
    </row>
    <row r="2381" spans="19:19" x14ac:dyDescent="0.55000000000000004">
      <c r="S2381" t="str">
        <f t="shared" si="138"/>
        <v/>
      </c>
    </row>
    <row r="2382" spans="19:19" x14ac:dyDescent="0.55000000000000004">
      <c r="S2382" t="str">
        <f t="shared" si="138"/>
        <v/>
      </c>
    </row>
    <row r="2383" spans="19:19" x14ac:dyDescent="0.55000000000000004">
      <c r="S2383" t="str">
        <f t="shared" si="138"/>
        <v/>
      </c>
    </row>
    <row r="2384" spans="19:19" x14ac:dyDescent="0.55000000000000004">
      <c r="S2384" t="str">
        <f t="shared" si="138"/>
        <v/>
      </c>
    </row>
    <row r="2385" spans="19:19" x14ac:dyDescent="0.55000000000000004">
      <c r="S2385" t="str">
        <f t="shared" si="138"/>
        <v/>
      </c>
    </row>
    <row r="2386" spans="19:19" x14ac:dyDescent="0.55000000000000004">
      <c r="S2386" t="str">
        <f t="shared" si="138"/>
        <v/>
      </c>
    </row>
    <row r="2387" spans="19:19" x14ac:dyDescent="0.55000000000000004">
      <c r="S2387" t="str">
        <f t="shared" si="138"/>
        <v/>
      </c>
    </row>
    <row r="2388" spans="19:19" x14ac:dyDescent="0.55000000000000004">
      <c r="S2388" t="str">
        <f t="shared" si="138"/>
        <v/>
      </c>
    </row>
    <row r="2389" spans="19:19" x14ac:dyDescent="0.55000000000000004">
      <c r="S2389" t="str">
        <f t="shared" si="138"/>
        <v/>
      </c>
    </row>
    <row r="2390" spans="19:19" x14ac:dyDescent="0.55000000000000004">
      <c r="S2390" t="str">
        <f t="shared" si="138"/>
        <v/>
      </c>
    </row>
    <row r="2391" spans="19:19" x14ac:dyDescent="0.55000000000000004">
      <c r="S2391" t="str">
        <f t="shared" si="138"/>
        <v/>
      </c>
    </row>
    <row r="2392" spans="19:19" x14ac:dyDescent="0.55000000000000004">
      <c r="S2392" t="str">
        <f t="shared" si="138"/>
        <v/>
      </c>
    </row>
    <row r="2393" spans="19:19" x14ac:dyDescent="0.55000000000000004">
      <c r="S2393" t="str">
        <f t="shared" si="138"/>
        <v/>
      </c>
    </row>
    <row r="2394" spans="19:19" x14ac:dyDescent="0.55000000000000004">
      <c r="S2394" t="str">
        <f t="shared" si="138"/>
        <v/>
      </c>
    </row>
    <row r="2395" spans="19:19" x14ac:dyDescent="0.55000000000000004">
      <c r="S2395" t="str">
        <f t="shared" si="138"/>
        <v/>
      </c>
    </row>
    <row r="2396" spans="19:19" x14ac:dyDescent="0.55000000000000004">
      <c r="S2396" t="str">
        <f t="shared" si="138"/>
        <v/>
      </c>
    </row>
    <row r="2397" spans="19:19" x14ac:dyDescent="0.55000000000000004">
      <c r="S2397" t="str">
        <f t="shared" si="138"/>
        <v/>
      </c>
    </row>
    <row r="2398" spans="19:19" x14ac:dyDescent="0.55000000000000004">
      <c r="S2398" t="str">
        <f t="shared" si="138"/>
        <v/>
      </c>
    </row>
    <row r="2399" spans="19:19" x14ac:dyDescent="0.55000000000000004">
      <c r="S2399" t="str">
        <f t="shared" si="138"/>
        <v/>
      </c>
    </row>
    <row r="2400" spans="19:19" x14ac:dyDescent="0.55000000000000004">
      <c r="S2400" t="str">
        <f t="shared" si="138"/>
        <v/>
      </c>
    </row>
    <row r="2401" spans="19:19" x14ac:dyDescent="0.55000000000000004">
      <c r="S2401" t="str">
        <f t="shared" si="138"/>
        <v/>
      </c>
    </row>
    <row r="2402" spans="19:19" x14ac:dyDescent="0.55000000000000004">
      <c r="S2402" t="str">
        <f t="shared" si="138"/>
        <v/>
      </c>
    </row>
    <row r="2403" spans="19:19" x14ac:dyDescent="0.55000000000000004">
      <c r="S2403" t="str">
        <f t="shared" si="138"/>
        <v/>
      </c>
    </row>
    <row r="2404" spans="19:19" x14ac:dyDescent="0.55000000000000004">
      <c r="S2404" t="str">
        <f t="shared" si="138"/>
        <v/>
      </c>
    </row>
    <row r="2405" spans="19:19" x14ac:dyDescent="0.55000000000000004">
      <c r="S2405" t="str">
        <f t="shared" si="138"/>
        <v/>
      </c>
    </row>
    <row r="2406" spans="19:19" x14ac:dyDescent="0.55000000000000004">
      <c r="S2406" t="str">
        <f t="shared" si="138"/>
        <v/>
      </c>
    </row>
    <row r="2407" spans="19:19" x14ac:dyDescent="0.55000000000000004">
      <c r="S2407" t="str">
        <f t="shared" si="138"/>
        <v/>
      </c>
    </row>
    <row r="2408" spans="19:19" x14ac:dyDescent="0.55000000000000004">
      <c r="S2408" t="str">
        <f t="shared" si="138"/>
        <v/>
      </c>
    </row>
    <row r="2409" spans="19:19" x14ac:dyDescent="0.55000000000000004">
      <c r="S2409" t="str">
        <f t="shared" si="138"/>
        <v/>
      </c>
    </row>
    <row r="2410" spans="19:19" x14ac:dyDescent="0.55000000000000004">
      <c r="S2410" t="str">
        <f t="shared" si="138"/>
        <v/>
      </c>
    </row>
    <row r="2411" spans="19:19" x14ac:dyDescent="0.55000000000000004">
      <c r="S2411" t="str">
        <f t="shared" si="138"/>
        <v/>
      </c>
    </row>
    <row r="2412" spans="19:19" x14ac:dyDescent="0.55000000000000004">
      <c r="S2412" t="str">
        <f t="shared" si="138"/>
        <v/>
      </c>
    </row>
    <row r="2413" spans="19:19" x14ac:dyDescent="0.55000000000000004">
      <c r="S2413" t="str">
        <f t="shared" si="138"/>
        <v/>
      </c>
    </row>
    <row r="2414" spans="19:19" x14ac:dyDescent="0.55000000000000004">
      <c r="S2414" t="str">
        <f t="shared" si="138"/>
        <v/>
      </c>
    </row>
    <row r="2415" spans="19:19" x14ac:dyDescent="0.55000000000000004">
      <c r="S2415" t="str">
        <f t="shared" si="138"/>
        <v/>
      </c>
    </row>
    <row r="2416" spans="19:19" x14ac:dyDescent="0.55000000000000004">
      <c r="S2416" t="str">
        <f t="shared" si="138"/>
        <v/>
      </c>
    </row>
    <row r="2417" spans="19:19" x14ac:dyDescent="0.55000000000000004">
      <c r="S2417" t="str">
        <f t="shared" si="138"/>
        <v/>
      </c>
    </row>
    <row r="2418" spans="19:19" x14ac:dyDescent="0.55000000000000004">
      <c r="S2418" t="str">
        <f t="shared" si="138"/>
        <v/>
      </c>
    </row>
    <row r="2419" spans="19:19" x14ac:dyDescent="0.55000000000000004">
      <c r="S2419" t="str">
        <f t="shared" si="138"/>
        <v/>
      </c>
    </row>
    <row r="2420" spans="19:19" x14ac:dyDescent="0.55000000000000004">
      <c r="S2420" t="str">
        <f t="shared" si="138"/>
        <v/>
      </c>
    </row>
    <row r="2421" spans="19:19" x14ac:dyDescent="0.55000000000000004">
      <c r="S2421" t="str">
        <f t="shared" si="138"/>
        <v/>
      </c>
    </row>
    <row r="2422" spans="19:19" x14ac:dyDescent="0.55000000000000004">
      <c r="S2422" t="str">
        <f t="shared" si="138"/>
        <v/>
      </c>
    </row>
    <row r="2423" spans="19:19" x14ac:dyDescent="0.55000000000000004">
      <c r="S2423" t="str">
        <f t="shared" si="138"/>
        <v/>
      </c>
    </row>
    <row r="2424" spans="19:19" x14ac:dyDescent="0.55000000000000004">
      <c r="S2424" t="str">
        <f t="shared" si="138"/>
        <v/>
      </c>
    </row>
    <row r="2425" spans="19:19" x14ac:dyDescent="0.55000000000000004">
      <c r="S2425" t="str">
        <f t="shared" si="138"/>
        <v/>
      </c>
    </row>
    <row r="2426" spans="19:19" x14ac:dyDescent="0.55000000000000004">
      <c r="S2426" t="str">
        <f t="shared" si="138"/>
        <v/>
      </c>
    </row>
    <row r="2427" spans="19:19" x14ac:dyDescent="0.55000000000000004">
      <c r="S2427" t="str">
        <f t="shared" si="138"/>
        <v/>
      </c>
    </row>
    <row r="2428" spans="19:19" x14ac:dyDescent="0.55000000000000004">
      <c r="S2428" t="str">
        <f t="shared" si="138"/>
        <v/>
      </c>
    </row>
    <row r="2429" spans="19:19" x14ac:dyDescent="0.55000000000000004">
      <c r="S2429" t="str">
        <f t="shared" si="138"/>
        <v/>
      </c>
    </row>
    <row r="2430" spans="19:19" x14ac:dyDescent="0.55000000000000004">
      <c r="S2430" t="str">
        <f t="shared" si="138"/>
        <v/>
      </c>
    </row>
    <row r="2431" spans="19:19" x14ac:dyDescent="0.55000000000000004">
      <c r="S2431" t="str">
        <f t="shared" si="138"/>
        <v/>
      </c>
    </row>
    <row r="2432" spans="19:19" x14ac:dyDescent="0.55000000000000004">
      <c r="S2432" t="str">
        <f t="shared" si="138"/>
        <v/>
      </c>
    </row>
    <row r="2433" spans="19:19" x14ac:dyDescent="0.55000000000000004">
      <c r="S2433" t="str">
        <f t="shared" si="138"/>
        <v/>
      </c>
    </row>
    <row r="2434" spans="19:19" x14ac:dyDescent="0.55000000000000004">
      <c r="S2434" t="str">
        <f t="shared" si="138"/>
        <v/>
      </c>
    </row>
    <row r="2435" spans="19:19" x14ac:dyDescent="0.55000000000000004">
      <c r="S2435" t="str">
        <f t="shared" si="138"/>
        <v/>
      </c>
    </row>
    <row r="2436" spans="19:19" x14ac:dyDescent="0.55000000000000004">
      <c r="S2436" t="str">
        <f t="shared" ref="S2436:S2499" si="139">IF(R2436&lt;&gt;"", R2436*236.588, "")</f>
        <v/>
      </c>
    </row>
    <row r="2437" spans="19:19" x14ac:dyDescent="0.55000000000000004">
      <c r="S2437" t="str">
        <f t="shared" si="139"/>
        <v/>
      </c>
    </row>
    <row r="2438" spans="19:19" x14ac:dyDescent="0.55000000000000004">
      <c r="S2438" t="str">
        <f t="shared" si="139"/>
        <v/>
      </c>
    </row>
    <row r="2439" spans="19:19" x14ac:dyDescent="0.55000000000000004">
      <c r="S2439" t="str">
        <f t="shared" si="139"/>
        <v/>
      </c>
    </row>
    <row r="2440" spans="19:19" x14ac:dyDescent="0.55000000000000004">
      <c r="S2440" t="str">
        <f t="shared" si="139"/>
        <v/>
      </c>
    </row>
    <row r="2441" spans="19:19" x14ac:dyDescent="0.55000000000000004">
      <c r="S2441" t="str">
        <f t="shared" si="139"/>
        <v/>
      </c>
    </row>
    <row r="2442" spans="19:19" x14ac:dyDescent="0.55000000000000004">
      <c r="S2442" t="str">
        <f t="shared" si="139"/>
        <v/>
      </c>
    </row>
    <row r="2443" spans="19:19" x14ac:dyDescent="0.55000000000000004">
      <c r="S2443" t="str">
        <f t="shared" si="139"/>
        <v/>
      </c>
    </row>
    <row r="2444" spans="19:19" x14ac:dyDescent="0.55000000000000004">
      <c r="S2444" t="str">
        <f t="shared" si="139"/>
        <v/>
      </c>
    </row>
    <row r="2445" spans="19:19" x14ac:dyDescent="0.55000000000000004">
      <c r="S2445" t="str">
        <f t="shared" si="139"/>
        <v/>
      </c>
    </row>
    <row r="2446" spans="19:19" x14ac:dyDescent="0.55000000000000004">
      <c r="S2446" t="str">
        <f t="shared" si="139"/>
        <v/>
      </c>
    </row>
    <row r="2447" spans="19:19" x14ac:dyDescent="0.55000000000000004">
      <c r="S2447" t="str">
        <f t="shared" si="139"/>
        <v/>
      </c>
    </row>
    <row r="2448" spans="19:19" x14ac:dyDescent="0.55000000000000004">
      <c r="S2448" t="str">
        <f t="shared" si="139"/>
        <v/>
      </c>
    </row>
    <row r="2449" spans="19:19" x14ac:dyDescent="0.55000000000000004">
      <c r="S2449" t="str">
        <f t="shared" si="139"/>
        <v/>
      </c>
    </row>
    <row r="2450" spans="19:19" x14ac:dyDescent="0.55000000000000004">
      <c r="S2450" t="str">
        <f t="shared" si="139"/>
        <v/>
      </c>
    </row>
    <row r="2451" spans="19:19" x14ac:dyDescent="0.55000000000000004">
      <c r="S2451" t="str">
        <f t="shared" si="139"/>
        <v/>
      </c>
    </row>
    <row r="2452" spans="19:19" x14ac:dyDescent="0.55000000000000004">
      <c r="S2452" t="str">
        <f t="shared" si="139"/>
        <v/>
      </c>
    </row>
    <row r="2453" spans="19:19" x14ac:dyDescent="0.55000000000000004">
      <c r="S2453" t="str">
        <f t="shared" si="139"/>
        <v/>
      </c>
    </row>
    <row r="2454" spans="19:19" x14ac:dyDescent="0.55000000000000004">
      <c r="S2454" t="str">
        <f t="shared" si="139"/>
        <v/>
      </c>
    </row>
    <row r="2455" spans="19:19" x14ac:dyDescent="0.55000000000000004">
      <c r="S2455" t="str">
        <f t="shared" si="139"/>
        <v/>
      </c>
    </row>
    <row r="2456" spans="19:19" x14ac:dyDescent="0.55000000000000004">
      <c r="S2456" t="str">
        <f t="shared" si="139"/>
        <v/>
      </c>
    </row>
    <row r="2457" spans="19:19" x14ac:dyDescent="0.55000000000000004">
      <c r="S2457" t="str">
        <f t="shared" si="139"/>
        <v/>
      </c>
    </row>
    <row r="2458" spans="19:19" x14ac:dyDescent="0.55000000000000004">
      <c r="S2458" t="str">
        <f t="shared" si="139"/>
        <v/>
      </c>
    </row>
    <row r="2459" spans="19:19" x14ac:dyDescent="0.55000000000000004">
      <c r="S2459" t="str">
        <f t="shared" si="139"/>
        <v/>
      </c>
    </row>
    <row r="2460" spans="19:19" x14ac:dyDescent="0.55000000000000004">
      <c r="S2460" t="str">
        <f t="shared" si="139"/>
        <v/>
      </c>
    </row>
    <row r="2461" spans="19:19" x14ac:dyDescent="0.55000000000000004">
      <c r="S2461" t="str">
        <f t="shared" si="139"/>
        <v/>
      </c>
    </row>
    <row r="2462" spans="19:19" x14ac:dyDescent="0.55000000000000004">
      <c r="S2462" t="str">
        <f t="shared" si="139"/>
        <v/>
      </c>
    </row>
    <row r="2463" spans="19:19" x14ac:dyDescent="0.55000000000000004">
      <c r="S2463" t="str">
        <f t="shared" si="139"/>
        <v/>
      </c>
    </row>
    <row r="2464" spans="19:19" x14ac:dyDescent="0.55000000000000004">
      <c r="S2464" t="str">
        <f t="shared" si="139"/>
        <v/>
      </c>
    </row>
    <row r="2465" spans="19:19" x14ac:dyDescent="0.55000000000000004">
      <c r="S2465" t="str">
        <f t="shared" si="139"/>
        <v/>
      </c>
    </row>
    <row r="2466" spans="19:19" x14ac:dyDescent="0.55000000000000004">
      <c r="S2466" t="str">
        <f t="shared" si="139"/>
        <v/>
      </c>
    </row>
    <row r="2467" spans="19:19" x14ac:dyDescent="0.55000000000000004">
      <c r="S2467" t="str">
        <f t="shared" si="139"/>
        <v/>
      </c>
    </row>
    <row r="2468" spans="19:19" x14ac:dyDescent="0.55000000000000004">
      <c r="S2468" t="str">
        <f t="shared" si="139"/>
        <v/>
      </c>
    </row>
    <row r="2469" spans="19:19" x14ac:dyDescent="0.55000000000000004">
      <c r="S2469" t="str">
        <f t="shared" si="139"/>
        <v/>
      </c>
    </row>
    <row r="2470" spans="19:19" x14ac:dyDescent="0.55000000000000004">
      <c r="S2470" t="str">
        <f t="shared" si="139"/>
        <v/>
      </c>
    </row>
    <row r="2471" spans="19:19" x14ac:dyDescent="0.55000000000000004">
      <c r="S2471" t="str">
        <f t="shared" si="139"/>
        <v/>
      </c>
    </row>
    <row r="2472" spans="19:19" x14ac:dyDescent="0.55000000000000004">
      <c r="S2472" t="str">
        <f t="shared" si="139"/>
        <v/>
      </c>
    </row>
    <row r="2473" spans="19:19" x14ac:dyDescent="0.55000000000000004">
      <c r="S2473" t="str">
        <f t="shared" si="139"/>
        <v/>
      </c>
    </row>
    <row r="2474" spans="19:19" x14ac:dyDescent="0.55000000000000004">
      <c r="S2474" t="str">
        <f t="shared" si="139"/>
        <v/>
      </c>
    </row>
    <row r="2475" spans="19:19" x14ac:dyDescent="0.55000000000000004">
      <c r="S2475" t="str">
        <f t="shared" si="139"/>
        <v/>
      </c>
    </row>
    <row r="2476" spans="19:19" x14ac:dyDescent="0.55000000000000004">
      <c r="S2476" t="str">
        <f t="shared" si="139"/>
        <v/>
      </c>
    </row>
    <row r="2477" spans="19:19" x14ac:dyDescent="0.55000000000000004">
      <c r="S2477" t="str">
        <f t="shared" si="139"/>
        <v/>
      </c>
    </row>
    <row r="2478" spans="19:19" x14ac:dyDescent="0.55000000000000004">
      <c r="S2478" t="str">
        <f t="shared" si="139"/>
        <v/>
      </c>
    </row>
    <row r="2479" spans="19:19" x14ac:dyDescent="0.55000000000000004">
      <c r="S2479" t="str">
        <f t="shared" si="139"/>
        <v/>
      </c>
    </row>
    <row r="2480" spans="19:19" x14ac:dyDescent="0.55000000000000004">
      <c r="S2480" t="str">
        <f t="shared" si="139"/>
        <v/>
      </c>
    </row>
    <row r="2481" spans="19:19" x14ac:dyDescent="0.55000000000000004">
      <c r="S2481" t="str">
        <f t="shared" si="139"/>
        <v/>
      </c>
    </row>
    <row r="2482" spans="19:19" x14ac:dyDescent="0.55000000000000004">
      <c r="S2482" t="str">
        <f t="shared" si="139"/>
        <v/>
      </c>
    </row>
    <row r="2483" spans="19:19" x14ac:dyDescent="0.55000000000000004">
      <c r="S2483" t="str">
        <f t="shared" si="139"/>
        <v/>
      </c>
    </row>
    <row r="2484" spans="19:19" x14ac:dyDescent="0.55000000000000004">
      <c r="S2484" t="str">
        <f t="shared" si="139"/>
        <v/>
      </c>
    </row>
    <row r="2485" spans="19:19" x14ac:dyDescent="0.55000000000000004">
      <c r="S2485" t="str">
        <f t="shared" si="139"/>
        <v/>
      </c>
    </row>
    <row r="2486" spans="19:19" x14ac:dyDescent="0.55000000000000004">
      <c r="S2486" t="str">
        <f t="shared" si="139"/>
        <v/>
      </c>
    </row>
    <row r="2487" spans="19:19" x14ac:dyDescent="0.55000000000000004">
      <c r="S2487" t="str">
        <f t="shared" si="139"/>
        <v/>
      </c>
    </row>
    <row r="2488" spans="19:19" x14ac:dyDescent="0.55000000000000004">
      <c r="S2488" t="str">
        <f t="shared" si="139"/>
        <v/>
      </c>
    </row>
    <row r="2489" spans="19:19" x14ac:dyDescent="0.55000000000000004">
      <c r="S2489" t="str">
        <f t="shared" si="139"/>
        <v/>
      </c>
    </row>
    <row r="2490" spans="19:19" x14ac:dyDescent="0.55000000000000004">
      <c r="S2490" t="str">
        <f t="shared" si="139"/>
        <v/>
      </c>
    </row>
    <row r="2491" spans="19:19" x14ac:dyDescent="0.55000000000000004">
      <c r="S2491" t="str">
        <f t="shared" si="139"/>
        <v/>
      </c>
    </row>
    <row r="2492" spans="19:19" x14ac:dyDescent="0.55000000000000004">
      <c r="S2492" t="str">
        <f t="shared" si="139"/>
        <v/>
      </c>
    </row>
    <row r="2493" spans="19:19" x14ac:dyDescent="0.55000000000000004">
      <c r="S2493" t="str">
        <f t="shared" si="139"/>
        <v/>
      </c>
    </row>
    <row r="2494" spans="19:19" x14ac:dyDescent="0.55000000000000004">
      <c r="S2494" t="str">
        <f t="shared" si="139"/>
        <v/>
      </c>
    </row>
    <row r="2495" spans="19:19" x14ac:dyDescent="0.55000000000000004">
      <c r="S2495" t="str">
        <f t="shared" si="139"/>
        <v/>
      </c>
    </row>
    <row r="2496" spans="19:19" x14ac:dyDescent="0.55000000000000004">
      <c r="S2496" t="str">
        <f t="shared" si="139"/>
        <v/>
      </c>
    </row>
    <row r="2497" spans="19:19" x14ac:dyDescent="0.55000000000000004">
      <c r="S2497" t="str">
        <f t="shared" si="139"/>
        <v/>
      </c>
    </row>
    <row r="2498" spans="19:19" x14ac:dyDescent="0.55000000000000004">
      <c r="S2498" t="str">
        <f t="shared" si="139"/>
        <v/>
      </c>
    </row>
    <row r="2499" spans="19:19" x14ac:dyDescent="0.55000000000000004">
      <c r="S2499" t="str">
        <f t="shared" si="139"/>
        <v/>
      </c>
    </row>
    <row r="2500" spans="19:19" x14ac:dyDescent="0.55000000000000004">
      <c r="S2500" t="str">
        <f t="shared" ref="S2500:S2563" si="140">IF(R2500&lt;&gt;"", R2500*236.588, "")</f>
        <v/>
      </c>
    </row>
    <row r="2501" spans="19:19" x14ac:dyDescent="0.55000000000000004">
      <c r="S2501" t="str">
        <f t="shared" si="140"/>
        <v/>
      </c>
    </row>
    <row r="2502" spans="19:19" x14ac:dyDescent="0.55000000000000004">
      <c r="S2502" t="str">
        <f t="shared" si="140"/>
        <v/>
      </c>
    </row>
    <row r="2503" spans="19:19" x14ac:dyDescent="0.55000000000000004">
      <c r="S2503" t="str">
        <f t="shared" si="140"/>
        <v/>
      </c>
    </row>
    <row r="2504" spans="19:19" x14ac:dyDescent="0.55000000000000004">
      <c r="S2504" t="str">
        <f t="shared" si="140"/>
        <v/>
      </c>
    </row>
    <row r="2505" spans="19:19" x14ac:dyDescent="0.55000000000000004">
      <c r="S2505" t="str">
        <f t="shared" si="140"/>
        <v/>
      </c>
    </row>
    <row r="2506" spans="19:19" x14ac:dyDescent="0.55000000000000004">
      <c r="S2506" t="str">
        <f t="shared" si="140"/>
        <v/>
      </c>
    </row>
    <row r="2507" spans="19:19" x14ac:dyDescent="0.55000000000000004">
      <c r="S2507" t="str">
        <f t="shared" si="140"/>
        <v/>
      </c>
    </row>
    <row r="2508" spans="19:19" x14ac:dyDescent="0.55000000000000004">
      <c r="S2508" t="str">
        <f t="shared" si="140"/>
        <v/>
      </c>
    </row>
    <row r="2509" spans="19:19" x14ac:dyDescent="0.55000000000000004">
      <c r="S2509" t="str">
        <f t="shared" si="140"/>
        <v/>
      </c>
    </row>
    <row r="2510" spans="19:19" x14ac:dyDescent="0.55000000000000004">
      <c r="S2510" t="str">
        <f t="shared" si="140"/>
        <v/>
      </c>
    </row>
    <row r="2511" spans="19:19" x14ac:dyDescent="0.55000000000000004">
      <c r="S2511" t="str">
        <f t="shared" si="140"/>
        <v/>
      </c>
    </row>
    <row r="2512" spans="19:19" x14ac:dyDescent="0.55000000000000004">
      <c r="S2512" t="str">
        <f t="shared" si="140"/>
        <v/>
      </c>
    </row>
    <row r="2513" spans="19:19" x14ac:dyDescent="0.55000000000000004">
      <c r="S2513" t="str">
        <f t="shared" si="140"/>
        <v/>
      </c>
    </row>
    <row r="2514" spans="19:19" x14ac:dyDescent="0.55000000000000004">
      <c r="S2514" t="str">
        <f t="shared" si="140"/>
        <v/>
      </c>
    </row>
    <row r="2515" spans="19:19" x14ac:dyDescent="0.55000000000000004">
      <c r="S2515" t="str">
        <f t="shared" si="140"/>
        <v/>
      </c>
    </row>
    <row r="2516" spans="19:19" x14ac:dyDescent="0.55000000000000004">
      <c r="S2516" t="str">
        <f t="shared" si="140"/>
        <v/>
      </c>
    </row>
    <row r="2517" spans="19:19" x14ac:dyDescent="0.55000000000000004">
      <c r="S2517" t="str">
        <f t="shared" si="140"/>
        <v/>
      </c>
    </row>
    <row r="2518" spans="19:19" x14ac:dyDescent="0.55000000000000004">
      <c r="S2518" t="str">
        <f t="shared" si="140"/>
        <v/>
      </c>
    </row>
    <row r="2519" spans="19:19" x14ac:dyDescent="0.55000000000000004">
      <c r="S2519" t="str">
        <f t="shared" si="140"/>
        <v/>
      </c>
    </row>
    <row r="2520" spans="19:19" x14ac:dyDescent="0.55000000000000004">
      <c r="S2520" t="str">
        <f t="shared" si="140"/>
        <v/>
      </c>
    </row>
    <row r="2521" spans="19:19" x14ac:dyDescent="0.55000000000000004">
      <c r="S2521" t="str">
        <f t="shared" si="140"/>
        <v/>
      </c>
    </row>
    <row r="2522" spans="19:19" x14ac:dyDescent="0.55000000000000004">
      <c r="S2522" t="str">
        <f t="shared" si="140"/>
        <v/>
      </c>
    </row>
    <row r="2523" spans="19:19" x14ac:dyDescent="0.55000000000000004">
      <c r="S2523" t="str">
        <f t="shared" si="140"/>
        <v/>
      </c>
    </row>
    <row r="2524" spans="19:19" x14ac:dyDescent="0.55000000000000004">
      <c r="S2524" t="str">
        <f t="shared" si="140"/>
        <v/>
      </c>
    </row>
    <row r="2525" spans="19:19" x14ac:dyDescent="0.55000000000000004">
      <c r="S2525" t="str">
        <f t="shared" si="140"/>
        <v/>
      </c>
    </row>
    <row r="2526" spans="19:19" x14ac:dyDescent="0.55000000000000004">
      <c r="S2526" t="str">
        <f t="shared" si="140"/>
        <v/>
      </c>
    </row>
    <row r="2527" spans="19:19" x14ac:dyDescent="0.55000000000000004">
      <c r="S2527" t="str">
        <f t="shared" si="140"/>
        <v/>
      </c>
    </row>
    <row r="2528" spans="19:19" x14ac:dyDescent="0.55000000000000004">
      <c r="S2528" t="str">
        <f t="shared" si="140"/>
        <v/>
      </c>
    </row>
    <row r="2529" spans="19:19" x14ac:dyDescent="0.55000000000000004">
      <c r="S2529" t="str">
        <f t="shared" si="140"/>
        <v/>
      </c>
    </row>
    <row r="2530" spans="19:19" x14ac:dyDescent="0.55000000000000004">
      <c r="S2530" t="str">
        <f t="shared" si="140"/>
        <v/>
      </c>
    </row>
    <row r="2531" spans="19:19" x14ac:dyDescent="0.55000000000000004">
      <c r="S2531" t="str">
        <f t="shared" si="140"/>
        <v/>
      </c>
    </row>
    <row r="2532" spans="19:19" x14ac:dyDescent="0.55000000000000004">
      <c r="S2532" t="str">
        <f t="shared" si="140"/>
        <v/>
      </c>
    </row>
    <row r="2533" spans="19:19" x14ac:dyDescent="0.55000000000000004">
      <c r="S2533" t="str">
        <f t="shared" si="140"/>
        <v/>
      </c>
    </row>
    <row r="2534" spans="19:19" x14ac:dyDescent="0.55000000000000004">
      <c r="S2534" t="str">
        <f t="shared" si="140"/>
        <v/>
      </c>
    </row>
    <row r="2535" spans="19:19" x14ac:dyDescent="0.55000000000000004">
      <c r="S2535" t="str">
        <f t="shared" si="140"/>
        <v/>
      </c>
    </row>
    <row r="2536" spans="19:19" x14ac:dyDescent="0.55000000000000004">
      <c r="S2536" t="str">
        <f t="shared" si="140"/>
        <v/>
      </c>
    </row>
    <row r="2537" spans="19:19" x14ac:dyDescent="0.55000000000000004">
      <c r="S2537" t="str">
        <f t="shared" si="140"/>
        <v/>
      </c>
    </row>
    <row r="2538" spans="19:19" x14ac:dyDescent="0.55000000000000004">
      <c r="S2538" t="str">
        <f t="shared" si="140"/>
        <v/>
      </c>
    </row>
    <row r="2539" spans="19:19" x14ac:dyDescent="0.55000000000000004">
      <c r="S2539" t="str">
        <f t="shared" si="140"/>
        <v/>
      </c>
    </row>
    <row r="2540" spans="19:19" x14ac:dyDescent="0.55000000000000004">
      <c r="S2540" t="str">
        <f t="shared" si="140"/>
        <v/>
      </c>
    </row>
    <row r="2541" spans="19:19" x14ac:dyDescent="0.55000000000000004">
      <c r="S2541" t="str">
        <f t="shared" si="140"/>
        <v/>
      </c>
    </row>
    <row r="2542" spans="19:19" x14ac:dyDescent="0.55000000000000004">
      <c r="S2542" t="str">
        <f t="shared" si="140"/>
        <v/>
      </c>
    </row>
    <row r="2543" spans="19:19" x14ac:dyDescent="0.55000000000000004">
      <c r="S2543" t="str">
        <f t="shared" si="140"/>
        <v/>
      </c>
    </row>
    <row r="2544" spans="19:19" x14ac:dyDescent="0.55000000000000004">
      <c r="S2544" t="str">
        <f t="shared" si="140"/>
        <v/>
      </c>
    </row>
    <row r="2545" spans="19:19" x14ac:dyDescent="0.55000000000000004">
      <c r="S2545" t="str">
        <f t="shared" si="140"/>
        <v/>
      </c>
    </row>
    <row r="2546" spans="19:19" x14ac:dyDescent="0.55000000000000004">
      <c r="S2546" t="str">
        <f t="shared" si="140"/>
        <v/>
      </c>
    </row>
    <row r="2547" spans="19:19" x14ac:dyDescent="0.55000000000000004">
      <c r="S2547" t="str">
        <f t="shared" si="140"/>
        <v/>
      </c>
    </row>
    <row r="2548" spans="19:19" x14ac:dyDescent="0.55000000000000004">
      <c r="S2548" t="str">
        <f t="shared" si="140"/>
        <v/>
      </c>
    </row>
    <row r="2549" spans="19:19" x14ac:dyDescent="0.55000000000000004">
      <c r="S2549" t="str">
        <f t="shared" si="140"/>
        <v/>
      </c>
    </row>
    <row r="2550" spans="19:19" x14ac:dyDescent="0.55000000000000004">
      <c r="S2550" t="str">
        <f t="shared" si="140"/>
        <v/>
      </c>
    </row>
    <row r="2551" spans="19:19" x14ac:dyDescent="0.55000000000000004">
      <c r="S2551" t="str">
        <f t="shared" si="140"/>
        <v/>
      </c>
    </row>
    <row r="2552" spans="19:19" x14ac:dyDescent="0.55000000000000004">
      <c r="S2552" t="str">
        <f t="shared" si="140"/>
        <v/>
      </c>
    </row>
    <row r="2553" spans="19:19" x14ac:dyDescent="0.55000000000000004">
      <c r="S2553" t="str">
        <f t="shared" si="140"/>
        <v/>
      </c>
    </row>
    <row r="2554" spans="19:19" x14ac:dyDescent="0.55000000000000004">
      <c r="S2554" t="str">
        <f t="shared" si="140"/>
        <v/>
      </c>
    </row>
    <row r="2555" spans="19:19" x14ac:dyDescent="0.55000000000000004">
      <c r="S2555" t="str">
        <f t="shared" si="140"/>
        <v/>
      </c>
    </row>
    <row r="2556" spans="19:19" x14ac:dyDescent="0.55000000000000004">
      <c r="S2556" t="str">
        <f t="shared" si="140"/>
        <v/>
      </c>
    </row>
    <row r="2557" spans="19:19" x14ac:dyDescent="0.55000000000000004">
      <c r="S2557" t="str">
        <f t="shared" si="140"/>
        <v/>
      </c>
    </row>
    <row r="2558" spans="19:19" x14ac:dyDescent="0.55000000000000004">
      <c r="S2558" t="str">
        <f t="shared" si="140"/>
        <v/>
      </c>
    </row>
    <row r="2559" spans="19:19" x14ac:dyDescent="0.55000000000000004">
      <c r="S2559" t="str">
        <f t="shared" si="140"/>
        <v/>
      </c>
    </row>
    <row r="2560" spans="19:19" x14ac:dyDescent="0.55000000000000004">
      <c r="S2560" t="str">
        <f t="shared" si="140"/>
        <v/>
      </c>
    </row>
    <row r="2561" spans="19:19" x14ac:dyDescent="0.55000000000000004">
      <c r="S2561" t="str">
        <f t="shared" si="140"/>
        <v/>
      </c>
    </row>
    <row r="2562" spans="19:19" x14ac:dyDescent="0.55000000000000004">
      <c r="S2562" t="str">
        <f t="shared" si="140"/>
        <v/>
      </c>
    </row>
    <row r="2563" spans="19:19" x14ac:dyDescent="0.55000000000000004">
      <c r="S2563" t="str">
        <f t="shared" si="140"/>
        <v/>
      </c>
    </row>
    <row r="2564" spans="19:19" x14ac:dyDescent="0.55000000000000004">
      <c r="S2564" t="str">
        <f t="shared" ref="S2564:S2627" si="141">IF(R2564&lt;&gt;"", R2564*236.588, "")</f>
        <v/>
      </c>
    </row>
    <row r="2565" spans="19:19" x14ac:dyDescent="0.55000000000000004">
      <c r="S2565" t="str">
        <f t="shared" si="141"/>
        <v/>
      </c>
    </row>
    <row r="2566" spans="19:19" x14ac:dyDescent="0.55000000000000004">
      <c r="S2566" t="str">
        <f t="shared" si="141"/>
        <v/>
      </c>
    </row>
    <row r="2567" spans="19:19" x14ac:dyDescent="0.55000000000000004">
      <c r="S2567" t="str">
        <f t="shared" si="141"/>
        <v/>
      </c>
    </row>
    <row r="2568" spans="19:19" x14ac:dyDescent="0.55000000000000004">
      <c r="S2568" t="str">
        <f t="shared" si="141"/>
        <v/>
      </c>
    </row>
    <row r="2569" spans="19:19" x14ac:dyDescent="0.55000000000000004">
      <c r="S2569" t="str">
        <f t="shared" si="141"/>
        <v/>
      </c>
    </row>
    <row r="2570" spans="19:19" x14ac:dyDescent="0.55000000000000004">
      <c r="S2570" t="str">
        <f t="shared" si="141"/>
        <v/>
      </c>
    </row>
    <row r="2571" spans="19:19" x14ac:dyDescent="0.55000000000000004">
      <c r="S2571" t="str">
        <f t="shared" si="141"/>
        <v/>
      </c>
    </row>
    <row r="2572" spans="19:19" x14ac:dyDescent="0.55000000000000004">
      <c r="S2572" t="str">
        <f t="shared" si="141"/>
        <v/>
      </c>
    </row>
    <row r="2573" spans="19:19" x14ac:dyDescent="0.55000000000000004">
      <c r="S2573" t="str">
        <f t="shared" si="141"/>
        <v/>
      </c>
    </row>
    <row r="2574" spans="19:19" x14ac:dyDescent="0.55000000000000004">
      <c r="S2574" t="str">
        <f t="shared" si="141"/>
        <v/>
      </c>
    </row>
    <row r="2575" spans="19:19" x14ac:dyDescent="0.55000000000000004">
      <c r="S2575" t="str">
        <f t="shared" si="141"/>
        <v/>
      </c>
    </row>
    <row r="2576" spans="19:19" x14ac:dyDescent="0.55000000000000004">
      <c r="S2576" t="str">
        <f t="shared" si="141"/>
        <v/>
      </c>
    </row>
    <row r="2577" spans="19:19" x14ac:dyDescent="0.55000000000000004">
      <c r="S2577" t="str">
        <f t="shared" si="141"/>
        <v/>
      </c>
    </row>
    <row r="2578" spans="19:19" x14ac:dyDescent="0.55000000000000004">
      <c r="S2578" t="str">
        <f t="shared" si="141"/>
        <v/>
      </c>
    </row>
    <row r="2579" spans="19:19" x14ac:dyDescent="0.55000000000000004">
      <c r="S2579" t="str">
        <f t="shared" si="141"/>
        <v/>
      </c>
    </row>
    <row r="2580" spans="19:19" x14ac:dyDescent="0.55000000000000004">
      <c r="S2580" t="str">
        <f t="shared" si="141"/>
        <v/>
      </c>
    </row>
    <row r="2581" spans="19:19" x14ac:dyDescent="0.55000000000000004">
      <c r="S2581" t="str">
        <f t="shared" si="141"/>
        <v/>
      </c>
    </row>
    <row r="2582" spans="19:19" x14ac:dyDescent="0.55000000000000004">
      <c r="S2582" t="str">
        <f t="shared" si="141"/>
        <v/>
      </c>
    </row>
    <row r="2583" spans="19:19" x14ac:dyDescent="0.55000000000000004">
      <c r="S2583" t="str">
        <f t="shared" si="141"/>
        <v/>
      </c>
    </row>
    <row r="2584" spans="19:19" x14ac:dyDescent="0.55000000000000004">
      <c r="S2584" t="str">
        <f t="shared" si="141"/>
        <v/>
      </c>
    </row>
    <row r="2585" spans="19:19" x14ac:dyDescent="0.55000000000000004">
      <c r="S2585" t="str">
        <f t="shared" si="141"/>
        <v/>
      </c>
    </row>
    <row r="2586" spans="19:19" x14ac:dyDescent="0.55000000000000004">
      <c r="S2586" t="str">
        <f t="shared" si="141"/>
        <v/>
      </c>
    </row>
    <row r="2587" spans="19:19" x14ac:dyDescent="0.55000000000000004">
      <c r="S2587" t="str">
        <f t="shared" si="141"/>
        <v/>
      </c>
    </row>
    <row r="2588" spans="19:19" x14ac:dyDescent="0.55000000000000004">
      <c r="S2588" t="str">
        <f t="shared" si="141"/>
        <v/>
      </c>
    </row>
    <row r="2589" spans="19:19" x14ac:dyDescent="0.55000000000000004">
      <c r="S2589" t="str">
        <f t="shared" si="141"/>
        <v/>
      </c>
    </row>
    <row r="2590" spans="19:19" x14ac:dyDescent="0.55000000000000004">
      <c r="S2590" t="str">
        <f t="shared" si="141"/>
        <v/>
      </c>
    </row>
    <row r="2591" spans="19:19" x14ac:dyDescent="0.55000000000000004">
      <c r="S2591" t="str">
        <f t="shared" si="141"/>
        <v/>
      </c>
    </row>
    <row r="2592" spans="19:19" x14ac:dyDescent="0.55000000000000004">
      <c r="S2592" t="str">
        <f t="shared" si="141"/>
        <v/>
      </c>
    </row>
    <row r="2593" spans="19:19" x14ac:dyDescent="0.55000000000000004">
      <c r="S2593" t="str">
        <f t="shared" si="141"/>
        <v/>
      </c>
    </row>
    <row r="2594" spans="19:19" x14ac:dyDescent="0.55000000000000004">
      <c r="S2594" t="str">
        <f t="shared" si="141"/>
        <v/>
      </c>
    </row>
    <row r="2595" spans="19:19" x14ac:dyDescent="0.55000000000000004">
      <c r="S2595" t="str">
        <f t="shared" si="141"/>
        <v/>
      </c>
    </row>
    <row r="2596" spans="19:19" x14ac:dyDescent="0.55000000000000004">
      <c r="S2596" t="str">
        <f t="shared" si="141"/>
        <v/>
      </c>
    </row>
    <row r="2597" spans="19:19" x14ac:dyDescent="0.55000000000000004">
      <c r="S2597" t="str">
        <f t="shared" si="141"/>
        <v/>
      </c>
    </row>
    <row r="2598" spans="19:19" x14ac:dyDescent="0.55000000000000004">
      <c r="S2598" t="str">
        <f t="shared" si="141"/>
        <v/>
      </c>
    </row>
    <row r="2599" spans="19:19" x14ac:dyDescent="0.55000000000000004">
      <c r="S2599" t="str">
        <f t="shared" si="141"/>
        <v/>
      </c>
    </row>
    <row r="2600" spans="19:19" x14ac:dyDescent="0.55000000000000004">
      <c r="S2600" t="str">
        <f t="shared" si="141"/>
        <v/>
      </c>
    </row>
    <row r="2601" spans="19:19" x14ac:dyDescent="0.55000000000000004">
      <c r="S2601" t="str">
        <f t="shared" si="141"/>
        <v/>
      </c>
    </row>
    <row r="2602" spans="19:19" x14ac:dyDescent="0.55000000000000004">
      <c r="S2602" t="str">
        <f t="shared" si="141"/>
        <v/>
      </c>
    </row>
    <row r="2603" spans="19:19" x14ac:dyDescent="0.55000000000000004">
      <c r="S2603" t="str">
        <f t="shared" si="141"/>
        <v/>
      </c>
    </row>
    <row r="2604" spans="19:19" x14ac:dyDescent="0.55000000000000004">
      <c r="S2604" t="str">
        <f t="shared" si="141"/>
        <v/>
      </c>
    </row>
    <row r="2605" spans="19:19" x14ac:dyDescent="0.55000000000000004">
      <c r="S2605" t="str">
        <f t="shared" si="141"/>
        <v/>
      </c>
    </row>
    <row r="2606" spans="19:19" x14ac:dyDescent="0.55000000000000004">
      <c r="S2606" t="str">
        <f t="shared" si="141"/>
        <v/>
      </c>
    </row>
    <row r="2607" spans="19:19" x14ac:dyDescent="0.55000000000000004">
      <c r="S2607" t="str">
        <f t="shared" si="141"/>
        <v/>
      </c>
    </row>
    <row r="2608" spans="19:19" x14ac:dyDescent="0.55000000000000004">
      <c r="S2608" t="str">
        <f t="shared" si="141"/>
        <v/>
      </c>
    </row>
    <row r="2609" spans="19:19" x14ac:dyDescent="0.55000000000000004">
      <c r="S2609" t="str">
        <f t="shared" si="141"/>
        <v/>
      </c>
    </row>
    <row r="2610" spans="19:19" x14ac:dyDescent="0.55000000000000004">
      <c r="S2610" t="str">
        <f t="shared" si="141"/>
        <v/>
      </c>
    </row>
    <row r="2611" spans="19:19" x14ac:dyDescent="0.55000000000000004">
      <c r="S2611" t="str">
        <f t="shared" si="141"/>
        <v/>
      </c>
    </row>
    <row r="2612" spans="19:19" x14ac:dyDescent="0.55000000000000004">
      <c r="S2612" t="str">
        <f t="shared" si="141"/>
        <v/>
      </c>
    </row>
    <row r="2613" spans="19:19" x14ac:dyDescent="0.55000000000000004">
      <c r="S2613" t="str">
        <f t="shared" si="141"/>
        <v/>
      </c>
    </row>
    <row r="2614" spans="19:19" x14ac:dyDescent="0.55000000000000004">
      <c r="S2614" t="str">
        <f t="shared" si="141"/>
        <v/>
      </c>
    </row>
    <row r="2615" spans="19:19" x14ac:dyDescent="0.55000000000000004">
      <c r="S2615" t="str">
        <f t="shared" si="141"/>
        <v/>
      </c>
    </row>
    <row r="2616" spans="19:19" x14ac:dyDescent="0.55000000000000004">
      <c r="S2616" t="str">
        <f t="shared" si="141"/>
        <v/>
      </c>
    </row>
    <row r="2617" spans="19:19" x14ac:dyDescent="0.55000000000000004">
      <c r="S2617" t="str">
        <f t="shared" si="141"/>
        <v/>
      </c>
    </row>
    <row r="2618" spans="19:19" x14ac:dyDescent="0.55000000000000004">
      <c r="S2618" t="str">
        <f t="shared" si="141"/>
        <v/>
      </c>
    </row>
    <row r="2619" spans="19:19" x14ac:dyDescent="0.55000000000000004">
      <c r="S2619" t="str">
        <f t="shared" si="141"/>
        <v/>
      </c>
    </row>
    <row r="2620" spans="19:19" x14ac:dyDescent="0.55000000000000004">
      <c r="S2620" t="str">
        <f t="shared" si="141"/>
        <v/>
      </c>
    </row>
    <row r="2621" spans="19:19" x14ac:dyDescent="0.55000000000000004">
      <c r="S2621" t="str">
        <f t="shared" si="141"/>
        <v/>
      </c>
    </row>
    <row r="2622" spans="19:19" x14ac:dyDescent="0.55000000000000004">
      <c r="S2622" t="str">
        <f t="shared" si="141"/>
        <v/>
      </c>
    </row>
    <row r="2623" spans="19:19" x14ac:dyDescent="0.55000000000000004">
      <c r="S2623" t="str">
        <f t="shared" si="141"/>
        <v/>
      </c>
    </row>
    <row r="2624" spans="19:19" x14ac:dyDescent="0.55000000000000004">
      <c r="S2624" t="str">
        <f t="shared" si="141"/>
        <v/>
      </c>
    </row>
    <row r="2625" spans="19:19" x14ac:dyDescent="0.55000000000000004">
      <c r="S2625" t="str">
        <f t="shared" si="141"/>
        <v/>
      </c>
    </row>
    <row r="2626" spans="19:19" x14ac:dyDescent="0.55000000000000004">
      <c r="S2626" t="str">
        <f t="shared" si="141"/>
        <v/>
      </c>
    </row>
    <row r="2627" spans="19:19" x14ac:dyDescent="0.55000000000000004">
      <c r="S2627" t="str">
        <f t="shared" si="141"/>
        <v/>
      </c>
    </row>
    <row r="2628" spans="19:19" x14ac:dyDescent="0.55000000000000004">
      <c r="S2628" t="str">
        <f t="shared" ref="S2628:S2691" si="142">IF(R2628&lt;&gt;"", R2628*236.588, "")</f>
        <v/>
      </c>
    </row>
    <row r="2629" spans="19:19" x14ac:dyDescent="0.55000000000000004">
      <c r="S2629" t="str">
        <f t="shared" si="142"/>
        <v/>
      </c>
    </row>
    <row r="2630" spans="19:19" x14ac:dyDescent="0.55000000000000004">
      <c r="S2630" t="str">
        <f t="shared" si="142"/>
        <v/>
      </c>
    </row>
    <row r="2631" spans="19:19" x14ac:dyDescent="0.55000000000000004">
      <c r="S2631" t="str">
        <f t="shared" si="142"/>
        <v/>
      </c>
    </row>
    <row r="2632" spans="19:19" x14ac:dyDescent="0.55000000000000004">
      <c r="S2632" t="str">
        <f t="shared" si="142"/>
        <v/>
      </c>
    </row>
    <row r="2633" spans="19:19" x14ac:dyDescent="0.55000000000000004">
      <c r="S2633" t="str">
        <f t="shared" si="142"/>
        <v/>
      </c>
    </row>
    <row r="2634" spans="19:19" x14ac:dyDescent="0.55000000000000004">
      <c r="S2634" t="str">
        <f t="shared" si="142"/>
        <v/>
      </c>
    </row>
    <row r="2635" spans="19:19" x14ac:dyDescent="0.55000000000000004">
      <c r="S2635" t="str">
        <f t="shared" si="142"/>
        <v/>
      </c>
    </row>
    <row r="2636" spans="19:19" x14ac:dyDescent="0.55000000000000004">
      <c r="S2636" t="str">
        <f t="shared" si="142"/>
        <v/>
      </c>
    </row>
    <row r="2637" spans="19:19" x14ac:dyDescent="0.55000000000000004">
      <c r="S2637" t="str">
        <f t="shared" si="142"/>
        <v/>
      </c>
    </row>
    <row r="2638" spans="19:19" x14ac:dyDescent="0.55000000000000004">
      <c r="S2638" t="str">
        <f t="shared" si="142"/>
        <v/>
      </c>
    </row>
    <row r="2639" spans="19:19" x14ac:dyDescent="0.55000000000000004">
      <c r="S2639" t="str">
        <f t="shared" si="142"/>
        <v/>
      </c>
    </row>
    <row r="2640" spans="19:19" x14ac:dyDescent="0.55000000000000004">
      <c r="S2640" t="str">
        <f t="shared" si="142"/>
        <v/>
      </c>
    </row>
    <row r="2641" spans="19:19" x14ac:dyDescent="0.55000000000000004">
      <c r="S2641" t="str">
        <f t="shared" si="142"/>
        <v/>
      </c>
    </row>
    <row r="2642" spans="19:19" x14ac:dyDescent="0.55000000000000004">
      <c r="S2642" t="str">
        <f t="shared" si="142"/>
        <v/>
      </c>
    </row>
    <row r="2643" spans="19:19" x14ac:dyDescent="0.55000000000000004">
      <c r="S2643" t="str">
        <f t="shared" si="142"/>
        <v/>
      </c>
    </row>
    <row r="2644" spans="19:19" x14ac:dyDescent="0.55000000000000004">
      <c r="S2644" t="str">
        <f t="shared" si="142"/>
        <v/>
      </c>
    </row>
    <row r="2645" spans="19:19" x14ac:dyDescent="0.55000000000000004">
      <c r="S2645" t="str">
        <f t="shared" si="142"/>
        <v/>
      </c>
    </row>
    <row r="2646" spans="19:19" x14ac:dyDescent="0.55000000000000004">
      <c r="S2646" t="str">
        <f t="shared" si="142"/>
        <v/>
      </c>
    </row>
    <row r="2647" spans="19:19" x14ac:dyDescent="0.55000000000000004">
      <c r="S2647" t="str">
        <f t="shared" si="142"/>
        <v/>
      </c>
    </row>
    <row r="2648" spans="19:19" x14ac:dyDescent="0.55000000000000004">
      <c r="S2648" t="str">
        <f t="shared" si="142"/>
        <v/>
      </c>
    </row>
    <row r="2649" spans="19:19" x14ac:dyDescent="0.55000000000000004">
      <c r="S2649" t="str">
        <f t="shared" si="142"/>
        <v/>
      </c>
    </row>
    <row r="2650" spans="19:19" x14ac:dyDescent="0.55000000000000004">
      <c r="S2650" t="str">
        <f t="shared" si="142"/>
        <v/>
      </c>
    </row>
    <row r="2651" spans="19:19" x14ac:dyDescent="0.55000000000000004">
      <c r="S2651" t="str">
        <f t="shared" si="142"/>
        <v/>
      </c>
    </row>
    <row r="2652" spans="19:19" x14ac:dyDescent="0.55000000000000004">
      <c r="S2652" t="str">
        <f t="shared" si="142"/>
        <v/>
      </c>
    </row>
    <row r="2653" spans="19:19" x14ac:dyDescent="0.55000000000000004">
      <c r="S2653" t="str">
        <f t="shared" si="142"/>
        <v/>
      </c>
    </row>
    <row r="2654" spans="19:19" x14ac:dyDescent="0.55000000000000004">
      <c r="S2654" t="str">
        <f t="shared" si="142"/>
        <v/>
      </c>
    </row>
    <row r="2655" spans="19:19" x14ac:dyDescent="0.55000000000000004">
      <c r="S2655" t="str">
        <f t="shared" si="142"/>
        <v/>
      </c>
    </row>
    <row r="2656" spans="19:19" x14ac:dyDescent="0.55000000000000004">
      <c r="S2656" t="str">
        <f t="shared" si="142"/>
        <v/>
      </c>
    </row>
    <row r="2657" spans="19:19" x14ac:dyDescent="0.55000000000000004">
      <c r="S2657" t="str">
        <f t="shared" si="142"/>
        <v/>
      </c>
    </row>
    <row r="2658" spans="19:19" x14ac:dyDescent="0.55000000000000004">
      <c r="S2658" t="str">
        <f t="shared" si="142"/>
        <v/>
      </c>
    </row>
    <row r="2659" spans="19:19" x14ac:dyDescent="0.55000000000000004">
      <c r="S2659" t="str">
        <f t="shared" si="142"/>
        <v/>
      </c>
    </row>
    <row r="2660" spans="19:19" x14ac:dyDescent="0.55000000000000004">
      <c r="S2660" t="str">
        <f t="shared" si="142"/>
        <v/>
      </c>
    </row>
    <row r="2661" spans="19:19" x14ac:dyDescent="0.55000000000000004">
      <c r="S2661" t="str">
        <f t="shared" si="142"/>
        <v/>
      </c>
    </row>
    <row r="2662" spans="19:19" x14ac:dyDescent="0.55000000000000004">
      <c r="S2662" t="str">
        <f t="shared" si="142"/>
        <v/>
      </c>
    </row>
    <row r="2663" spans="19:19" x14ac:dyDescent="0.55000000000000004">
      <c r="S2663" t="str">
        <f t="shared" si="142"/>
        <v/>
      </c>
    </row>
    <row r="2664" spans="19:19" x14ac:dyDescent="0.55000000000000004">
      <c r="S2664" t="str">
        <f t="shared" si="142"/>
        <v/>
      </c>
    </row>
    <row r="2665" spans="19:19" x14ac:dyDescent="0.55000000000000004">
      <c r="S2665" t="str">
        <f t="shared" si="142"/>
        <v/>
      </c>
    </row>
    <row r="2666" spans="19:19" x14ac:dyDescent="0.55000000000000004">
      <c r="S2666" t="str">
        <f t="shared" si="142"/>
        <v/>
      </c>
    </row>
    <row r="2667" spans="19:19" x14ac:dyDescent="0.55000000000000004">
      <c r="S2667" t="str">
        <f t="shared" si="142"/>
        <v/>
      </c>
    </row>
    <row r="2668" spans="19:19" x14ac:dyDescent="0.55000000000000004">
      <c r="S2668" t="str">
        <f t="shared" si="142"/>
        <v/>
      </c>
    </row>
    <row r="2669" spans="19:19" x14ac:dyDescent="0.55000000000000004">
      <c r="S2669" t="str">
        <f t="shared" si="142"/>
        <v/>
      </c>
    </row>
    <row r="2670" spans="19:19" x14ac:dyDescent="0.55000000000000004">
      <c r="S2670" t="str">
        <f t="shared" si="142"/>
        <v/>
      </c>
    </row>
    <row r="2671" spans="19:19" x14ac:dyDescent="0.55000000000000004">
      <c r="S2671" t="str">
        <f t="shared" si="142"/>
        <v/>
      </c>
    </row>
    <row r="2672" spans="19:19" x14ac:dyDescent="0.55000000000000004">
      <c r="S2672" t="str">
        <f t="shared" si="142"/>
        <v/>
      </c>
    </row>
    <row r="2673" spans="19:19" x14ac:dyDescent="0.55000000000000004">
      <c r="S2673" t="str">
        <f t="shared" si="142"/>
        <v/>
      </c>
    </row>
    <row r="2674" spans="19:19" x14ac:dyDescent="0.55000000000000004">
      <c r="S2674" t="str">
        <f t="shared" si="142"/>
        <v/>
      </c>
    </row>
    <row r="2675" spans="19:19" x14ac:dyDescent="0.55000000000000004">
      <c r="S2675" t="str">
        <f t="shared" si="142"/>
        <v/>
      </c>
    </row>
    <row r="2676" spans="19:19" x14ac:dyDescent="0.55000000000000004">
      <c r="S2676" t="str">
        <f t="shared" si="142"/>
        <v/>
      </c>
    </row>
    <row r="2677" spans="19:19" x14ac:dyDescent="0.55000000000000004">
      <c r="S2677" t="str">
        <f t="shared" si="142"/>
        <v/>
      </c>
    </row>
    <row r="2678" spans="19:19" x14ac:dyDescent="0.55000000000000004">
      <c r="S2678" t="str">
        <f t="shared" si="142"/>
        <v/>
      </c>
    </row>
    <row r="2679" spans="19:19" x14ac:dyDescent="0.55000000000000004">
      <c r="S2679" t="str">
        <f t="shared" si="142"/>
        <v/>
      </c>
    </row>
    <row r="2680" spans="19:19" x14ac:dyDescent="0.55000000000000004">
      <c r="S2680" t="str">
        <f t="shared" si="142"/>
        <v/>
      </c>
    </row>
    <row r="2681" spans="19:19" x14ac:dyDescent="0.55000000000000004">
      <c r="S2681" t="str">
        <f t="shared" si="142"/>
        <v/>
      </c>
    </row>
    <row r="2682" spans="19:19" x14ac:dyDescent="0.55000000000000004">
      <c r="S2682" t="str">
        <f t="shared" si="142"/>
        <v/>
      </c>
    </row>
    <row r="2683" spans="19:19" x14ac:dyDescent="0.55000000000000004">
      <c r="S2683" t="str">
        <f t="shared" si="142"/>
        <v/>
      </c>
    </row>
    <row r="2684" spans="19:19" x14ac:dyDescent="0.55000000000000004">
      <c r="S2684" t="str">
        <f t="shared" si="142"/>
        <v/>
      </c>
    </row>
    <row r="2685" spans="19:19" x14ac:dyDescent="0.55000000000000004">
      <c r="S2685" t="str">
        <f t="shared" si="142"/>
        <v/>
      </c>
    </row>
    <row r="2686" spans="19:19" x14ac:dyDescent="0.55000000000000004">
      <c r="S2686" t="str">
        <f t="shared" si="142"/>
        <v/>
      </c>
    </row>
    <row r="2687" spans="19:19" x14ac:dyDescent="0.55000000000000004">
      <c r="S2687" t="str">
        <f t="shared" si="142"/>
        <v/>
      </c>
    </row>
    <row r="2688" spans="19:19" x14ac:dyDescent="0.55000000000000004">
      <c r="S2688" t="str">
        <f t="shared" si="142"/>
        <v/>
      </c>
    </row>
    <row r="2689" spans="19:19" x14ac:dyDescent="0.55000000000000004">
      <c r="S2689" t="str">
        <f t="shared" si="142"/>
        <v/>
      </c>
    </row>
    <row r="2690" spans="19:19" x14ac:dyDescent="0.55000000000000004">
      <c r="S2690" t="str">
        <f t="shared" si="142"/>
        <v/>
      </c>
    </row>
    <row r="2691" spans="19:19" x14ac:dyDescent="0.55000000000000004">
      <c r="S2691" t="str">
        <f t="shared" si="142"/>
        <v/>
      </c>
    </row>
    <row r="2692" spans="19:19" x14ac:dyDescent="0.55000000000000004">
      <c r="S2692" t="str">
        <f t="shared" ref="S2692:S2755" si="143">IF(R2692&lt;&gt;"", R2692*236.588, "")</f>
        <v/>
      </c>
    </row>
    <row r="2693" spans="19:19" x14ac:dyDescent="0.55000000000000004">
      <c r="S2693" t="str">
        <f t="shared" si="143"/>
        <v/>
      </c>
    </row>
    <row r="2694" spans="19:19" x14ac:dyDescent="0.55000000000000004">
      <c r="S2694" t="str">
        <f t="shared" si="143"/>
        <v/>
      </c>
    </row>
    <row r="2695" spans="19:19" x14ac:dyDescent="0.55000000000000004">
      <c r="S2695" t="str">
        <f t="shared" si="143"/>
        <v/>
      </c>
    </row>
    <row r="2696" spans="19:19" x14ac:dyDescent="0.55000000000000004">
      <c r="S2696" t="str">
        <f t="shared" si="143"/>
        <v/>
      </c>
    </row>
    <row r="2697" spans="19:19" x14ac:dyDescent="0.55000000000000004">
      <c r="S2697" t="str">
        <f t="shared" si="143"/>
        <v/>
      </c>
    </row>
    <row r="2698" spans="19:19" x14ac:dyDescent="0.55000000000000004">
      <c r="S2698" t="str">
        <f t="shared" si="143"/>
        <v/>
      </c>
    </row>
    <row r="2699" spans="19:19" x14ac:dyDescent="0.55000000000000004">
      <c r="S2699" t="str">
        <f t="shared" si="143"/>
        <v/>
      </c>
    </row>
    <row r="2700" spans="19:19" x14ac:dyDescent="0.55000000000000004">
      <c r="S2700" t="str">
        <f t="shared" si="143"/>
        <v/>
      </c>
    </row>
    <row r="2701" spans="19:19" x14ac:dyDescent="0.55000000000000004">
      <c r="S2701" t="str">
        <f t="shared" si="143"/>
        <v/>
      </c>
    </row>
    <row r="2702" spans="19:19" x14ac:dyDescent="0.55000000000000004">
      <c r="S2702" t="str">
        <f t="shared" si="143"/>
        <v/>
      </c>
    </row>
    <row r="2703" spans="19:19" x14ac:dyDescent="0.55000000000000004">
      <c r="S2703" t="str">
        <f t="shared" si="143"/>
        <v/>
      </c>
    </row>
    <row r="2704" spans="19:19" x14ac:dyDescent="0.55000000000000004">
      <c r="S2704" t="str">
        <f t="shared" si="143"/>
        <v/>
      </c>
    </row>
    <row r="2705" spans="19:19" x14ac:dyDescent="0.55000000000000004">
      <c r="S2705" t="str">
        <f t="shared" si="143"/>
        <v/>
      </c>
    </row>
    <row r="2706" spans="19:19" x14ac:dyDescent="0.55000000000000004">
      <c r="S2706" t="str">
        <f t="shared" si="143"/>
        <v/>
      </c>
    </row>
    <row r="2707" spans="19:19" x14ac:dyDescent="0.55000000000000004">
      <c r="S2707" t="str">
        <f t="shared" si="143"/>
        <v/>
      </c>
    </row>
    <row r="2708" spans="19:19" x14ac:dyDescent="0.55000000000000004">
      <c r="S2708" t="str">
        <f t="shared" si="143"/>
        <v/>
      </c>
    </row>
    <row r="2709" spans="19:19" x14ac:dyDescent="0.55000000000000004">
      <c r="S2709" t="str">
        <f t="shared" si="143"/>
        <v/>
      </c>
    </row>
    <row r="2710" spans="19:19" x14ac:dyDescent="0.55000000000000004">
      <c r="S2710" t="str">
        <f t="shared" si="143"/>
        <v/>
      </c>
    </row>
    <row r="2711" spans="19:19" x14ac:dyDescent="0.55000000000000004">
      <c r="S2711" t="str">
        <f t="shared" si="143"/>
        <v/>
      </c>
    </row>
    <row r="2712" spans="19:19" x14ac:dyDescent="0.55000000000000004">
      <c r="S2712" t="str">
        <f t="shared" si="143"/>
        <v/>
      </c>
    </row>
    <row r="2713" spans="19:19" x14ac:dyDescent="0.55000000000000004">
      <c r="S2713" t="str">
        <f t="shared" si="143"/>
        <v/>
      </c>
    </row>
    <row r="2714" spans="19:19" x14ac:dyDescent="0.55000000000000004">
      <c r="S2714" t="str">
        <f t="shared" si="143"/>
        <v/>
      </c>
    </row>
    <row r="2715" spans="19:19" x14ac:dyDescent="0.55000000000000004">
      <c r="S2715" t="str">
        <f t="shared" si="143"/>
        <v/>
      </c>
    </row>
    <row r="2716" spans="19:19" x14ac:dyDescent="0.55000000000000004">
      <c r="S2716" t="str">
        <f t="shared" si="143"/>
        <v/>
      </c>
    </row>
    <row r="2717" spans="19:19" x14ac:dyDescent="0.55000000000000004">
      <c r="S2717" t="str">
        <f t="shared" si="143"/>
        <v/>
      </c>
    </row>
    <row r="2718" spans="19:19" x14ac:dyDescent="0.55000000000000004">
      <c r="S2718" t="str">
        <f t="shared" si="143"/>
        <v/>
      </c>
    </row>
    <row r="2719" spans="19:19" x14ac:dyDescent="0.55000000000000004">
      <c r="S2719" t="str">
        <f t="shared" si="143"/>
        <v/>
      </c>
    </row>
    <row r="2720" spans="19:19" x14ac:dyDescent="0.55000000000000004">
      <c r="S2720" t="str">
        <f t="shared" si="143"/>
        <v/>
      </c>
    </row>
    <row r="2721" spans="19:19" x14ac:dyDescent="0.55000000000000004">
      <c r="S2721" t="str">
        <f t="shared" si="143"/>
        <v/>
      </c>
    </row>
    <row r="2722" spans="19:19" x14ac:dyDescent="0.55000000000000004">
      <c r="S2722" t="str">
        <f t="shared" si="143"/>
        <v/>
      </c>
    </row>
    <row r="2723" spans="19:19" x14ac:dyDescent="0.55000000000000004">
      <c r="S2723" t="str">
        <f t="shared" si="143"/>
        <v/>
      </c>
    </row>
    <row r="2724" spans="19:19" x14ac:dyDescent="0.55000000000000004">
      <c r="S2724" t="str">
        <f t="shared" si="143"/>
        <v/>
      </c>
    </row>
    <row r="2725" spans="19:19" x14ac:dyDescent="0.55000000000000004">
      <c r="S2725" t="str">
        <f t="shared" si="143"/>
        <v/>
      </c>
    </row>
    <row r="2726" spans="19:19" x14ac:dyDescent="0.55000000000000004">
      <c r="S2726" t="str">
        <f t="shared" si="143"/>
        <v/>
      </c>
    </row>
    <row r="2727" spans="19:19" x14ac:dyDescent="0.55000000000000004">
      <c r="S2727" t="str">
        <f t="shared" si="143"/>
        <v/>
      </c>
    </row>
    <row r="2728" spans="19:19" x14ac:dyDescent="0.55000000000000004">
      <c r="S2728" t="str">
        <f t="shared" si="143"/>
        <v/>
      </c>
    </row>
    <row r="2729" spans="19:19" x14ac:dyDescent="0.55000000000000004">
      <c r="S2729" t="str">
        <f t="shared" si="143"/>
        <v/>
      </c>
    </row>
    <row r="2730" spans="19:19" x14ac:dyDescent="0.55000000000000004">
      <c r="S2730" t="str">
        <f t="shared" si="143"/>
        <v/>
      </c>
    </row>
    <row r="2731" spans="19:19" x14ac:dyDescent="0.55000000000000004">
      <c r="S2731" t="str">
        <f t="shared" si="143"/>
        <v/>
      </c>
    </row>
    <row r="2732" spans="19:19" x14ac:dyDescent="0.55000000000000004">
      <c r="S2732" t="str">
        <f t="shared" si="143"/>
        <v/>
      </c>
    </row>
    <row r="2733" spans="19:19" x14ac:dyDescent="0.55000000000000004">
      <c r="S2733" t="str">
        <f t="shared" si="143"/>
        <v/>
      </c>
    </row>
    <row r="2734" spans="19:19" x14ac:dyDescent="0.55000000000000004">
      <c r="S2734" t="str">
        <f t="shared" si="143"/>
        <v/>
      </c>
    </row>
    <row r="2735" spans="19:19" x14ac:dyDescent="0.55000000000000004">
      <c r="S2735" t="str">
        <f t="shared" si="143"/>
        <v/>
      </c>
    </row>
    <row r="2736" spans="19:19" x14ac:dyDescent="0.55000000000000004">
      <c r="S2736" t="str">
        <f t="shared" si="143"/>
        <v/>
      </c>
    </row>
    <row r="2737" spans="19:19" x14ac:dyDescent="0.55000000000000004">
      <c r="S2737" t="str">
        <f t="shared" si="143"/>
        <v/>
      </c>
    </row>
    <row r="2738" spans="19:19" x14ac:dyDescent="0.55000000000000004">
      <c r="S2738" t="str">
        <f t="shared" si="143"/>
        <v/>
      </c>
    </row>
    <row r="2739" spans="19:19" x14ac:dyDescent="0.55000000000000004">
      <c r="S2739" t="str">
        <f t="shared" si="143"/>
        <v/>
      </c>
    </row>
    <row r="2740" spans="19:19" x14ac:dyDescent="0.55000000000000004">
      <c r="S2740" t="str">
        <f t="shared" si="143"/>
        <v/>
      </c>
    </row>
    <row r="2741" spans="19:19" x14ac:dyDescent="0.55000000000000004">
      <c r="S2741" t="str">
        <f t="shared" si="143"/>
        <v/>
      </c>
    </row>
    <row r="2742" spans="19:19" x14ac:dyDescent="0.55000000000000004">
      <c r="S2742" t="str">
        <f t="shared" si="143"/>
        <v/>
      </c>
    </row>
    <row r="2743" spans="19:19" x14ac:dyDescent="0.55000000000000004">
      <c r="S2743" t="str">
        <f t="shared" si="143"/>
        <v/>
      </c>
    </row>
    <row r="2744" spans="19:19" x14ac:dyDescent="0.55000000000000004">
      <c r="S2744" t="str">
        <f t="shared" si="143"/>
        <v/>
      </c>
    </row>
    <row r="2745" spans="19:19" x14ac:dyDescent="0.55000000000000004">
      <c r="S2745" t="str">
        <f t="shared" si="143"/>
        <v/>
      </c>
    </row>
    <row r="2746" spans="19:19" x14ac:dyDescent="0.55000000000000004">
      <c r="S2746" t="str">
        <f t="shared" si="143"/>
        <v/>
      </c>
    </row>
    <row r="2747" spans="19:19" x14ac:dyDescent="0.55000000000000004">
      <c r="S2747" t="str">
        <f t="shared" si="143"/>
        <v/>
      </c>
    </row>
    <row r="2748" spans="19:19" x14ac:dyDescent="0.55000000000000004">
      <c r="S2748" t="str">
        <f t="shared" si="143"/>
        <v/>
      </c>
    </row>
    <row r="2749" spans="19:19" x14ac:dyDescent="0.55000000000000004">
      <c r="S2749" t="str">
        <f t="shared" si="143"/>
        <v/>
      </c>
    </row>
    <row r="2750" spans="19:19" x14ac:dyDescent="0.55000000000000004">
      <c r="S2750" t="str">
        <f t="shared" si="143"/>
        <v/>
      </c>
    </row>
    <row r="2751" spans="19:19" x14ac:dyDescent="0.55000000000000004">
      <c r="S2751" t="str">
        <f t="shared" si="143"/>
        <v/>
      </c>
    </row>
    <row r="2752" spans="19:19" x14ac:dyDescent="0.55000000000000004">
      <c r="S2752" t="str">
        <f t="shared" si="143"/>
        <v/>
      </c>
    </row>
    <row r="2753" spans="19:19" x14ac:dyDescent="0.55000000000000004">
      <c r="S2753" t="str">
        <f t="shared" si="143"/>
        <v/>
      </c>
    </row>
    <row r="2754" spans="19:19" x14ac:dyDescent="0.55000000000000004">
      <c r="S2754" t="str">
        <f t="shared" si="143"/>
        <v/>
      </c>
    </row>
    <row r="2755" spans="19:19" x14ac:dyDescent="0.55000000000000004">
      <c r="S2755" t="str">
        <f t="shared" si="143"/>
        <v/>
      </c>
    </row>
    <row r="2756" spans="19:19" x14ac:dyDescent="0.55000000000000004">
      <c r="S2756" t="str">
        <f t="shared" ref="S2756:S2819" si="144">IF(R2756&lt;&gt;"", R2756*236.588, "")</f>
        <v/>
      </c>
    </row>
    <row r="2757" spans="19:19" x14ac:dyDescent="0.55000000000000004">
      <c r="S2757" t="str">
        <f t="shared" si="144"/>
        <v/>
      </c>
    </row>
    <row r="2758" spans="19:19" x14ac:dyDescent="0.55000000000000004">
      <c r="S2758" t="str">
        <f t="shared" si="144"/>
        <v/>
      </c>
    </row>
    <row r="2759" spans="19:19" x14ac:dyDescent="0.55000000000000004">
      <c r="S2759" t="str">
        <f t="shared" si="144"/>
        <v/>
      </c>
    </row>
    <row r="2760" spans="19:19" x14ac:dyDescent="0.55000000000000004">
      <c r="S2760" t="str">
        <f t="shared" si="144"/>
        <v/>
      </c>
    </row>
    <row r="2761" spans="19:19" x14ac:dyDescent="0.55000000000000004">
      <c r="S2761" t="str">
        <f t="shared" si="144"/>
        <v/>
      </c>
    </row>
    <row r="2762" spans="19:19" x14ac:dyDescent="0.55000000000000004">
      <c r="S2762" t="str">
        <f t="shared" si="144"/>
        <v/>
      </c>
    </row>
    <row r="2763" spans="19:19" x14ac:dyDescent="0.55000000000000004">
      <c r="S2763" t="str">
        <f t="shared" si="144"/>
        <v/>
      </c>
    </row>
    <row r="2764" spans="19:19" x14ac:dyDescent="0.55000000000000004">
      <c r="S2764" t="str">
        <f t="shared" si="144"/>
        <v/>
      </c>
    </row>
    <row r="2765" spans="19:19" x14ac:dyDescent="0.55000000000000004">
      <c r="S2765" t="str">
        <f t="shared" si="144"/>
        <v/>
      </c>
    </row>
    <row r="2766" spans="19:19" x14ac:dyDescent="0.55000000000000004">
      <c r="S2766" t="str">
        <f t="shared" si="144"/>
        <v/>
      </c>
    </row>
    <row r="2767" spans="19:19" x14ac:dyDescent="0.55000000000000004">
      <c r="S2767" t="str">
        <f t="shared" si="144"/>
        <v/>
      </c>
    </row>
    <row r="2768" spans="19:19" x14ac:dyDescent="0.55000000000000004">
      <c r="S2768" t="str">
        <f t="shared" si="144"/>
        <v/>
      </c>
    </row>
    <row r="2769" spans="19:19" x14ac:dyDescent="0.55000000000000004">
      <c r="S2769" t="str">
        <f t="shared" si="144"/>
        <v/>
      </c>
    </row>
    <row r="2770" spans="19:19" x14ac:dyDescent="0.55000000000000004">
      <c r="S2770" t="str">
        <f t="shared" si="144"/>
        <v/>
      </c>
    </row>
    <row r="2771" spans="19:19" x14ac:dyDescent="0.55000000000000004">
      <c r="S2771" t="str">
        <f t="shared" si="144"/>
        <v/>
      </c>
    </row>
    <row r="2772" spans="19:19" x14ac:dyDescent="0.55000000000000004">
      <c r="S2772" t="str">
        <f t="shared" si="144"/>
        <v/>
      </c>
    </row>
    <row r="2773" spans="19:19" x14ac:dyDescent="0.55000000000000004">
      <c r="S2773" t="str">
        <f t="shared" si="144"/>
        <v/>
      </c>
    </row>
    <row r="2774" spans="19:19" x14ac:dyDescent="0.55000000000000004">
      <c r="S2774" t="str">
        <f t="shared" si="144"/>
        <v/>
      </c>
    </row>
    <row r="2775" spans="19:19" x14ac:dyDescent="0.55000000000000004">
      <c r="S2775" t="str">
        <f t="shared" si="144"/>
        <v/>
      </c>
    </row>
    <row r="2776" spans="19:19" x14ac:dyDescent="0.55000000000000004">
      <c r="S2776" t="str">
        <f t="shared" si="144"/>
        <v/>
      </c>
    </row>
    <row r="2777" spans="19:19" x14ac:dyDescent="0.55000000000000004">
      <c r="S2777" t="str">
        <f t="shared" si="144"/>
        <v/>
      </c>
    </row>
    <row r="2778" spans="19:19" x14ac:dyDescent="0.55000000000000004">
      <c r="S2778" t="str">
        <f t="shared" si="144"/>
        <v/>
      </c>
    </row>
    <row r="2779" spans="19:19" x14ac:dyDescent="0.55000000000000004">
      <c r="S2779" t="str">
        <f t="shared" si="144"/>
        <v/>
      </c>
    </row>
    <row r="2780" spans="19:19" x14ac:dyDescent="0.55000000000000004">
      <c r="S2780" t="str">
        <f t="shared" si="144"/>
        <v/>
      </c>
    </row>
    <row r="2781" spans="19:19" x14ac:dyDescent="0.55000000000000004">
      <c r="S2781" t="str">
        <f t="shared" si="144"/>
        <v/>
      </c>
    </row>
    <row r="2782" spans="19:19" x14ac:dyDescent="0.55000000000000004">
      <c r="S2782" t="str">
        <f t="shared" si="144"/>
        <v/>
      </c>
    </row>
    <row r="2783" spans="19:19" x14ac:dyDescent="0.55000000000000004">
      <c r="S2783" t="str">
        <f t="shared" si="144"/>
        <v/>
      </c>
    </row>
    <row r="2784" spans="19:19" x14ac:dyDescent="0.55000000000000004">
      <c r="S2784" t="str">
        <f t="shared" si="144"/>
        <v/>
      </c>
    </row>
    <row r="2785" spans="19:19" x14ac:dyDescent="0.55000000000000004">
      <c r="S2785" t="str">
        <f t="shared" si="144"/>
        <v/>
      </c>
    </row>
    <row r="2786" spans="19:19" x14ac:dyDescent="0.55000000000000004">
      <c r="S2786" t="str">
        <f t="shared" si="144"/>
        <v/>
      </c>
    </row>
    <row r="2787" spans="19:19" x14ac:dyDescent="0.55000000000000004">
      <c r="S2787" t="str">
        <f t="shared" si="144"/>
        <v/>
      </c>
    </row>
    <row r="2788" spans="19:19" x14ac:dyDescent="0.55000000000000004">
      <c r="S2788" t="str">
        <f t="shared" si="144"/>
        <v/>
      </c>
    </row>
    <row r="2789" spans="19:19" x14ac:dyDescent="0.55000000000000004">
      <c r="S2789" t="str">
        <f t="shared" si="144"/>
        <v/>
      </c>
    </row>
    <row r="2790" spans="19:19" x14ac:dyDescent="0.55000000000000004">
      <c r="S2790" t="str">
        <f t="shared" si="144"/>
        <v/>
      </c>
    </row>
    <row r="2791" spans="19:19" x14ac:dyDescent="0.55000000000000004">
      <c r="S2791" t="str">
        <f t="shared" si="144"/>
        <v/>
      </c>
    </row>
    <row r="2792" spans="19:19" x14ac:dyDescent="0.55000000000000004">
      <c r="S2792" t="str">
        <f t="shared" si="144"/>
        <v/>
      </c>
    </row>
    <row r="2793" spans="19:19" x14ac:dyDescent="0.55000000000000004">
      <c r="S2793" t="str">
        <f t="shared" si="144"/>
        <v/>
      </c>
    </row>
    <row r="2794" spans="19:19" x14ac:dyDescent="0.55000000000000004">
      <c r="S2794" t="str">
        <f t="shared" si="144"/>
        <v/>
      </c>
    </row>
    <row r="2795" spans="19:19" x14ac:dyDescent="0.55000000000000004">
      <c r="S2795" t="str">
        <f t="shared" si="144"/>
        <v/>
      </c>
    </row>
    <row r="2796" spans="19:19" x14ac:dyDescent="0.55000000000000004">
      <c r="S2796" t="str">
        <f t="shared" si="144"/>
        <v/>
      </c>
    </row>
    <row r="2797" spans="19:19" x14ac:dyDescent="0.55000000000000004">
      <c r="S2797" t="str">
        <f t="shared" si="144"/>
        <v/>
      </c>
    </row>
    <row r="2798" spans="19:19" x14ac:dyDescent="0.55000000000000004">
      <c r="S2798" t="str">
        <f t="shared" si="144"/>
        <v/>
      </c>
    </row>
    <row r="2799" spans="19:19" x14ac:dyDescent="0.55000000000000004">
      <c r="S2799" t="str">
        <f t="shared" si="144"/>
        <v/>
      </c>
    </row>
    <row r="2800" spans="19:19" x14ac:dyDescent="0.55000000000000004">
      <c r="S2800" t="str">
        <f t="shared" si="144"/>
        <v/>
      </c>
    </row>
    <row r="2801" spans="19:19" x14ac:dyDescent="0.55000000000000004">
      <c r="S2801" t="str">
        <f t="shared" si="144"/>
        <v/>
      </c>
    </row>
    <row r="2802" spans="19:19" x14ac:dyDescent="0.55000000000000004">
      <c r="S2802" t="str">
        <f t="shared" si="144"/>
        <v/>
      </c>
    </row>
    <row r="2803" spans="19:19" x14ac:dyDescent="0.55000000000000004">
      <c r="S2803" t="str">
        <f t="shared" si="144"/>
        <v/>
      </c>
    </row>
    <row r="2804" spans="19:19" x14ac:dyDescent="0.55000000000000004">
      <c r="S2804" t="str">
        <f t="shared" si="144"/>
        <v/>
      </c>
    </row>
    <row r="2805" spans="19:19" x14ac:dyDescent="0.55000000000000004">
      <c r="S2805" t="str">
        <f t="shared" si="144"/>
        <v/>
      </c>
    </row>
    <row r="2806" spans="19:19" x14ac:dyDescent="0.55000000000000004">
      <c r="S2806" t="str">
        <f t="shared" si="144"/>
        <v/>
      </c>
    </row>
    <row r="2807" spans="19:19" x14ac:dyDescent="0.55000000000000004">
      <c r="S2807" t="str">
        <f t="shared" si="144"/>
        <v/>
      </c>
    </row>
    <row r="2808" spans="19:19" x14ac:dyDescent="0.55000000000000004">
      <c r="S2808" t="str">
        <f t="shared" si="144"/>
        <v/>
      </c>
    </row>
    <row r="2809" spans="19:19" x14ac:dyDescent="0.55000000000000004">
      <c r="S2809" t="str">
        <f t="shared" si="144"/>
        <v/>
      </c>
    </row>
    <row r="2810" spans="19:19" x14ac:dyDescent="0.55000000000000004">
      <c r="S2810" t="str">
        <f t="shared" si="144"/>
        <v/>
      </c>
    </row>
    <row r="2811" spans="19:19" x14ac:dyDescent="0.55000000000000004">
      <c r="S2811" t="str">
        <f t="shared" si="144"/>
        <v/>
      </c>
    </row>
    <row r="2812" spans="19:19" x14ac:dyDescent="0.55000000000000004">
      <c r="S2812" t="str">
        <f t="shared" si="144"/>
        <v/>
      </c>
    </row>
    <row r="2813" spans="19:19" x14ac:dyDescent="0.55000000000000004">
      <c r="S2813" t="str">
        <f t="shared" si="144"/>
        <v/>
      </c>
    </row>
    <row r="2814" spans="19:19" x14ac:dyDescent="0.55000000000000004">
      <c r="S2814" t="str">
        <f t="shared" si="144"/>
        <v/>
      </c>
    </row>
    <row r="2815" spans="19:19" x14ac:dyDescent="0.55000000000000004">
      <c r="S2815" t="str">
        <f t="shared" si="144"/>
        <v/>
      </c>
    </row>
    <row r="2816" spans="19:19" x14ac:dyDescent="0.55000000000000004">
      <c r="S2816" t="str">
        <f t="shared" si="144"/>
        <v/>
      </c>
    </row>
    <row r="2817" spans="19:19" x14ac:dyDescent="0.55000000000000004">
      <c r="S2817" t="str">
        <f t="shared" si="144"/>
        <v/>
      </c>
    </row>
    <row r="2818" spans="19:19" x14ac:dyDescent="0.55000000000000004">
      <c r="S2818" t="str">
        <f t="shared" si="144"/>
        <v/>
      </c>
    </row>
    <row r="2819" spans="19:19" x14ac:dyDescent="0.55000000000000004">
      <c r="S2819" t="str">
        <f t="shared" si="144"/>
        <v/>
      </c>
    </row>
    <row r="2820" spans="19:19" x14ac:dyDescent="0.55000000000000004">
      <c r="S2820" t="str">
        <f t="shared" ref="S2820:S2883" si="145">IF(R2820&lt;&gt;"", R2820*236.588, "")</f>
        <v/>
      </c>
    </row>
    <row r="2821" spans="19:19" x14ac:dyDescent="0.55000000000000004">
      <c r="S2821" t="str">
        <f t="shared" si="145"/>
        <v/>
      </c>
    </row>
    <row r="2822" spans="19:19" x14ac:dyDescent="0.55000000000000004">
      <c r="S2822" t="str">
        <f t="shared" si="145"/>
        <v/>
      </c>
    </row>
    <row r="2823" spans="19:19" x14ac:dyDescent="0.55000000000000004">
      <c r="S2823" t="str">
        <f t="shared" si="145"/>
        <v/>
      </c>
    </row>
    <row r="2824" spans="19:19" x14ac:dyDescent="0.55000000000000004">
      <c r="S2824" t="str">
        <f t="shared" si="145"/>
        <v/>
      </c>
    </row>
    <row r="2825" spans="19:19" x14ac:dyDescent="0.55000000000000004">
      <c r="S2825" t="str">
        <f t="shared" si="145"/>
        <v/>
      </c>
    </row>
    <row r="2826" spans="19:19" x14ac:dyDescent="0.55000000000000004">
      <c r="S2826" t="str">
        <f t="shared" si="145"/>
        <v/>
      </c>
    </row>
    <row r="2827" spans="19:19" x14ac:dyDescent="0.55000000000000004">
      <c r="S2827" t="str">
        <f t="shared" si="145"/>
        <v/>
      </c>
    </row>
    <row r="2828" spans="19:19" x14ac:dyDescent="0.55000000000000004">
      <c r="S2828" t="str">
        <f t="shared" si="145"/>
        <v/>
      </c>
    </row>
    <row r="2829" spans="19:19" x14ac:dyDescent="0.55000000000000004">
      <c r="S2829" t="str">
        <f t="shared" si="145"/>
        <v/>
      </c>
    </row>
    <row r="2830" spans="19:19" x14ac:dyDescent="0.55000000000000004">
      <c r="S2830" t="str">
        <f t="shared" si="145"/>
        <v/>
      </c>
    </row>
    <row r="2831" spans="19:19" x14ac:dyDescent="0.55000000000000004">
      <c r="S2831" t="str">
        <f t="shared" si="145"/>
        <v/>
      </c>
    </row>
    <row r="2832" spans="19:19" x14ac:dyDescent="0.55000000000000004">
      <c r="S2832" t="str">
        <f t="shared" si="145"/>
        <v/>
      </c>
    </row>
    <row r="2833" spans="19:19" x14ac:dyDescent="0.55000000000000004">
      <c r="S2833" t="str">
        <f t="shared" si="145"/>
        <v/>
      </c>
    </row>
    <row r="2834" spans="19:19" x14ac:dyDescent="0.55000000000000004">
      <c r="S2834" t="str">
        <f t="shared" si="145"/>
        <v/>
      </c>
    </row>
    <row r="2835" spans="19:19" x14ac:dyDescent="0.55000000000000004">
      <c r="S2835" t="str">
        <f t="shared" si="145"/>
        <v/>
      </c>
    </row>
    <row r="2836" spans="19:19" x14ac:dyDescent="0.55000000000000004">
      <c r="S2836" t="str">
        <f t="shared" si="145"/>
        <v/>
      </c>
    </row>
    <row r="2837" spans="19:19" x14ac:dyDescent="0.55000000000000004">
      <c r="S2837" t="str">
        <f t="shared" si="145"/>
        <v/>
      </c>
    </row>
    <row r="2838" spans="19:19" x14ac:dyDescent="0.55000000000000004">
      <c r="S2838" t="str">
        <f t="shared" si="145"/>
        <v/>
      </c>
    </row>
    <row r="2839" spans="19:19" x14ac:dyDescent="0.55000000000000004">
      <c r="S2839" t="str">
        <f t="shared" si="145"/>
        <v/>
      </c>
    </row>
    <row r="2840" spans="19:19" x14ac:dyDescent="0.55000000000000004">
      <c r="S2840" t="str">
        <f t="shared" si="145"/>
        <v/>
      </c>
    </row>
    <row r="2841" spans="19:19" x14ac:dyDescent="0.55000000000000004">
      <c r="S2841" t="str">
        <f t="shared" si="145"/>
        <v/>
      </c>
    </row>
    <row r="2842" spans="19:19" x14ac:dyDescent="0.55000000000000004">
      <c r="S2842" t="str">
        <f t="shared" si="145"/>
        <v/>
      </c>
    </row>
    <row r="2843" spans="19:19" x14ac:dyDescent="0.55000000000000004">
      <c r="S2843" t="str">
        <f t="shared" si="145"/>
        <v/>
      </c>
    </row>
    <row r="2844" spans="19:19" x14ac:dyDescent="0.55000000000000004">
      <c r="S2844" t="str">
        <f t="shared" si="145"/>
        <v/>
      </c>
    </row>
    <row r="2845" spans="19:19" x14ac:dyDescent="0.55000000000000004">
      <c r="S2845" t="str">
        <f t="shared" si="145"/>
        <v/>
      </c>
    </row>
    <row r="2846" spans="19:19" x14ac:dyDescent="0.55000000000000004">
      <c r="S2846" t="str">
        <f t="shared" si="145"/>
        <v/>
      </c>
    </row>
    <row r="2847" spans="19:19" x14ac:dyDescent="0.55000000000000004">
      <c r="S2847" t="str">
        <f t="shared" si="145"/>
        <v/>
      </c>
    </row>
    <row r="2848" spans="19:19" x14ac:dyDescent="0.55000000000000004">
      <c r="S2848" t="str">
        <f t="shared" si="145"/>
        <v/>
      </c>
    </row>
    <row r="2849" spans="19:19" x14ac:dyDescent="0.55000000000000004">
      <c r="S2849" t="str">
        <f t="shared" si="145"/>
        <v/>
      </c>
    </row>
    <row r="2850" spans="19:19" x14ac:dyDescent="0.55000000000000004">
      <c r="S2850" t="str">
        <f t="shared" si="145"/>
        <v/>
      </c>
    </row>
    <row r="2851" spans="19:19" x14ac:dyDescent="0.55000000000000004">
      <c r="S2851" t="str">
        <f t="shared" si="145"/>
        <v/>
      </c>
    </row>
    <row r="2852" spans="19:19" x14ac:dyDescent="0.55000000000000004">
      <c r="S2852" t="str">
        <f t="shared" si="145"/>
        <v/>
      </c>
    </row>
    <row r="2853" spans="19:19" x14ac:dyDescent="0.55000000000000004">
      <c r="S2853" t="str">
        <f t="shared" si="145"/>
        <v/>
      </c>
    </row>
    <row r="2854" spans="19:19" x14ac:dyDescent="0.55000000000000004">
      <c r="S2854" t="str">
        <f t="shared" si="145"/>
        <v/>
      </c>
    </row>
    <row r="2855" spans="19:19" x14ac:dyDescent="0.55000000000000004">
      <c r="S2855" t="str">
        <f t="shared" si="145"/>
        <v/>
      </c>
    </row>
    <row r="2856" spans="19:19" x14ac:dyDescent="0.55000000000000004">
      <c r="S2856" t="str">
        <f t="shared" si="145"/>
        <v/>
      </c>
    </row>
    <row r="2857" spans="19:19" x14ac:dyDescent="0.55000000000000004">
      <c r="S2857" t="str">
        <f t="shared" si="145"/>
        <v/>
      </c>
    </row>
    <row r="2858" spans="19:19" x14ac:dyDescent="0.55000000000000004">
      <c r="S2858" t="str">
        <f t="shared" si="145"/>
        <v/>
      </c>
    </row>
    <row r="2859" spans="19:19" x14ac:dyDescent="0.55000000000000004">
      <c r="S2859" t="str">
        <f t="shared" si="145"/>
        <v/>
      </c>
    </row>
    <row r="2860" spans="19:19" x14ac:dyDescent="0.55000000000000004">
      <c r="S2860" t="str">
        <f t="shared" si="145"/>
        <v/>
      </c>
    </row>
    <row r="2861" spans="19:19" x14ac:dyDescent="0.55000000000000004">
      <c r="S2861" t="str">
        <f t="shared" si="145"/>
        <v/>
      </c>
    </row>
    <row r="2862" spans="19:19" x14ac:dyDescent="0.55000000000000004">
      <c r="S2862" t="str">
        <f t="shared" si="145"/>
        <v/>
      </c>
    </row>
    <row r="2863" spans="19:19" x14ac:dyDescent="0.55000000000000004">
      <c r="S2863" t="str">
        <f t="shared" si="145"/>
        <v/>
      </c>
    </row>
    <row r="2864" spans="19:19" x14ac:dyDescent="0.55000000000000004">
      <c r="S2864" t="str">
        <f t="shared" si="145"/>
        <v/>
      </c>
    </row>
    <row r="2865" spans="19:19" x14ac:dyDescent="0.55000000000000004">
      <c r="S2865" t="str">
        <f t="shared" si="145"/>
        <v/>
      </c>
    </row>
    <row r="2866" spans="19:19" x14ac:dyDescent="0.55000000000000004">
      <c r="S2866" t="str">
        <f t="shared" si="145"/>
        <v/>
      </c>
    </row>
    <row r="2867" spans="19:19" x14ac:dyDescent="0.55000000000000004">
      <c r="S2867" t="str">
        <f t="shared" si="145"/>
        <v/>
      </c>
    </row>
    <row r="2868" spans="19:19" x14ac:dyDescent="0.55000000000000004">
      <c r="S2868" t="str">
        <f t="shared" si="145"/>
        <v/>
      </c>
    </row>
    <row r="2869" spans="19:19" x14ac:dyDescent="0.55000000000000004">
      <c r="S2869" t="str">
        <f t="shared" si="145"/>
        <v/>
      </c>
    </row>
    <row r="2870" spans="19:19" x14ac:dyDescent="0.55000000000000004">
      <c r="S2870" t="str">
        <f t="shared" si="145"/>
        <v/>
      </c>
    </row>
    <row r="2871" spans="19:19" x14ac:dyDescent="0.55000000000000004">
      <c r="S2871" t="str">
        <f t="shared" si="145"/>
        <v/>
      </c>
    </row>
    <row r="2872" spans="19:19" x14ac:dyDescent="0.55000000000000004">
      <c r="S2872" t="str">
        <f t="shared" si="145"/>
        <v/>
      </c>
    </row>
    <row r="2873" spans="19:19" x14ac:dyDescent="0.55000000000000004">
      <c r="S2873" t="str">
        <f t="shared" si="145"/>
        <v/>
      </c>
    </row>
    <row r="2874" spans="19:19" x14ac:dyDescent="0.55000000000000004">
      <c r="S2874" t="str">
        <f t="shared" si="145"/>
        <v/>
      </c>
    </row>
    <row r="2875" spans="19:19" x14ac:dyDescent="0.55000000000000004">
      <c r="S2875" t="str">
        <f t="shared" si="145"/>
        <v/>
      </c>
    </row>
    <row r="2876" spans="19:19" x14ac:dyDescent="0.55000000000000004">
      <c r="S2876" t="str">
        <f t="shared" si="145"/>
        <v/>
      </c>
    </row>
    <row r="2877" spans="19:19" x14ac:dyDescent="0.55000000000000004">
      <c r="S2877" t="str">
        <f t="shared" si="145"/>
        <v/>
      </c>
    </row>
    <row r="2878" spans="19:19" x14ac:dyDescent="0.55000000000000004">
      <c r="S2878" t="str">
        <f t="shared" si="145"/>
        <v/>
      </c>
    </row>
    <row r="2879" spans="19:19" x14ac:dyDescent="0.55000000000000004">
      <c r="S2879" t="str">
        <f t="shared" si="145"/>
        <v/>
      </c>
    </row>
    <row r="2880" spans="19:19" x14ac:dyDescent="0.55000000000000004">
      <c r="S2880" t="str">
        <f t="shared" si="145"/>
        <v/>
      </c>
    </row>
    <row r="2881" spans="19:19" x14ac:dyDescent="0.55000000000000004">
      <c r="S2881" t="str">
        <f t="shared" si="145"/>
        <v/>
      </c>
    </row>
    <row r="2882" spans="19:19" x14ac:dyDescent="0.55000000000000004">
      <c r="S2882" t="str">
        <f t="shared" si="145"/>
        <v/>
      </c>
    </row>
    <row r="2883" spans="19:19" x14ac:dyDescent="0.55000000000000004">
      <c r="S2883" t="str">
        <f t="shared" si="145"/>
        <v/>
      </c>
    </row>
    <row r="2884" spans="19:19" x14ac:dyDescent="0.55000000000000004">
      <c r="S2884" t="str">
        <f t="shared" ref="S2884:S2947" si="146">IF(R2884&lt;&gt;"", R2884*236.588, "")</f>
        <v/>
      </c>
    </row>
    <row r="2885" spans="19:19" x14ac:dyDescent="0.55000000000000004">
      <c r="S2885" t="str">
        <f t="shared" si="146"/>
        <v/>
      </c>
    </row>
    <row r="2886" spans="19:19" x14ac:dyDescent="0.55000000000000004">
      <c r="S2886" t="str">
        <f t="shared" si="146"/>
        <v/>
      </c>
    </row>
    <row r="2887" spans="19:19" x14ac:dyDescent="0.55000000000000004">
      <c r="S2887" t="str">
        <f t="shared" si="146"/>
        <v/>
      </c>
    </row>
    <row r="2888" spans="19:19" x14ac:dyDescent="0.55000000000000004">
      <c r="S2888" t="str">
        <f t="shared" si="146"/>
        <v/>
      </c>
    </row>
    <row r="2889" spans="19:19" x14ac:dyDescent="0.55000000000000004">
      <c r="S2889" t="str">
        <f t="shared" si="146"/>
        <v/>
      </c>
    </row>
    <row r="2890" spans="19:19" x14ac:dyDescent="0.55000000000000004">
      <c r="S2890" t="str">
        <f t="shared" si="146"/>
        <v/>
      </c>
    </row>
    <row r="2891" spans="19:19" x14ac:dyDescent="0.55000000000000004">
      <c r="S2891" t="str">
        <f t="shared" si="146"/>
        <v/>
      </c>
    </row>
    <row r="2892" spans="19:19" x14ac:dyDescent="0.55000000000000004">
      <c r="S2892" t="str">
        <f t="shared" si="146"/>
        <v/>
      </c>
    </row>
    <row r="2893" spans="19:19" x14ac:dyDescent="0.55000000000000004">
      <c r="S2893" t="str">
        <f t="shared" si="146"/>
        <v/>
      </c>
    </row>
    <row r="2894" spans="19:19" x14ac:dyDescent="0.55000000000000004">
      <c r="S2894" t="str">
        <f t="shared" si="146"/>
        <v/>
      </c>
    </row>
    <row r="2895" spans="19:19" x14ac:dyDescent="0.55000000000000004">
      <c r="S2895" t="str">
        <f t="shared" si="146"/>
        <v/>
      </c>
    </row>
    <row r="2896" spans="19:19" x14ac:dyDescent="0.55000000000000004">
      <c r="S2896" t="str">
        <f t="shared" si="146"/>
        <v/>
      </c>
    </row>
    <row r="2897" spans="19:19" x14ac:dyDescent="0.55000000000000004">
      <c r="S2897" t="str">
        <f t="shared" si="146"/>
        <v/>
      </c>
    </row>
    <row r="2898" spans="19:19" x14ac:dyDescent="0.55000000000000004">
      <c r="S2898" t="str">
        <f t="shared" si="146"/>
        <v/>
      </c>
    </row>
    <row r="2899" spans="19:19" x14ac:dyDescent="0.55000000000000004">
      <c r="S2899" t="str">
        <f t="shared" si="146"/>
        <v/>
      </c>
    </row>
    <row r="2900" spans="19:19" x14ac:dyDescent="0.55000000000000004">
      <c r="S2900" t="str">
        <f t="shared" si="146"/>
        <v/>
      </c>
    </row>
    <row r="2901" spans="19:19" x14ac:dyDescent="0.55000000000000004">
      <c r="S2901" t="str">
        <f t="shared" si="146"/>
        <v/>
      </c>
    </row>
    <row r="2902" spans="19:19" x14ac:dyDescent="0.55000000000000004">
      <c r="S2902" t="str">
        <f t="shared" si="146"/>
        <v/>
      </c>
    </row>
    <row r="2903" spans="19:19" x14ac:dyDescent="0.55000000000000004">
      <c r="S2903" t="str">
        <f t="shared" si="146"/>
        <v/>
      </c>
    </row>
    <row r="2904" spans="19:19" x14ac:dyDescent="0.55000000000000004">
      <c r="S2904" t="str">
        <f t="shared" si="146"/>
        <v/>
      </c>
    </row>
    <row r="2905" spans="19:19" x14ac:dyDescent="0.55000000000000004">
      <c r="S2905" t="str">
        <f t="shared" si="146"/>
        <v/>
      </c>
    </row>
    <row r="2906" spans="19:19" x14ac:dyDescent="0.55000000000000004">
      <c r="S2906" t="str">
        <f t="shared" si="146"/>
        <v/>
      </c>
    </row>
    <row r="2907" spans="19:19" x14ac:dyDescent="0.55000000000000004">
      <c r="S2907" t="str">
        <f t="shared" si="146"/>
        <v/>
      </c>
    </row>
    <row r="2908" spans="19:19" x14ac:dyDescent="0.55000000000000004">
      <c r="S2908" t="str">
        <f t="shared" si="146"/>
        <v/>
      </c>
    </row>
    <row r="2909" spans="19:19" x14ac:dyDescent="0.55000000000000004">
      <c r="S2909" t="str">
        <f t="shared" si="146"/>
        <v/>
      </c>
    </row>
    <row r="2910" spans="19:19" x14ac:dyDescent="0.55000000000000004">
      <c r="S2910" t="str">
        <f t="shared" si="146"/>
        <v/>
      </c>
    </row>
    <row r="2911" spans="19:19" x14ac:dyDescent="0.55000000000000004">
      <c r="S2911" t="str">
        <f t="shared" si="146"/>
        <v/>
      </c>
    </row>
    <row r="2912" spans="19:19" x14ac:dyDescent="0.55000000000000004">
      <c r="S2912" t="str">
        <f t="shared" si="146"/>
        <v/>
      </c>
    </row>
    <row r="2913" spans="19:19" x14ac:dyDescent="0.55000000000000004">
      <c r="S2913" t="str">
        <f t="shared" si="146"/>
        <v/>
      </c>
    </row>
    <row r="2914" spans="19:19" x14ac:dyDescent="0.55000000000000004">
      <c r="S2914" t="str">
        <f t="shared" si="146"/>
        <v/>
      </c>
    </row>
    <row r="2915" spans="19:19" x14ac:dyDescent="0.55000000000000004">
      <c r="S2915" t="str">
        <f t="shared" si="146"/>
        <v/>
      </c>
    </row>
    <row r="2916" spans="19:19" x14ac:dyDescent="0.55000000000000004">
      <c r="S2916" t="str">
        <f t="shared" si="146"/>
        <v/>
      </c>
    </row>
    <row r="2917" spans="19:19" x14ac:dyDescent="0.55000000000000004">
      <c r="S2917" t="str">
        <f t="shared" si="146"/>
        <v/>
      </c>
    </row>
    <row r="2918" spans="19:19" x14ac:dyDescent="0.55000000000000004">
      <c r="S2918" t="str">
        <f t="shared" si="146"/>
        <v/>
      </c>
    </row>
    <row r="2919" spans="19:19" x14ac:dyDescent="0.55000000000000004">
      <c r="S2919" t="str">
        <f t="shared" si="146"/>
        <v/>
      </c>
    </row>
    <row r="2920" spans="19:19" x14ac:dyDescent="0.55000000000000004">
      <c r="S2920" t="str">
        <f t="shared" si="146"/>
        <v/>
      </c>
    </row>
    <row r="2921" spans="19:19" x14ac:dyDescent="0.55000000000000004">
      <c r="S2921" t="str">
        <f t="shared" si="146"/>
        <v/>
      </c>
    </row>
    <row r="2922" spans="19:19" x14ac:dyDescent="0.55000000000000004">
      <c r="S2922" t="str">
        <f t="shared" si="146"/>
        <v/>
      </c>
    </row>
    <row r="2923" spans="19:19" x14ac:dyDescent="0.55000000000000004">
      <c r="S2923" t="str">
        <f t="shared" si="146"/>
        <v/>
      </c>
    </row>
    <row r="2924" spans="19:19" x14ac:dyDescent="0.55000000000000004">
      <c r="S2924" t="str">
        <f t="shared" si="146"/>
        <v/>
      </c>
    </row>
    <row r="2925" spans="19:19" x14ac:dyDescent="0.55000000000000004">
      <c r="S2925" t="str">
        <f t="shared" si="146"/>
        <v/>
      </c>
    </row>
    <row r="2926" spans="19:19" x14ac:dyDescent="0.55000000000000004">
      <c r="S2926" t="str">
        <f t="shared" si="146"/>
        <v/>
      </c>
    </row>
    <row r="2927" spans="19:19" x14ac:dyDescent="0.55000000000000004">
      <c r="S2927" t="str">
        <f t="shared" si="146"/>
        <v/>
      </c>
    </row>
    <row r="2928" spans="19:19" x14ac:dyDescent="0.55000000000000004">
      <c r="S2928" t="str">
        <f t="shared" si="146"/>
        <v/>
      </c>
    </row>
    <row r="2929" spans="19:19" x14ac:dyDescent="0.55000000000000004">
      <c r="S2929" t="str">
        <f t="shared" si="146"/>
        <v/>
      </c>
    </row>
    <row r="2930" spans="19:19" x14ac:dyDescent="0.55000000000000004">
      <c r="S2930" t="str">
        <f t="shared" si="146"/>
        <v/>
      </c>
    </row>
    <row r="2931" spans="19:19" x14ac:dyDescent="0.55000000000000004">
      <c r="S2931" t="str">
        <f t="shared" si="146"/>
        <v/>
      </c>
    </row>
    <row r="2932" spans="19:19" x14ac:dyDescent="0.55000000000000004">
      <c r="S2932" t="str">
        <f t="shared" si="146"/>
        <v/>
      </c>
    </row>
    <row r="2933" spans="19:19" x14ac:dyDescent="0.55000000000000004">
      <c r="S2933" t="str">
        <f t="shared" si="146"/>
        <v/>
      </c>
    </row>
    <row r="2934" spans="19:19" x14ac:dyDescent="0.55000000000000004">
      <c r="S2934" t="str">
        <f t="shared" si="146"/>
        <v/>
      </c>
    </row>
    <row r="2935" spans="19:19" x14ac:dyDescent="0.55000000000000004">
      <c r="S2935" t="str">
        <f t="shared" si="146"/>
        <v/>
      </c>
    </row>
    <row r="2936" spans="19:19" x14ac:dyDescent="0.55000000000000004">
      <c r="S2936" t="str">
        <f t="shared" si="146"/>
        <v/>
      </c>
    </row>
    <row r="2937" spans="19:19" x14ac:dyDescent="0.55000000000000004">
      <c r="S2937" t="str">
        <f t="shared" si="146"/>
        <v/>
      </c>
    </row>
    <row r="2938" spans="19:19" x14ac:dyDescent="0.55000000000000004">
      <c r="S2938" t="str">
        <f t="shared" si="146"/>
        <v/>
      </c>
    </row>
    <row r="2939" spans="19:19" x14ac:dyDescent="0.55000000000000004">
      <c r="S2939" t="str">
        <f t="shared" si="146"/>
        <v/>
      </c>
    </row>
    <row r="2940" spans="19:19" x14ac:dyDescent="0.55000000000000004">
      <c r="S2940" t="str">
        <f t="shared" si="146"/>
        <v/>
      </c>
    </row>
    <row r="2941" spans="19:19" x14ac:dyDescent="0.55000000000000004">
      <c r="S2941" t="str">
        <f t="shared" si="146"/>
        <v/>
      </c>
    </row>
    <row r="2942" spans="19:19" x14ac:dyDescent="0.55000000000000004">
      <c r="S2942" t="str">
        <f t="shared" si="146"/>
        <v/>
      </c>
    </row>
    <row r="2943" spans="19:19" x14ac:dyDescent="0.55000000000000004">
      <c r="S2943" t="str">
        <f t="shared" si="146"/>
        <v/>
      </c>
    </row>
    <row r="2944" spans="19:19" x14ac:dyDescent="0.55000000000000004">
      <c r="S2944" t="str">
        <f t="shared" si="146"/>
        <v/>
      </c>
    </row>
    <row r="2945" spans="19:19" x14ac:dyDescent="0.55000000000000004">
      <c r="S2945" t="str">
        <f t="shared" si="146"/>
        <v/>
      </c>
    </row>
    <row r="2946" spans="19:19" x14ac:dyDescent="0.55000000000000004">
      <c r="S2946" t="str">
        <f t="shared" si="146"/>
        <v/>
      </c>
    </row>
    <row r="2947" spans="19:19" x14ac:dyDescent="0.55000000000000004">
      <c r="S2947" t="str">
        <f t="shared" si="146"/>
        <v/>
      </c>
    </row>
    <row r="2948" spans="19:19" x14ac:dyDescent="0.55000000000000004">
      <c r="S2948" t="str">
        <f t="shared" ref="S2948:S3011" si="147">IF(R2948&lt;&gt;"", R2948*236.588, "")</f>
        <v/>
      </c>
    </row>
    <row r="2949" spans="19:19" x14ac:dyDescent="0.55000000000000004">
      <c r="S2949" t="str">
        <f t="shared" si="147"/>
        <v/>
      </c>
    </row>
    <row r="2950" spans="19:19" x14ac:dyDescent="0.55000000000000004">
      <c r="S2950" t="str">
        <f t="shared" si="147"/>
        <v/>
      </c>
    </row>
    <row r="2951" spans="19:19" x14ac:dyDescent="0.55000000000000004">
      <c r="S2951" t="str">
        <f t="shared" si="147"/>
        <v/>
      </c>
    </row>
    <row r="2952" spans="19:19" x14ac:dyDescent="0.55000000000000004">
      <c r="S2952" t="str">
        <f t="shared" si="147"/>
        <v/>
      </c>
    </row>
    <row r="2953" spans="19:19" x14ac:dyDescent="0.55000000000000004">
      <c r="S2953" t="str">
        <f t="shared" si="147"/>
        <v/>
      </c>
    </row>
    <row r="2954" spans="19:19" x14ac:dyDescent="0.55000000000000004">
      <c r="S2954" t="str">
        <f t="shared" si="147"/>
        <v/>
      </c>
    </row>
    <row r="2955" spans="19:19" x14ac:dyDescent="0.55000000000000004">
      <c r="S2955" t="str">
        <f t="shared" si="147"/>
        <v/>
      </c>
    </row>
    <row r="2956" spans="19:19" x14ac:dyDescent="0.55000000000000004">
      <c r="S2956" t="str">
        <f t="shared" si="147"/>
        <v/>
      </c>
    </row>
    <row r="2957" spans="19:19" x14ac:dyDescent="0.55000000000000004">
      <c r="S2957" t="str">
        <f t="shared" si="147"/>
        <v/>
      </c>
    </row>
    <row r="2958" spans="19:19" x14ac:dyDescent="0.55000000000000004">
      <c r="S2958" t="str">
        <f t="shared" si="147"/>
        <v/>
      </c>
    </row>
    <row r="2959" spans="19:19" x14ac:dyDescent="0.55000000000000004">
      <c r="S2959" t="str">
        <f t="shared" si="147"/>
        <v/>
      </c>
    </row>
    <row r="2960" spans="19:19" x14ac:dyDescent="0.55000000000000004">
      <c r="S2960" t="str">
        <f t="shared" si="147"/>
        <v/>
      </c>
    </row>
    <row r="2961" spans="19:19" x14ac:dyDescent="0.55000000000000004">
      <c r="S2961" t="str">
        <f t="shared" si="147"/>
        <v/>
      </c>
    </row>
    <row r="2962" spans="19:19" x14ac:dyDescent="0.55000000000000004">
      <c r="S2962" t="str">
        <f t="shared" si="147"/>
        <v/>
      </c>
    </row>
    <row r="2963" spans="19:19" x14ac:dyDescent="0.55000000000000004">
      <c r="S2963" t="str">
        <f t="shared" si="147"/>
        <v/>
      </c>
    </row>
    <row r="2964" spans="19:19" x14ac:dyDescent="0.55000000000000004">
      <c r="S2964" t="str">
        <f t="shared" si="147"/>
        <v/>
      </c>
    </row>
    <row r="2965" spans="19:19" x14ac:dyDescent="0.55000000000000004">
      <c r="S2965" t="str">
        <f t="shared" si="147"/>
        <v/>
      </c>
    </row>
    <row r="2966" spans="19:19" x14ac:dyDescent="0.55000000000000004">
      <c r="S2966" t="str">
        <f t="shared" si="147"/>
        <v/>
      </c>
    </row>
    <row r="2967" spans="19:19" x14ac:dyDescent="0.55000000000000004">
      <c r="S2967" t="str">
        <f t="shared" si="147"/>
        <v/>
      </c>
    </row>
    <row r="2968" spans="19:19" x14ac:dyDescent="0.55000000000000004">
      <c r="S2968" t="str">
        <f t="shared" si="147"/>
        <v/>
      </c>
    </row>
    <row r="2969" spans="19:19" x14ac:dyDescent="0.55000000000000004">
      <c r="S2969" t="str">
        <f t="shared" si="147"/>
        <v/>
      </c>
    </row>
    <row r="2970" spans="19:19" x14ac:dyDescent="0.55000000000000004">
      <c r="S2970" t="str">
        <f t="shared" si="147"/>
        <v/>
      </c>
    </row>
    <row r="2971" spans="19:19" x14ac:dyDescent="0.55000000000000004">
      <c r="S2971" t="str">
        <f t="shared" si="147"/>
        <v/>
      </c>
    </row>
    <row r="2972" spans="19:19" x14ac:dyDescent="0.55000000000000004">
      <c r="S2972" t="str">
        <f t="shared" si="147"/>
        <v/>
      </c>
    </row>
    <row r="2973" spans="19:19" x14ac:dyDescent="0.55000000000000004">
      <c r="S2973" t="str">
        <f t="shared" si="147"/>
        <v/>
      </c>
    </row>
    <row r="2974" spans="19:19" x14ac:dyDescent="0.55000000000000004">
      <c r="S2974" t="str">
        <f t="shared" si="147"/>
        <v/>
      </c>
    </row>
    <row r="2975" spans="19:19" x14ac:dyDescent="0.55000000000000004">
      <c r="S2975" t="str">
        <f t="shared" si="147"/>
        <v/>
      </c>
    </row>
    <row r="2976" spans="19:19" x14ac:dyDescent="0.55000000000000004">
      <c r="S2976" t="str">
        <f t="shared" si="147"/>
        <v/>
      </c>
    </row>
    <row r="2977" spans="19:19" x14ac:dyDescent="0.55000000000000004">
      <c r="S2977" t="str">
        <f t="shared" si="147"/>
        <v/>
      </c>
    </row>
    <row r="2978" spans="19:19" x14ac:dyDescent="0.55000000000000004">
      <c r="S2978" t="str">
        <f t="shared" si="147"/>
        <v/>
      </c>
    </row>
    <row r="2979" spans="19:19" x14ac:dyDescent="0.55000000000000004">
      <c r="S2979" t="str">
        <f t="shared" si="147"/>
        <v/>
      </c>
    </row>
    <row r="2980" spans="19:19" x14ac:dyDescent="0.55000000000000004">
      <c r="S2980" t="str">
        <f t="shared" si="147"/>
        <v/>
      </c>
    </row>
    <row r="2981" spans="19:19" x14ac:dyDescent="0.55000000000000004">
      <c r="S2981" t="str">
        <f t="shared" si="147"/>
        <v/>
      </c>
    </row>
    <row r="2982" spans="19:19" x14ac:dyDescent="0.55000000000000004">
      <c r="S2982" t="str">
        <f t="shared" si="147"/>
        <v/>
      </c>
    </row>
    <row r="2983" spans="19:19" x14ac:dyDescent="0.55000000000000004">
      <c r="S2983" t="str">
        <f t="shared" si="147"/>
        <v/>
      </c>
    </row>
    <row r="2984" spans="19:19" x14ac:dyDescent="0.55000000000000004">
      <c r="S2984" t="str">
        <f t="shared" si="147"/>
        <v/>
      </c>
    </row>
    <row r="2985" spans="19:19" x14ac:dyDescent="0.55000000000000004">
      <c r="S2985" t="str">
        <f t="shared" si="147"/>
        <v/>
      </c>
    </row>
    <row r="2986" spans="19:19" x14ac:dyDescent="0.55000000000000004">
      <c r="S2986" t="str">
        <f t="shared" si="147"/>
        <v/>
      </c>
    </row>
    <row r="2987" spans="19:19" x14ac:dyDescent="0.55000000000000004">
      <c r="S2987" t="str">
        <f t="shared" si="147"/>
        <v/>
      </c>
    </row>
    <row r="2988" spans="19:19" x14ac:dyDescent="0.55000000000000004">
      <c r="S2988" t="str">
        <f t="shared" si="147"/>
        <v/>
      </c>
    </row>
    <row r="2989" spans="19:19" x14ac:dyDescent="0.55000000000000004">
      <c r="S2989" t="str">
        <f t="shared" si="147"/>
        <v/>
      </c>
    </row>
    <row r="2990" spans="19:19" x14ac:dyDescent="0.55000000000000004">
      <c r="S2990" t="str">
        <f t="shared" si="147"/>
        <v/>
      </c>
    </row>
    <row r="2991" spans="19:19" x14ac:dyDescent="0.55000000000000004">
      <c r="S2991" t="str">
        <f t="shared" si="147"/>
        <v/>
      </c>
    </row>
    <row r="2992" spans="19:19" x14ac:dyDescent="0.55000000000000004">
      <c r="S2992" t="str">
        <f t="shared" si="147"/>
        <v/>
      </c>
    </row>
    <row r="2993" spans="19:19" x14ac:dyDescent="0.55000000000000004">
      <c r="S2993" t="str">
        <f t="shared" si="147"/>
        <v/>
      </c>
    </row>
    <row r="2994" spans="19:19" x14ac:dyDescent="0.55000000000000004">
      <c r="S2994" t="str">
        <f t="shared" si="147"/>
        <v/>
      </c>
    </row>
    <row r="2995" spans="19:19" x14ac:dyDescent="0.55000000000000004">
      <c r="S2995" t="str">
        <f t="shared" si="147"/>
        <v/>
      </c>
    </row>
    <row r="2996" spans="19:19" x14ac:dyDescent="0.55000000000000004">
      <c r="S2996" t="str">
        <f t="shared" si="147"/>
        <v/>
      </c>
    </row>
    <row r="2997" spans="19:19" x14ac:dyDescent="0.55000000000000004">
      <c r="S2997" t="str">
        <f t="shared" si="147"/>
        <v/>
      </c>
    </row>
    <row r="2998" spans="19:19" x14ac:dyDescent="0.55000000000000004">
      <c r="S2998" t="str">
        <f t="shared" si="147"/>
        <v/>
      </c>
    </row>
    <row r="2999" spans="19:19" x14ac:dyDescent="0.55000000000000004">
      <c r="S2999" t="str">
        <f t="shared" si="147"/>
        <v/>
      </c>
    </row>
    <row r="3000" spans="19:19" x14ac:dyDescent="0.55000000000000004">
      <c r="S3000" t="str">
        <f t="shared" si="147"/>
        <v/>
      </c>
    </row>
    <row r="3001" spans="19:19" x14ac:dyDescent="0.55000000000000004">
      <c r="S3001" t="str">
        <f t="shared" si="147"/>
        <v/>
      </c>
    </row>
    <row r="3002" spans="19:19" x14ac:dyDescent="0.55000000000000004">
      <c r="S3002" t="str">
        <f t="shared" si="147"/>
        <v/>
      </c>
    </row>
    <row r="3003" spans="19:19" x14ac:dyDescent="0.55000000000000004">
      <c r="S3003" t="str">
        <f t="shared" si="147"/>
        <v/>
      </c>
    </row>
    <row r="3004" spans="19:19" x14ac:dyDescent="0.55000000000000004">
      <c r="S3004" t="str">
        <f t="shared" si="147"/>
        <v/>
      </c>
    </row>
    <row r="3005" spans="19:19" x14ac:dyDescent="0.55000000000000004">
      <c r="S3005" t="str">
        <f t="shared" si="147"/>
        <v/>
      </c>
    </row>
    <row r="3006" spans="19:19" x14ac:dyDescent="0.55000000000000004">
      <c r="S3006" t="str">
        <f t="shared" si="147"/>
        <v/>
      </c>
    </row>
    <row r="3007" spans="19:19" x14ac:dyDescent="0.55000000000000004">
      <c r="S3007" t="str">
        <f t="shared" si="147"/>
        <v/>
      </c>
    </row>
    <row r="3008" spans="19:19" x14ac:dyDescent="0.55000000000000004">
      <c r="S3008" t="str">
        <f t="shared" si="147"/>
        <v/>
      </c>
    </row>
    <row r="3009" spans="19:19" x14ac:dyDescent="0.55000000000000004">
      <c r="S3009" t="str">
        <f t="shared" si="147"/>
        <v/>
      </c>
    </row>
    <row r="3010" spans="19:19" x14ac:dyDescent="0.55000000000000004">
      <c r="S3010" t="str">
        <f t="shared" si="147"/>
        <v/>
      </c>
    </row>
    <row r="3011" spans="19:19" x14ac:dyDescent="0.55000000000000004">
      <c r="S3011" t="str">
        <f t="shared" si="147"/>
        <v/>
      </c>
    </row>
    <row r="3012" spans="19:19" x14ac:dyDescent="0.55000000000000004">
      <c r="S3012" t="str">
        <f t="shared" ref="S3012:S3075" si="148">IF(R3012&lt;&gt;"", R3012*236.588, "")</f>
        <v/>
      </c>
    </row>
    <row r="3013" spans="19:19" x14ac:dyDescent="0.55000000000000004">
      <c r="S3013" t="str">
        <f t="shared" si="148"/>
        <v/>
      </c>
    </row>
    <row r="3014" spans="19:19" x14ac:dyDescent="0.55000000000000004">
      <c r="S3014" t="str">
        <f t="shared" si="148"/>
        <v/>
      </c>
    </row>
    <row r="3015" spans="19:19" x14ac:dyDescent="0.55000000000000004">
      <c r="S3015" t="str">
        <f t="shared" si="148"/>
        <v/>
      </c>
    </row>
    <row r="3016" spans="19:19" x14ac:dyDescent="0.55000000000000004">
      <c r="S3016" t="str">
        <f t="shared" si="148"/>
        <v/>
      </c>
    </row>
    <row r="3017" spans="19:19" x14ac:dyDescent="0.55000000000000004">
      <c r="S3017" t="str">
        <f t="shared" si="148"/>
        <v/>
      </c>
    </row>
    <row r="3018" spans="19:19" x14ac:dyDescent="0.55000000000000004">
      <c r="S3018" t="str">
        <f t="shared" si="148"/>
        <v/>
      </c>
    </row>
    <row r="3019" spans="19:19" x14ac:dyDescent="0.55000000000000004">
      <c r="S3019" t="str">
        <f t="shared" si="148"/>
        <v/>
      </c>
    </row>
    <row r="3020" spans="19:19" x14ac:dyDescent="0.55000000000000004">
      <c r="S3020" t="str">
        <f t="shared" si="148"/>
        <v/>
      </c>
    </row>
    <row r="3021" spans="19:19" x14ac:dyDescent="0.55000000000000004">
      <c r="S3021" t="str">
        <f t="shared" si="148"/>
        <v/>
      </c>
    </row>
    <row r="3022" spans="19:19" x14ac:dyDescent="0.55000000000000004">
      <c r="S3022" t="str">
        <f t="shared" si="148"/>
        <v/>
      </c>
    </row>
    <row r="3023" spans="19:19" x14ac:dyDescent="0.55000000000000004">
      <c r="S3023" t="str">
        <f t="shared" si="148"/>
        <v/>
      </c>
    </row>
    <row r="3024" spans="19:19" x14ac:dyDescent="0.55000000000000004">
      <c r="S3024" t="str">
        <f t="shared" si="148"/>
        <v/>
      </c>
    </row>
    <row r="3025" spans="19:19" x14ac:dyDescent="0.55000000000000004">
      <c r="S3025" t="str">
        <f t="shared" si="148"/>
        <v/>
      </c>
    </row>
    <row r="3026" spans="19:19" x14ac:dyDescent="0.55000000000000004">
      <c r="S3026" t="str">
        <f t="shared" si="148"/>
        <v/>
      </c>
    </row>
    <row r="3027" spans="19:19" x14ac:dyDescent="0.55000000000000004">
      <c r="S3027" t="str">
        <f t="shared" si="148"/>
        <v/>
      </c>
    </row>
    <row r="3028" spans="19:19" x14ac:dyDescent="0.55000000000000004">
      <c r="S3028" t="str">
        <f t="shared" si="148"/>
        <v/>
      </c>
    </row>
    <row r="3029" spans="19:19" x14ac:dyDescent="0.55000000000000004">
      <c r="S3029" t="str">
        <f t="shared" si="148"/>
        <v/>
      </c>
    </row>
    <row r="3030" spans="19:19" x14ac:dyDescent="0.55000000000000004">
      <c r="S3030" t="str">
        <f t="shared" si="148"/>
        <v/>
      </c>
    </row>
    <row r="3031" spans="19:19" x14ac:dyDescent="0.55000000000000004">
      <c r="S3031" t="str">
        <f t="shared" si="148"/>
        <v/>
      </c>
    </row>
    <row r="3032" spans="19:19" x14ac:dyDescent="0.55000000000000004">
      <c r="S3032" t="str">
        <f t="shared" si="148"/>
        <v/>
      </c>
    </row>
    <row r="3033" spans="19:19" x14ac:dyDescent="0.55000000000000004">
      <c r="S3033" t="str">
        <f t="shared" si="148"/>
        <v/>
      </c>
    </row>
    <row r="3034" spans="19:19" x14ac:dyDescent="0.55000000000000004">
      <c r="S3034" t="str">
        <f t="shared" si="148"/>
        <v/>
      </c>
    </row>
    <row r="3035" spans="19:19" x14ac:dyDescent="0.55000000000000004">
      <c r="S3035" t="str">
        <f t="shared" si="148"/>
        <v/>
      </c>
    </row>
    <row r="3036" spans="19:19" x14ac:dyDescent="0.55000000000000004">
      <c r="S3036" t="str">
        <f t="shared" si="148"/>
        <v/>
      </c>
    </row>
    <row r="3037" spans="19:19" x14ac:dyDescent="0.55000000000000004">
      <c r="S3037" t="str">
        <f t="shared" si="148"/>
        <v/>
      </c>
    </row>
    <row r="3038" spans="19:19" x14ac:dyDescent="0.55000000000000004">
      <c r="S3038" t="str">
        <f t="shared" si="148"/>
        <v/>
      </c>
    </row>
    <row r="3039" spans="19:19" x14ac:dyDescent="0.55000000000000004">
      <c r="S3039" t="str">
        <f t="shared" si="148"/>
        <v/>
      </c>
    </row>
    <row r="3040" spans="19:19" x14ac:dyDescent="0.55000000000000004">
      <c r="S3040" t="str">
        <f t="shared" si="148"/>
        <v/>
      </c>
    </row>
    <row r="3041" spans="19:19" x14ac:dyDescent="0.55000000000000004">
      <c r="S3041" t="str">
        <f t="shared" si="148"/>
        <v/>
      </c>
    </row>
    <row r="3042" spans="19:19" x14ac:dyDescent="0.55000000000000004">
      <c r="S3042" t="str">
        <f t="shared" si="148"/>
        <v/>
      </c>
    </row>
    <row r="3043" spans="19:19" x14ac:dyDescent="0.55000000000000004">
      <c r="S3043" t="str">
        <f t="shared" si="148"/>
        <v/>
      </c>
    </row>
    <row r="3044" spans="19:19" x14ac:dyDescent="0.55000000000000004">
      <c r="S3044" t="str">
        <f t="shared" si="148"/>
        <v/>
      </c>
    </row>
    <row r="3045" spans="19:19" x14ac:dyDescent="0.55000000000000004">
      <c r="S3045" t="str">
        <f t="shared" si="148"/>
        <v/>
      </c>
    </row>
    <row r="3046" spans="19:19" x14ac:dyDescent="0.55000000000000004">
      <c r="S3046" t="str">
        <f t="shared" si="148"/>
        <v/>
      </c>
    </row>
    <row r="3047" spans="19:19" x14ac:dyDescent="0.55000000000000004">
      <c r="S3047" t="str">
        <f t="shared" si="148"/>
        <v/>
      </c>
    </row>
    <row r="3048" spans="19:19" x14ac:dyDescent="0.55000000000000004">
      <c r="S3048" t="str">
        <f t="shared" si="148"/>
        <v/>
      </c>
    </row>
    <row r="3049" spans="19:19" x14ac:dyDescent="0.55000000000000004">
      <c r="S3049" t="str">
        <f t="shared" si="148"/>
        <v/>
      </c>
    </row>
    <row r="3050" spans="19:19" x14ac:dyDescent="0.55000000000000004">
      <c r="S3050" t="str">
        <f t="shared" si="148"/>
        <v/>
      </c>
    </row>
    <row r="3051" spans="19:19" x14ac:dyDescent="0.55000000000000004">
      <c r="S3051" t="str">
        <f t="shared" si="148"/>
        <v/>
      </c>
    </row>
    <row r="3052" spans="19:19" x14ac:dyDescent="0.55000000000000004">
      <c r="S3052" t="str">
        <f t="shared" si="148"/>
        <v/>
      </c>
    </row>
    <row r="3053" spans="19:19" x14ac:dyDescent="0.55000000000000004">
      <c r="S3053" t="str">
        <f t="shared" si="148"/>
        <v/>
      </c>
    </row>
    <row r="3054" spans="19:19" x14ac:dyDescent="0.55000000000000004">
      <c r="S3054" t="str">
        <f t="shared" si="148"/>
        <v/>
      </c>
    </row>
    <row r="3055" spans="19:19" x14ac:dyDescent="0.55000000000000004">
      <c r="S3055" t="str">
        <f t="shared" si="148"/>
        <v/>
      </c>
    </row>
    <row r="3056" spans="19:19" x14ac:dyDescent="0.55000000000000004">
      <c r="S3056" t="str">
        <f t="shared" si="148"/>
        <v/>
      </c>
    </row>
    <row r="3057" spans="19:19" x14ac:dyDescent="0.55000000000000004">
      <c r="S3057" t="str">
        <f t="shared" si="148"/>
        <v/>
      </c>
    </row>
    <row r="3058" spans="19:19" x14ac:dyDescent="0.55000000000000004">
      <c r="S3058" t="str">
        <f t="shared" si="148"/>
        <v/>
      </c>
    </row>
    <row r="3059" spans="19:19" x14ac:dyDescent="0.55000000000000004">
      <c r="S3059" t="str">
        <f t="shared" si="148"/>
        <v/>
      </c>
    </row>
    <row r="3060" spans="19:19" x14ac:dyDescent="0.55000000000000004">
      <c r="S3060" t="str">
        <f t="shared" si="148"/>
        <v/>
      </c>
    </row>
    <row r="3061" spans="19:19" x14ac:dyDescent="0.55000000000000004">
      <c r="S3061" t="str">
        <f t="shared" si="148"/>
        <v/>
      </c>
    </row>
    <row r="3062" spans="19:19" x14ac:dyDescent="0.55000000000000004">
      <c r="S3062" t="str">
        <f t="shared" si="148"/>
        <v/>
      </c>
    </row>
    <row r="3063" spans="19:19" x14ac:dyDescent="0.55000000000000004">
      <c r="S3063" t="str">
        <f t="shared" si="148"/>
        <v/>
      </c>
    </row>
    <row r="3064" spans="19:19" x14ac:dyDescent="0.55000000000000004">
      <c r="S3064" t="str">
        <f t="shared" si="148"/>
        <v/>
      </c>
    </row>
    <row r="3065" spans="19:19" x14ac:dyDescent="0.55000000000000004">
      <c r="S3065" t="str">
        <f t="shared" si="148"/>
        <v/>
      </c>
    </row>
    <row r="3066" spans="19:19" x14ac:dyDescent="0.55000000000000004">
      <c r="S3066" t="str">
        <f t="shared" si="148"/>
        <v/>
      </c>
    </row>
    <row r="3067" spans="19:19" x14ac:dyDescent="0.55000000000000004">
      <c r="S3067" t="str">
        <f t="shared" si="148"/>
        <v/>
      </c>
    </row>
    <row r="3068" spans="19:19" x14ac:dyDescent="0.55000000000000004">
      <c r="S3068" t="str">
        <f t="shared" si="148"/>
        <v/>
      </c>
    </row>
    <row r="3069" spans="19:19" x14ac:dyDescent="0.55000000000000004">
      <c r="S3069" t="str">
        <f t="shared" si="148"/>
        <v/>
      </c>
    </row>
    <row r="3070" spans="19:19" x14ac:dyDescent="0.55000000000000004">
      <c r="S3070" t="str">
        <f t="shared" si="148"/>
        <v/>
      </c>
    </row>
    <row r="3071" spans="19:19" x14ac:dyDescent="0.55000000000000004">
      <c r="S3071" t="str">
        <f t="shared" si="148"/>
        <v/>
      </c>
    </row>
    <row r="3072" spans="19:19" x14ac:dyDescent="0.55000000000000004">
      <c r="S3072" t="str">
        <f t="shared" si="148"/>
        <v/>
      </c>
    </row>
    <row r="3073" spans="19:19" x14ac:dyDescent="0.55000000000000004">
      <c r="S3073" t="str">
        <f t="shared" si="148"/>
        <v/>
      </c>
    </row>
    <row r="3074" spans="19:19" x14ac:dyDescent="0.55000000000000004">
      <c r="S3074" t="str">
        <f t="shared" si="148"/>
        <v/>
      </c>
    </row>
    <row r="3075" spans="19:19" x14ac:dyDescent="0.55000000000000004">
      <c r="S3075" t="str">
        <f t="shared" si="148"/>
        <v/>
      </c>
    </row>
    <row r="3076" spans="19:19" x14ac:dyDescent="0.55000000000000004">
      <c r="S3076" t="str">
        <f t="shared" ref="S3076:S3139" si="149">IF(R3076&lt;&gt;"", R3076*236.588, "")</f>
        <v/>
      </c>
    </row>
    <row r="3077" spans="19:19" x14ac:dyDescent="0.55000000000000004">
      <c r="S3077" t="str">
        <f t="shared" si="149"/>
        <v/>
      </c>
    </row>
    <row r="3078" spans="19:19" x14ac:dyDescent="0.55000000000000004">
      <c r="S3078" t="str">
        <f t="shared" si="149"/>
        <v/>
      </c>
    </row>
    <row r="3079" spans="19:19" x14ac:dyDescent="0.55000000000000004">
      <c r="S3079" t="str">
        <f t="shared" si="149"/>
        <v/>
      </c>
    </row>
    <row r="3080" spans="19:19" x14ac:dyDescent="0.55000000000000004">
      <c r="S3080" t="str">
        <f t="shared" si="149"/>
        <v/>
      </c>
    </row>
    <row r="3081" spans="19:19" x14ac:dyDescent="0.55000000000000004">
      <c r="S3081" t="str">
        <f t="shared" si="149"/>
        <v/>
      </c>
    </row>
    <row r="3082" spans="19:19" x14ac:dyDescent="0.55000000000000004">
      <c r="S3082" t="str">
        <f t="shared" si="149"/>
        <v/>
      </c>
    </row>
    <row r="3083" spans="19:19" x14ac:dyDescent="0.55000000000000004">
      <c r="S3083" t="str">
        <f t="shared" si="149"/>
        <v/>
      </c>
    </row>
    <row r="3084" spans="19:19" x14ac:dyDescent="0.55000000000000004">
      <c r="S3084" t="str">
        <f t="shared" si="149"/>
        <v/>
      </c>
    </row>
    <row r="3085" spans="19:19" x14ac:dyDescent="0.55000000000000004">
      <c r="S3085" t="str">
        <f t="shared" si="149"/>
        <v/>
      </c>
    </row>
    <row r="3086" spans="19:19" x14ac:dyDescent="0.55000000000000004">
      <c r="S3086" t="str">
        <f t="shared" si="149"/>
        <v/>
      </c>
    </row>
    <row r="3087" spans="19:19" x14ac:dyDescent="0.55000000000000004">
      <c r="S3087" t="str">
        <f t="shared" si="149"/>
        <v/>
      </c>
    </row>
    <row r="3088" spans="19:19" x14ac:dyDescent="0.55000000000000004">
      <c r="S3088" t="str">
        <f t="shared" si="149"/>
        <v/>
      </c>
    </row>
    <row r="3089" spans="19:19" x14ac:dyDescent="0.55000000000000004">
      <c r="S3089" t="str">
        <f t="shared" si="149"/>
        <v/>
      </c>
    </row>
    <row r="3090" spans="19:19" x14ac:dyDescent="0.55000000000000004">
      <c r="S3090" t="str">
        <f t="shared" si="149"/>
        <v/>
      </c>
    </row>
    <row r="3091" spans="19:19" x14ac:dyDescent="0.55000000000000004">
      <c r="S3091" t="str">
        <f t="shared" si="149"/>
        <v/>
      </c>
    </row>
    <row r="3092" spans="19:19" x14ac:dyDescent="0.55000000000000004">
      <c r="S3092" t="str">
        <f t="shared" si="149"/>
        <v/>
      </c>
    </row>
    <row r="3093" spans="19:19" x14ac:dyDescent="0.55000000000000004">
      <c r="S3093" t="str">
        <f t="shared" si="149"/>
        <v/>
      </c>
    </row>
    <row r="3094" spans="19:19" x14ac:dyDescent="0.55000000000000004">
      <c r="S3094" t="str">
        <f t="shared" si="149"/>
        <v/>
      </c>
    </row>
    <row r="3095" spans="19:19" x14ac:dyDescent="0.55000000000000004">
      <c r="S3095" t="str">
        <f t="shared" si="149"/>
        <v/>
      </c>
    </row>
    <row r="3096" spans="19:19" x14ac:dyDescent="0.55000000000000004">
      <c r="S3096" t="str">
        <f t="shared" si="149"/>
        <v/>
      </c>
    </row>
    <row r="3097" spans="19:19" x14ac:dyDescent="0.55000000000000004">
      <c r="S3097" t="str">
        <f t="shared" si="149"/>
        <v/>
      </c>
    </row>
    <row r="3098" spans="19:19" x14ac:dyDescent="0.55000000000000004">
      <c r="S3098" t="str">
        <f t="shared" si="149"/>
        <v/>
      </c>
    </row>
    <row r="3099" spans="19:19" x14ac:dyDescent="0.55000000000000004">
      <c r="S3099" t="str">
        <f t="shared" si="149"/>
        <v/>
      </c>
    </row>
    <row r="3100" spans="19:19" x14ac:dyDescent="0.55000000000000004">
      <c r="S3100" t="str">
        <f t="shared" si="149"/>
        <v/>
      </c>
    </row>
    <row r="3101" spans="19:19" x14ac:dyDescent="0.55000000000000004">
      <c r="S3101" t="str">
        <f t="shared" si="149"/>
        <v/>
      </c>
    </row>
    <row r="3102" spans="19:19" x14ac:dyDescent="0.55000000000000004">
      <c r="S3102" t="str">
        <f t="shared" si="149"/>
        <v/>
      </c>
    </row>
    <row r="3103" spans="19:19" x14ac:dyDescent="0.55000000000000004">
      <c r="S3103" t="str">
        <f t="shared" si="149"/>
        <v/>
      </c>
    </row>
    <row r="3104" spans="19:19" x14ac:dyDescent="0.55000000000000004">
      <c r="S3104" t="str">
        <f t="shared" si="149"/>
        <v/>
      </c>
    </row>
    <row r="3105" spans="19:19" x14ac:dyDescent="0.55000000000000004">
      <c r="S3105" t="str">
        <f t="shared" si="149"/>
        <v/>
      </c>
    </row>
    <row r="3106" spans="19:19" x14ac:dyDescent="0.55000000000000004">
      <c r="S3106" t="str">
        <f t="shared" si="149"/>
        <v/>
      </c>
    </row>
    <row r="3107" spans="19:19" x14ac:dyDescent="0.55000000000000004">
      <c r="S3107" t="str">
        <f t="shared" si="149"/>
        <v/>
      </c>
    </row>
    <row r="3108" spans="19:19" x14ac:dyDescent="0.55000000000000004">
      <c r="S3108" t="str">
        <f t="shared" si="149"/>
        <v/>
      </c>
    </row>
    <row r="3109" spans="19:19" x14ac:dyDescent="0.55000000000000004">
      <c r="S3109" t="str">
        <f t="shared" si="149"/>
        <v/>
      </c>
    </row>
    <row r="3110" spans="19:19" x14ac:dyDescent="0.55000000000000004">
      <c r="S3110" t="str">
        <f t="shared" si="149"/>
        <v/>
      </c>
    </row>
    <row r="3111" spans="19:19" x14ac:dyDescent="0.55000000000000004">
      <c r="S3111" t="str">
        <f t="shared" si="149"/>
        <v/>
      </c>
    </row>
    <row r="3112" spans="19:19" x14ac:dyDescent="0.55000000000000004">
      <c r="S3112" t="str">
        <f t="shared" si="149"/>
        <v/>
      </c>
    </row>
    <row r="3113" spans="19:19" x14ac:dyDescent="0.55000000000000004">
      <c r="S3113" t="str">
        <f t="shared" si="149"/>
        <v/>
      </c>
    </row>
    <row r="3114" spans="19:19" x14ac:dyDescent="0.55000000000000004">
      <c r="S3114" t="str">
        <f t="shared" si="149"/>
        <v/>
      </c>
    </row>
    <row r="3115" spans="19:19" x14ac:dyDescent="0.55000000000000004">
      <c r="S3115" t="str">
        <f t="shared" si="149"/>
        <v/>
      </c>
    </row>
    <row r="3116" spans="19:19" x14ac:dyDescent="0.55000000000000004">
      <c r="S3116" t="str">
        <f t="shared" si="149"/>
        <v/>
      </c>
    </row>
    <row r="3117" spans="19:19" x14ac:dyDescent="0.55000000000000004">
      <c r="S3117" t="str">
        <f t="shared" si="149"/>
        <v/>
      </c>
    </row>
    <row r="3118" spans="19:19" x14ac:dyDescent="0.55000000000000004">
      <c r="S3118" t="str">
        <f t="shared" si="149"/>
        <v/>
      </c>
    </row>
    <row r="3119" spans="19:19" x14ac:dyDescent="0.55000000000000004">
      <c r="S3119" t="str">
        <f t="shared" si="149"/>
        <v/>
      </c>
    </row>
    <row r="3120" spans="19:19" x14ac:dyDescent="0.55000000000000004">
      <c r="S3120" t="str">
        <f t="shared" si="149"/>
        <v/>
      </c>
    </row>
    <row r="3121" spans="19:19" x14ac:dyDescent="0.55000000000000004">
      <c r="S3121" t="str">
        <f t="shared" si="149"/>
        <v/>
      </c>
    </row>
    <row r="3122" spans="19:19" x14ac:dyDescent="0.55000000000000004">
      <c r="S3122" t="str">
        <f t="shared" si="149"/>
        <v/>
      </c>
    </row>
    <row r="3123" spans="19:19" x14ac:dyDescent="0.55000000000000004">
      <c r="S3123" t="str">
        <f t="shared" si="149"/>
        <v/>
      </c>
    </row>
    <row r="3124" spans="19:19" x14ac:dyDescent="0.55000000000000004">
      <c r="S3124" t="str">
        <f t="shared" si="149"/>
        <v/>
      </c>
    </row>
    <row r="3125" spans="19:19" x14ac:dyDescent="0.55000000000000004">
      <c r="S3125" t="str">
        <f t="shared" si="149"/>
        <v/>
      </c>
    </row>
    <row r="3126" spans="19:19" x14ac:dyDescent="0.55000000000000004">
      <c r="S3126" t="str">
        <f t="shared" si="149"/>
        <v/>
      </c>
    </row>
    <row r="3127" spans="19:19" x14ac:dyDescent="0.55000000000000004">
      <c r="S3127" t="str">
        <f t="shared" si="149"/>
        <v/>
      </c>
    </row>
    <row r="3128" spans="19:19" x14ac:dyDescent="0.55000000000000004">
      <c r="S3128" t="str">
        <f t="shared" si="149"/>
        <v/>
      </c>
    </row>
    <row r="3129" spans="19:19" x14ac:dyDescent="0.55000000000000004">
      <c r="S3129" t="str">
        <f t="shared" si="149"/>
        <v/>
      </c>
    </row>
    <row r="3130" spans="19:19" x14ac:dyDescent="0.55000000000000004">
      <c r="S3130" t="str">
        <f t="shared" si="149"/>
        <v/>
      </c>
    </row>
    <row r="3131" spans="19:19" x14ac:dyDescent="0.55000000000000004">
      <c r="S3131" t="str">
        <f t="shared" si="149"/>
        <v/>
      </c>
    </row>
    <row r="3132" spans="19:19" x14ac:dyDescent="0.55000000000000004">
      <c r="S3132" t="str">
        <f t="shared" si="149"/>
        <v/>
      </c>
    </row>
    <row r="3133" spans="19:19" x14ac:dyDescent="0.55000000000000004">
      <c r="S3133" t="str">
        <f t="shared" si="149"/>
        <v/>
      </c>
    </row>
    <row r="3134" spans="19:19" x14ac:dyDescent="0.55000000000000004">
      <c r="S3134" t="str">
        <f t="shared" si="149"/>
        <v/>
      </c>
    </row>
    <row r="3135" spans="19:19" x14ac:dyDescent="0.55000000000000004">
      <c r="S3135" t="str">
        <f t="shared" si="149"/>
        <v/>
      </c>
    </row>
    <row r="3136" spans="19:19" x14ac:dyDescent="0.55000000000000004">
      <c r="S3136" t="str">
        <f t="shared" si="149"/>
        <v/>
      </c>
    </row>
    <row r="3137" spans="19:19" x14ac:dyDescent="0.55000000000000004">
      <c r="S3137" t="str">
        <f t="shared" si="149"/>
        <v/>
      </c>
    </row>
    <row r="3138" spans="19:19" x14ac:dyDescent="0.55000000000000004">
      <c r="S3138" t="str">
        <f t="shared" si="149"/>
        <v/>
      </c>
    </row>
    <row r="3139" spans="19:19" x14ac:dyDescent="0.55000000000000004">
      <c r="S3139" t="str">
        <f t="shared" si="149"/>
        <v/>
      </c>
    </row>
    <row r="3140" spans="19:19" x14ac:dyDescent="0.55000000000000004">
      <c r="S3140" t="str">
        <f t="shared" ref="S3140:S3203" si="150">IF(R3140&lt;&gt;"", R3140*236.588, "")</f>
        <v/>
      </c>
    </row>
    <row r="3141" spans="19:19" x14ac:dyDescent="0.55000000000000004">
      <c r="S3141" t="str">
        <f t="shared" si="150"/>
        <v/>
      </c>
    </row>
    <row r="3142" spans="19:19" x14ac:dyDescent="0.55000000000000004">
      <c r="S3142" t="str">
        <f t="shared" si="150"/>
        <v/>
      </c>
    </row>
    <row r="3143" spans="19:19" x14ac:dyDescent="0.55000000000000004">
      <c r="S3143" t="str">
        <f t="shared" si="150"/>
        <v/>
      </c>
    </row>
    <row r="3144" spans="19:19" x14ac:dyDescent="0.55000000000000004">
      <c r="S3144" t="str">
        <f t="shared" si="150"/>
        <v/>
      </c>
    </row>
    <row r="3145" spans="19:19" x14ac:dyDescent="0.55000000000000004">
      <c r="S3145" t="str">
        <f t="shared" si="150"/>
        <v/>
      </c>
    </row>
    <row r="3146" spans="19:19" x14ac:dyDescent="0.55000000000000004">
      <c r="S3146" t="str">
        <f t="shared" si="150"/>
        <v/>
      </c>
    </row>
    <row r="3147" spans="19:19" x14ac:dyDescent="0.55000000000000004">
      <c r="S3147" t="str">
        <f t="shared" si="150"/>
        <v/>
      </c>
    </row>
    <row r="3148" spans="19:19" x14ac:dyDescent="0.55000000000000004">
      <c r="S3148" t="str">
        <f t="shared" si="150"/>
        <v/>
      </c>
    </row>
    <row r="3149" spans="19:19" x14ac:dyDescent="0.55000000000000004">
      <c r="S3149" t="str">
        <f t="shared" si="150"/>
        <v/>
      </c>
    </row>
    <row r="3150" spans="19:19" x14ac:dyDescent="0.55000000000000004">
      <c r="S3150" t="str">
        <f t="shared" si="150"/>
        <v/>
      </c>
    </row>
    <row r="3151" spans="19:19" x14ac:dyDescent="0.55000000000000004">
      <c r="S3151" t="str">
        <f t="shared" si="150"/>
        <v/>
      </c>
    </row>
    <row r="3152" spans="19:19" x14ac:dyDescent="0.55000000000000004">
      <c r="S3152" t="str">
        <f t="shared" si="150"/>
        <v/>
      </c>
    </row>
    <row r="3153" spans="19:19" x14ac:dyDescent="0.55000000000000004">
      <c r="S3153" t="str">
        <f t="shared" si="150"/>
        <v/>
      </c>
    </row>
    <row r="3154" spans="19:19" x14ac:dyDescent="0.55000000000000004">
      <c r="S3154" t="str">
        <f t="shared" si="150"/>
        <v/>
      </c>
    </row>
    <row r="3155" spans="19:19" x14ac:dyDescent="0.55000000000000004">
      <c r="S3155" t="str">
        <f t="shared" si="150"/>
        <v/>
      </c>
    </row>
    <row r="3156" spans="19:19" x14ac:dyDescent="0.55000000000000004">
      <c r="S3156" t="str">
        <f t="shared" si="150"/>
        <v/>
      </c>
    </row>
    <row r="3157" spans="19:19" x14ac:dyDescent="0.55000000000000004">
      <c r="S3157" t="str">
        <f t="shared" si="150"/>
        <v/>
      </c>
    </row>
    <row r="3158" spans="19:19" x14ac:dyDescent="0.55000000000000004">
      <c r="S3158" t="str">
        <f t="shared" si="150"/>
        <v/>
      </c>
    </row>
    <row r="3159" spans="19:19" x14ac:dyDescent="0.55000000000000004">
      <c r="S3159" t="str">
        <f t="shared" si="150"/>
        <v/>
      </c>
    </row>
    <row r="3160" spans="19:19" x14ac:dyDescent="0.55000000000000004">
      <c r="S3160" t="str">
        <f t="shared" si="150"/>
        <v/>
      </c>
    </row>
    <row r="3161" spans="19:19" x14ac:dyDescent="0.55000000000000004">
      <c r="S3161" t="str">
        <f t="shared" si="150"/>
        <v/>
      </c>
    </row>
    <row r="3162" spans="19:19" x14ac:dyDescent="0.55000000000000004">
      <c r="S3162" t="str">
        <f t="shared" si="150"/>
        <v/>
      </c>
    </row>
    <row r="3163" spans="19:19" x14ac:dyDescent="0.55000000000000004">
      <c r="S3163" t="str">
        <f t="shared" si="150"/>
        <v/>
      </c>
    </row>
    <row r="3164" spans="19:19" x14ac:dyDescent="0.55000000000000004">
      <c r="S3164" t="str">
        <f t="shared" si="150"/>
        <v/>
      </c>
    </row>
    <row r="3165" spans="19:19" x14ac:dyDescent="0.55000000000000004">
      <c r="S3165" t="str">
        <f t="shared" si="150"/>
        <v/>
      </c>
    </row>
    <row r="3166" spans="19:19" x14ac:dyDescent="0.55000000000000004">
      <c r="S3166" t="str">
        <f t="shared" si="150"/>
        <v/>
      </c>
    </row>
    <row r="3167" spans="19:19" x14ac:dyDescent="0.55000000000000004">
      <c r="S3167" t="str">
        <f t="shared" si="150"/>
        <v/>
      </c>
    </row>
    <row r="3168" spans="19:19" x14ac:dyDescent="0.55000000000000004">
      <c r="S3168" t="str">
        <f t="shared" si="150"/>
        <v/>
      </c>
    </row>
    <row r="3169" spans="19:19" x14ac:dyDescent="0.55000000000000004">
      <c r="S3169" t="str">
        <f t="shared" si="150"/>
        <v/>
      </c>
    </row>
    <row r="3170" spans="19:19" x14ac:dyDescent="0.55000000000000004">
      <c r="S3170" t="str">
        <f t="shared" si="150"/>
        <v/>
      </c>
    </row>
    <row r="3171" spans="19:19" x14ac:dyDescent="0.55000000000000004">
      <c r="S3171" t="str">
        <f t="shared" si="150"/>
        <v/>
      </c>
    </row>
    <row r="3172" spans="19:19" x14ac:dyDescent="0.55000000000000004">
      <c r="S3172" t="str">
        <f t="shared" si="150"/>
        <v/>
      </c>
    </row>
    <row r="3173" spans="19:19" x14ac:dyDescent="0.55000000000000004">
      <c r="S3173" t="str">
        <f t="shared" si="150"/>
        <v/>
      </c>
    </row>
    <row r="3174" spans="19:19" x14ac:dyDescent="0.55000000000000004">
      <c r="S3174" t="str">
        <f t="shared" si="150"/>
        <v/>
      </c>
    </row>
    <row r="3175" spans="19:19" x14ac:dyDescent="0.55000000000000004">
      <c r="S3175" t="str">
        <f t="shared" si="150"/>
        <v/>
      </c>
    </row>
    <row r="3176" spans="19:19" x14ac:dyDescent="0.55000000000000004">
      <c r="S3176" t="str">
        <f t="shared" si="150"/>
        <v/>
      </c>
    </row>
    <row r="3177" spans="19:19" x14ac:dyDescent="0.55000000000000004">
      <c r="S3177" t="str">
        <f t="shared" si="150"/>
        <v/>
      </c>
    </row>
    <row r="3178" spans="19:19" x14ac:dyDescent="0.55000000000000004">
      <c r="S3178" t="str">
        <f t="shared" si="150"/>
        <v/>
      </c>
    </row>
    <row r="3179" spans="19:19" x14ac:dyDescent="0.55000000000000004">
      <c r="S3179" t="str">
        <f t="shared" si="150"/>
        <v/>
      </c>
    </row>
    <row r="3180" spans="19:19" x14ac:dyDescent="0.55000000000000004">
      <c r="S3180" t="str">
        <f t="shared" si="150"/>
        <v/>
      </c>
    </row>
    <row r="3181" spans="19:19" x14ac:dyDescent="0.55000000000000004">
      <c r="S3181" t="str">
        <f t="shared" si="150"/>
        <v/>
      </c>
    </row>
    <row r="3182" spans="19:19" x14ac:dyDescent="0.55000000000000004">
      <c r="S3182" t="str">
        <f t="shared" si="150"/>
        <v/>
      </c>
    </row>
    <row r="3183" spans="19:19" x14ac:dyDescent="0.55000000000000004">
      <c r="S3183" t="str">
        <f t="shared" si="150"/>
        <v/>
      </c>
    </row>
    <row r="3184" spans="19:19" x14ac:dyDescent="0.55000000000000004">
      <c r="S3184" t="str">
        <f t="shared" si="150"/>
        <v/>
      </c>
    </row>
    <row r="3185" spans="19:19" x14ac:dyDescent="0.55000000000000004">
      <c r="S3185" t="str">
        <f t="shared" si="150"/>
        <v/>
      </c>
    </row>
    <row r="3186" spans="19:19" x14ac:dyDescent="0.55000000000000004">
      <c r="S3186" t="str">
        <f t="shared" si="150"/>
        <v/>
      </c>
    </row>
    <row r="3187" spans="19:19" x14ac:dyDescent="0.55000000000000004">
      <c r="S3187" t="str">
        <f t="shared" si="150"/>
        <v/>
      </c>
    </row>
    <row r="3188" spans="19:19" x14ac:dyDescent="0.55000000000000004">
      <c r="S3188" t="str">
        <f t="shared" si="150"/>
        <v/>
      </c>
    </row>
    <row r="3189" spans="19:19" x14ac:dyDescent="0.55000000000000004">
      <c r="S3189" t="str">
        <f t="shared" si="150"/>
        <v/>
      </c>
    </row>
    <row r="3190" spans="19:19" x14ac:dyDescent="0.55000000000000004">
      <c r="S3190" t="str">
        <f t="shared" si="150"/>
        <v/>
      </c>
    </row>
    <row r="3191" spans="19:19" x14ac:dyDescent="0.55000000000000004">
      <c r="S3191" t="str">
        <f t="shared" si="150"/>
        <v/>
      </c>
    </row>
    <row r="3192" spans="19:19" x14ac:dyDescent="0.55000000000000004">
      <c r="S3192" t="str">
        <f t="shared" si="150"/>
        <v/>
      </c>
    </row>
    <row r="3193" spans="19:19" x14ac:dyDescent="0.55000000000000004">
      <c r="S3193" t="str">
        <f t="shared" si="150"/>
        <v/>
      </c>
    </row>
    <row r="3194" spans="19:19" x14ac:dyDescent="0.55000000000000004">
      <c r="S3194" t="str">
        <f t="shared" si="150"/>
        <v/>
      </c>
    </row>
    <row r="3195" spans="19:19" x14ac:dyDescent="0.55000000000000004">
      <c r="S3195" t="str">
        <f t="shared" si="150"/>
        <v/>
      </c>
    </row>
    <row r="3196" spans="19:19" x14ac:dyDescent="0.55000000000000004">
      <c r="S3196" t="str">
        <f t="shared" si="150"/>
        <v/>
      </c>
    </row>
    <row r="3197" spans="19:19" x14ac:dyDescent="0.55000000000000004">
      <c r="S3197" t="str">
        <f t="shared" si="150"/>
        <v/>
      </c>
    </row>
    <row r="3198" spans="19:19" x14ac:dyDescent="0.55000000000000004">
      <c r="S3198" t="str">
        <f t="shared" si="150"/>
        <v/>
      </c>
    </row>
    <row r="3199" spans="19:19" x14ac:dyDescent="0.55000000000000004">
      <c r="S3199" t="str">
        <f t="shared" si="150"/>
        <v/>
      </c>
    </row>
    <row r="3200" spans="19:19" x14ac:dyDescent="0.55000000000000004">
      <c r="S3200" t="str">
        <f t="shared" si="150"/>
        <v/>
      </c>
    </row>
    <row r="3201" spans="19:19" x14ac:dyDescent="0.55000000000000004">
      <c r="S3201" t="str">
        <f t="shared" si="150"/>
        <v/>
      </c>
    </row>
    <row r="3202" spans="19:19" x14ac:dyDescent="0.55000000000000004">
      <c r="S3202" t="str">
        <f t="shared" si="150"/>
        <v/>
      </c>
    </row>
    <row r="3203" spans="19:19" x14ac:dyDescent="0.55000000000000004">
      <c r="S3203" t="str">
        <f t="shared" si="150"/>
        <v/>
      </c>
    </row>
    <row r="3204" spans="19:19" x14ac:dyDescent="0.55000000000000004">
      <c r="S3204" t="str">
        <f t="shared" ref="S3204:S3267" si="151">IF(R3204&lt;&gt;"", R3204*236.588, "")</f>
        <v/>
      </c>
    </row>
    <row r="3205" spans="19:19" x14ac:dyDescent="0.55000000000000004">
      <c r="S3205" t="str">
        <f t="shared" si="151"/>
        <v/>
      </c>
    </row>
    <row r="3206" spans="19:19" x14ac:dyDescent="0.55000000000000004">
      <c r="S3206" t="str">
        <f t="shared" si="151"/>
        <v/>
      </c>
    </row>
    <row r="3207" spans="19:19" x14ac:dyDescent="0.55000000000000004">
      <c r="S3207" t="str">
        <f t="shared" si="151"/>
        <v/>
      </c>
    </row>
    <row r="3208" spans="19:19" x14ac:dyDescent="0.55000000000000004">
      <c r="S3208" t="str">
        <f t="shared" si="151"/>
        <v/>
      </c>
    </row>
    <row r="3209" spans="19:19" x14ac:dyDescent="0.55000000000000004">
      <c r="S3209" t="str">
        <f t="shared" si="151"/>
        <v/>
      </c>
    </row>
    <row r="3210" spans="19:19" x14ac:dyDescent="0.55000000000000004">
      <c r="S3210" t="str">
        <f t="shared" si="151"/>
        <v/>
      </c>
    </row>
    <row r="3211" spans="19:19" x14ac:dyDescent="0.55000000000000004">
      <c r="S3211" t="str">
        <f t="shared" si="151"/>
        <v/>
      </c>
    </row>
    <row r="3212" spans="19:19" x14ac:dyDescent="0.55000000000000004">
      <c r="S3212" t="str">
        <f t="shared" si="151"/>
        <v/>
      </c>
    </row>
    <row r="3213" spans="19:19" x14ac:dyDescent="0.55000000000000004">
      <c r="S3213" t="str">
        <f t="shared" si="151"/>
        <v/>
      </c>
    </row>
    <row r="3214" spans="19:19" x14ac:dyDescent="0.55000000000000004">
      <c r="S3214" t="str">
        <f t="shared" si="151"/>
        <v/>
      </c>
    </row>
    <row r="3215" spans="19:19" x14ac:dyDescent="0.55000000000000004">
      <c r="S3215" t="str">
        <f t="shared" si="151"/>
        <v/>
      </c>
    </row>
    <row r="3216" spans="19:19" x14ac:dyDescent="0.55000000000000004">
      <c r="S3216" t="str">
        <f t="shared" si="151"/>
        <v/>
      </c>
    </row>
    <row r="3217" spans="19:19" x14ac:dyDescent="0.55000000000000004">
      <c r="S3217" t="str">
        <f t="shared" si="151"/>
        <v/>
      </c>
    </row>
    <row r="3218" spans="19:19" x14ac:dyDescent="0.55000000000000004">
      <c r="S3218" t="str">
        <f t="shared" si="151"/>
        <v/>
      </c>
    </row>
    <row r="3219" spans="19:19" x14ac:dyDescent="0.55000000000000004">
      <c r="S3219" t="str">
        <f t="shared" si="151"/>
        <v/>
      </c>
    </row>
    <row r="3220" spans="19:19" x14ac:dyDescent="0.55000000000000004">
      <c r="S3220" t="str">
        <f t="shared" si="151"/>
        <v/>
      </c>
    </row>
    <row r="3221" spans="19:19" x14ac:dyDescent="0.55000000000000004">
      <c r="S3221" t="str">
        <f t="shared" si="151"/>
        <v/>
      </c>
    </row>
    <row r="3222" spans="19:19" x14ac:dyDescent="0.55000000000000004">
      <c r="S3222" t="str">
        <f t="shared" si="151"/>
        <v/>
      </c>
    </row>
    <row r="3223" spans="19:19" x14ac:dyDescent="0.55000000000000004">
      <c r="S3223" t="str">
        <f t="shared" si="151"/>
        <v/>
      </c>
    </row>
    <row r="3224" spans="19:19" x14ac:dyDescent="0.55000000000000004">
      <c r="S3224" t="str">
        <f t="shared" si="151"/>
        <v/>
      </c>
    </row>
    <row r="3225" spans="19:19" x14ac:dyDescent="0.55000000000000004">
      <c r="S3225" t="str">
        <f t="shared" si="151"/>
        <v/>
      </c>
    </row>
    <row r="3226" spans="19:19" x14ac:dyDescent="0.55000000000000004">
      <c r="S3226" t="str">
        <f t="shared" si="151"/>
        <v/>
      </c>
    </row>
    <row r="3227" spans="19:19" x14ac:dyDescent="0.55000000000000004">
      <c r="S3227" t="str">
        <f t="shared" si="151"/>
        <v/>
      </c>
    </row>
    <row r="3228" spans="19:19" x14ac:dyDescent="0.55000000000000004">
      <c r="S3228" t="str">
        <f t="shared" si="151"/>
        <v/>
      </c>
    </row>
    <row r="3229" spans="19:19" x14ac:dyDescent="0.55000000000000004">
      <c r="S3229" t="str">
        <f t="shared" si="151"/>
        <v/>
      </c>
    </row>
    <row r="3230" spans="19:19" x14ac:dyDescent="0.55000000000000004">
      <c r="S3230" t="str">
        <f t="shared" si="151"/>
        <v/>
      </c>
    </row>
    <row r="3231" spans="19:19" x14ac:dyDescent="0.55000000000000004">
      <c r="S3231" t="str">
        <f t="shared" si="151"/>
        <v/>
      </c>
    </row>
    <row r="3232" spans="19:19" x14ac:dyDescent="0.55000000000000004">
      <c r="S3232" t="str">
        <f t="shared" si="151"/>
        <v/>
      </c>
    </row>
    <row r="3233" spans="19:19" x14ac:dyDescent="0.55000000000000004">
      <c r="S3233" t="str">
        <f t="shared" si="151"/>
        <v/>
      </c>
    </row>
    <row r="3234" spans="19:19" x14ac:dyDescent="0.55000000000000004">
      <c r="S3234" t="str">
        <f t="shared" si="151"/>
        <v/>
      </c>
    </row>
    <row r="3235" spans="19:19" x14ac:dyDescent="0.55000000000000004">
      <c r="S3235" t="str">
        <f t="shared" si="151"/>
        <v/>
      </c>
    </row>
    <row r="3236" spans="19:19" x14ac:dyDescent="0.55000000000000004">
      <c r="S3236" t="str">
        <f t="shared" si="151"/>
        <v/>
      </c>
    </row>
    <row r="3237" spans="19:19" x14ac:dyDescent="0.55000000000000004">
      <c r="S3237" t="str">
        <f t="shared" si="151"/>
        <v/>
      </c>
    </row>
    <row r="3238" spans="19:19" x14ac:dyDescent="0.55000000000000004">
      <c r="S3238" t="str">
        <f t="shared" si="151"/>
        <v/>
      </c>
    </row>
    <row r="3239" spans="19:19" x14ac:dyDescent="0.55000000000000004">
      <c r="S3239" t="str">
        <f t="shared" si="151"/>
        <v/>
      </c>
    </row>
    <row r="3240" spans="19:19" x14ac:dyDescent="0.55000000000000004">
      <c r="S3240" t="str">
        <f t="shared" si="151"/>
        <v/>
      </c>
    </row>
    <row r="3241" spans="19:19" x14ac:dyDescent="0.55000000000000004">
      <c r="S3241" t="str">
        <f t="shared" si="151"/>
        <v/>
      </c>
    </row>
    <row r="3242" spans="19:19" x14ac:dyDescent="0.55000000000000004">
      <c r="S3242" t="str">
        <f t="shared" si="151"/>
        <v/>
      </c>
    </row>
    <row r="3243" spans="19:19" x14ac:dyDescent="0.55000000000000004">
      <c r="S3243" t="str">
        <f t="shared" si="151"/>
        <v/>
      </c>
    </row>
    <row r="3244" spans="19:19" x14ac:dyDescent="0.55000000000000004">
      <c r="S3244" t="str">
        <f t="shared" si="151"/>
        <v/>
      </c>
    </row>
    <row r="3245" spans="19:19" x14ac:dyDescent="0.55000000000000004">
      <c r="S3245" t="str">
        <f t="shared" si="151"/>
        <v/>
      </c>
    </row>
    <row r="3246" spans="19:19" x14ac:dyDescent="0.55000000000000004">
      <c r="S3246" t="str">
        <f t="shared" si="151"/>
        <v/>
      </c>
    </row>
    <row r="3247" spans="19:19" x14ac:dyDescent="0.55000000000000004">
      <c r="S3247" t="str">
        <f t="shared" si="151"/>
        <v/>
      </c>
    </row>
    <row r="3248" spans="19:19" x14ac:dyDescent="0.55000000000000004">
      <c r="S3248" t="str">
        <f t="shared" si="151"/>
        <v/>
      </c>
    </row>
    <row r="3249" spans="19:19" x14ac:dyDescent="0.55000000000000004">
      <c r="S3249" t="str">
        <f t="shared" si="151"/>
        <v/>
      </c>
    </row>
    <row r="3250" spans="19:19" x14ac:dyDescent="0.55000000000000004">
      <c r="S3250" t="str">
        <f t="shared" si="151"/>
        <v/>
      </c>
    </row>
    <row r="3251" spans="19:19" x14ac:dyDescent="0.55000000000000004">
      <c r="S3251" t="str">
        <f t="shared" si="151"/>
        <v/>
      </c>
    </row>
    <row r="3252" spans="19:19" x14ac:dyDescent="0.55000000000000004">
      <c r="S3252" t="str">
        <f t="shared" si="151"/>
        <v/>
      </c>
    </row>
    <row r="3253" spans="19:19" x14ac:dyDescent="0.55000000000000004">
      <c r="S3253" t="str">
        <f t="shared" si="151"/>
        <v/>
      </c>
    </row>
    <row r="3254" spans="19:19" x14ac:dyDescent="0.55000000000000004">
      <c r="S3254" t="str">
        <f t="shared" si="151"/>
        <v/>
      </c>
    </row>
    <row r="3255" spans="19:19" x14ac:dyDescent="0.55000000000000004">
      <c r="S3255" t="str">
        <f t="shared" si="151"/>
        <v/>
      </c>
    </row>
    <row r="3256" spans="19:19" x14ac:dyDescent="0.55000000000000004">
      <c r="S3256" t="str">
        <f t="shared" si="151"/>
        <v/>
      </c>
    </row>
    <row r="3257" spans="19:19" x14ac:dyDescent="0.55000000000000004">
      <c r="S3257" t="str">
        <f t="shared" si="151"/>
        <v/>
      </c>
    </row>
    <row r="3258" spans="19:19" x14ac:dyDescent="0.55000000000000004">
      <c r="S3258" t="str">
        <f t="shared" si="151"/>
        <v/>
      </c>
    </row>
    <row r="3259" spans="19:19" x14ac:dyDescent="0.55000000000000004">
      <c r="S3259" t="str">
        <f t="shared" si="151"/>
        <v/>
      </c>
    </row>
    <row r="3260" spans="19:19" x14ac:dyDescent="0.55000000000000004">
      <c r="S3260" t="str">
        <f t="shared" si="151"/>
        <v/>
      </c>
    </row>
    <row r="3261" spans="19:19" x14ac:dyDescent="0.55000000000000004">
      <c r="S3261" t="str">
        <f t="shared" si="151"/>
        <v/>
      </c>
    </row>
    <row r="3262" spans="19:19" x14ac:dyDescent="0.55000000000000004">
      <c r="S3262" t="str">
        <f t="shared" si="151"/>
        <v/>
      </c>
    </row>
    <row r="3263" spans="19:19" x14ac:dyDescent="0.55000000000000004">
      <c r="S3263" t="str">
        <f t="shared" si="151"/>
        <v/>
      </c>
    </row>
    <row r="3264" spans="19:19" x14ac:dyDescent="0.55000000000000004">
      <c r="S3264" t="str">
        <f t="shared" si="151"/>
        <v/>
      </c>
    </row>
    <row r="3265" spans="19:19" x14ac:dyDescent="0.55000000000000004">
      <c r="S3265" t="str">
        <f t="shared" si="151"/>
        <v/>
      </c>
    </row>
    <row r="3266" spans="19:19" x14ac:dyDescent="0.55000000000000004">
      <c r="S3266" t="str">
        <f t="shared" si="151"/>
        <v/>
      </c>
    </row>
    <row r="3267" spans="19:19" x14ac:dyDescent="0.55000000000000004">
      <c r="S3267" t="str">
        <f t="shared" si="151"/>
        <v/>
      </c>
    </row>
    <row r="3268" spans="19:19" x14ac:dyDescent="0.55000000000000004">
      <c r="S3268" t="str">
        <f t="shared" ref="S3268:S3331" si="152">IF(R3268&lt;&gt;"", R3268*236.588, "")</f>
        <v/>
      </c>
    </row>
    <row r="3269" spans="19:19" x14ac:dyDescent="0.55000000000000004">
      <c r="S3269" t="str">
        <f t="shared" si="152"/>
        <v/>
      </c>
    </row>
    <row r="3270" spans="19:19" x14ac:dyDescent="0.55000000000000004">
      <c r="S3270" t="str">
        <f t="shared" si="152"/>
        <v/>
      </c>
    </row>
    <row r="3271" spans="19:19" x14ac:dyDescent="0.55000000000000004">
      <c r="S3271" t="str">
        <f t="shared" si="152"/>
        <v/>
      </c>
    </row>
    <row r="3272" spans="19:19" x14ac:dyDescent="0.55000000000000004">
      <c r="S3272" t="str">
        <f t="shared" si="152"/>
        <v/>
      </c>
    </row>
    <row r="3273" spans="19:19" x14ac:dyDescent="0.55000000000000004">
      <c r="S3273" t="str">
        <f t="shared" si="152"/>
        <v/>
      </c>
    </row>
    <row r="3274" spans="19:19" x14ac:dyDescent="0.55000000000000004">
      <c r="S3274" t="str">
        <f t="shared" si="152"/>
        <v/>
      </c>
    </row>
    <row r="3275" spans="19:19" x14ac:dyDescent="0.55000000000000004">
      <c r="S3275" t="str">
        <f t="shared" si="152"/>
        <v/>
      </c>
    </row>
    <row r="3276" spans="19:19" x14ac:dyDescent="0.55000000000000004">
      <c r="S3276" t="str">
        <f t="shared" si="152"/>
        <v/>
      </c>
    </row>
    <row r="3277" spans="19:19" x14ac:dyDescent="0.55000000000000004">
      <c r="S3277" t="str">
        <f t="shared" si="152"/>
        <v/>
      </c>
    </row>
    <row r="3278" spans="19:19" x14ac:dyDescent="0.55000000000000004">
      <c r="S3278" t="str">
        <f t="shared" si="152"/>
        <v/>
      </c>
    </row>
    <row r="3279" spans="19:19" x14ac:dyDescent="0.55000000000000004">
      <c r="S3279" t="str">
        <f t="shared" si="152"/>
        <v/>
      </c>
    </row>
    <row r="3280" spans="19:19" x14ac:dyDescent="0.55000000000000004">
      <c r="S3280" t="str">
        <f t="shared" si="152"/>
        <v/>
      </c>
    </row>
    <row r="3281" spans="19:19" x14ac:dyDescent="0.55000000000000004">
      <c r="S3281" t="str">
        <f t="shared" si="152"/>
        <v/>
      </c>
    </row>
    <row r="3282" spans="19:19" x14ac:dyDescent="0.55000000000000004">
      <c r="S3282" t="str">
        <f t="shared" si="152"/>
        <v/>
      </c>
    </row>
    <row r="3283" spans="19:19" x14ac:dyDescent="0.55000000000000004">
      <c r="S3283" t="str">
        <f t="shared" si="152"/>
        <v/>
      </c>
    </row>
    <row r="3284" spans="19:19" x14ac:dyDescent="0.55000000000000004">
      <c r="S3284" t="str">
        <f t="shared" si="152"/>
        <v/>
      </c>
    </row>
    <row r="3285" spans="19:19" x14ac:dyDescent="0.55000000000000004">
      <c r="S3285" t="str">
        <f t="shared" si="152"/>
        <v/>
      </c>
    </row>
    <row r="3286" spans="19:19" x14ac:dyDescent="0.55000000000000004">
      <c r="S3286" t="str">
        <f t="shared" si="152"/>
        <v/>
      </c>
    </row>
    <row r="3287" spans="19:19" x14ac:dyDescent="0.55000000000000004">
      <c r="S3287" t="str">
        <f t="shared" si="152"/>
        <v/>
      </c>
    </row>
    <row r="3288" spans="19:19" x14ac:dyDescent="0.55000000000000004">
      <c r="S3288" t="str">
        <f t="shared" si="152"/>
        <v/>
      </c>
    </row>
    <row r="3289" spans="19:19" x14ac:dyDescent="0.55000000000000004">
      <c r="S3289" t="str">
        <f t="shared" si="152"/>
        <v/>
      </c>
    </row>
    <row r="3290" spans="19:19" x14ac:dyDescent="0.55000000000000004">
      <c r="S3290" t="str">
        <f t="shared" si="152"/>
        <v/>
      </c>
    </row>
    <row r="3291" spans="19:19" x14ac:dyDescent="0.55000000000000004">
      <c r="S3291" t="str">
        <f t="shared" si="152"/>
        <v/>
      </c>
    </row>
    <row r="3292" spans="19:19" x14ac:dyDescent="0.55000000000000004">
      <c r="S3292" t="str">
        <f t="shared" si="152"/>
        <v/>
      </c>
    </row>
    <row r="3293" spans="19:19" x14ac:dyDescent="0.55000000000000004">
      <c r="S3293" t="str">
        <f t="shared" si="152"/>
        <v/>
      </c>
    </row>
    <row r="3294" spans="19:19" x14ac:dyDescent="0.55000000000000004">
      <c r="S3294" t="str">
        <f t="shared" si="152"/>
        <v/>
      </c>
    </row>
    <row r="3295" spans="19:19" x14ac:dyDescent="0.55000000000000004">
      <c r="S3295" t="str">
        <f t="shared" si="152"/>
        <v/>
      </c>
    </row>
    <row r="3296" spans="19:19" x14ac:dyDescent="0.55000000000000004">
      <c r="S3296" t="str">
        <f t="shared" si="152"/>
        <v/>
      </c>
    </row>
    <row r="3297" spans="19:19" x14ac:dyDescent="0.55000000000000004">
      <c r="S3297" t="str">
        <f t="shared" si="152"/>
        <v/>
      </c>
    </row>
    <row r="3298" spans="19:19" x14ac:dyDescent="0.55000000000000004">
      <c r="S3298" t="str">
        <f t="shared" si="152"/>
        <v/>
      </c>
    </row>
    <row r="3299" spans="19:19" x14ac:dyDescent="0.55000000000000004">
      <c r="S3299" t="str">
        <f t="shared" si="152"/>
        <v/>
      </c>
    </row>
    <row r="3300" spans="19:19" x14ac:dyDescent="0.55000000000000004">
      <c r="S3300" t="str">
        <f t="shared" si="152"/>
        <v/>
      </c>
    </row>
    <row r="3301" spans="19:19" x14ac:dyDescent="0.55000000000000004">
      <c r="S3301" t="str">
        <f t="shared" si="152"/>
        <v/>
      </c>
    </row>
    <row r="3302" spans="19:19" x14ac:dyDescent="0.55000000000000004">
      <c r="S3302" t="str">
        <f t="shared" si="152"/>
        <v/>
      </c>
    </row>
    <row r="3303" spans="19:19" x14ac:dyDescent="0.55000000000000004">
      <c r="S3303" t="str">
        <f t="shared" si="152"/>
        <v/>
      </c>
    </row>
    <row r="3304" spans="19:19" x14ac:dyDescent="0.55000000000000004">
      <c r="S3304" t="str">
        <f t="shared" si="152"/>
        <v/>
      </c>
    </row>
    <row r="3305" spans="19:19" x14ac:dyDescent="0.55000000000000004">
      <c r="S3305" t="str">
        <f t="shared" si="152"/>
        <v/>
      </c>
    </row>
    <row r="3306" spans="19:19" x14ac:dyDescent="0.55000000000000004">
      <c r="S3306" t="str">
        <f t="shared" si="152"/>
        <v/>
      </c>
    </row>
    <row r="3307" spans="19:19" x14ac:dyDescent="0.55000000000000004">
      <c r="S3307" t="str">
        <f t="shared" si="152"/>
        <v/>
      </c>
    </row>
    <row r="3308" spans="19:19" x14ac:dyDescent="0.55000000000000004">
      <c r="S3308" t="str">
        <f t="shared" si="152"/>
        <v/>
      </c>
    </row>
    <row r="3309" spans="19:19" x14ac:dyDescent="0.55000000000000004">
      <c r="S3309" t="str">
        <f t="shared" si="152"/>
        <v/>
      </c>
    </row>
    <row r="3310" spans="19:19" x14ac:dyDescent="0.55000000000000004">
      <c r="S3310" t="str">
        <f t="shared" si="152"/>
        <v/>
      </c>
    </row>
    <row r="3311" spans="19:19" x14ac:dyDescent="0.55000000000000004">
      <c r="S3311" t="str">
        <f t="shared" si="152"/>
        <v/>
      </c>
    </row>
    <row r="3312" spans="19:19" x14ac:dyDescent="0.55000000000000004">
      <c r="S3312" t="str">
        <f t="shared" si="152"/>
        <v/>
      </c>
    </row>
    <row r="3313" spans="19:19" x14ac:dyDescent="0.55000000000000004">
      <c r="S3313" t="str">
        <f t="shared" si="152"/>
        <v/>
      </c>
    </row>
    <row r="3314" spans="19:19" x14ac:dyDescent="0.55000000000000004">
      <c r="S3314" t="str">
        <f t="shared" si="152"/>
        <v/>
      </c>
    </row>
    <row r="3315" spans="19:19" x14ac:dyDescent="0.55000000000000004">
      <c r="S3315" t="str">
        <f t="shared" si="152"/>
        <v/>
      </c>
    </row>
    <row r="3316" spans="19:19" x14ac:dyDescent="0.55000000000000004">
      <c r="S3316" t="str">
        <f t="shared" si="152"/>
        <v/>
      </c>
    </row>
    <row r="3317" spans="19:19" x14ac:dyDescent="0.55000000000000004">
      <c r="S3317" t="str">
        <f t="shared" si="152"/>
        <v/>
      </c>
    </row>
    <row r="3318" spans="19:19" x14ac:dyDescent="0.55000000000000004">
      <c r="S3318" t="str">
        <f t="shared" si="152"/>
        <v/>
      </c>
    </row>
    <row r="3319" spans="19:19" x14ac:dyDescent="0.55000000000000004">
      <c r="S3319" t="str">
        <f t="shared" si="152"/>
        <v/>
      </c>
    </row>
    <row r="3320" spans="19:19" x14ac:dyDescent="0.55000000000000004">
      <c r="S3320" t="str">
        <f t="shared" si="152"/>
        <v/>
      </c>
    </row>
    <row r="3321" spans="19:19" x14ac:dyDescent="0.55000000000000004">
      <c r="S3321" t="str">
        <f t="shared" si="152"/>
        <v/>
      </c>
    </row>
    <row r="3322" spans="19:19" x14ac:dyDescent="0.55000000000000004">
      <c r="S3322" t="str">
        <f t="shared" si="152"/>
        <v/>
      </c>
    </row>
    <row r="3323" spans="19:19" x14ac:dyDescent="0.55000000000000004">
      <c r="S3323" t="str">
        <f t="shared" si="152"/>
        <v/>
      </c>
    </row>
    <row r="3324" spans="19:19" x14ac:dyDescent="0.55000000000000004">
      <c r="S3324" t="str">
        <f t="shared" si="152"/>
        <v/>
      </c>
    </row>
    <row r="3325" spans="19:19" x14ac:dyDescent="0.55000000000000004">
      <c r="S3325" t="str">
        <f t="shared" si="152"/>
        <v/>
      </c>
    </row>
    <row r="3326" spans="19:19" x14ac:dyDescent="0.55000000000000004">
      <c r="S3326" t="str">
        <f t="shared" si="152"/>
        <v/>
      </c>
    </row>
    <row r="3327" spans="19:19" x14ac:dyDescent="0.55000000000000004">
      <c r="S3327" t="str">
        <f t="shared" si="152"/>
        <v/>
      </c>
    </row>
    <row r="3328" spans="19:19" x14ac:dyDescent="0.55000000000000004">
      <c r="S3328" t="str">
        <f t="shared" si="152"/>
        <v/>
      </c>
    </row>
    <row r="3329" spans="19:19" x14ac:dyDescent="0.55000000000000004">
      <c r="S3329" t="str">
        <f t="shared" si="152"/>
        <v/>
      </c>
    </row>
    <row r="3330" spans="19:19" x14ac:dyDescent="0.55000000000000004">
      <c r="S3330" t="str">
        <f t="shared" si="152"/>
        <v/>
      </c>
    </row>
    <row r="3331" spans="19:19" x14ac:dyDescent="0.55000000000000004">
      <c r="S3331" t="str">
        <f t="shared" si="152"/>
        <v/>
      </c>
    </row>
    <row r="3332" spans="19:19" x14ac:dyDescent="0.55000000000000004">
      <c r="S3332" t="str">
        <f t="shared" ref="S3332:S3395" si="153">IF(R3332&lt;&gt;"", R3332*236.588, "")</f>
        <v/>
      </c>
    </row>
    <row r="3333" spans="19:19" x14ac:dyDescent="0.55000000000000004">
      <c r="S3333" t="str">
        <f t="shared" si="153"/>
        <v/>
      </c>
    </row>
    <row r="3334" spans="19:19" x14ac:dyDescent="0.55000000000000004">
      <c r="S3334" t="str">
        <f t="shared" si="153"/>
        <v/>
      </c>
    </row>
    <row r="3335" spans="19:19" x14ac:dyDescent="0.55000000000000004">
      <c r="S3335" t="str">
        <f t="shared" si="153"/>
        <v/>
      </c>
    </row>
    <row r="3336" spans="19:19" x14ac:dyDescent="0.55000000000000004">
      <c r="S3336" t="str">
        <f t="shared" si="153"/>
        <v/>
      </c>
    </row>
    <row r="3337" spans="19:19" x14ac:dyDescent="0.55000000000000004">
      <c r="S3337" t="str">
        <f t="shared" si="153"/>
        <v/>
      </c>
    </row>
    <row r="3338" spans="19:19" x14ac:dyDescent="0.55000000000000004">
      <c r="S3338" t="str">
        <f t="shared" si="153"/>
        <v/>
      </c>
    </row>
    <row r="3339" spans="19:19" x14ac:dyDescent="0.55000000000000004">
      <c r="S3339" t="str">
        <f t="shared" si="153"/>
        <v/>
      </c>
    </row>
    <row r="3340" spans="19:19" x14ac:dyDescent="0.55000000000000004">
      <c r="S3340" t="str">
        <f t="shared" si="153"/>
        <v/>
      </c>
    </row>
    <row r="3341" spans="19:19" x14ac:dyDescent="0.55000000000000004">
      <c r="S3341" t="str">
        <f t="shared" si="153"/>
        <v/>
      </c>
    </row>
    <row r="3342" spans="19:19" x14ac:dyDescent="0.55000000000000004">
      <c r="S3342" t="str">
        <f t="shared" si="153"/>
        <v/>
      </c>
    </row>
    <row r="3343" spans="19:19" x14ac:dyDescent="0.55000000000000004">
      <c r="S3343" t="str">
        <f t="shared" si="153"/>
        <v/>
      </c>
    </row>
    <row r="3344" spans="19:19" x14ac:dyDescent="0.55000000000000004">
      <c r="S3344" t="str">
        <f t="shared" si="153"/>
        <v/>
      </c>
    </row>
    <row r="3345" spans="19:19" x14ac:dyDescent="0.55000000000000004">
      <c r="S3345" t="str">
        <f t="shared" si="153"/>
        <v/>
      </c>
    </row>
    <row r="3346" spans="19:19" x14ac:dyDescent="0.55000000000000004">
      <c r="S3346" t="str">
        <f t="shared" si="153"/>
        <v/>
      </c>
    </row>
    <row r="3347" spans="19:19" x14ac:dyDescent="0.55000000000000004">
      <c r="S3347" t="str">
        <f t="shared" si="153"/>
        <v/>
      </c>
    </row>
    <row r="3348" spans="19:19" x14ac:dyDescent="0.55000000000000004">
      <c r="S3348" t="str">
        <f t="shared" si="153"/>
        <v/>
      </c>
    </row>
    <row r="3349" spans="19:19" x14ac:dyDescent="0.55000000000000004">
      <c r="S3349" t="str">
        <f t="shared" si="153"/>
        <v/>
      </c>
    </row>
    <row r="3350" spans="19:19" x14ac:dyDescent="0.55000000000000004">
      <c r="S3350" t="str">
        <f t="shared" si="153"/>
        <v/>
      </c>
    </row>
    <row r="3351" spans="19:19" x14ac:dyDescent="0.55000000000000004">
      <c r="S3351" t="str">
        <f t="shared" si="153"/>
        <v/>
      </c>
    </row>
    <row r="3352" spans="19:19" x14ac:dyDescent="0.55000000000000004">
      <c r="S3352" t="str">
        <f t="shared" si="153"/>
        <v/>
      </c>
    </row>
    <row r="3353" spans="19:19" x14ac:dyDescent="0.55000000000000004">
      <c r="S3353" t="str">
        <f t="shared" si="153"/>
        <v/>
      </c>
    </row>
    <row r="3354" spans="19:19" x14ac:dyDescent="0.55000000000000004">
      <c r="S3354" t="str">
        <f t="shared" si="153"/>
        <v/>
      </c>
    </row>
    <row r="3355" spans="19:19" x14ac:dyDescent="0.55000000000000004">
      <c r="S3355" t="str">
        <f t="shared" si="153"/>
        <v/>
      </c>
    </row>
    <row r="3356" spans="19:19" x14ac:dyDescent="0.55000000000000004">
      <c r="S3356" t="str">
        <f t="shared" si="153"/>
        <v/>
      </c>
    </row>
    <row r="3357" spans="19:19" x14ac:dyDescent="0.55000000000000004">
      <c r="S3357" t="str">
        <f t="shared" si="153"/>
        <v/>
      </c>
    </row>
    <row r="3358" spans="19:19" x14ac:dyDescent="0.55000000000000004">
      <c r="S3358" t="str">
        <f t="shared" si="153"/>
        <v/>
      </c>
    </row>
    <row r="3359" spans="19:19" x14ac:dyDescent="0.55000000000000004">
      <c r="S3359" t="str">
        <f t="shared" si="153"/>
        <v/>
      </c>
    </row>
    <row r="3360" spans="19:19" x14ac:dyDescent="0.55000000000000004">
      <c r="S3360" t="str">
        <f t="shared" si="153"/>
        <v/>
      </c>
    </row>
    <row r="3361" spans="19:19" x14ac:dyDescent="0.55000000000000004">
      <c r="S3361" t="str">
        <f t="shared" si="153"/>
        <v/>
      </c>
    </row>
    <row r="3362" spans="19:19" x14ac:dyDescent="0.55000000000000004">
      <c r="S3362" t="str">
        <f t="shared" si="153"/>
        <v/>
      </c>
    </row>
    <row r="3363" spans="19:19" x14ac:dyDescent="0.55000000000000004">
      <c r="S3363" t="str">
        <f t="shared" si="153"/>
        <v/>
      </c>
    </row>
    <row r="3364" spans="19:19" x14ac:dyDescent="0.55000000000000004">
      <c r="S3364" t="str">
        <f t="shared" si="153"/>
        <v/>
      </c>
    </row>
    <row r="3365" spans="19:19" x14ac:dyDescent="0.55000000000000004">
      <c r="S3365" t="str">
        <f t="shared" si="153"/>
        <v/>
      </c>
    </row>
    <row r="3366" spans="19:19" x14ac:dyDescent="0.55000000000000004">
      <c r="S3366" t="str">
        <f t="shared" si="153"/>
        <v/>
      </c>
    </row>
    <row r="3367" spans="19:19" x14ac:dyDescent="0.55000000000000004">
      <c r="S3367" t="str">
        <f t="shared" si="153"/>
        <v/>
      </c>
    </row>
    <row r="3368" spans="19:19" x14ac:dyDescent="0.55000000000000004">
      <c r="S3368" t="str">
        <f t="shared" si="153"/>
        <v/>
      </c>
    </row>
    <row r="3369" spans="19:19" x14ac:dyDescent="0.55000000000000004">
      <c r="S3369" t="str">
        <f t="shared" si="153"/>
        <v/>
      </c>
    </row>
    <row r="3370" spans="19:19" x14ac:dyDescent="0.55000000000000004">
      <c r="S3370" t="str">
        <f t="shared" si="153"/>
        <v/>
      </c>
    </row>
    <row r="3371" spans="19:19" x14ac:dyDescent="0.55000000000000004">
      <c r="S3371" t="str">
        <f t="shared" si="153"/>
        <v/>
      </c>
    </row>
    <row r="3372" spans="19:19" x14ac:dyDescent="0.55000000000000004">
      <c r="S3372" t="str">
        <f t="shared" si="153"/>
        <v/>
      </c>
    </row>
    <row r="3373" spans="19:19" x14ac:dyDescent="0.55000000000000004">
      <c r="S3373" t="str">
        <f t="shared" si="153"/>
        <v/>
      </c>
    </row>
    <row r="3374" spans="19:19" x14ac:dyDescent="0.55000000000000004">
      <c r="S3374" t="str">
        <f t="shared" si="153"/>
        <v/>
      </c>
    </row>
    <row r="3375" spans="19:19" x14ac:dyDescent="0.55000000000000004">
      <c r="S3375" t="str">
        <f t="shared" si="153"/>
        <v/>
      </c>
    </row>
    <row r="3376" spans="19:19" x14ac:dyDescent="0.55000000000000004">
      <c r="S3376" t="str">
        <f t="shared" si="153"/>
        <v/>
      </c>
    </row>
    <row r="3377" spans="19:19" x14ac:dyDescent="0.55000000000000004">
      <c r="S3377" t="str">
        <f t="shared" si="153"/>
        <v/>
      </c>
    </row>
    <row r="3378" spans="19:19" x14ac:dyDescent="0.55000000000000004">
      <c r="S3378" t="str">
        <f t="shared" si="153"/>
        <v/>
      </c>
    </row>
    <row r="3379" spans="19:19" x14ac:dyDescent="0.55000000000000004">
      <c r="S3379" t="str">
        <f t="shared" si="153"/>
        <v/>
      </c>
    </row>
    <row r="3380" spans="19:19" x14ac:dyDescent="0.55000000000000004">
      <c r="S3380" t="str">
        <f t="shared" si="153"/>
        <v/>
      </c>
    </row>
    <row r="3381" spans="19:19" x14ac:dyDescent="0.55000000000000004">
      <c r="S3381" t="str">
        <f t="shared" si="153"/>
        <v/>
      </c>
    </row>
    <row r="3382" spans="19:19" x14ac:dyDescent="0.55000000000000004">
      <c r="S3382" t="str">
        <f t="shared" si="153"/>
        <v/>
      </c>
    </row>
    <row r="3383" spans="19:19" x14ac:dyDescent="0.55000000000000004">
      <c r="S3383" t="str">
        <f t="shared" si="153"/>
        <v/>
      </c>
    </row>
    <row r="3384" spans="19:19" x14ac:dyDescent="0.55000000000000004">
      <c r="S3384" t="str">
        <f t="shared" si="153"/>
        <v/>
      </c>
    </row>
    <row r="3385" spans="19:19" x14ac:dyDescent="0.55000000000000004">
      <c r="S3385" t="str">
        <f t="shared" si="153"/>
        <v/>
      </c>
    </row>
    <row r="3386" spans="19:19" x14ac:dyDescent="0.55000000000000004">
      <c r="S3386" t="str">
        <f t="shared" si="153"/>
        <v/>
      </c>
    </row>
    <row r="3387" spans="19:19" x14ac:dyDescent="0.55000000000000004">
      <c r="S3387" t="str">
        <f t="shared" si="153"/>
        <v/>
      </c>
    </row>
    <row r="3388" spans="19:19" x14ac:dyDescent="0.55000000000000004">
      <c r="S3388" t="str">
        <f t="shared" si="153"/>
        <v/>
      </c>
    </row>
    <row r="3389" spans="19:19" x14ac:dyDescent="0.55000000000000004">
      <c r="S3389" t="str">
        <f t="shared" si="153"/>
        <v/>
      </c>
    </row>
    <row r="3390" spans="19:19" x14ac:dyDescent="0.55000000000000004">
      <c r="S3390" t="str">
        <f t="shared" si="153"/>
        <v/>
      </c>
    </row>
    <row r="3391" spans="19:19" x14ac:dyDescent="0.55000000000000004">
      <c r="S3391" t="str">
        <f t="shared" si="153"/>
        <v/>
      </c>
    </row>
    <row r="3392" spans="19:19" x14ac:dyDescent="0.55000000000000004">
      <c r="S3392" t="str">
        <f t="shared" si="153"/>
        <v/>
      </c>
    </row>
    <row r="3393" spans="19:19" x14ac:dyDescent="0.55000000000000004">
      <c r="S3393" t="str">
        <f t="shared" si="153"/>
        <v/>
      </c>
    </row>
    <row r="3394" spans="19:19" x14ac:dyDescent="0.55000000000000004">
      <c r="S3394" t="str">
        <f t="shared" si="153"/>
        <v/>
      </c>
    </row>
    <row r="3395" spans="19:19" x14ac:dyDescent="0.55000000000000004">
      <c r="S3395" t="str">
        <f t="shared" si="153"/>
        <v/>
      </c>
    </row>
    <row r="3396" spans="19:19" x14ac:dyDescent="0.55000000000000004">
      <c r="S3396" t="str">
        <f t="shared" ref="S3396:S3459" si="154">IF(R3396&lt;&gt;"", R3396*236.588, "")</f>
        <v/>
      </c>
    </row>
    <row r="3397" spans="19:19" x14ac:dyDescent="0.55000000000000004">
      <c r="S3397" t="str">
        <f t="shared" si="154"/>
        <v/>
      </c>
    </row>
    <row r="3398" spans="19:19" x14ac:dyDescent="0.55000000000000004">
      <c r="S3398" t="str">
        <f t="shared" si="154"/>
        <v/>
      </c>
    </row>
    <row r="3399" spans="19:19" x14ac:dyDescent="0.55000000000000004">
      <c r="S3399" t="str">
        <f t="shared" si="154"/>
        <v/>
      </c>
    </row>
    <row r="3400" spans="19:19" x14ac:dyDescent="0.55000000000000004">
      <c r="S3400" t="str">
        <f t="shared" si="154"/>
        <v/>
      </c>
    </row>
    <row r="3401" spans="19:19" x14ac:dyDescent="0.55000000000000004">
      <c r="S3401" t="str">
        <f t="shared" si="154"/>
        <v/>
      </c>
    </row>
    <row r="3402" spans="19:19" x14ac:dyDescent="0.55000000000000004">
      <c r="S3402" t="str">
        <f t="shared" si="154"/>
        <v/>
      </c>
    </row>
    <row r="3403" spans="19:19" x14ac:dyDescent="0.55000000000000004">
      <c r="S3403" t="str">
        <f t="shared" si="154"/>
        <v/>
      </c>
    </row>
    <row r="3404" spans="19:19" x14ac:dyDescent="0.55000000000000004">
      <c r="S3404" t="str">
        <f t="shared" si="154"/>
        <v/>
      </c>
    </row>
    <row r="3405" spans="19:19" x14ac:dyDescent="0.55000000000000004">
      <c r="S3405" t="str">
        <f t="shared" si="154"/>
        <v/>
      </c>
    </row>
    <row r="3406" spans="19:19" x14ac:dyDescent="0.55000000000000004">
      <c r="S3406" t="str">
        <f t="shared" si="154"/>
        <v/>
      </c>
    </row>
    <row r="3407" spans="19:19" x14ac:dyDescent="0.55000000000000004">
      <c r="S3407" t="str">
        <f t="shared" si="154"/>
        <v/>
      </c>
    </row>
    <row r="3408" spans="19:19" x14ac:dyDescent="0.55000000000000004">
      <c r="S3408" t="str">
        <f t="shared" si="154"/>
        <v/>
      </c>
    </row>
    <row r="3409" spans="19:19" x14ac:dyDescent="0.55000000000000004">
      <c r="S3409" t="str">
        <f t="shared" si="154"/>
        <v/>
      </c>
    </row>
    <row r="3410" spans="19:19" x14ac:dyDescent="0.55000000000000004">
      <c r="S3410" t="str">
        <f t="shared" si="154"/>
        <v/>
      </c>
    </row>
    <row r="3411" spans="19:19" x14ac:dyDescent="0.55000000000000004">
      <c r="S3411" t="str">
        <f t="shared" si="154"/>
        <v/>
      </c>
    </row>
    <row r="3412" spans="19:19" x14ac:dyDescent="0.55000000000000004">
      <c r="S3412" t="str">
        <f t="shared" si="154"/>
        <v/>
      </c>
    </row>
    <row r="3413" spans="19:19" x14ac:dyDescent="0.55000000000000004">
      <c r="S3413" t="str">
        <f t="shared" si="154"/>
        <v/>
      </c>
    </row>
    <row r="3414" spans="19:19" x14ac:dyDescent="0.55000000000000004">
      <c r="S3414" t="str">
        <f t="shared" si="154"/>
        <v/>
      </c>
    </row>
    <row r="3415" spans="19:19" x14ac:dyDescent="0.55000000000000004">
      <c r="S3415" t="str">
        <f t="shared" si="154"/>
        <v/>
      </c>
    </row>
    <row r="3416" spans="19:19" x14ac:dyDescent="0.55000000000000004">
      <c r="S3416" t="str">
        <f t="shared" si="154"/>
        <v/>
      </c>
    </row>
    <row r="3417" spans="19:19" x14ac:dyDescent="0.55000000000000004">
      <c r="S3417" t="str">
        <f t="shared" si="154"/>
        <v/>
      </c>
    </row>
    <row r="3418" spans="19:19" x14ac:dyDescent="0.55000000000000004">
      <c r="S3418" t="str">
        <f t="shared" si="154"/>
        <v/>
      </c>
    </row>
    <row r="3419" spans="19:19" x14ac:dyDescent="0.55000000000000004">
      <c r="S3419" t="str">
        <f t="shared" si="154"/>
        <v/>
      </c>
    </row>
    <row r="3420" spans="19:19" x14ac:dyDescent="0.55000000000000004">
      <c r="S3420" t="str">
        <f t="shared" si="154"/>
        <v/>
      </c>
    </row>
    <row r="3421" spans="19:19" x14ac:dyDescent="0.55000000000000004">
      <c r="S3421" t="str">
        <f t="shared" si="154"/>
        <v/>
      </c>
    </row>
    <row r="3422" spans="19:19" x14ac:dyDescent="0.55000000000000004">
      <c r="S3422" t="str">
        <f t="shared" si="154"/>
        <v/>
      </c>
    </row>
    <row r="3423" spans="19:19" x14ac:dyDescent="0.55000000000000004">
      <c r="S3423" t="str">
        <f t="shared" si="154"/>
        <v/>
      </c>
    </row>
    <row r="3424" spans="19:19" x14ac:dyDescent="0.55000000000000004">
      <c r="S3424" t="str">
        <f t="shared" si="154"/>
        <v/>
      </c>
    </row>
    <row r="3425" spans="19:19" x14ac:dyDescent="0.55000000000000004">
      <c r="S3425" t="str">
        <f t="shared" si="154"/>
        <v/>
      </c>
    </row>
    <row r="3426" spans="19:19" x14ac:dyDescent="0.55000000000000004">
      <c r="S3426" t="str">
        <f t="shared" si="154"/>
        <v/>
      </c>
    </row>
    <row r="3427" spans="19:19" x14ac:dyDescent="0.55000000000000004">
      <c r="S3427" t="str">
        <f t="shared" si="154"/>
        <v/>
      </c>
    </row>
    <row r="3428" spans="19:19" x14ac:dyDescent="0.55000000000000004">
      <c r="S3428" t="str">
        <f t="shared" si="154"/>
        <v/>
      </c>
    </row>
    <row r="3429" spans="19:19" x14ac:dyDescent="0.55000000000000004">
      <c r="S3429" t="str">
        <f t="shared" si="154"/>
        <v/>
      </c>
    </row>
    <row r="3430" spans="19:19" x14ac:dyDescent="0.55000000000000004">
      <c r="S3430" t="str">
        <f t="shared" si="154"/>
        <v/>
      </c>
    </row>
    <row r="3431" spans="19:19" x14ac:dyDescent="0.55000000000000004">
      <c r="S3431" t="str">
        <f t="shared" si="154"/>
        <v/>
      </c>
    </row>
    <row r="3432" spans="19:19" x14ac:dyDescent="0.55000000000000004">
      <c r="S3432" t="str">
        <f t="shared" si="154"/>
        <v/>
      </c>
    </row>
    <row r="3433" spans="19:19" x14ac:dyDescent="0.55000000000000004">
      <c r="S3433" t="str">
        <f t="shared" si="154"/>
        <v/>
      </c>
    </row>
    <row r="3434" spans="19:19" x14ac:dyDescent="0.55000000000000004">
      <c r="S3434" t="str">
        <f t="shared" si="154"/>
        <v/>
      </c>
    </row>
    <row r="3435" spans="19:19" x14ac:dyDescent="0.55000000000000004">
      <c r="S3435" t="str">
        <f t="shared" si="154"/>
        <v/>
      </c>
    </row>
    <row r="3436" spans="19:19" x14ac:dyDescent="0.55000000000000004">
      <c r="S3436" t="str">
        <f t="shared" si="154"/>
        <v/>
      </c>
    </row>
    <row r="3437" spans="19:19" x14ac:dyDescent="0.55000000000000004">
      <c r="S3437" t="str">
        <f t="shared" si="154"/>
        <v/>
      </c>
    </row>
    <row r="3438" spans="19:19" x14ac:dyDescent="0.55000000000000004">
      <c r="S3438" t="str">
        <f t="shared" si="154"/>
        <v/>
      </c>
    </row>
    <row r="3439" spans="19:19" x14ac:dyDescent="0.55000000000000004">
      <c r="S3439" t="str">
        <f t="shared" si="154"/>
        <v/>
      </c>
    </row>
    <row r="3440" spans="19:19" x14ac:dyDescent="0.55000000000000004">
      <c r="S3440" t="str">
        <f t="shared" si="154"/>
        <v/>
      </c>
    </row>
    <row r="3441" spans="19:19" x14ac:dyDescent="0.55000000000000004">
      <c r="S3441" t="str">
        <f t="shared" si="154"/>
        <v/>
      </c>
    </row>
    <row r="3442" spans="19:19" x14ac:dyDescent="0.55000000000000004">
      <c r="S3442" t="str">
        <f t="shared" si="154"/>
        <v/>
      </c>
    </row>
    <row r="3443" spans="19:19" x14ac:dyDescent="0.55000000000000004">
      <c r="S3443" t="str">
        <f t="shared" si="154"/>
        <v/>
      </c>
    </row>
    <row r="3444" spans="19:19" x14ac:dyDescent="0.55000000000000004">
      <c r="S3444" t="str">
        <f t="shared" si="154"/>
        <v/>
      </c>
    </row>
    <row r="3445" spans="19:19" x14ac:dyDescent="0.55000000000000004">
      <c r="S3445" t="str">
        <f t="shared" si="154"/>
        <v/>
      </c>
    </row>
    <row r="3446" spans="19:19" x14ac:dyDescent="0.55000000000000004">
      <c r="S3446" t="str">
        <f t="shared" si="154"/>
        <v/>
      </c>
    </row>
    <row r="3447" spans="19:19" x14ac:dyDescent="0.55000000000000004">
      <c r="S3447" t="str">
        <f t="shared" si="154"/>
        <v/>
      </c>
    </row>
    <row r="3448" spans="19:19" x14ac:dyDescent="0.55000000000000004">
      <c r="S3448" t="str">
        <f t="shared" si="154"/>
        <v/>
      </c>
    </row>
    <row r="3449" spans="19:19" x14ac:dyDescent="0.55000000000000004">
      <c r="S3449" t="str">
        <f t="shared" si="154"/>
        <v/>
      </c>
    </row>
    <row r="3450" spans="19:19" x14ac:dyDescent="0.55000000000000004">
      <c r="S3450" t="str">
        <f t="shared" si="154"/>
        <v/>
      </c>
    </row>
    <row r="3451" spans="19:19" x14ac:dyDescent="0.55000000000000004">
      <c r="S3451" t="str">
        <f t="shared" si="154"/>
        <v/>
      </c>
    </row>
    <row r="3452" spans="19:19" x14ac:dyDescent="0.55000000000000004">
      <c r="S3452" t="str">
        <f t="shared" si="154"/>
        <v/>
      </c>
    </row>
    <row r="3453" spans="19:19" x14ac:dyDescent="0.55000000000000004">
      <c r="S3453" t="str">
        <f t="shared" si="154"/>
        <v/>
      </c>
    </row>
    <row r="3454" spans="19:19" x14ac:dyDescent="0.55000000000000004">
      <c r="S3454" t="str">
        <f t="shared" si="154"/>
        <v/>
      </c>
    </row>
    <row r="3455" spans="19:19" x14ac:dyDescent="0.55000000000000004">
      <c r="S3455" t="str">
        <f t="shared" si="154"/>
        <v/>
      </c>
    </row>
    <row r="3456" spans="19:19" x14ac:dyDescent="0.55000000000000004">
      <c r="S3456" t="str">
        <f t="shared" si="154"/>
        <v/>
      </c>
    </row>
    <row r="3457" spans="19:19" x14ac:dyDescent="0.55000000000000004">
      <c r="S3457" t="str">
        <f t="shared" si="154"/>
        <v/>
      </c>
    </row>
    <row r="3458" spans="19:19" x14ac:dyDescent="0.55000000000000004">
      <c r="S3458" t="str">
        <f t="shared" si="154"/>
        <v/>
      </c>
    </row>
    <row r="3459" spans="19:19" x14ac:dyDescent="0.55000000000000004">
      <c r="S3459" t="str">
        <f t="shared" si="154"/>
        <v/>
      </c>
    </row>
    <row r="3460" spans="19:19" x14ac:dyDescent="0.55000000000000004">
      <c r="S3460" t="str">
        <f t="shared" ref="S3460:S3523" si="155">IF(R3460&lt;&gt;"", R3460*236.588, "")</f>
        <v/>
      </c>
    </row>
    <row r="3461" spans="19:19" x14ac:dyDescent="0.55000000000000004">
      <c r="S3461" t="str">
        <f t="shared" si="155"/>
        <v/>
      </c>
    </row>
    <row r="3462" spans="19:19" x14ac:dyDescent="0.55000000000000004">
      <c r="S3462" t="str">
        <f t="shared" si="155"/>
        <v/>
      </c>
    </row>
    <row r="3463" spans="19:19" x14ac:dyDescent="0.55000000000000004">
      <c r="S3463" t="str">
        <f t="shared" si="155"/>
        <v/>
      </c>
    </row>
    <row r="3464" spans="19:19" x14ac:dyDescent="0.55000000000000004">
      <c r="S3464" t="str">
        <f t="shared" si="155"/>
        <v/>
      </c>
    </row>
    <row r="3465" spans="19:19" x14ac:dyDescent="0.55000000000000004">
      <c r="S3465" t="str">
        <f t="shared" si="155"/>
        <v/>
      </c>
    </row>
    <row r="3466" spans="19:19" x14ac:dyDescent="0.55000000000000004">
      <c r="S3466" t="str">
        <f t="shared" si="155"/>
        <v/>
      </c>
    </row>
    <row r="3467" spans="19:19" x14ac:dyDescent="0.55000000000000004">
      <c r="S3467" t="str">
        <f t="shared" si="155"/>
        <v/>
      </c>
    </row>
    <row r="3468" spans="19:19" x14ac:dyDescent="0.55000000000000004">
      <c r="S3468" t="str">
        <f t="shared" si="155"/>
        <v/>
      </c>
    </row>
    <row r="3469" spans="19:19" x14ac:dyDescent="0.55000000000000004">
      <c r="S3469" t="str">
        <f t="shared" si="155"/>
        <v/>
      </c>
    </row>
    <row r="3470" spans="19:19" x14ac:dyDescent="0.55000000000000004">
      <c r="S3470" t="str">
        <f t="shared" si="155"/>
        <v/>
      </c>
    </row>
    <row r="3471" spans="19:19" x14ac:dyDescent="0.55000000000000004">
      <c r="S3471" t="str">
        <f t="shared" si="155"/>
        <v/>
      </c>
    </row>
    <row r="3472" spans="19:19" x14ac:dyDescent="0.55000000000000004">
      <c r="S3472" t="str">
        <f t="shared" si="155"/>
        <v/>
      </c>
    </row>
    <row r="3473" spans="19:19" x14ac:dyDescent="0.55000000000000004">
      <c r="S3473" t="str">
        <f t="shared" si="155"/>
        <v/>
      </c>
    </row>
    <row r="3474" spans="19:19" x14ac:dyDescent="0.55000000000000004">
      <c r="S3474" t="str">
        <f t="shared" si="155"/>
        <v/>
      </c>
    </row>
    <row r="3475" spans="19:19" x14ac:dyDescent="0.55000000000000004">
      <c r="S3475" t="str">
        <f t="shared" si="155"/>
        <v/>
      </c>
    </row>
    <row r="3476" spans="19:19" x14ac:dyDescent="0.55000000000000004">
      <c r="S3476" t="str">
        <f t="shared" si="155"/>
        <v/>
      </c>
    </row>
    <row r="3477" spans="19:19" x14ac:dyDescent="0.55000000000000004">
      <c r="S3477" t="str">
        <f t="shared" si="155"/>
        <v/>
      </c>
    </row>
    <row r="3478" spans="19:19" x14ac:dyDescent="0.55000000000000004">
      <c r="S3478" t="str">
        <f t="shared" si="155"/>
        <v/>
      </c>
    </row>
    <row r="3479" spans="19:19" x14ac:dyDescent="0.55000000000000004">
      <c r="S3479" t="str">
        <f t="shared" si="155"/>
        <v/>
      </c>
    </row>
    <row r="3480" spans="19:19" x14ac:dyDescent="0.55000000000000004">
      <c r="S3480" t="str">
        <f t="shared" si="155"/>
        <v/>
      </c>
    </row>
    <row r="3481" spans="19:19" x14ac:dyDescent="0.55000000000000004">
      <c r="S3481" t="str">
        <f t="shared" si="155"/>
        <v/>
      </c>
    </row>
    <row r="3482" spans="19:19" x14ac:dyDescent="0.55000000000000004">
      <c r="S3482" t="str">
        <f t="shared" si="155"/>
        <v/>
      </c>
    </row>
    <row r="3483" spans="19:19" x14ac:dyDescent="0.55000000000000004">
      <c r="S3483" t="str">
        <f t="shared" si="155"/>
        <v/>
      </c>
    </row>
    <row r="3484" spans="19:19" x14ac:dyDescent="0.55000000000000004">
      <c r="S3484" t="str">
        <f t="shared" si="155"/>
        <v/>
      </c>
    </row>
    <row r="3485" spans="19:19" x14ac:dyDescent="0.55000000000000004">
      <c r="S3485" t="str">
        <f t="shared" si="155"/>
        <v/>
      </c>
    </row>
    <row r="3486" spans="19:19" x14ac:dyDescent="0.55000000000000004">
      <c r="S3486" t="str">
        <f t="shared" si="155"/>
        <v/>
      </c>
    </row>
    <row r="3487" spans="19:19" x14ac:dyDescent="0.55000000000000004">
      <c r="S3487" t="str">
        <f t="shared" si="155"/>
        <v/>
      </c>
    </row>
    <row r="3488" spans="19:19" x14ac:dyDescent="0.55000000000000004">
      <c r="S3488" t="str">
        <f t="shared" si="155"/>
        <v/>
      </c>
    </row>
    <row r="3489" spans="19:19" x14ac:dyDescent="0.55000000000000004">
      <c r="S3489" t="str">
        <f t="shared" si="155"/>
        <v/>
      </c>
    </row>
    <row r="3490" spans="19:19" x14ac:dyDescent="0.55000000000000004">
      <c r="S3490" t="str">
        <f t="shared" si="155"/>
        <v/>
      </c>
    </row>
    <row r="3491" spans="19:19" x14ac:dyDescent="0.55000000000000004">
      <c r="S3491" t="str">
        <f t="shared" si="155"/>
        <v/>
      </c>
    </row>
    <row r="3492" spans="19:19" x14ac:dyDescent="0.55000000000000004">
      <c r="S3492" t="str">
        <f t="shared" si="155"/>
        <v/>
      </c>
    </row>
    <row r="3493" spans="19:19" x14ac:dyDescent="0.55000000000000004">
      <c r="S3493" t="str">
        <f t="shared" si="155"/>
        <v/>
      </c>
    </row>
    <row r="3494" spans="19:19" x14ac:dyDescent="0.55000000000000004">
      <c r="S3494" t="str">
        <f t="shared" si="155"/>
        <v/>
      </c>
    </row>
    <row r="3495" spans="19:19" x14ac:dyDescent="0.55000000000000004">
      <c r="S3495" t="str">
        <f t="shared" si="155"/>
        <v/>
      </c>
    </row>
    <row r="3496" spans="19:19" x14ac:dyDescent="0.55000000000000004">
      <c r="S3496" t="str">
        <f t="shared" si="155"/>
        <v/>
      </c>
    </row>
    <row r="3497" spans="19:19" x14ac:dyDescent="0.55000000000000004">
      <c r="S3497" t="str">
        <f t="shared" si="155"/>
        <v/>
      </c>
    </row>
    <row r="3498" spans="19:19" x14ac:dyDescent="0.55000000000000004">
      <c r="S3498" t="str">
        <f t="shared" si="155"/>
        <v/>
      </c>
    </row>
    <row r="3499" spans="19:19" x14ac:dyDescent="0.55000000000000004">
      <c r="S3499" t="str">
        <f t="shared" si="155"/>
        <v/>
      </c>
    </row>
    <row r="3500" spans="19:19" x14ac:dyDescent="0.55000000000000004">
      <c r="S3500" t="str">
        <f t="shared" si="155"/>
        <v/>
      </c>
    </row>
    <row r="3501" spans="19:19" x14ac:dyDescent="0.55000000000000004">
      <c r="S3501" t="str">
        <f t="shared" si="155"/>
        <v/>
      </c>
    </row>
    <row r="3502" spans="19:19" x14ac:dyDescent="0.55000000000000004">
      <c r="S3502" t="str">
        <f t="shared" si="155"/>
        <v/>
      </c>
    </row>
    <row r="3503" spans="19:19" x14ac:dyDescent="0.55000000000000004">
      <c r="S3503" t="str">
        <f t="shared" si="155"/>
        <v/>
      </c>
    </row>
    <row r="3504" spans="19:19" x14ac:dyDescent="0.55000000000000004">
      <c r="S3504" t="str">
        <f t="shared" si="155"/>
        <v/>
      </c>
    </row>
    <row r="3505" spans="19:19" x14ac:dyDescent="0.55000000000000004">
      <c r="S3505" t="str">
        <f t="shared" si="155"/>
        <v/>
      </c>
    </row>
    <row r="3506" spans="19:19" x14ac:dyDescent="0.55000000000000004">
      <c r="S3506" t="str">
        <f t="shared" si="155"/>
        <v/>
      </c>
    </row>
    <row r="3507" spans="19:19" x14ac:dyDescent="0.55000000000000004">
      <c r="S3507" t="str">
        <f t="shared" si="155"/>
        <v/>
      </c>
    </row>
    <row r="3508" spans="19:19" x14ac:dyDescent="0.55000000000000004">
      <c r="S3508" t="str">
        <f t="shared" si="155"/>
        <v/>
      </c>
    </row>
    <row r="3509" spans="19:19" x14ac:dyDescent="0.55000000000000004">
      <c r="S3509" t="str">
        <f t="shared" si="155"/>
        <v/>
      </c>
    </row>
    <row r="3510" spans="19:19" x14ac:dyDescent="0.55000000000000004">
      <c r="S3510" t="str">
        <f t="shared" si="155"/>
        <v/>
      </c>
    </row>
    <row r="3511" spans="19:19" x14ac:dyDescent="0.55000000000000004">
      <c r="S3511" t="str">
        <f t="shared" si="155"/>
        <v/>
      </c>
    </row>
    <row r="3512" spans="19:19" x14ac:dyDescent="0.55000000000000004">
      <c r="S3512" t="str">
        <f t="shared" si="155"/>
        <v/>
      </c>
    </row>
    <row r="3513" spans="19:19" x14ac:dyDescent="0.55000000000000004">
      <c r="S3513" t="str">
        <f t="shared" si="155"/>
        <v/>
      </c>
    </row>
    <row r="3514" spans="19:19" x14ac:dyDescent="0.55000000000000004">
      <c r="S3514" t="str">
        <f t="shared" si="155"/>
        <v/>
      </c>
    </row>
    <row r="3515" spans="19:19" x14ac:dyDescent="0.55000000000000004">
      <c r="S3515" t="str">
        <f t="shared" si="155"/>
        <v/>
      </c>
    </row>
    <row r="3516" spans="19:19" x14ac:dyDescent="0.55000000000000004">
      <c r="S3516" t="str">
        <f t="shared" si="155"/>
        <v/>
      </c>
    </row>
    <row r="3517" spans="19:19" x14ac:dyDescent="0.55000000000000004">
      <c r="S3517" t="str">
        <f t="shared" si="155"/>
        <v/>
      </c>
    </row>
    <row r="3518" spans="19:19" x14ac:dyDescent="0.55000000000000004">
      <c r="S3518" t="str">
        <f t="shared" si="155"/>
        <v/>
      </c>
    </row>
    <row r="3519" spans="19:19" x14ac:dyDescent="0.55000000000000004">
      <c r="S3519" t="str">
        <f t="shared" si="155"/>
        <v/>
      </c>
    </row>
    <row r="3520" spans="19:19" x14ac:dyDescent="0.55000000000000004">
      <c r="S3520" t="str">
        <f t="shared" si="155"/>
        <v/>
      </c>
    </row>
    <row r="3521" spans="19:19" x14ac:dyDescent="0.55000000000000004">
      <c r="S3521" t="str">
        <f t="shared" si="155"/>
        <v/>
      </c>
    </row>
    <row r="3522" spans="19:19" x14ac:dyDescent="0.55000000000000004">
      <c r="S3522" t="str">
        <f t="shared" si="155"/>
        <v/>
      </c>
    </row>
    <row r="3523" spans="19:19" x14ac:dyDescent="0.55000000000000004">
      <c r="S3523" t="str">
        <f t="shared" si="155"/>
        <v/>
      </c>
    </row>
    <row r="3524" spans="19:19" x14ac:dyDescent="0.55000000000000004">
      <c r="S3524" t="str">
        <f t="shared" ref="S3524:S3587" si="156">IF(R3524&lt;&gt;"", R3524*236.588, "")</f>
        <v/>
      </c>
    </row>
    <row r="3525" spans="19:19" x14ac:dyDescent="0.55000000000000004">
      <c r="S3525" t="str">
        <f t="shared" si="156"/>
        <v/>
      </c>
    </row>
    <row r="3526" spans="19:19" x14ac:dyDescent="0.55000000000000004">
      <c r="S3526" t="str">
        <f t="shared" si="156"/>
        <v/>
      </c>
    </row>
    <row r="3527" spans="19:19" x14ac:dyDescent="0.55000000000000004">
      <c r="S3527" t="str">
        <f t="shared" si="156"/>
        <v/>
      </c>
    </row>
    <row r="3528" spans="19:19" x14ac:dyDescent="0.55000000000000004">
      <c r="S3528" t="str">
        <f t="shared" si="156"/>
        <v/>
      </c>
    </row>
    <row r="3529" spans="19:19" x14ac:dyDescent="0.55000000000000004">
      <c r="S3529" t="str">
        <f t="shared" si="156"/>
        <v/>
      </c>
    </row>
    <row r="3530" spans="19:19" x14ac:dyDescent="0.55000000000000004">
      <c r="S3530" t="str">
        <f t="shared" si="156"/>
        <v/>
      </c>
    </row>
    <row r="3531" spans="19:19" x14ac:dyDescent="0.55000000000000004">
      <c r="S3531" t="str">
        <f t="shared" si="156"/>
        <v/>
      </c>
    </row>
    <row r="3532" spans="19:19" x14ac:dyDescent="0.55000000000000004">
      <c r="S3532" t="str">
        <f t="shared" si="156"/>
        <v/>
      </c>
    </row>
    <row r="3533" spans="19:19" x14ac:dyDescent="0.55000000000000004">
      <c r="S3533" t="str">
        <f t="shared" si="156"/>
        <v/>
      </c>
    </row>
    <row r="3534" spans="19:19" x14ac:dyDescent="0.55000000000000004">
      <c r="S3534" t="str">
        <f t="shared" si="156"/>
        <v/>
      </c>
    </row>
    <row r="3535" spans="19:19" x14ac:dyDescent="0.55000000000000004">
      <c r="S3535" t="str">
        <f t="shared" si="156"/>
        <v/>
      </c>
    </row>
    <row r="3536" spans="19:19" x14ac:dyDescent="0.55000000000000004">
      <c r="S3536" t="str">
        <f t="shared" si="156"/>
        <v/>
      </c>
    </row>
    <row r="3537" spans="19:19" x14ac:dyDescent="0.55000000000000004">
      <c r="S3537" t="str">
        <f t="shared" si="156"/>
        <v/>
      </c>
    </row>
    <row r="3538" spans="19:19" x14ac:dyDescent="0.55000000000000004">
      <c r="S3538" t="str">
        <f t="shared" si="156"/>
        <v/>
      </c>
    </row>
    <row r="3539" spans="19:19" x14ac:dyDescent="0.55000000000000004">
      <c r="S3539" t="str">
        <f t="shared" si="156"/>
        <v/>
      </c>
    </row>
    <row r="3540" spans="19:19" x14ac:dyDescent="0.55000000000000004">
      <c r="S3540" t="str">
        <f t="shared" si="156"/>
        <v/>
      </c>
    </row>
    <row r="3541" spans="19:19" x14ac:dyDescent="0.55000000000000004">
      <c r="S3541" t="str">
        <f t="shared" si="156"/>
        <v/>
      </c>
    </row>
    <row r="3542" spans="19:19" x14ac:dyDescent="0.55000000000000004">
      <c r="S3542" t="str">
        <f t="shared" si="156"/>
        <v/>
      </c>
    </row>
    <row r="3543" spans="19:19" x14ac:dyDescent="0.55000000000000004">
      <c r="S3543" t="str">
        <f t="shared" si="156"/>
        <v/>
      </c>
    </row>
    <row r="3544" spans="19:19" x14ac:dyDescent="0.55000000000000004">
      <c r="S3544" t="str">
        <f t="shared" si="156"/>
        <v/>
      </c>
    </row>
    <row r="3545" spans="19:19" x14ac:dyDescent="0.55000000000000004">
      <c r="S3545" t="str">
        <f t="shared" si="156"/>
        <v/>
      </c>
    </row>
    <row r="3546" spans="19:19" x14ac:dyDescent="0.55000000000000004">
      <c r="S3546" t="str">
        <f t="shared" si="156"/>
        <v/>
      </c>
    </row>
    <row r="3547" spans="19:19" x14ac:dyDescent="0.55000000000000004">
      <c r="S3547" t="str">
        <f t="shared" si="156"/>
        <v/>
      </c>
    </row>
    <row r="3548" spans="19:19" x14ac:dyDescent="0.55000000000000004">
      <c r="S3548" t="str">
        <f t="shared" si="156"/>
        <v/>
      </c>
    </row>
    <row r="3549" spans="19:19" x14ac:dyDescent="0.55000000000000004">
      <c r="S3549" t="str">
        <f t="shared" si="156"/>
        <v/>
      </c>
    </row>
    <row r="3550" spans="19:19" x14ac:dyDescent="0.55000000000000004">
      <c r="S3550" t="str">
        <f t="shared" si="156"/>
        <v/>
      </c>
    </row>
    <row r="3551" spans="19:19" x14ac:dyDescent="0.55000000000000004">
      <c r="S3551" t="str">
        <f t="shared" si="156"/>
        <v/>
      </c>
    </row>
    <row r="3552" spans="19:19" x14ac:dyDescent="0.55000000000000004">
      <c r="S3552" t="str">
        <f t="shared" si="156"/>
        <v/>
      </c>
    </row>
    <row r="3553" spans="19:19" x14ac:dyDescent="0.55000000000000004">
      <c r="S3553" t="str">
        <f t="shared" si="156"/>
        <v/>
      </c>
    </row>
    <row r="3554" spans="19:19" x14ac:dyDescent="0.55000000000000004">
      <c r="S3554" t="str">
        <f t="shared" si="156"/>
        <v/>
      </c>
    </row>
    <row r="3555" spans="19:19" x14ac:dyDescent="0.55000000000000004">
      <c r="S3555" t="str">
        <f t="shared" si="156"/>
        <v/>
      </c>
    </row>
    <row r="3556" spans="19:19" x14ac:dyDescent="0.55000000000000004">
      <c r="S3556" t="str">
        <f t="shared" si="156"/>
        <v/>
      </c>
    </row>
    <row r="3557" spans="19:19" x14ac:dyDescent="0.55000000000000004">
      <c r="S3557" t="str">
        <f t="shared" si="156"/>
        <v/>
      </c>
    </row>
    <row r="3558" spans="19:19" x14ac:dyDescent="0.55000000000000004">
      <c r="S3558" t="str">
        <f t="shared" si="156"/>
        <v/>
      </c>
    </row>
    <row r="3559" spans="19:19" x14ac:dyDescent="0.55000000000000004">
      <c r="S3559" t="str">
        <f t="shared" si="156"/>
        <v/>
      </c>
    </row>
    <row r="3560" spans="19:19" x14ac:dyDescent="0.55000000000000004">
      <c r="S3560" t="str">
        <f t="shared" si="156"/>
        <v/>
      </c>
    </row>
    <row r="3561" spans="19:19" x14ac:dyDescent="0.55000000000000004">
      <c r="S3561" t="str">
        <f t="shared" si="156"/>
        <v/>
      </c>
    </row>
    <row r="3562" spans="19:19" x14ac:dyDescent="0.55000000000000004">
      <c r="S3562" t="str">
        <f t="shared" si="156"/>
        <v/>
      </c>
    </row>
    <row r="3563" spans="19:19" x14ac:dyDescent="0.55000000000000004">
      <c r="S3563" t="str">
        <f t="shared" si="156"/>
        <v/>
      </c>
    </row>
    <row r="3564" spans="19:19" x14ac:dyDescent="0.55000000000000004">
      <c r="S3564" t="str">
        <f t="shared" si="156"/>
        <v/>
      </c>
    </row>
    <row r="3565" spans="19:19" x14ac:dyDescent="0.55000000000000004">
      <c r="S3565" t="str">
        <f t="shared" si="156"/>
        <v/>
      </c>
    </row>
    <row r="3566" spans="19:19" x14ac:dyDescent="0.55000000000000004">
      <c r="S3566" t="str">
        <f t="shared" si="156"/>
        <v/>
      </c>
    </row>
    <row r="3567" spans="19:19" x14ac:dyDescent="0.55000000000000004">
      <c r="S3567" t="str">
        <f t="shared" si="156"/>
        <v/>
      </c>
    </row>
    <row r="3568" spans="19:19" x14ac:dyDescent="0.55000000000000004">
      <c r="S3568" t="str">
        <f t="shared" si="156"/>
        <v/>
      </c>
    </row>
    <row r="3569" spans="19:19" x14ac:dyDescent="0.55000000000000004">
      <c r="S3569" t="str">
        <f t="shared" si="156"/>
        <v/>
      </c>
    </row>
    <row r="3570" spans="19:19" x14ac:dyDescent="0.55000000000000004">
      <c r="S3570" t="str">
        <f t="shared" si="156"/>
        <v/>
      </c>
    </row>
    <row r="3571" spans="19:19" x14ac:dyDescent="0.55000000000000004">
      <c r="S3571" t="str">
        <f t="shared" si="156"/>
        <v/>
      </c>
    </row>
    <row r="3572" spans="19:19" x14ac:dyDescent="0.55000000000000004">
      <c r="S3572" t="str">
        <f t="shared" si="156"/>
        <v/>
      </c>
    </row>
    <row r="3573" spans="19:19" x14ac:dyDescent="0.55000000000000004">
      <c r="S3573" t="str">
        <f t="shared" si="156"/>
        <v/>
      </c>
    </row>
    <row r="3574" spans="19:19" x14ac:dyDescent="0.55000000000000004">
      <c r="S3574" t="str">
        <f t="shared" si="156"/>
        <v/>
      </c>
    </row>
    <row r="3575" spans="19:19" x14ac:dyDescent="0.55000000000000004">
      <c r="S3575" t="str">
        <f t="shared" si="156"/>
        <v/>
      </c>
    </row>
    <row r="3576" spans="19:19" x14ac:dyDescent="0.55000000000000004">
      <c r="S3576" t="str">
        <f t="shared" si="156"/>
        <v/>
      </c>
    </row>
    <row r="3577" spans="19:19" x14ac:dyDescent="0.55000000000000004">
      <c r="S3577" t="str">
        <f t="shared" si="156"/>
        <v/>
      </c>
    </row>
    <row r="3578" spans="19:19" x14ac:dyDescent="0.55000000000000004">
      <c r="S3578" t="str">
        <f t="shared" si="156"/>
        <v/>
      </c>
    </row>
    <row r="3579" spans="19:19" x14ac:dyDescent="0.55000000000000004">
      <c r="S3579" t="str">
        <f t="shared" si="156"/>
        <v/>
      </c>
    </row>
    <row r="3580" spans="19:19" x14ac:dyDescent="0.55000000000000004">
      <c r="S3580" t="str">
        <f t="shared" si="156"/>
        <v/>
      </c>
    </row>
    <row r="3581" spans="19:19" x14ac:dyDescent="0.55000000000000004">
      <c r="S3581" t="str">
        <f t="shared" si="156"/>
        <v/>
      </c>
    </row>
    <row r="3582" spans="19:19" x14ac:dyDescent="0.55000000000000004">
      <c r="S3582" t="str">
        <f t="shared" si="156"/>
        <v/>
      </c>
    </row>
    <row r="3583" spans="19:19" x14ac:dyDescent="0.55000000000000004">
      <c r="S3583" t="str">
        <f t="shared" si="156"/>
        <v/>
      </c>
    </row>
    <row r="3584" spans="19:19" x14ac:dyDescent="0.55000000000000004">
      <c r="S3584" t="str">
        <f t="shared" si="156"/>
        <v/>
      </c>
    </row>
    <row r="3585" spans="19:19" x14ac:dyDescent="0.55000000000000004">
      <c r="S3585" t="str">
        <f t="shared" si="156"/>
        <v/>
      </c>
    </row>
    <row r="3586" spans="19:19" x14ac:dyDescent="0.55000000000000004">
      <c r="S3586" t="str">
        <f t="shared" si="156"/>
        <v/>
      </c>
    </row>
    <row r="3587" spans="19:19" x14ac:dyDescent="0.55000000000000004">
      <c r="S3587" t="str">
        <f t="shared" si="156"/>
        <v/>
      </c>
    </row>
    <row r="3588" spans="19:19" x14ac:dyDescent="0.55000000000000004">
      <c r="S3588" t="str">
        <f t="shared" ref="S3588:S3651" si="157">IF(R3588&lt;&gt;"", R3588*236.588, "")</f>
        <v/>
      </c>
    </row>
    <row r="3589" spans="19:19" x14ac:dyDescent="0.55000000000000004">
      <c r="S3589" t="str">
        <f t="shared" si="157"/>
        <v/>
      </c>
    </row>
    <row r="3590" spans="19:19" x14ac:dyDescent="0.55000000000000004">
      <c r="S3590" t="str">
        <f t="shared" si="157"/>
        <v/>
      </c>
    </row>
    <row r="3591" spans="19:19" x14ac:dyDescent="0.55000000000000004">
      <c r="S3591" t="str">
        <f t="shared" si="157"/>
        <v/>
      </c>
    </row>
    <row r="3592" spans="19:19" x14ac:dyDescent="0.55000000000000004">
      <c r="S3592" t="str">
        <f t="shared" si="157"/>
        <v/>
      </c>
    </row>
    <row r="3593" spans="19:19" x14ac:dyDescent="0.55000000000000004">
      <c r="S3593" t="str">
        <f t="shared" si="157"/>
        <v/>
      </c>
    </row>
    <row r="3594" spans="19:19" x14ac:dyDescent="0.55000000000000004">
      <c r="S3594" t="str">
        <f t="shared" si="157"/>
        <v/>
      </c>
    </row>
    <row r="3595" spans="19:19" x14ac:dyDescent="0.55000000000000004">
      <c r="S3595" t="str">
        <f t="shared" si="157"/>
        <v/>
      </c>
    </row>
    <row r="3596" spans="19:19" x14ac:dyDescent="0.55000000000000004">
      <c r="S3596" t="str">
        <f t="shared" si="157"/>
        <v/>
      </c>
    </row>
    <row r="3597" spans="19:19" x14ac:dyDescent="0.55000000000000004">
      <c r="S3597" t="str">
        <f t="shared" si="157"/>
        <v/>
      </c>
    </row>
    <row r="3598" spans="19:19" x14ac:dyDescent="0.55000000000000004">
      <c r="S3598" t="str">
        <f t="shared" si="157"/>
        <v/>
      </c>
    </row>
    <row r="3599" spans="19:19" x14ac:dyDescent="0.55000000000000004">
      <c r="S3599" t="str">
        <f t="shared" si="157"/>
        <v/>
      </c>
    </row>
    <row r="3600" spans="19:19" x14ac:dyDescent="0.55000000000000004">
      <c r="S3600" t="str">
        <f t="shared" si="157"/>
        <v/>
      </c>
    </row>
    <row r="3601" spans="19:19" x14ac:dyDescent="0.55000000000000004">
      <c r="S3601" t="str">
        <f t="shared" si="157"/>
        <v/>
      </c>
    </row>
    <row r="3602" spans="19:19" x14ac:dyDescent="0.55000000000000004">
      <c r="S3602" t="str">
        <f t="shared" si="157"/>
        <v/>
      </c>
    </row>
    <row r="3603" spans="19:19" x14ac:dyDescent="0.55000000000000004">
      <c r="S3603" t="str">
        <f t="shared" si="157"/>
        <v/>
      </c>
    </row>
    <row r="3604" spans="19:19" x14ac:dyDescent="0.55000000000000004">
      <c r="S3604" t="str">
        <f t="shared" si="157"/>
        <v/>
      </c>
    </row>
    <row r="3605" spans="19:19" x14ac:dyDescent="0.55000000000000004">
      <c r="S3605" t="str">
        <f t="shared" si="157"/>
        <v/>
      </c>
    </row>
    <row r="3606" spans="19:19" x14ac:dyDescent="0.55000000000000004">
      <c r="S3606" t="str">
        <f t="shared" si="157"/>
        <v/>
      </c>
    </row>
    <row r="3607" spans="19:19" x14ac:dyDescent="0.55000000000000004">
      <c r="S3607" t="str">
        <f t="shared" si="157"/>
        <v/>
      </c>
    </row>
    <row r="3608" spans="19:19" x14ac:dyDescent="0.55000000000000004">
      <c r="S3608" t="str">
        <f t="shared" si="157"/>
        <v/>
      </c>
    </row>
    <row r="3609" spans="19:19" x14ac:dyDescent="0.55000000000000004">
      <c r="S3609" t="str">
        <f t="shared" si="157"/>
        <v/>
      </c>
    </row>
    <row r="3610" spans="19:19" x14ac:dyDescent="0.55000000000000004">
      <c r="S3610" t="str">
        <f t="shared" si="157"/>
        <v/>
      </c>
    </row>
    <row r="3611" spans="19:19" x14ac:dyDescent="0.55000000000000004">
      <c r="S3611" t="str">
        <f t="shared" si="157"/>
        <v/>
      </c>
    </row>
    <row r="3612" spans="19:19" x14ac:dyDescent="0.55000000000000004">
      <c r="S3612" t="str">
        <f t="shared" si="157"/>
        <v/>
      </c>
    </row>
    <row r="3613" spans="19:19" x14ac:dyDescent="0.55000000000000004">
      <c r="S3613" t="str">
        <f t="shared" si="157"/>
        <v/>
      </c>
    </row>
    <row r="3614" spans="19:19" x14ac:dyDescent="0.55000000000000004">
      <c r="S3614" t="str">
        <f t="shared" si="157"/>
        <v/>
      </c>
    </row>
    <row r="3615" spans="19:19" x14ac:dyDescent="0.55000000000000004">
      <c r="S3615" t="str">
        <f t="shared" si="157"/>
        <v/>
      </c>
    </row>
    <row r="3616" spans="19:19" x14ac:dyDescent="0.55000000000000004">
      <c r="S3616" t="str">
        <f t="shared" si="157"/>
        <v/>
      </c>
    </row>
    <row r="3617" spans="19:19" x14ac:dyDescent="0.55000000000000004">
      <c r="S3617" t="str">
        <f t="shared" si="157"/>
        <v/>
      </c>
    </row>
    <row r="3618" spans="19:19" x14ac:dyDescent="0.55000000000000004">
      <c r="S3618" t="str">
        <f t="shared" si="157"/>
        <v/>
      </c>
    </row>
    <row r="3619" spans="19:19" x14ac:dyDescent="0.55000000000000004">
      <c r="S3619" t="str">
        <f t="shared" si="157"/>
        <v/>
      </c>
    </row>
    <row r="3620" spans="19:19" x14ac:dyDescent="0.55000000000000004">
      <c r="S3620" t="str">
        <f t="shared" si="157"/>
        <v/>
      </c>
    </row>
    <row r="3621" spans="19:19" x14ac:dyDescent="0.55000000000000004">
      <c r="S3621" t="str">
        <f t="shared" si="157"/>
        <v/>
      </c>
    </row>
    <row r="3622" spans="19:19" x14ac:dyDescent="0.55000000000000004">
      <c r="S3622" t="str">
        <f t="shared" si="157"/>
        <v/>
      </c>
    </row>
    <row r="3623" spans="19:19" x14ac:dyDescent="0.55000000000000004">
      <c r="S3623" t="str">
        <f t="shared" si="157"/>
        <v/>
      </c>
    </row>
    <row r="3624" spans="19:19" x14ac:dyDescent="0.55000000000000004">
      <c r="S3624" t="str">
        <f t="shared" si="157"/>
        <v/>
      </c>
    </row>
    <row r="3625" spans="19:19" x14ac:dyDescent="0.55000000000000004">
      <c r="S3625" t="str">
        <f t="shared" si="157"/>
        <v/>
      </c>
    </row>
    <row r="3626" spans="19:19" x14ac:dyDescent="0.55000000000000004">
      <c r="S3626" t="str">
        <f t="shared" si="157"/>
        <v/>
      </c>
    </row>
    <row r="3627" spans="19:19" x14ac:dyDescent="0.55000000000000004">
      <c r="S3627" t="str">
        <f t="shared" si="157"/>
        <v/>
      </c>
    </row>
    <row r="3628" spans="19:19" x14ac:dyDescent="0.55000000000000004">
      <c r="S3628" t="str">
        <f t="shared" si="157"/>
        <v/>
      </c>
    </row>
    <row r="3629" spans="19:19" x14ac:dyDescent="0.55000000000000004">
      <c r="S3629" t="str">
        <f t="shared" si="157"/>
        <v/>
      </c>
    </row>
    <row r="3630" spans="19:19" x14ac:dyDescent="0.55000000000000004">
      <c r="S3630" t="str">
        <f t="shared" si="157"/>
        <v/>
      </c>
    </row>
    <row r="3631" spans="19:19" x14ac:dyDescent="0.55000000000000004">
      <c r="S3631" t="str">
        <f t="shared" si="157"/>
        <v/>
      </c>
    </row>
    <row r="3632" spans="19:19" x14ac:dyDescent="0.55000000000000004">
      <c r="S3632" t="str">
        <f t="shared" si="157"/>
        <v/>
      </c>
    </row>
    <row r="3633" spans="19:19" x14ac:dyDescent="0.55000000000000004">
      <c r="S3633" t="str">
        <f t="shared" si="157"/>
        <v/>
      </c>
    </row>
    <row r="3634" spans="19:19" x14ac:dyDescent="0.55000000000000004">
      <c r="S3634" t="str">
        <f t="shared" si="157"/>
        <v/>
      </c>
    </row>
    <row r="3635" spans="19:19" x14ac:dyDescent="0.55000000000000004">
      <c r="S3635" t="str">
        <f t="shared" si="157"/>
        <v/>
      </c>
    </row>
    <row r="3636" spans="19:19" x14ac:dyDescent="0.55000000000000004">
      <c r="S3636" t="str">
        <f t="shared" si="157"/>
        <v/>
      </c>
    </row>
    <row r="3637" spans="19:19" x14ac:dyDescent="0.55000000000000004">
      <c r="S3637" t="str">
        <f t="shared" si="157"/>
        <v/>
      </c>
    </row>
    <row r="3638" spans="19:19" x14ac:dyDescent="0.55000000000000004">
      <c r="S3638" t="str">
        <f t="shared" si="157"/>
        <v/>
      </c>
    </row>
    <row r="3639" spans="19:19" x14ac:dyDescent="0.55000000000000004">
      <c r="S3639" t="str">
        <f t="shared" si="157"/>
        <v/>
      </c>
    </row>
    <row r="3640" spans="19:19" x14ac:dyDescent="0.55000000000000004">
      <c r="S3640" t="str">
        <f t="shared" si="157"/>
        <v/>
      </c>
    </row>
    <row r="3641" spans="19:19" x14ac:dyDescent="0.55000000000000004">
      <c r="S3641" t="str">
        <f t="shared" si="157"/>
        <v/>
      </c>
    </row>
    <row r="3642" spans="19:19" x14ac:dyDescent="0.55000000000000004">
      <c r="S3642" t="str">
        <f t="shared" si="157"/>
        <v/>
      </c>
    </row>
    <row r="3643" spans="19:19" x14ac:dyDescent="0.55000000000000004">
      <c r="S3643" t="str">
        <f t="shared" si="157"/>
        <v/>
      </c>
    </row>
    <row r="3644" spans="19:19" x14ac:dyDescent="0.55000000000000004">
      <c r="S3644" t="str">
        <f t="shared" si="157"/>
        <v/>
      </c>
    </row>
    <row r="3645" spans="19:19" x14ac:dyDescent="0.55000000000000004">
      <c r="S3645" t="str">
        <f t="shared" si="157"/>
        <v/>
      </c>
    </row>
    <row r="3646" spans="19:19" x14ac:dyDescent="0.55000000000000004">
      <c r="S3646" t="str">
        <f t="shared" si="157"/>
        <v/>
      </c>
    </row>
    <row r="3647" spans="19:19" x14ac:dyDescent="0.55000000000000004">
      <c r="S3647" t="str">
        <f t="shared" si="157"/>
        <v/>
      </c>
    </row>
    <row r="3648" spans="19:19" x14ac:dyDescent="0.55000000000000004">
      <c r="S3648" t="str">
        <f t="shared" si="157"/>
        <v/>
      </c>
    </row>
    <row r="3649" spans="19:19" x14ac:dyDescent="0.55000000000000004">
      <c r="S3649" t="str">
        <f t="shared" si="157"/>
        <v/>
      </c>
    </row>
    <row r="3650" spans="19:19" x14ac:dyDescent="0.55000000000000004">
      <c r="S3650" t="str">
        <f t="shared" si="157"/>
        <v/>
      </c>
    </row>
    <row r="3651" spans="19:19" x14ac:dyDescent="0.55000000000000004">
      <c r="S3651" t="str">
        <f t="shared" si="157"/>
        <v/>
      </c>
    </row>
    <row r="3652" spans="19:19" x14ac:dyDescent="0.55000000000000004">
      <c r="S3652" t="str">
        <f t="shared" ref="S3652:S3715" si="158">IF(R3652&lt;&gt;"", R3652*236.588, "")</f>
        <v/>
      </c>
    </row>
    <row r="3653" spans="19:19" x14ac:dyDescent="0.55000000000000004">
      <c r="S3653" t="str">
        <f t="shared" si="158"/>
        <v/>
      </c>
    </row>
    <row r="3654" spans="19:19" x14ac:dyDescent="0.55000000000000004">
      <c r="S3654" t="str">
        <f t="shared" si="158"/>
        <v/>
      </c>
    </row>
    <row r="3655" spans="19:19" x14ac:dyDescent="0.55000000000000004">
      <c r="S3655" t="str">
        <f t="shared" si="158"/>
        <v/>
      </c>
    </row>
    <row r="3656" spans="19:19" x14ac:dyDescent="0.55000000000000004">
      <c r="S3656" t="str">
        <f t="shared" si="158"/>
        <v/>
      </c>
    </row>
    <row r="3657" spans="19:19" x14ac:dyDescent="0.55000000000000004">
      <c r="S3657" t="str">
        <f t="shared" si="158"/>
        <v/>
      </c>
    </row>
    <row r="3658" spans="19:19" x14ac:dyDescent="0.55000000000000004">
      <c r="S3658" t="str">
        <f t="shared" si="158"/>
        <v/>
      </c>
    </row>
    <row r="3659" spans="19:19" x14ac:dyDescent="0.55000000000000004">
      <c r="S3659" t="str">
        <f t="shared" si="158"/>
        <v/>
      </c>
    </row>
    <row r="3660" spans="19:19" x14ac:dyDescent="0.55000000000000004">
      <c r="S3660" t="str">
        <f t="shared" si="158"/>
        <v/>
      </c>
    </row>
    <row r="3661" spans="19:19" x14ac:dyDescent="0.55000000000000004">
      <c r="S3661" t="str">
        <f t="shared" si="158"/>
        <v/>
      </c>
    </row>
    <row r="3662" spans="19:19" x14ac:dyDescent="0.55000000000000004">
      <c r="S3662" t="str">
        <f t="shared" si="158"/>
        <v/>
      </c>
    </row>
    <row r="3663" spans="19:19" x14ac:dyDescent="0.55000000000000004">
      <c r="S3663" t="str">
        <f t="shared" si="158"/>
        <v/>
      </c>
    </row>
    <row r="3664" spans="19:19" x14ac:dyDescent="0.55000000000000004">
      <c r="S3664" t="str">
        <f t="shared" si="158"/>
        <v/>
      </c>
    </row>
    <row r="3665" spans="19:19" x14ac:dyDescent="0.55000000000000004">
      <c r="S3665" t="str">
        <f t="shared" si="158"/>
        <v/>
      </c>
    </row>
    <row r="3666" spans="19:19" x14ac:dyDescent="0.55000000000000004">
      <c r="S3666" t="str">
        <f t="shared" si="158"/>
        <v/>
      </c>
    </row>
    <row r="3667" spans="19:19" x14ac:dyDescent="0.55000000000000004">
      <c r="S3667" t="str">
        <f t="shared" si="158"/>
        <v/>
      </c>
    </row>
    <row r="3668" spans="19:19" x14ac:dyDescent="0.55000000000000004">
      <c r="S3668" t="str">
        <f t="shared" si="158"/>
        <v/>
      </c>
    </row>
    <row r="3669" spans="19:19" x14ac:dyDescent="0.55000000000000004">
      <c r="S3669" t="str">
        <f t="shared" si="158"/>
        <v/>
      </c>
    </row>
    <row r="3670" spans="19:19" x14ac:dyDescent="0.55000000000000004">
      <c r="S3670" t="str">
        <f t="shared" si="158"/>
        <v/>
      </c>
    </row>
    <row r="3671" spans="19:19" x14ac:dyDescent="0.55000000000000004">
      <c r="S3671" t="str">
        <f t="shared" si="158"/>
        <v/>
      </c>
    </row>
    <row r="3672" spans="19:19" x14ac:dyDescent="0.55000000000000004">
      <c r="S3672" t="str">
        <f t="shared" si="158"/>
        <v/>
      </c>
    </row>
    <row r="3673" spans="19:19" x14ac:dyDescent="0.55000000000000004">
      <c r="S3673" t="str">
        <f t="shared" si="158"/>
        <v/>
      </c>
    </row>
    <row r="3674" spans="19:19" x14ac:dyDescent="0.55000000000000004">
      <c r="S3674" t="str">
        <f t="shared" si="158"/>
        <v/>
      </c>
    </row>
    <row r="3675" spans="19:19" x14ac:dyDescent="0.55000000000000004">
      <c r="S3675" t="str">
        <f t="shared" si="158"/>
        <v/>
      </c>
    </row>
    <row r="3676" spans="19:19" x14ac:dyDescent="0.55000000000000004">
      <c r="S3676" t="str">
        <f t="shared" si="158"/>
        <v/>
      </c>
    </row>
    <row r="3677" spans="19:19" x14ac:dyDescent="0.55000000000000004">
      <c r="S3677" t="str">
        <f t="shared" si="158"/>
        <v/>
      </c>
    </row>
    <row r="3678" spans="19:19" x14ac:dyDescent="0.55000000000000004">
      <c r="S3678" t="str">
        <f t="shared" si="158"/>
        <v/>
      </c>
    </row>
    <row r="3679" spans="19:19" x14ac:dyDescent="0.55000000000000004">
      <c r="S3679" t="str">
        <f t="shared" si="158"/>
        <v/>
      </c>
    </row>
    <row r="3680" spans="19:19" x14ac:dyDescent="0.55000000000000004">
      <c r="S3680" t="str">
        <f t="shared" si="158"/>
        <v/>
      </c>
    </row>
    <row r="3681" spans="19:19" x14ac:dyDescent="0.55000000000000004">
      <c r="S3681" t="str">
        <f t="shared" si="158"/>
        <v/>
      </c>
    </row>
    <row r="3682" spans="19:19" x14ac:dyDescent="0.55000000000000004">
      <c r="S3682" t="str">
        <f t="shared" si="158"/>
        <v/>
      </c>
    </row>
    <row r="3683" spans="19:19" x14ac:dyDescent="0.55000000000000004">
      <c r="S3683" t="str">
        <f t="shared" si="158"/>
        <v/>
      </c>
    </row>
    <row r="3684" spans="19:19" x14ac:dyDescent="0.55000000000000004">
      <c r="S3684" t="str">
        <f t="shared" si="158"/>
        <v/>
      </c>
    </row>
    <row r="3685" spans="19:19" x14ac:dyDescent="0.55000000000000004">
      <c r="S3685" t="str">
        <f t="shared" si="158"/>
        <v/>
      </c>
    </row>
    <row r="3686" spans="19:19" x14ac:dyDescent="0.55000000000000004">
      <c r="S3686" t="str">
        <f t="shared" si="158"/>
        <v/>
      </c>
    </row>
    <row r="3687" spans="19:19" x14ac:dyDescent="0.55000000000000004">
      <c r="S3687" t="str">
        <f t="shared" si="158"/>
        <v/>
      </c>
    </row>
    <row r="3688" spans="19:19" x14ac:dyDescent="0.55000000000000004">
      <c r="S3688" t="str">
        <f t="shared" si="158"/>
        <v/>
      </c>
    </row>
    <row r="3689" spans="19:19" x14ac:dyDescent="0.55000000000000004">
      <c r="S3689" t="str">
        <f t="shared" si="158"/>
        <v/>
      </c>
    </row>
    <row r="3690" spans="19:19" x14ac:dyDescent="0.55000000000000004">
      <c r="S3690" t="str">
        <f t="shared" si="158"/>
        <v/>
      </c>
    </row>
    <row r="3691" spans="19:19" x14ac:dyDescent="0.55000000000000004">
      <c r="S3691" t="str">
        <f t="shared" si="158"/>
        <v/>
      </c>
    </row>
    <row r="3692" spans="19:19" x14ac:dyDescent="0.55000000000000004">
      <c r="S3692" t="str">
        <f t="shared" si="158"/>
        <v/>
      </c>
    </row>
    <row r="3693" spans="19:19" x14ac:dyDescent="0.55000000000000004">
      <c r="S3693" t="str">
        <f t="shared" si="158"/>
        <v/>
      </c>
    </row>
    <row r="3694" spans="19:19" x14ac:dyDescent="0.55000000000000004">
      <c r="S3694" t="str">
        <f t="shared" si="158"/>
        <v/>
      </c>
    </row>
    <row r="3695" spans="19:19" x14ac:dyDescent="0.55000000000000004">
      <c r="S3695" t="str">
        <f t="shared" si="158"/>
        <v/>
      </c>
    </row>
    <row r="3696" spans="19:19" x14ac:dyDescent="0.55000000000000004">
      <c r="S3696" t="str">
        <f t="shared" si="158"/>
        <v/>
      </c>
    </row>
    <row r="3697" spans="19:19" x14ac:dyDescent="0.55000000000000004">
      <c r="S3697" t="str">
        <f t="shared" si="158"/>
        <v/>
      </c>
    </row>
    <row r="3698" spans="19:19" x14ac:dyDescent="0.55000000000000004">
      <c r="S3698" t="str">
        <f t="shared" si="158"/>
        <v/>
      </c>
    </row>
    <row r="3699" spans="19:19" x14ac:dyDescent="0.55000000000000004">
      <c r="S3699" t="str">
        <f t="shared" si="158"/>
        <v/>
      </c>
    </row>
    <row r="3700" spans="19:19" x14ac:dyDescent="0.55000000000000004">
      <c r="S3700" t="str">
        <f t="shared" si="158"/>
        <v/>
      </c>
    </row>
    <row r="3701" spans="19:19" x14ac:dyDescent="0.55000000000000004">
      <c r="S3701" t="str">
        <f t="shared" si="158"/>
        <v/>
      </c>
    </row>
    <row r="3702" spans="19:19" x14ac:dyDescent="0.55000000000000004">
      <c r="S3702" t="str">
        <f t="shared" si="158"/>
        <v/>
      </c>
    </row>
    <row r="3703" spans="19:19" x14ac:dyDescent="0.55000000000000004">
      <c r="S3703" t="str">
        <f t="shared" si="158"/>
        <v/>
      </c>
    </row>
    <row r="3704" spans="19:19" x14ac:dyDescent="0.55000000000000004">
      <c r="S3704" t="str">
        <f t="shared" si="158"/>
        <v/>
      </c>
    </row>
    <row r="3705" spans="19:19" x14ac:dyDescent="0.55000000000000004">
      <c r="S3705" t="str">
        <f t="shared" si="158"/>
        <v/>
      </c>
    </row>
    <row r="3706" spans="19:19" x14ac:dyDescent="0.55000000000000004">
      <c r="S3706" t="str">
        <f t="shared" si="158"/>
        <v/>
      </c>
    </row>
    <row r="3707" spans="19:19" x14ac:dyDescent="0.55000000000000004">
      <c r="S3707" t="str">
        <f t="shared" si="158"/>
        <v/>
      </c>
    </row>
    <row r="3708" spans="19:19" x14ac:dyDescent="0.55000000000000004">
      <c r="S3708" t="str">
        <f t="shared" si="158"/>
        <v/>
      </c>
    </row>
    <row r="3709" spans="19:19" x14ac:dyDescent="0.55000000000000004">
      <c r="S3709" t="str">
        <f t="shared" si="158"/>
        <v/>
      </c>
    </row>
    <row r="3710" spans="19:19" x14ac:dyDescent="0.55000000000000004">
      <c r="S3710" t="str">
        <f t="shared" si="158"/>
        <v/>
      </c>
    </row>
    <row r="3711" spans="19:19" x14ac:dyDescent="0.55000000000000004">
      <c r="S3711" t="str">
        <f t="shared" si="158"/>
        <v/>
      </c>
    </row>
    <row r="3712" spans="19:19" x14ac:dyDescent="0.55000000000000004">
      <c r="S3712" t="str">
        <f t="shared" si="158"/>
        <v/>
      </c>
    </row>
    <row r="3713" spans="19:19" x14ac:dyDescent="0.55000000000000004">
      <c r="S3713" t="str">
        <f t="shared" si="158"/>
        <v/>
      </c>
    </row>
    <row r="3714" spans="19:19" x14ac:dyDescent="0.55000000000000004">
      <c r="S3714" t="str">
        <f t="shared" si="158"/>
        <v/>
      </c>
    </row>
    <row r="3715" spans="19:19" x14ac:dyDescent="0.55000000000000004">
      <c r="S3715" t="str">
        <f t="shared" si="158"/>
        <v/>
      </c>
    </row>
    <row r="3716" spans="19:19" x14ac:dyDescent="0.55000000000000004">
      <c r="S3716" t="str">
        <f t="shared" ref="S3716:S3779" si="159">IF(R3716&lt;&gt;"", R3716*236.588, "")</f>
        <v/>
      </c>
    </row>
    <row r="3717" spans="19:19" x14ac:dyDescent="0.55000000000000004">
      <c r="S3717" t="str">
        <f t="shared" si="159"/>
        <v/>
      </c>
    </row>
    <row r="3718" spans="19:19" x14ac:dyDescent="0.55000000000000004">
      <c r="S3718" t="str">
        <f t="shared" si="159"/>
        <v/>
      </c>
    </row>
    <row r="3719" spans="19:19" x14ac:dyDescent="0.55000000000000004">
      <c r="S3719" t="str">
        <f t="shared" si="159"/>
        <v/>
      </c>
    </row>
    <row r="3720" spans="19:19" x14ac:dyDescent="0.55000000000000004">
      <c r="S3720" t="str">
        <f t="shared" si="159"/>
        <v/>
      </c>
    </row>
    <row r="3721" spans="19:19" x14ac:dyDescent="0.55000000000000004">
      <c r="S3721" t="str">
        <f t="shared" si="159"/>
        <v/>
      </c>
    </row>
    <row r="3722" spans="19:19" x14ac:dyDescent="0.55000000000000004">
      <c r="S3722" t="str">
        <f t="shared" si="159"/>
        <v/>
      </c>
    </row>
    <row r="3723" spans="19:19" x14ac:dyDescent="0.55000000000000004">
      <c r="S3723" t="str">
        <f t="shared" si="159"/>
        <v/>
      </c>
    </row>
    <row r="3724" spans="19:19" x14ac:dyDescent="0.55000000000000004">
      <c r="S3724" t="str">
        <f t="shared" si="159"/>
        <v/>
      </c>
    </row>
    <row r="3725" spans="19:19" x14ac:dyDescent="0.55000000000000004">
      <c r="S3725" t="str">
        <f t="shared" si="159"/>
        <v/>
      </c>
    </row>
    <row r="3726" spans="19:19" x14ac:dyDescent="0.55000000000000004">
      <c r="S3726" t="str">
        <f t="shared" si="159"/>
        <v/>
      </c>
    </row>
    <row r="3727" spans="19:19" x14ac:dyDescent="0.55000000000000004">
      <c r="S3727" t="str">
        <f t="shared" si="159"/>
        <v/>
      </c>
    </row>
    <row r="3728" spans="19:19" x14ac:dyDescent="0.55000000000000004">
      <c r="S3728" t="str">
        <f t="shared" si="159"/>
        <v/>
      </c>
    </row>
    <row r="3729" spans="19:19" x14ac:dyDescent="0.55000000000000004">
      <c r="S3729" t="str">
        <f t="shared" si="159"/>
        <v/>
      </c>
    </row>
    <row r="3730" spans="19:19" x14ac:dyDescent="0.55000000000000004">
      <c r="S3730" t="str">
        <f t="shared" si="159"/>
        <v/>
      </c>
    </row>
    <row r="3731" spans="19:19" x14ac:dyDescent="0.55000000000000004">
      <c r="S3731" t="str">
        <f t="shared" si="159"/>
        <v/>
      </c>
    </row>
    <row r="3732" spans="19:19" x14ac:dyDescent="0.55000000000000004">
      <c r="S3732" t="str">
        <f t="shared" si="159"/>
        <v/>
      </c>
    </row>
    <row r="3733" spans="19:19" x14ac:dyDescent="0.55000000000000004">
      <c r="S3733" t="str">
        <f t="shared" si="159"/>
        <v/>
      </c>
    </row>
    <row r="3734" spans="19:19" x14ac:dyDescent="0.55000000000000004">
      <c r="S3734" t="str">
        <f t="shared" si="159"/>
        <v/>
      </c>
    </row>
    <row r="3735" spans="19:19" x14ac:dyDescent="0.55000000000000004">
      <c r="S3735" t="str">
        <f t="shared" si="159"/>
        <v/>
      </c>
    </row>
    <row r="3736" spans="19:19" x14ac:dyDescent="0.55000000000000004">
      <c r="S3736" t="str">
        <f t="shared" si="159"/>
        <v/>
      </c>
    </row>
    <row r="3737" spans="19:19" x14ac:dyDescent="0.55000000000000004">
      <c r="S3737" t="str">
        <f t="shared" si="159"/>
        <v/>
      </c>
    </row>
    <row r="3738" spans="19:19" x14ac:dyDescent="0.55000000000000004">
      <c r="S3738" t="str">
        <f t="shared" si="159"/>
        <v/>
      </c>
    </row>
    <row r="3739" spans="19:19" x14ac:dyDescent="0.55000000000000004">
      <c r="S3739" t="str">
        <f t="shared" si="159"/>
        <v/>
      </c>
    </row>
    <row r="3740" spans="19:19" x14ac:dyDescent="0.55000000000000004">
      <c r="S3740" t="str">
        <f t="shared" si="159"/>
        <v/>
      </c>
    </row>
    <row r="3741" spans="19:19" x14ac:dyDescent="0.55000000000000004">
      <c r="S3741" t="str">
        <f t="shared" si="159"/>
        <v/>
      </c>
    </row>
    <row r="3742" spans="19:19" x14ac:dyDescent="0.55000000000000004">
      <c r="S3742" t="str">
        <f t="shared" si="159"/>
        <v/>
      </c>
    </row>
    <row r="3743" spans="19:19" x14ac:dyDescent="0.55000000000000004">
      <c r="S3743" t="str">
        <f t="shared" si="159"/>
        <v/>
      </c>
    </row>
    <row r="3744" spans="19:19" x14ac:dyDescent="0.55000000000000004">
      <c r="S3744" t="str">
        <f t="shared" si="159"/>
        <v/>
      </c>
    </row>
    <row r="3745" spans="19:19" x14ac:dyDescent="0.55000000000000004">
      <c r="S3745" t="str">
        <f t="shared" si="159"/>
        <v/>
      </c>
    </row>
    <row r="3746" spans="19:19" x14ac:dyDescent="0.55000000000000004">
      <c r="S3746" t="str">
        <f t="shared" si="159"/>
        <v/>
      </c>
    </row>
    <row r="3747" spans="19:19" x14ac:dyDescent="0.55000000000000004">
      <c r="S3747" t="str">
        <f t="shared" si="159"/>
        <v/>
      </c>
    </row>
    <row r="3748" spans="19:19" x14ac:dyDescent="0.55000000000000004">
      <c r="S3748" t="str">
        <f t="shared" si="159"/>
        <v/>
      </c>
    </row>
    <row r="3749" spans="19:19" x14ac:dyDescent="0.55000000000000004">
      <c r="S3749" t="str">
        <f t="shared" si="159"/>
        <v/>
      </c>
    </row>
    <row r="3750" spans="19:19" x14ac:dyDescent="0.55000000000000004">
      <c r="S3750" t="str">
        <f t="shared" si="159"/>
        <v/>
      </c>
    </row>
    <row r="3751" spans="19:19" x14ac:dyDescent="0.55000000000000004">
      <c r="S3751" t="str">
        <f t="shared" si="159"/>
        <v/>
      </c>
    </row>
    <row r="3752" spans="19:19" x14ac:dyDescent="0.55000000000000004">
      <c r="S3752" t="str">
        <f t="shared" si="159"/>
        <v/>
      </c>
    </row>
    <row r="3753" spans="19:19" x14ac:dyDescent="0.55000000000000004">
      <c r="S3753" t="str">
        <f t="shared" si="159"/>
        <v/>
      </c>
    </row>
    <row r="3754" spans="19:19" x14ac:dyDescent="0.55000000000000004">
      <c r="S3754" t="str">
        <f t="shared" si="159"/>
        <v/>
      </c>
    </row>
    <row r="3755" spans="19:19" x14ac:dyDescent="0.55000000000000004">
      <c r="S3755" t="str">
        <f t="shared" si="159"/>
        <v/>
      </c>
    </row>
    <row r="3756" spans="19:19" x14ac:dyDescent="0.55000000000000004">
      <c r="S3756" t="str">
        <f t="shared" si="159"/>
        <v/>
      </c>
    </row>
    <row r="3757" spans="19:19" x14ac:dyDescent="0.55000000000000004">
      <c r="S3757" t="str">
        <f t="shared" si="159"/>
        <v/>
      </c>
    </row>
    <row r="3758" spans="19:19" x14ac:dyDescent="0.55000000000000004">
      <c r="S3758" t="str">
        <f t="shared" si="159"/>
        <v/>
      </c>
    </row>
    <row r="3759" spans="19:19" x14ac:dyDescent="0.55000000000000004">
      <c r="S3759" t="str">
        <f t="shared" si="159"/>
        <v/>
      </c>
    </row>
    <row r="3760" spans="19:19" x14ac:dyDescent="0.55000000000000004">
      <c r="S3760" t="str">
        <f t="shared" si="159"/>
        <v/>
      </c>
    </row>
    <row r="3761" spans="19:19" x14ac:dyDescent="0.55000000000000004">
      <c r="S3761" t="str">
        <f t="shared" si="159"/>
        <v/>
      </c>
    </row>
    <row r="3762" spans="19:19" x14ac:dyDescent="0.55000000000000004">
      <c r="S3762" t="str">
        <f t="shared" si="159"/>
        <v/>
      </c>
    </row>
    <row r="3763" spans="19:19" x14ac:dyDescent="0.55000000000000004">
      <c r="S3763" t="str">
        <f t="shared" si="159"/>
        <v/>
      </c>
    </row>
    <row r="3764" spans="19:19" x14ac:dyDescent="0.55000000000000004">
      <c r="S3764" t="str">
        <f t="shared" si="159"/>
        <v/>
      </c>
    </row>
    <row r="3765" spans="19:19" x14ac:dyDescent="0.55000000000000004">
      <c r="S3765" t="str">
        <f t="shared" si="159"/>
        <v/>
      </c>
    </row>
    <row r="3766" spans="19:19" x14ac:dyDescent="0.55000000000000004">
      <c r="S3766" t="str">
        <f t="shared" si="159"/>
        <v/>
      </c>
    </row>
    <row r="3767" spans="19:19" x14ac:dyDescent="0.55000000000000004">
      <c r="S3767" t="str">
        <f t="shared" si="159"/>
        <v/>
      </c>
    </row>
    <row r="3768" spans="19:19" x14ac:dyDescent="0.55000000000000004">
      <c r="S3768" t="str">
        <f t="shared" si="159"/>
        <v/>
      </c>
    </row>
    <row r="3769" spans="19:19" x14ac:dyDescent="0.55000000000000004">
      <c r="S3769" t="str">
        <f t="shared" si="159"/>
        <v/>
      </c>
    </row>
    <row r="3770" spans="19:19" x14ac:dyDescent="0.55000000000000004">
      <c r="S3770" t="str">
        <f t="shared" si="159"/>
        <v/>
      </c>
    </row>
    <row r="3771" spans="19:19" x14ac:dyDescent="0.55000000000000004">
      <c r="S3771" t="str">
        <f t="shared" si="159"/>
        <v/>
      </c>
    </row>
    <row r="3772" spans="19:19" x14ac:dyDescent="0.55000000000000004">
      <c r="S3772" t="str">
        <f t="shared" si="159"/>
        <v/>
      </c>
    </row>
    <row r="3773" spans="19:19" x14ac:dyDescent="0.55000000000000004">
      <c r="S3773" t="str">
        <f t="shared" si="159"/>
        <v/>
      </c>
    </row>
    <row r="3774" spans="19:19" x14ac:dyDescent="0.55000000000000004">
      <c r="S3774" t="str">
        <f t="shared" si="159"/>
        <v/>
      </c>
    </row>
    <row r="3775" spans="19:19" x14ac:dyDescent="0.55000000000000004">
      <c r="S3775" t="str">
        <f t="shared" si="159"/>
        <v/>
      </c>
    </row>
    <row r="3776" spans="19:19" x14ac:dyDescent="0.55000000000000004">
      <c r="S3776" t="str">
        <f t="shared" si="159"/>
        <v/>
      </c>
    </row>
    <row r="3777" spans="19:19" x14ac:dyDescent="0.55000000000000004">
      <c r="S3777" t="str">
        <f t="shared" si="159"/>
        <v/>
      </c>
    </row>
    <row r="3778" spans="19:19" x14ac:dyDescent="0.55000000000000004">
      <c r="S3778" t="str">
        <f t="shared" si="159"/>
        <v/>
      </c>
    </row>
    <row r="3779" spans="19:19" x14ac:dyDescent="0.55000000000000004">
      <c r="S3779" t="str">
        <f t="shared" si="159"/>
        <v/>
      </c>
    </row>
    <row r="3780" spans="19:19" x14ac:dyDescent="0.55000000000000004">
      <c r="S3780" t="str">
        <f t="shared" ref="S3780:S3843" si="160">IF(R3780&lt;&gt;"", R3780*236.588, "")</f>
        <v/>
      </c>
    </row>
    <row r="3781" spans="19:19" x14ac:dyDescent="0.55000000000000004">
      <c r="S3781" t="str">
        <f t="shared" si="160"/>
        <v/>
      </c>
    </row>
    <row r="3782" spans="19:19" x14ac:dyDescent="0.55000000000000004">
      <c r="S3782" t="str">
        <f t="shared" si="160"/>
        <v/>
      </c>
    </row>
    <row r="3783" spans="19:19" x14ac:dyDescent="0.55000000000000004">
      <c r="S3783" t="str">
        <f t="shared" si="160"/>
        <v/>
      </c>
    </row>
    <row r="3784" spans="19:19" x14ac:dyDescent="0.55000000000000004">
      <c r="S3784" t="str">
        <f t="shared" si="160"/>
        <v/>
      </c>
    </row>
    <row r="3785" spans="19:19" x14ac:dyDescent="0.55000000000000004">
      <c r="S3785" t="str">
        <f t="shared" si="160"/>
        <v/>
      </c>
    </row>
    <row r="3786" spans="19:19" x14ac:dyDescent="0.55000000000000004">
      <c r="S3786" t="str">
        <f t="shared" si="160"/>
        <v/>
      </c>
    </row>
    <row r="3787" spans="19:19" x14ac:dyDescent="0.55000000000000004">
      <c r="S3787" t="str">
        <f t="shared" si="160"/>
        <v/>
      </c>
    </row>
    <row r="3788" spans="19:19" x14ac:dyDescent="0.55000000000000004">
      <c r="S3788" t="str">
        <f t="shared" si="160"/>
        <v/>
      </c>
    </row>
    <row r="3789" spans="19:19" x14ac:dyDescent="0.55000000000000004">
      <c r="S3789" t="str">
        <f t="shared" si="160"/>
        <v/>
      </c>
    </row>
    <row r="3790" spans="19:19" x14ac:dyDescent="0.55000000000000004">
      <c r="S3790" t="str">
        <f t="shared" si="160"/>
        <v/>
      </c>
    </row>
    <row r="3791" spans="19:19" x14ac:dyDescent="0.55000000000000004">
      <c r="S3791" t="str">
        <f t="shared" si="160"/>
        <v/>
      </c>
    </row>
    <row r="3792" spans="19:19" x14ac:dyDescent="0.55000000000000004">
      <c r="S3792" t="str">
        <f t="shared" si="160"/>
        <v/>
      </c>
    </row>
    <row r="3793" spans="19:19" x14ac:dyDescent="0.55000000000000004">
      <c r="S3793" t="str">
        <f t="shared" si="160"/>
        <v/>
      </c>
    </row>
    <row r="3794" spans="19:19" x14ac:dyDescent="0.55000000000000004">
      <c r="S3794" t="str">
        <f t="shared" si="160"/>
        <v/>
      </c>
    </row>
    <row r="3795" spans="19:19" x14ac:dyDescent="0.55000000000000004">
      <c r="S3795" t="str">
        <f t="shared" si="160"/>
        <v/>
      </c>
    </row>
    <row r="3796" spans="19:19" x14ac:dyDescent="0.55000000000000004">
      <c r="S3796" t="str">
        <f t="shared" si="160"/>
        <v/>
      </c>
    </row>
    <row r="3797" spans="19:19" x14ac:dyDescent="0.55000000000000004">
      <c r="S3797" t="str">
        <f t="shared" si="160"/>
        <v/>
      </c>
    </row>
    <row r="3798" spans="19:19" x14ac:dyDescent="0.55000000000000004">
      <c r="S3798" t="str">
        <f t="shared" si="160"/>
        <v/>
      </c>
    </row>
    <row r="3799" spans="19:19" x14ac:dyDescent="0.55000000000000004">
      <c r="S3799" t="str">
        <f t="shared" si="160"/>
        <v/>
      </c>
    </row>
    <row r="3800" spans="19:19" x14ac:dyDescent="0.55000000000000004">
      <c r="S3800" t="str">
        <f t="shared" si="160"/>
        <v/>
      </c>
    </row>
    <row r="3801" spans="19:19" x14ac:dyDescent="0.55000000000000004">
      <c r="S3801" t="str">
        <f t="shared" si="160"/>
        <v/>
      </c>
    </row>
    <row r="3802" spans="19:19" x14ac:dyDescent="0.55000000000000004">
      <c r="S3802" t="str">
        <f t="shared" si="160"/>
        <v/>
      </c>
    </row>
    <row r="3803" spans="19:19" x14ac:dyDescent="0.55000000000000004">
      <c r="S3803" t="str">
        <f t="shared" si="160"/>
        <v/>
      </c>
    </row>
    <row r="3804" spans="19:19" x14ac:dyDescent="0.55000000000000004">
      <c r="S3804" t="str">
        <f t="shared" si="160"/>
        <v/>
      </c>
    </row>
    <row r="3805" spans="19:19" x14ac:dyDescent="0.55000000000000004">
      <c r="S3805" t="str">
        <f t="shared" si="160"/>
        <v/>
      </c>
    </row>
    <row r="3806" spans="19:19" x14ac:dyDescent="0.55000000000000004">
      <c r="S3806" t="str">
        <f t="shared" si="160"/>
        <v/>
      </c>
    </row>
    <row r="3807" spans="19:19" x14ac:dyDescent="0.55000000000000004">
      <c r="S3807" t="str">
        <f t="shared" si="160"/>
        <v/>
      </c>
    </row>
    <row r="3808" spans="19:19" x14ac:dyDescent="0.55000000000000004">
      <c r="S3808" t="str">
        <f t="shared" si="160"/>
        <v/>
      </c>
    </row>
    <row r="3809" spans="19:19" x14ac:dyDescent="0.55000000000000004">
      <c r="S3809" t="str">
        <f t="shared" si="160"/>
        <v/>
      </c>
    </row>
    <row r="3810" spans="19:19" x14ac:dyDescent="0.55000000000000004">
      <c r="S3810" t="str">
        <f t="shared" si="160"/>
        <v/>
      </c>
    </row>
    <row r="3811" spans="19:19" x14ac:dyDescent="0.55000000000000004">
      <c r="S3811" t="str">
        <f t="shared" si="160"/>
        <v/>
      </c>
    </row>
    <row r="3812" spans="19:19" x14ac:dyDescent="0.55000000000000004">
      <c r="S3812" t="str">
        <f t="shared" si="160"/>
        <v/>
      </c>
    </row>
    <row r="3813" spans="19:19" x14ac:dyDescent="0.55000000000000004">
      <c r="S3813" t="str">
        <f t="shared" si="160"/>
        <v/>
      </c>
    </row>
    <row r="3814" spans="19:19" x14ac:dyDescent="0.55000000000000004">
      <c r="S3814" t="str">
        <f t="shared" si="160"/>
        <v/>
      </c>
    </row>
    <row r="3815" spans="19:19" x14ac:dyDescent="0.55000000000000004">
      <c r="S3815" t="str">
        <f t="shared" si="160"/>
        <v/>
      </c>
    </row>
    <row r="3816" spans="19:19" x14ac:dyDescent="0.55000000000000004">
      <c r="S3816" t="str">
        <f t="shared" si="160"/>
        <v/>
      </c>
    </row>
    <row r="3817" spans="19:19" x14ac:dyDescent="0.55000000000000004">
      <c r="S3817" t="str">
        <f t="shared" si="160"/>
        <v/>
      </c>
    </row>
    <row r="3818" spans="19:19" x14ac:dyDescent="0.55000000000000004">
      <c r="S3818" t="str">
        <f t="shared" si="160"/>
        <v/>
      </c>
    </row>
    <row r="3819" spans="19:19" x14ac:dyDescent="0.55000000000000004">
      <c r="S3819" t="str">
        <f t="shared" si="160"/>
        <v/>
      </c>
    </row>
    <row r="3820" spans="19:19" x14ac:dyDescent="0.55000000000000004">
      <c r="S3820" t="str">
        <f t="shared" si="160"/>
        <v/>
      </c>
    </row>
    <row r="3821" spans="19:19" x14ac:dyDescent="0.55000000000000004">
      <c r="S3821" t="str">
        <f t="shared" si="160"/>
        <v/>
      </c>
    </row>
    <row r="3822" spans="19:19" x14ac:dyDescent="0.55000000000000004">
      <c r="S3822" t="str">
        <f t="shared" si="160"/>
        <v/>
      </c>
    </row>
    <row r="3823" spans="19:19" x14ac:dyDescent="0.55000000000000004">
      <c r="S3823" t="str">
        <f t="shared" si="160"/>
        <v/>
      </c>
    </row>
    <row r="3824" spans="19:19" x14ac:dyDescent="0.55000000000000004">
      <c r="S3824" t="str">
        <f t="shared" si="160"/>
        <v/>
      </c>
    </row>
    <row r="3825" spans="19:19" x14ac:dyDescent="0.55000000000000004">
      <c r="S3825" t="str">
        <f t="shared" si="160"/>
        <v/>
      </c>
    </row>
    <row r="3826" spans="19:19" x14ac:dyDescent="0.55000000000000004">
      <c r="S3826" t="str">
        <f t="shared" si="160"/>
        <v/>
      </c>
    </row>
    <row r="3827" spans="19:19" x14ac:dyDescent="0.55000000000000004">
      <c r="S3827" t="str">
        <f t="shared" si="160"/>
        <v/>
      </c>
    </row>
    <row r="3828" spans="19:19" x14ac:dyDescent="0.55000000000000004">
      <c r="S3828" t="str">
        <f t="shared" si="160"/>
        <v/>
      </c>
    </row>
    <row r="3829" spans="19:19" x14ac:dyDescent="0.55000000000000004">
      <c r="S3829" t="str">
        <f t="shared" si="160"/>
        <v/>
      </c>
    </row>
    <row r="3830" spans="19:19" x14ac:dyDescent="0.55000000000000004">
      <c r="S3830" t="str">
        <f t="shared" si="160"/>
        <v/>
      </c>
    </row>
    <row r="3831" spans="19:19" x14ac:dyDescent="0.55000000000000004">
      <c r="S3831" t="str">
        <f t="shared" si="160"/>
        <v/>
      </c>
    </row>
    <row r="3832" spans="19:19" x14ac:dyDescent="0.55000000000000004">
      <c r="S3832" t="str">
        <f t="shared" si="160"/>
        <v/>
      </c>
    </row>
    <row r="3833" spans="19:19" x14ac:dyDescent="0.55000000000000004">
      <c r="S3833" t="str">
        <f t="shared" si="160"/>
        <v/>
      </c>
    </row>
    <row r="3834" spans="19:19" x14ac:dyDescent="0.55000000000000004">
      <c r="S3834" t="str">
        <f t="shared" si="160"/>
        <v/>
      </c>
    </row>
    <row r="3835" spans="19:19" x14ac:dyDescent="0.55000000000000004">
      <c r="S3835" t="str">
        <f t="shared" si="160"/>
        <v/>
      </c>
    </row>
    <row r="3836" spans="19:19" x14ac:dyDescent="0.55000000000000004">
      <c r="S3836" t="str">
        <f t="shared" si="160"/>
        <v/>
      </c>
    </row>
    <row r="3837" spans="19:19" x14ac:dyDescent="0.55000000000000004">
      <c r="S3837" t="str">
        <f t="shared" si="160"/>
        <v/>
      </c>
    </row>
    <row r="3838" spans="19:19" x14ac:dyDescent="0.55000000000000004">
      <c r="S3838" t="str">
        <f t="shared" si="160"/>
        <v/>
      </c>
    </row>
    <row r="3839" spans="19:19" x14ac:dyDescent="0.55000000000000004">
      <c r="S3839" t="str">
        <f t="shared" si="160"/>
        <v/>
      </c>
    </row>
    <row r="3840" spans="19:19" x14ac:dyDescent="0.55000000000000004">
      <c r="S3840" t="str">
        <f t="shared" si="160"/>
        <v/>
      </c>
    </row>
    <row r="3841" spans="19:19" x14ac:dyDescent="0.55000000000000004">
      <c r="S3841" t="str">
        <f t="shared" si="160"/>
        <v/>
      </c>
    </row>
    <row r="3842" spans="19:19" x14ac:dyDescent="0.55000000000000004">
      <c r="S3842" t="str">
        <f t="shared" si="160"/>
        <v/>
      </c>
    </row>
    <row r="3843" spans="19:19" x14ac:dyDescent="0.55000000000000004">
      <c r="S3843" t="str">
        <f t="shared" si="160"/>
        <v/>
      </c>
    </row>
    <row r="3844" spans="19:19" x14ac:dyDescent="0.55000000000000004">
      <c r="S3844" t="str">
        <f t="shared" ref="S3844:S3907" si="161">IF(R3844&lt;&gt;"", R3844*236.588, "")</f>
        <v/>
      </c>
    </row>
    <row r="3845" spans="19:19" x14ac:dyDescent="0.55000000000000004">
      <c r="S3845" t="str">
        <f t="shared" si="161"/>
        <v/>
      </c>
    </row>
    <row r="3846" spans="19:19" x14ac:dyDescent="0.55000000000000004">
      <c r="S3846" t="str">
        <f t="shared" si="161"/>
        <v/>
      </c>
    </row>
    <row r="3847" spans="19:19" x14ac:dyDescent="0.55000000000000004">
      <c r="S3847" t="str">
        <f t="shared" si="161"/>
        <v/>
      </c>
    </row>
    <row r="3848" spans="19:19" x14ac:dyDescent="0.55000000000000004">
      <c r="S3848" t="str">
        <f t="shared" si="161"/>
        <v/>
      </c>
    </row>
    <row r="3849" spans="19:19" x14ac:dyDescent="0.55000000000000004">
      <c r="S3849" t="str">
        <f t="shared" si="161"/>
        <v/>
      </c>
    </row>
    <row r="3850" spans="19:19" x14ac:dyDescent="0.55000000000000004">
      <c r="S3850" t="str">
        <f t="shared" si="161"/>
        <v/>
      </c>
    </row>
    <row r="3851" spans="19:19" x14ac:dyDescent="0.55000000000000004">
      <c r="S3851" t="str">
        <f t="shared" si="161"/>
        <v/>
      </c>
    </row>
    <row r="3852" spans="19:19" x14ac:dyDescent="0.55000000000000004">
      <c r="S3852" t="str">
        <f t="shared" si="161"/>
        <v/>
      </c>
    </row>
    <row r="3853" spans="19:19" x14ac:dyDescent="0.55000000000000004">
      <c r="S3853" t="str">
        <f t="shared" si="161"/>
        <v/>
      </c>
    </row>
    <row r="3854" spans="19:19" x14ac:dyDescent="0.55000000000000004">
      <c r="S3854" t="str">
        <f t="shared" si="161"/>
        <v/>
      </c>
    </row>
    <row r="3855" spans="19:19" x14ac:dyDescent="0.55000000000000004">
      <c r="S3855" t="str">
        <f t="shared" si="161"/>
        <v/>
      </c>
    </row>
    <row r="3856" spans="19:19" x14ac:dyDescent="0.55000000000000004">
      <c r="S3856" t="str">
        <f t="shared" si="161"/>
        <v/>
      </c>
    </row>
    <row r="3857" spans="19:19" x14ac:dyDescent="0.55000000000000004">
      <c r="S3857" t="str">
        <f t="shared" si="161"/>
        <v/>
      </c>
    </row>
    <row r="3858" spans="19:19" x14ac:dyDescent="0.55000000000000004">
      <c r="S3858" t="str">
        <f t="shared" si="161"/>
        <v/>
      </c>
    </row>
    <row r="3859" spans="19:19" x14ac:dyDescent="0.55000000000000004">
      <c r="S3859" t="str">
        <f t="shared" si="161"/>
        <v/>
      </c>
    </row>
    <row r="3860" spans="19:19" x14ac:dyDescent="0.55000000000000004">
      <c r="S3860" t="str">
        <f t="shared" si="161"/>
        <v/>
      </c>
    </row>
    <row r="3861" spans="19:19" x14ac:dyDescent="0.55000000000000004">
      <c r="S3861" t="str">
        <f t="shared" si="161"/>
        <v/>
      </c>
    </row>
    <row r="3862" spans="19:19" x14ac:dyDescent="0.55000000000000004">
      <c r="S3862" t="str">
        <f t="shared" si="161"/>
        <v/>
      </c>
    </row>
    <row r="3863" spans="19:19" x14ac:dyDescent="0.55000000000000004">
      <c r="S3863" t="str">
        <f t="shared" si="161"/>
        <v/>
      </c>
    </row>
    <row r="3864" spans="19:19" x14ac:dyDescent="0.55000000000000004">
      <c r="S3864" t="str">
        <f t="shared" si="161"/>
        <v/>
      </c>
    </row>
    <row r="3865" spans="19:19" x14ac:dyDescent="0.55000000000000004">
      <c r="S3865" t="str">
        <f t="shared" si="161"/>
        <v/>
      </c>
    </row>
    <row r="3866" spans="19:19" x14ac:dyDescent="0.55000000000000004">
      <c r="S3866" t="str">
        <f t="shared" si="161"/>
        <v/>
      </c>
    </row>
    <row r="3867" spans="19:19" x14ac:dyDescent="0.55000000000000004">
      <c r="S3867" t="str">
        <f t="shared" si="161"/>
        <v/>
      </c>
    </row>
    <row r="3868" spans="19:19" x14ac:dyDescent="0.55000000000000004">
      <c r="S3868" t="str">
        <f t="shared" si="161"/>
        <v/>
      </c>
    </row>
    <row r="3869" spans="19:19" x14ac:dyDescent="0.55000000000000004">
      <c r="S3869" t="str">
        <f t="shared" si="161"/>
        <v/>
      </c>
    </row>
    <row r="3870" spans="19:19" x14ac:dyDescent="0.55000000000000004">
      <c r="S3870" t="str">
        <f t="shared" si="161"/>
        <v/>
      </c>
    </row>
    <row r="3871" spans="19:19" x14ac:dyDescent="0.55000000000000004">
      <c r="S3871" t="str">
        <f t="shared" si="161"/>
        <v/>
      </c>
    </row>
    <row r="3872" spans="19:19" x14ac:dyDescent="0.55000000000000004">
      <c r="S3872" t="str">
        <f t="shared" si="161"/>
        <v/>
      </c>
    </row>
    <row r="3873" spans="19:19" x14ac:dyDescent="0.55000000000000004">
      <c r="S3873" t="str">
        <f t="shared" si="161"/>
        <v/>
      </c>
    </row>
    <row r="3874" spans="19:19" x14ac:dyDescent="0.55000000000000004">
      <c r="S3874" t="str">
        <f t="shared" si="161"/>
        <v/>
      </c>
    </row>
    <row r="3875" spans="19:19" x14ac:dyDescent="0.55000000000000004">
      <c r="S3875" t="str">
        <f t="shared" si="161"/>
        <v/>
      </c>
    </row>
    <row r="3876" spans="19:19" x14ac:dyDescent="0.55000000000000004">
      <c r="S3876" t="str">
        <f t="shared" si="161"/>
        <v/>
      </c>
    </row>
    <row r="3877" spans="19:19" x14ac:dyDescent="0.55000000000000004">
      <c r="S3877" t="str">
        <f t="shared" si="161"/>
        <v/>
      </c>
    </row>
    <row r="3878" spans="19:19" x14ac:dyDescent="0.55000000000000004">
      <c r="S3878" t="str">
        <f t="shared" si="161"/>
        <v/>
      </c>
    </row>
    <row r="3879" spans="19:19" x14ac:dyDescent="0.55000000000000004">
      <c r="S3879" t="str">
        <f t="shared" si="161"/>
        <v/>
      </c>
    </row>
    <row r="3880" spans="19:19" x14ac:dyDescent="0.55000000000000004">
      <c r="S3880" t="str">
        <f t="shared" si="161"/>
        <v/>
      </c>
    </row>
    <row r="3881" spans="19:19" x14ac:dyDescent="0.55000000000000004">
      <c r="S3881" t="str">
        <f t="shared" si="161"/>
        <v/>
      </c>
    </row>
    <row r="3882" spans="19:19" x14ac:dyDescent="0.55000000000000004">
      <c r="S3882" t="str">
        <f t="shared" si="161"/>
        <v/>
      </c>
    </row>
    <row r="3883" spans="19:19" x14ac:dyDescent="0.55000000000000004">
      <c r="S3883" t="str">
        <f t="shared" si="161"/>
        <v/>
      </c>
    </row>
    <row r="3884" spans="19:19" x14ac:dyDescent="0.55000000000000004">
      <c r="S3884" t="str">
        <f t="shared" si="161"/>
        <v/>
      </c>
    </row>
    <row r="3885" spans="19:19" x14ac:dyDescent="0.55000000000000004">
      <c r="S3885" t="str">
        <f t="shared" si="161"/>
        <v/>
      </c>
    </row>
    <row r="3886" spans="19:19" x14ac:dyDescent="0.55000000000000004">
      <c r="S3886" t="str">
        <f t="shared" si="161"/>
        <v/>
      </c>
    </row>
    <row r="3887" spans="19:19" x14ac:dyDescent="0.55000000000000004">
      <c r="S3887" t="str">
        <f t="shared" si="161"/>
        <v/>
      </c>
    </row>
    <row r="3888" spans="19:19" x14ac:dyDescent="0.55000000000000004">
      <c r="S3888" t="str">
        <f t="shared" si="161"/>
        <v/>
      </c>
    </row>
    <row r="3889" spans="19:19" x14ac:dyDescent="0.55000000000000004">
      <c r="S3889" t="str">
        <f t="shared" si="161"/>
        <v/>
      </c>
    </row>
    <row r="3890" spans="19:19" x14ac:dyDescent="0.55000000000000004">
      <c r="S3890" t="str">
        <f t="shared" si="161"/>
        <v/>
      </c>
    </row>
    <row r="3891" spans="19:19" x14ac:dyDescent="0.55000000000000004">
      <c r="S3891" t="str">
        <f t="shared" si="161"/>
        <v/>
      </c>
    </row>
    <row r="3892" spans="19:19" x14ac:dyDescent="0.55000000000000004">
      <c r="S3892" t="str">
        <f t="shared" si="161"/>
        <v/>
      </c>
    </row>
    <row r="3893" spans="19:19" x14ac:dyDescent="0.55000000000000004">
      <c r="S3893" t="str">
        <f t="shared" si="161"/>
        <v/>
      </c>
    </row>
    <row r="3894" spans="19:19" x14ac:dyDescent="0.55000000000000004">
      <c r="S3894" t="str">
        <f t="shared" si="161"/>
        <v/>
      </c>
    </row>
    <row r="3895" spans="19:19" x14ac:dyDescent="0.55000000000000004">
      <c r="S3895" t="str">
        <f t="shared" si="161"/>
        <v/>
      </c>
    </row>
    <row r="3896" spans="19:19" x14ac:dyDescent="0.55000000000000004">
      <c r="S3896" t="str">
        <f t="shared" si="161"/>
        <v/>
      </c>
    </row>
    <row r="3897" spans="19:19" x14ac:dyDescent="0.55000000000000004">
      <c r="S3897" t="str">
        <f t="shared" si="161"/>
        <v/>
      </c>
    </row>
    <row r="3898" spans="19:19" x14ac:dyDescent="0.55000000000000004">
      <c r="S3898" t="str">
        <f t="shared" si="161"/>
        <v/>
      </c>
    </row>
    <row r="3899" spans="19:19" x14ac:dyDescent="0.55000000000000004">
      <c r="S3899" t="str">
        <f t="shared" si="161"/>
        <v/>
      </c>
    </row>
    <row r="3900" spans="19:19" x14ac:dyDescent="0.55000000000000004">
      <c r="S3900" t="str">
        <f t="shared" si="161"/>
        <v/>
      </c>
    </row>
    <row r="3901" spans="19:19" x14ac:dyDescent="0.55000000000000004">
      <c r="S3901" t="str">
        <f t="shared" si="161"/>
        <v/>
      </c>
    </row>
    <row r="3902" spans="19:19" x14ac:dyDescent="0.55000000000000004">
      <c r="S3902" t="str">
        <f t="shared" si="161"/>
        <v/>
      </c>
    </row>
    <row r="3903" spans="19:19" x14ac:dyDescent="0.55000000000000004">
      <c r="S3903" t="str">
        <f t="shared" si="161"/>
        <v/>
      </c>
    </row>
    <row r="3904" spans="19:19" x14ac:dyDescent="0.55000000000000004">
      <c r="S3904" t="str">
        <f t="shared" si="161"/>
        <v/>
      </c>
    </row>
    <row r="3905" spans="19:19" x14ac:dyDescent="0.55000000000000004">
      <c r="S3905" t="str">
        <f t="shared" si="161"/>
        <v/>
      </c>
    </row>
    <row r="3906" spans="19:19" x14ac:dyDescent="0.55000000000000004">
      <c r="S3906" t="str">
        <f t="shared" si="161"/>
        <v/>
      </c>
    </row>
    <row r="3907" spans="19:19" x14ac:dyDescent="0.55000000000000004">
      <c r="S3907" t="str">
        <f t="shared" si="161"/>
        <v/>
      </c>
    </row>
    <row r="3908" spans="19:19" x14ac:dyDescent="0.55000000000000004">
      <c r="S3908" t="str">
        <f t="shared" ref="S3908:S3971" si="162">IF(R3908&lt;&gt;"", R3908*236.588, "")</f>
        <v/>
      </c>
    </row>
    <row r="3909" spans="19:19" x14ac:dyDescent="0.55000000000000004">
      <c r="S3909" t="str">
        <f t="shared" si="162"/>
        <v/>
      </c>
    </row>
    <row r="3910" spans="19:19" x14ac:dyDescent="0.55000000000000004">
      <c r="S3910" t="str">
        <f t="shared" si="162"/>
        <v/>
      </c>
    </row>
    <row r="3911" spans="19:19" x14ac:dyDescent="0.55000000000000004">
      <c r="S3911" t="str">
        <f t="shared" si="162"/>
        <v/>
      </c>
    </row>
    <row r="3912" spans="19:19" x14ac:dyDescent="0.55000000000000004">
      <c r="S3912" t="str">
        <f t="shared" si="162"/>
        <v/>
      </c>
    </row>
    <row r="3913" spans="19:19" x14ac:dyDescent="0.55000000000000004">
      <c r="S3913" t="str">
        <f t="shared" si="162"/>
        <v/>
      </c>
    </row>
    <row r="3914" spans="19:19" x14ac:dyDescent="0.55000000000000004">
      <c r="S3914" t="str">
        <f t="shared" si="162"/>
        <v/>
      </c>
    </row>
    <row r="3915" spans="19:19" x14ac:dyDescent="0.55000000000000004">
      <c r="S3915" t="str">
        <f t="shared" si="162"/>
        <v/>
      </c>
    </row>
    <row r="3916" spans="19:19" x14ac:dyDescent="0.55000000000000004">
      <c r="S3916" t="str">
        <f t="shared" si="162"/>
        <v/>
      </c>
    </row>
    <row r="3917" spans="19:19" x14ac:dyDescent="0.55000000000000004">
      <c r="S3917" t="str">
        <f t="shared" si="162"/>
        <v/>
      </c>
    </row>
    <row r="3918" spans="19:19" x14ac:dyDescent="0.55000000000000004">
      <c r="S3918" t="str">
        <f t="shared" si="162"/>
        <v/>
      </c>
    </row>
    <row r="3919" spans="19:19" x14ac:dyDescent="0.55000000000000004">
      <c r="S3919" t="str">
        <f t="shared" si="162"/>
        <v/>
      </c>
    </row>
    <row r="3920" spans="19:19" x14ac:dyDescent="0.55000000000000004">
      <c r="S3920" t="str">
        <f t="shared" si="162"/>
        <v/>
      </c>
    </row>
    <row r="3921" spans="19:19" x14ac:dyDescent="0.55000000000000004">
      <c r="S3921" t="str">
        <f t="shared" si="162"/>
        <v/>
      </c>
    </row>
    <row r="3922" spans="19:19" x14ac:dyDescent="0.55000000000000004">
      <c r="S3922" t="str">
        <f t="shared" si="162"/>
        <v/>
      </c>
    </row>
    <row r="3923" spans="19:19" x14ac:dyDescent="0.55000000000000004">
      <c r="S3923" t="str">
        <f t="shared" si="162"/>
        <v/>
      </c>
    </row>
    <row r="3924" spans="19:19" x14ac:dyDescent="0.55000000000000004">
      <c r="S3924" t="str">
        <f t="shared" si="162"/>
        <v/>
      </c>
    </row>
    <row r="3925" spans="19:19" x14ac:dyDescent="0.55000000000000004">
      <c r="S3925" t="str">
        <f t="shared" si="162"/>
        <v/>
      </c>
    </row>
    <row r="3926" spans="19:19" x14ac:dyDescent="0.55000000000000004">
      <c r="S3926" t="str">
        <f t="shared" si="162"/>
        <v/>
      </c>
    </row>
    <row r="3927" spans="19:19" x14ac:dyDescent="0.55000000000000004">
      <c r="S3927" t="str">
        <f t="shared" si="162"/>
        <v/>
      </c>
    </row>
    <row r="3928" spans="19:19" x14ac:dyDescent="0.55000000000000004">
      <c r="S3928" t="str">
        <f t="shared" si="162"/>
        <v/>
      </c>
    </row>
    <row r="3929" spans="19:19" x14ac:dyDescent="0.55000000000000004">
      <c r="S3929" t="str">
        <f t="shared" si="162"/>
        <v/>
      </c>
    </row>
    <row r="3930" spans="19:19" x14ac:dyDescent="0.55000000000000004">
      <c r="S3930" t="str">
        <f t="shared" si="162"/>
        <v/>
      </c>
    </row>
    <row r="3931" spans="19:19" x14ac:dyDescent="0.55000000000000004">
      <c r="S3931" t="str">
        <f t="shared" si="162"/>
        <v/>
      </c>
    </row>
    <row r="3932" spans="19:19" x14ac:dyDescent="0.55000000000000004">
      <c r="S3932" t="str">
        <f t="shared" si="162"/>
        <v/>
      </c>
    </row>
    <row r="3933" spans="19:19" x14ac:dyDescent="0.55000000000000004">
      <c r="S3933" t="str">
        <f t="shared" si="162"/>
        <v/>
      </c>
    </row>
    <row r="3934" spans="19:19" x14ac:dyDescent="0.55000000000000004">
      <c r="S3934" t="str">
        <f t="shared" si="162"/>
        <v/>
      </c>
    </row>
    <row r="3935" spans="19:19" x14ac:dyDescent="0.55000000000000004">
      <c r="S3935" t="str">
        <f t="shared" si="162"/>
        <v/>
      </c>
    </row>
    <row r="3936" spans="19:19" x14ac:dyDescent="0.55000000000000004">
      <c r="S3936" t="str">
        <f t="shared" si="162"/>
        <v/>
      </c>
    </row>
    <row r="3937" spans="19:19" x14ac:dyDescent="0.55000000000000004">
      <c r="S3937" t="str">
        <f t="shared" si="162"/>
        <v/>
      </c>
    </row>
    <row r="3938" spans="19:19" x14ac:dyDescent="0.55000000000000004">
      <c r="S3938" t="str">
        <f t="shared" si="162"/>
        <v/>
      </c>
    </row>
    <row r="3939" spans="19:19" x14ac:dyDescent="0.55000000000000004">
      <c r="S3939" t="str">
        <f t="shared" si="162"/>
        <v/>
      </c>
    </row>
    <row r="3940" spans="19:19" x14ac:dyDescent="0.55000000000000004">
      <c r="S3940" t="str">
        <f t="shared" si="162"/>
        <v/>
      </c>
    </row>
    <row r="3941" spans="19:19" x14ac:dyDescent="0.55000000000000004">
      <c r="S3941" t="str">
        <f t="shared" si="162"/>
        <v/>
      </c>
    </row>
    <row r="3942" spans="19:19" x14ac:dyDescent="0.55000000000000004">
      <c r="S3942" t="str">
        <f t="shared" si="162"/>
        <v/>
      </c>
    </row>
    <row r="3943" spans="19:19" x14ac:dyDescent="0.55000000000000004">
      <c r="S3943" t="str">
        <f t="shared" si="162"/>
        <v/>
      </c>
    </row>
    <row r="3944" spans="19:19" x14ac:dyDescent="0.55000000000000004">
      <c r="S3944" t="str">
        <f t="shared" si="162"/>
        <v/>
      </c>
    </row>
    <row r="3945" spans="19:19" x14ac:dyDescent="0.55000000000000004">
      <c r="S3945" t="str">
        <f t="shared" si="162"/>
        <v/>
      </c>
    </row>
    <row r="3946" spans="19:19" x14ac:dyDescent="0.55000000000000004">
      <c r="S3946" t="str">
        <f t="shared" si="162"/>
        <v/>
      </c>
    </row>
    <row r="3947" spans="19:19" x14ac:dyDescent="0.55000000000000004">
      <c r="S3947" t="str">
        <f t="shared" si="162"/>
        <v/>
      </c>
    </row>
    <row r="3948" spans="19:19" x14ac:dyDescent="0.55000000000000004">
      <c r="S3948" t="str">
        <f t="shared" si="162"/>
        <v/>
      </c>
    </row>
    <row r="3949" spans="19:19" x14ac:dyDescent="0.55000000000000004">
      <c r="S3949" t="str">
        <f t="shared" si="162"/>
        <v/>
      </c>
    </row>
    <row r="3950" spans="19:19" x14ac:dyDescent="0.55000000000000004">
      <c r="S3950" t="str">
        <f t="shared" si="162"/>
        <v/>
      </c>
    </row>
    <row r="3951" spans="19:19" x14ac:dyDescent="0.55000000000000004">
      <c r="S3951" t="str">
        <f t="shared" si="162"/>
        <v/>
      </c>
    </row>
    <row r="3952" spans="19:19" x14ac:dyDescent="0.55000000000000004">
      <c r="S3952" t="str">
        <f t="shared" si="162"/>
        <v/>
      </c>
    </row>
    <row r="3953" spans="19:19" x14ac:dyDescent="0.55000000000000004">
      <c r="S3953" t="str">
        <f t="shared" si="162"/>
        <v/>
      </c>
    </row>
    <row r="3954" spans="19:19" x14ac:dyDescent="0.55000000000000004">
      <c r="S3954" t="str">
        <f t="shared" si="162"/>
        <v/>
      </c>
    </row>
    <row r="3955" spans="19:19" x14ac:dyDescent="0.55000000000000004">
      <c r="S3955" t="str">
        <f t="shared" si="162"/>
        <v/>
      </c>
    </row>
    <row r="3956" spans="19:19" x14ac:dyDescent="0.55000000000000004">
      <c r="S3956" t="str">
        <f t="shared" si="162"/>
        <v/>
      </c>
    </row>
    <row r="3957" spans="19:19" x14ac:dyDescent="0.55000000000000004">
      <c r="S3957" t="str">
        <f t="shared" si="162"/>
        <v/>
      </c>
    </row>
    <row r="3958" spans="19:19" x14ac:dyDescent="0.55000000000000004">
      <c r="S3958" t="str">
        <f t="shared" si="162"/>
        <v/>
      </c>
    </row>
    <row r="3959" spans="19:19" x14ac:dyDescent="0.55000000000000004">
      <c r="S3959" t="str">
        <f t="shared" si="162"/>
        <v/>
      </c>
    </row>
    <row r="3960" spans="19:19" x14ac:dyDescent="0.55000000000000004">
      <c r="S3960" t="str">
        <f t="shared" si="162"/>
        <v/>
      </c>
    </row>
    <row r="3961" spans="19:19" x14ac:dyDescent="0.55000000000000004">
      <c r="S3961" t="str">
        <f t="shared" si="162"/>
        <v/>
      </c>
    </row>
    <row r="3962" spans="19:19" x14ac:dyDescent="0.55000000000000004">
      <c r="S3962" t="str">
        <f t="shared" si="162"/>
        <v/>
      </c>
    </row>
    <row r="3963" spans="19:19" x14ac:dyDescent="0.55000000000000004">
      <c r="S3963" t="str">
        <f t="shared" si="162"/>
        <v/>
      </c>
    </row>
    <row r="3964" spans="19:19" x14ac:dyDescent="0.55000000000000004">
      <c r="S3964" t="str">
        <f t="shared" si="162"/>
        <v/>
      </c>
    </row>
    <row r="3965" spans="19:19" x14ac:dyDescent="0.55000000000000004">
      <c r="S3965" t="str">
        <f t="shared" si="162"/>
        <v/>
      </c>
    </row>
    <row r="3966" spans="19:19" x14ac:dyDescent="0.55000000000000004">
      <c r="S3966" t="str">
        <f t="shared" si="162"/>
        <v/>
      </c>
    </row>
    <row r="3967" spans="19:19" x14ac:dyDescent="0.55000000000000004">
      <c r="S3967" t="str">
        <f t="shared" si="162"/>
        <v/>
      </c>
    </row>
    <row r="3968" spans="19:19" x14ac:dyDescent="0.55000000000000004">
      <c r="S3968" t="str">
        <f t="shared" si="162"/>
        <v/>
      </c>
    </row>
    <row r="3969" spans="19:19" x14ac:dyDescent="0.55000000000000004">
      <c r="S3969" t="str">
        <f t="shared" si="162"/>
        <v/>
      </c>
    </row>
    <row r="3970" spans="19:19" x14ac:dyDescent="0.55000000000000004">
      <c r="S3970" t="str">
        <f t="shared" si="162"/>
        <v/>
      </c>
    </row>
    <row r="3971" spans="19:19" x14ac:dyDescent="0.55000000000000004">
      <c r="S3971" t="str">
        <f t="shared" si="162"/>
        <v/>
      </c>
    </row>
    <row r="3972" spans="19:19" x14ac:dyDescent="0.55000000000000004">
      <c r="S3972" t="str">
        <f t="shared" ref="S3972:S4001" si="163">IF(R3972&lt;&gt;"", R3972*236.588, "")</f>
        <v/>
      </c>
    </row>
    <row r="3973" spans="19:19" x14ac:dyDescent="0.55000000000000004">
      <c r="S3973" t="str">
        <f t="shared" si="163"/>
        <v/>
      </c>
    </row>
    <row r="3974" spans="19:19" x14ac:dyDescent="0.55000000000000004">
      <c r="S3974" t="str">
        <f t="shared" si="163"/>
        <v/>
      </c>
    </row>
    <row r="3975" spans="19:19" x14ac:dyDescent="0.55000000000000004">
      <c r="S3975" t="str">
        <f t="shared" si="163"/>
        <v/>
      </c>
    </row>
    <row r="3976" spans="19:19" x14ac:dyDescent="0.55000000000000004">
      <c r="S3976" t="str">
        <f t="shared" si="163"/>
        <v/>
      </c>
    </row>
    <row r="3977" spans="19:19" x14ac:dyDescent="0.55000000000000004">
      <c r="S3977" t="str">
        <f t="shared" si="163"/>
        <v/>
      </c>
    </row>
    <row r="3978" spans="19:19" x14ac:dyDescent="0.55000000000000004">
      <c r="S3978" t="str">
        <f t="shared" si="163"/>
        <v/>
      </c>
    </row>
    <row r="3979" spans="19:19" x14ac:dyDescent="0.55000000000000004">
      <c r="S3979" t="str">
        <f t="shared" si="163"/>
        <v/>
      </c>
    </row>
    <row r="3980" spans="19:19" x14ac:dyDescent="0.55000000000000004">
      <c r="S3980" t="str">
        <f t="shared" si="163"/>
        <v/>
      </c>
    </row>
    <row r="3981" spans="19:19" x14ac:dyDescent="0.55000000000000004">
      <c r="S3981" t="str">
        <f t="shared" si="163"/>
        <v/>
      </c>
    </row>
    <row r="3982" spans="19:19" x14ac:dyDescent="0.55000000000000004">
      <c r="S3982" t="str">
        <f t="shared" si="163"/>
        <v/>
      </c>
    </row>
    <row r="3983" spans="19:19" x14ac:dyDescent="0.55000000000000004">
      <c r="S3983" t="str">
        <f t="shared" si="163"/>
        <v/>
      </c>
    </row>
    <row r="3984" spans="19:19" x14ac:dyDescent="0.55000000000000004">
      <c r="S3984" t="str">
        <f t="shared" si="163"/>
        <v/>
      </c>
    </row>
    <row r="3985" spans="19:19" x14ac:dyDescent="0.55000000000000004">
      <c r="S3985" t="str">
        <f t="shared" si="163"/>
        <v/>
      </c>
    </row>
    <row r="3986" spans="19:19" x14ac:dyDescent="0.55000000000000004">
      <c r="S3986" t="str">
        <f t="shared" si="163"/>
        <v/>
      </c>
    </row>
    <row r="3987" spans="19:19" x14ac:dyDescent="0.55000000000000004">
      <c r="S3987" t="str">
        <f t="shared" si="163"/>
        <v/>
      </c>
    </row>
    <row r="3988" spans="19:19" x14ac:dyDescent="0.55000000000000004">
      <c r="S3988" t="str">
        <f t="shared" si="163"/>
        <v/>
      </c>
    </row>
    <row r="3989" spans="19:19" x14ac:dyDescent="0.55000000000000004">
      <c r="S3989" t="str">
        <f t="shared" si="163"/>
        <v/>
      </c>
    </row>
    <row r="3990" spans="19:19" x14ac:dyDescent="0.55000000000000004">
      <c r="S3990" t="str">
        <f t="shared" si="163"/>
        <v/>
      </c>
    </row>
    <row r="3991" spans="19:19" x14ac:dyDescent="0.55000000000000004">
      <c r="S3991" t="str">
        <f t="shared" si="163"/>
        <v/>
      </c>
    </row>
    <row r="3992" spans="19:19" x14ac:dyDescent="0.55000000000000004">
      <c r="S3992" t="str">
        <f t="shared" si="163"/>
        <v/>
      </c>
    </row>
    <row r="3993" spans="19:19" x14ac:dyDescent="0.55000000000000004">
      <c r="S3993" t="str">
        <f t="shared" si="163"/>
        <v/>
      </c>
    </row>
    <row r="3994" spans="19:19" x14ac:dyDescent="0.55000000000000004">
      <c r="S3994" t="str">
        <f t="shared" si="163"/>
        <v/>
      </c>
    </row>
    <row r="3995" spans="19:19" x14ac:dyDescent="0.55000000000000004">
      <c r="S3995" t="str">
        <f t="shared" si="163"/>
        <v/>
      </c>
    </row>
    <row r="3996" spans="19:19" x14ac:dyDescent="0.55000000000000004">
      <c r="S3996" t="str">
        <f t="shared" si="163"/>
        <v/>
      </c>
    </row>
    <row r="3997" spans="19:19" x14ac:dyDescent="0.55000000000000004">
      <c r="S3997" t="str">
        <f t="shared" si="163"/>
        <v/>
      </c>
    </row>
    <row r="3998" spans="19:19" x14ac:dyDescent="0.55000000000000004">
      <c r="S3998" t="str">
        <f t="shared" si="163"/>
        <v/>
      </c>
    </row>
    <row r="3999" spans="19:19" x14ac:dyDescent="0.55000000000000004">
      <c r="S3999" t="str">
        <f t="shared" si="163"/>
        <v/>
      </c>
    </row>
    <row r="4000" spans="19:19" x14ac:dyDescent="0.55000000000000004">
      <c r="S4000" t="str">
        <f t="shared" si="163"/>
        <v/>
      </c>
    </row>
    <row r="4001" spans="19:19" x14ac:dyDescent="0.55000000000000004">
      <c r="S4001" t="str">
        <f t="shared" si="163"/>
        <v/>
      </c>
    </row>
  </sheetData>
  <autoFilter ref="A1:T1144" xr:uid="{48B851F2-9B7B-4C4C-86A2-78618CDFAD69}"/>
  <phoneticPr fontId="2" type="noConversion"/>
  <dataValidations count="1">
    <dataValidation type="list" allowBlank="1" showInputMessage="1" showErrorMessage="1" sqref="E2:E1144" xr:uid="{73E21B1E-8A47-47DC-8C29-3774BA7E703F}">
      <formula1>$V$1:$V$9</formula1>
    </dataValidation>
  </dataValidation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0894-5BFF-40AF-9C01-A24CD2E12A06}">
  <dimension ref="A1:AK105"/>
  <sheetViews>
    <sheetView workbookViewId="0">
      <selection activeCell="B106" sqref="B106"/>
    </sheetView>
  </sheetViews>
  <sheetFormatPr defaultRowHeight="14.4" x14ac:dyDescent="0.55000000000000004"/>
  <cols>
    <col min="4" max="4" width="12.9453125" bestFit="1" customWidth="1"/>
    <col min="5" max="5" width="14.26171875" bestFit="1" customWidth="1"/>
    <col min="6" max="6" width="16.26171875" bestFit="1" customWidth="1"/>
  </cols>
  <sheetData>
    <row r="1" spans="1:37" s="15" customFormat="1" ht="15" thickTop="1" thickBot="1" x14ac:dyDescent="0.6">
      <c r="A1" s="25" t="s">
        <v>135</v>
      </c>
      <c r="B1" s="40">
        <v>73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</row>
    <row r="2" spans="1:37" s="13" customFormat="1" ht="15" thickTop="1" thickBot="1" x14ac:dyDescent="0.6">
      <c r="A2" s="16" t="s">
        <v>128</v>
      </c>
      <c r="B2" s="19" t="s">
        <v>124</v>
      </c>
      <c r="C2" s="14" t="s">
        <v>125</v>
      </c>
      <c r="D2" s="14" t="s">
        <v>126</v>
      </c>
      <c r="E2" s="20" t="s">
        <v>127</v>
      </c>
      <c r="F2" s="19" t="s">
        <v>124</v>
      </c>
      <c r="G2" s="14" t="s">
        <v>125</v>
      </c>
      <c r="H2" s="14" t="s">
        <v>126</v>
      </c>
      <c r="I2" s="20" t="s">
        <v>127</v>
      </c>
      <c r="J2" s="19" t="s">
        <v>124</v>
      </c>
      <c r="K2" s="14" t="s">
        <v>125</v>
      </c>
      <c r="L2" s="14" t="s">
        <v>126</v>
      </c>
      <c r="M2" s="20" t="s">
        <v>127</v>
      </c>
      <c r="N2" s="19" t="s">
        <v>124</v>
      </c>
      <c r="O2" s="14" t="s">
        <v>125</v>
      </c>
      <c r="P2" s="14" t="s">
        <v>126</v>
      </c>
      <c r="Q2" s="20" t="s">
        <v>127</v>
      </c>
      <c r="R2" s="19" t="s">
        <v>124</v>
      </c>
      <c r="S2" s="14" t="s">
        <v>125</v>
      </c>
      <c r="T2" s="14" t="s">
        <v>126</v>
      </c>
      <c r="U2" s="20" t="s">
        <v>127</v>
      </c>
      <c r="V2" s="19" t="s">
        <v>124</v>
      </c>
      <c r="W2" s="14" t="s">
        <v>125</v>
      </c>
      <c r="X2" s="14" t="s">
        <v>126</v>
      </c>
      <c r="Y2" s="20" t="s">
        <v>127</v>
      </c>
      <c r="Z2" s="19" t="s">
        <v>124</v>
      </c>
      <c r="AA2" s="14" t="s">
        <v>125</v>
      </c>
      <c r="AB2" s="14" t="s">
        <v>126</v>
      </c>
      <c r="AC2" s="20" t="s">
        <v>127</v>
      </c>
      <c r="AD2" s="19" t="s">
        <v>124</v>
      </c>
      <c r="AE2" s="14" t="s">
        <v>125</v>
      </c>
      <c r="AF2" s="14" t="s">
        <v>126</v>
      </c>
      <c r="AG2" s="20" t="s">
        <v>127</v>
      </c>
      <c r="AH2" s="19" t="s">
        <v>124</v>
      </c>
      <c r="AI2" s="14" t="s">
        <v>125</v>
      </c>
      <c r="AJ2" s="14" t="s">
        <v>126</v>
      </c>
      <c r="AK2" s="20" t="s">
        <v>127</v>
      </c>
    </row>
    <row r="3" spans="1:37" ht="14.7" thickTop="1" x14ac:dyDescent="0.55000000000000004">
      <c r="A3" s="17" t="s">
        <v>129</v>
      </c>
      <c r="B3" s="21">
        <f t="shared" ref="B3:AK3" si="0">AVERAGE(B6:B105)</f>
        <v>10.505000000000001</v>
      </c>
      <c r="C3" t="e">
        <f t="shared" si="0"/>
        <v>#DIV/0!</v>
      </c>
      <c r="D3" t="e">
        <f t="shared" si="0"/>
        <v>#DIV/0!</v>
      </c>
      <c r="E3" s="22" t="e">
        <f t="shared" si="0"/>
        <v>#DIV/0!</v>
      </c>
      <c r="F3" s="21" t="e">
        <f t="shared" si="0"/>
        <v>#DIV/0!</v>
      </c>
      <c r="G3" t="e">
        <f t="shared" si="0"/>
        <v>#DIV/0!</v>
      </c>
      <c r="H3" t="e">
        <f t="shared" si="0"/>
        <v>#DIV/0!</v>
      </c>
      <c r="I3" s="22" t="e">
        <f t="shared" si="0"/>
        <v>#DIV/0!</v>
      </c>
      <c r="J3" s="21" t="e">
        <f t="shared" si="0"/>
        <v>#DIV/0!</v>
      </c>
      <c r="K3" t="e">
        <f t="shared" si="0"/>
        <v>#DIV/0!</v>
      </c>
      <c r="L3" t="e">
        <f t="shared" si="0"/>
        <v>#DIV/0!</v>
      </c>
      <c r="M3" s="22" t="e">
        <f t="shared" si="0"/>
        <v>#DIV/0!</v>
      </c>
      <c r="N3" s="21" t="e">
        <f t="shared" si="0"/>
        <v>#DIV/0!</v>
      </c>
      <c r="O3" t="e">
        <f t="shared" si="0"/>
        <v>#DIV/0!</v>
      </c>
      <c r="P3" t="e">
        <f t="shared" si="0"/>
        <v>#DIV/0!</v>
      </c>
      <c r="Q3" s="22" t="e">
        <f t="shared" si="0"/>
        <v>#DIV/0!</v>
      </c>
      <c r="R3" s="21" t="e">
        <f t="shared" si="0"/>
        <v>#DIV/0!</v>
      </c>
      <c r="S3" t="e">
        <f t="shared" si="0"/>
        <v>#DIV/0!</v>
      </c>
      <c r="T3" t="e">
        <f t="shared" si="0"/>
        <v>#DIV/0!</v>
      </c>
      <c r="U3" s="22" t="e">
        <f t="shared" si="0"/>
        <v>#DIV/0!</v>
      </c>
      <c r="V3" s="21" t="e">
        <f t="shared" si="0"/>
        <v>#DIV/0!</v>
      </c>
      <c r="W3" t="e">
        <f t="shared" si="0"/>
        <v>#DIV/0!</v>
      </c>
      <c r="X3" t="e">
        <f t="shared" si="0"/>
        <v>#DIV/0!</v>
      </c>
      <c r="Y3" s="22" t="e">
        <f t="shared" si="0"/>
        <v>#DIV/0!</v>
      </c>
      <c r="Z3" s="21" t="e">
        <f t="shared" si="0"/>
        <v>#DIV/0!</v>
      </c>
      <c r="AA3" t="e">
        <f t="shared" si="0"/>
        <v>#DIV/0!</v>
      </c>
      <c r="AB3" t="e">
        <f t="shared" si="0"/>
        <v>#DIV/0!</v>
      </c>
      <c r="AC3" s="22" t="e">
        <f t="shared" si="0"/>
        <v>#DIV/0!</v>
      </c>
      <c r="AD3" s="21" t="e">
        <f t="shared" si="0"/>
        <v>#DIV/0!</v>
      </c>
      <c r="AE3" t="e">
        <f t="shared" si="0"/>
        <v>#DIV/0!</v>
      </c>
      <c r="AF3" t="e">
        <f t="shared" si="0"/>
        <v>#DIV/0!</v>
      </c>
      <c r="AG3" s="22" t="e">
        <f t="shared" si="0"/>
        <v>#DIV/0!</v>
      </c>
      <c r="AH3" s="21" t="e">
        <f t="shared" si="0"/>
        <v>#DIV/0!</v>
      </c>
      <c r="AI3" t="e">
        <f t="shared" si="0"/>
        <v>#DIV/0!</v>
      </c>
      <c r="AJ3" t="e">
        <f t="shared" si="0"/>
        <v>#DIV/0!</v>
      </c>
      <c r="AK3" s="22" t="e">
        <f t="shared" si="0"/>
        <v>#DIV/0!</v>
      </c>
    </row>
    <row r="4" spans="1:37" x14ac:dyDescent="0.55000000000000004">
      <c r="A4" s="17" t="s">
        <v>130</v>
      </c>
      <c r="B4" s="21">
        <f t="shared" ref="B4:AK4" si="1">MIN(B6:B105)</f>
        <v>2</v>
      </c>
      <c r="C4">
        <f t="shared" si="1"/>
        <v>0</v>
      </c>
      <c r="D4">
        <f t="shared" si="1"/>
        <v>0</v>
      </c>
      <c r="E4" s="22">
        <f t="shared" si="1"/>
        <v>0</v>
      </c>
      <c r="F4" s="21">
        <f t="shared" si="1"/>
        <v>0</v>
      </c>
      <c r="G4">
        <f t="shared" si="1"/>
        <v>0</v>
      </c>
      <c r="H4">
        <f t="shared" si="1"/>
        <v>0</v>
      </c>
      <c r="I4" s="22">
        <f t="shared" si="1"/>
        <v>0</v>
      </c>
      <c r="J4" s="21">
        <f t="shared" si="1"/>
        <v>0</v>
      </c>
      <c r="K4">
        <f t="shared" si="1"/>
        <v>0</v>
      </c>
      <c r="L4">
        <f t="shared" si="1"/>
        <v>0</v>
      </c>
      <c r="M4" s="22">
        <f t="shared" si="1"/>
        <v>0</v>
      </c>
      <c r="N4" s="21">
        <f t="shared" si="1"/>
        <v>0</v>
      </c>
      <c r="O4">
        <f t="shared" si="1"/>
        <v>0</v>
      </c>
      <c r="P4">
        <f t="shared" si="1"/>
        <v>0</v>
      </c>
      <c r="Q4" s="22">
        <f t="shared" si="1"/>
        <v>0</v>
      </c>
      <c r="R4" s="21">
        <f t="shared" si="1"/>
        <v>0</v>
      </c>
      <c r="S4">
        <f t="shared" si="1"/>
        <v>0</v>
      </c>
      <c r="T4">
        <f t="shared" si="1"/>
        <v>0</v>
      </c>
      <c r="U4" s="22">
        <f t="shared" si="1"/>
        <v>0</v>
      </c>
      <c r="V4" s="21">
        <f t="shared" si="1"/>
        <v>0</v>
      </c>
      <c r="W4">
        <f t="shared" si="1"/>
        <v>0</v>
      </c>
      <c r="X4">
        <f t="shared" si="1"/>
        <v>0</v>
      </c>
      <c r="Y4" s="22">
        <f t="shared" si="1"/>
        <v>0</v>
      </c>
      <c r="Z4" s="21">
        <f t="shared" si="1"/>
        <v>0</v>
      </c>
      <c r="AA4">
        <f t="shared" si="1"/>
        <v>0</v>
      </c>
      <c r="AB4">
        <f t="shared" si="1"/>
        <v>0</v>
      </c>
      <c r="AC4" s="22">
        <f t="shared" si="1"/>
        <v>0</v>
      </c>
      <c r="AD4" s="21">
        <f t="shared" si="1"/>
        <v>0</v>
      </c>
      <c r="AE4">
        <f t="shared" si="1"/>
        <v>0</v>
      </c>
      <c r="AF4">
        <f t="shared" si="1"/>
        <v>0</v>
      </c>
      <c r="AG4" s="22">
        <f t="shared" si="1"/>
        <v>0</v>
      </c>
      <c r="AH4" s="21">
        <f t="shared" si="1"/>
        <v>0</v>
      </c>
      <c r="AI4">
        <f t="shared" si="1"/>
        <v>0</v>
      </c>
      <c r="AJ4">
        <f t="shared" si="1"/>
        <v>0</v>
      </c>
      <c r="AK4" s="22">
        <f t="shared" si="1"/>
        <v>0</v>
      </c>
    </row>
    <row r="5" spans="1:37" s="13" customFormat="1" ht="14.7" thickBot="1" x14ac:dyDescent="0.6">
      <c r="A5" s="18" t="s">
        <v>131</v>
      </c>
      <c r="B5" s="23">
        <f t="shared" ref="B5:AK5" si="2">MAX(B6:B105)</f>
        <v>21</v>
      </c>
      <c r="C5" s="13">
        <f t="shared" si="2"/>
        <v>0</v>
      </c>
      <c r="D5" s="13">
        <f t="shared" si="2"/>
        <v>0</v>
      </c>
      <c r="E5" s="24">
        <f t="shared" si="2"/>
        <v>0</v>
      </c>
      <c r="F5" s="23">
        <f t="shared" si="2"/>
        <v>0</v>
      </c>
      <c r="G5" s="13">
        <f t="shared" si="2"/>
        <v>0</v>
      </c>
      <c r="H5" s="13">
        <f t="shared" si="2"/>
        <v>0</v>
      </c>
      <c r="I5" s="24">
        <f t="shared" si="2"/>
        <v>0</v>
      </c>
      <c r="J5" s="23">
        <f t="shared" si="2"/>
        <v>0</v>
      </c>
      <c r="K5" s="13">
        <f t="shared" si="2"/>
        <v>0</v>
      </c>
      <c r="L5" s="13">
        <f t="shared" si="2"/>
        <v>0</v>
      </c>
      <c r="M5" s="24">
        <f t="shared" si="2"/>
        <v>0</v>
      </c>
      <c r="N5" s="23">
        <f t="shared" si="2"/>
        <v>0</v>
      </c>
      <c r="O5" s="13">
        <f t="shared" si="2"/>
        <v>0</v>
      </c>
      <c r="P5" s="13">
        <f t="shared" si="2"/>
        <v>0</v>
      </c>
      <c r="Q5" s="24">
        <f t="shared" si="2"/>
        <v>0</v>
      </c>
      <c r="R5" s="23">
        <f t="shared" si="2"/>
        <v>0</v>
      </c>
      <c r="S5" s="13">
        <f t="shared" si="2"/>
        <v>0</v>
      </c>
      <c r="T5" s="13">
        <f t="shared" si="2"/>
        <v>0</v>
      </c>
      <c r="U5" s="24">
        <f t="shared" si="2"/>
        <v>0</v>
      </c>
      <c r="V5" s="23">
        <f t="shared" si="2"/>
        <v>0</v>
      </c>
      <c r="W5" s="13">
        <f t="shared" si="2"/>
        <v>0</v>
      </c>
      <c r="X5" s="13">
        <f t="shared" si="2"/>
        <v>0</v>
      </c>
      <c r="Y5" s="24">
        <f t="shared" si="2"/>
        <v>0</v>
      </c>
      <c r="Z5" s="23">
        <f t="shared" si="2"/>
        <v>0</v>
      </c>
      <c r="AA5" s="13">
        <f t="shared" si="2"/>
        <v>0</v>
      </c>
      <c r="AB5" s="13">
        <f t="shared" si="2"/>
        <v>0</v>
      </c>
      <c r="AC5" s="24">
        <f t="shared" si="2"/>
        <v>0</v>
      </c>
      <c r="AD5" s="23">
        <f t="shared" si="2"/>
        <v>0</v>
      </c>
      <c r="AE5" s="13">
        <f t="shared" si="2"/>
        <v>0</v>
      </c>
      <c r="AF5" s="13">
        <f t="shared" si="2"/>
        <v>0</v>
      </c>
      <c r="AG5" s="24">
        <f t="shared" si="2"/>
        <v>0</v>
      </c>
      <c r="AH5" s="23">
        <f t="shared" si="2"/>
        <v>0</v>
      </c>
      <c r="AI5" s="13">
        <f t="shared" si="2"/>
        <v>0</v>
      </c>
      <c r="AJ5" s="13">
        <f t="shared" si="2"/>
        <v>0</v>
      </c>
      <c r="AK5" s="24">
        <f t="shared" si="2"/>
        <v>0</v>
      </c>
    </row>
    <row r="6" spans="1:37" ht="14.7" thickTop="1" x14ac:dyDescent="0.55000000000000004">
      <c r="A6" s="17">
        <v>1</v>
      </c>
      <c r="B6">
        <v>20.5</v>
      </c>
    </row>
    <row r="7" spans="1:37" x14ac:dyDescent="0.55000000000000004">
      <c r="A7" s="17">
        <v>2</v>
      </c>
      <c r="B7">
        <v>15</v>
      </c>
    </row>
    <row r="8" spans="1:37" x14ac:dyDescent="0.55000000000000004">
      <c r="A8" s="17">
        <v>3</v>
      </c>
      <c r="B8">
        <v>12</v>
      </c>
    </row>
    <row r="9" spans="1:37" x14ac:dyDescent="0.55000000000000004">
      <c r="A9" s="17">
        <v>4</v>
      </c>
      <c r="B9">
        <v>14</v>
      </c>
    </row>
    <row r="10" spans="1:37" x14ac:dyDescent="0.55000000000000004">
      <c r="A10" s="17">
        <v>5</v>
      </c>
      <c r="B10">
        <v>12.5</v>
      </c>
    </row>
    <row r="11" spans="1:37" x14ac:dyDescent="0.55000000000000004">
      <c r="A11" s="17">
        <v>6</v>
      </c>
      <c r="B11">
        <v>5.5</v>
      </c>
    </row>
    <row r="12" spans="1:37" x14ac:dyDescent="0.55000000000000004">
      <c r="A12" s="17">
        <v>7</v>
      </c>
      <c r="B12">
        <v>12</v>
      </c>
    </row>
    <row r="13" spans="1:37" x14ac:dyDescent="0.55000000000000004">
      <c r="A13" s="17">
        <v>8</v>
      </c>
      <c r="B13">
        <v>8</v>
      </c>
    </row>
    <row r="14" spans="1:37" x14ac:dyDescent="0.55000000000000004">
      <c r="A14" s="17">
        <v>9</v>
      </c>
      <c r="B14">
        <v>18</v>
      </c>
    </row>
    <row r="15" spans="1:37" x14ac:dyDescent="0.55000000000000004">
      <c r="A15" s="17">
        <v>10</v>
      </c>
      <c r="B15">
        <v>12</v>
      </c>
    </row>
    <row r="16" spans="1:37" x14ac:dyDescent="0.55000000000000004">
      <c r="A16" s="17">
        <v>11</v>
      </c>
      <c r="B16">
        <v>10</v>
      </c>
    </row>
    <row r="17" spans="1:2" x14ac:dyDescent="0.55000000000000004">
      <c r="A17" s="17">
        <v>12</v>
      </c>
      <c r="B17">
        <v>9</v>
      </c>
    </row>
    <row r="18" spans="1:2" x14ac:dyDescent="0.55000000000000004">
      <c r="A18" s="17">
        <v>13</v>
      </c>
      <c r="B18">
        <v>5</v>
      </c>
    </row>
    <row r="19" spans="1:2" x14ac:dyDescent="0.55000000000000004">
      <c r="A19" s="17">
        <v>14</v>
      </c>
      <c r="B19">
        <v>10</v>
      </c>
    </row>
    <row r="20" spans="1:2" x14ac:dyDescent="0.55000000000000004">
      <c r="A20" s="17">
        <v>15</v>
      </c>
      <c r="B20">
        <v>7.5</v>
      </c>
    </row>
    <row r="21" spans="1:2" x14ac:dyDescent="0.55000000000000004">
      <c r="A21" s="17">
        <v>16</v>
      </c>
      <c r="B21">
        <v>4</v>
      </c>
    </row>
    <row r="22" spans="1:2" x14ac:dyDescent="0.55000000000000004">
      <c r="A22" s="17">
        <v>17</v>
      </c>
      <c r="B22">
        <v>9</v>
      </c>
    </row>
    <row r="23" spans="1:2" x14ac:dyDescent="0.55000000000000004">
      <c r="A23" s="17">
        <v>18</v>
      </c>
      <c r="B23">
        <v>11</v>
      </c>
    </row>
    <row r="24" spans="1:2" x14ac:dyDescent="0.55000000000000004">
      <c r="A24" s="17">
        <v>19</v>
      </c>
      <c r="B24">
        <v>10</v>
      </c>
    </row>
    <row r="25" spans="1:2" x14ac:dyDescent="0.55000000000000004">
      <c r="A25" s="17">
        <v>20</v>
      </c>
      <c r="B25">
        <v>20</v>
      </c>
    </row>
    <row r="26" spans="1:2" x14ac:dyDescent="0.55000000000000004">
      <c r="A26" s="17">
        <v>21</v>
      </c>
      <c r="B26">
        <v>16</v>
      </c>
    </row>
    <row r="27" spans="1:2" x14ac:dyDescent="0.55000000000000004">
      <c r="A27" s="17">
        <v>22</v>
      </c>
      <c r="B27">
        <v>11</v>
      </c>
    </row>
    <row r="28" spans="1:2" x14ac:dyDescent="0.55000000000000004">
      <c r="A28" s="17">
        <v>23</v>
      </c>
      <c r="B28">
        <v>9</v>
      </c>
    </row>
    <row r="29" spans="1:2" x14ac:dyDescent="0.55000000000000004">
      <c r="A29" s="17">
        <v>24</v>
      </c>
      <c r="B29">
        <v>15</v>
      </c>
    </row>
    <row r="30" spans="1:2" x14ac:dyDescent="0.55000000000000004">
      <c r="A30" s="17">
        <v>25</v>
      </c>
      <c r="B30">
        <v>10</v>
      </c>
    </row>
    <row r="31" spans="1:2" x14ac:dyDescent="0.55000000000000004">
      <c r="A31" s="17">
        <v>26</v>
      </c>
      <c r="B31">
        <v>9</v>
      </c>
    </row>
    <row r="32" spans="1:2" x14ac:dyDescent="0.55000000000000004">
      <c r="A32" s="17">
        <v>27</v>
      </c>
      <c r="B32">
        <v>4</v>
      </c>
    </row>
    <row r="33" spans="1:2" x14ac:dyDescent="0.55000000000000004">
      <c r="A33" s="17">
        <v>28</v>
      </c>
      <c r="B33">
        <v>11</v>
      </c>
    </row>
    <row r="34" spans="1:2" x14ac:dyDescent="0.55000000000000004">
      <c r="A34" s="17">
        <v>29</v>
      </c>
      <c r="B34">
        <v>9</v>
      </c>
    </row>
    <row r="35" spans="1:2" x14ac:dyDescent="0.55000000000000004">
      <c r="A35" s="17">
        <v>30</v>
      </c>
      <c r="B35">
        <v>8</v>
      </c>
    </row>
    <row r="36" spans="1:2" x14ac:dyDescent="0.55000000000000004">
      <c r="A36" s="17">
        <v>31</v>
      </c>
      <c r="B36">
        <v>10</v>
      </c>
    </row>
    <row r="37" spans="1:2" x14ac:dyDescent="0.55000000000000004">
      <c r="A37" s="17">
        <v>32</v>
      </c>
      <c r="B37">
        <v>14</v>
      </c>
    </row>
    <row r="38" spans="1:2" x14ac:dyDescent="0.55000000000000004">
      <c r="A38" s="17">
        <v>33</v>
      </c>
      <c r="B38">
        <v>12</v>
      </c>
    </row>
    <row r="39" spans="1:2" x14ac:dyDescent="0.55000000000000004">
      <c r="A39" s="17">
        <v>34</v>
      </c>
      <c r="B39">
        <v>9</v>
      </c>
    </row>
    <row r="40" spans="1:2" x14ac:dyDescent="0.55000000000000004">
      <c r="A40" s="17">
        <v>35</v>
      </c>
      <c r="B40">
        <v>16</v>
      </c>
    </row>
    <row r="41" spans="1:2" x14ac:dyDescent="0.55000000000000004">
      <c r="A41" s="17">
        <v>36</v>
      </c>
      <c r="B41">
        <v>21</v>
      </c>
    </row>
    <row r="42" spans="1:2" x14ac:dyDescent="0.55000000000000004">
      <c r="A42" s="17">
        <v>37</v>
      </c>
      <c r="B42">
        <v>11</v>
      </c>
    </row>
    <row r="43" spans="1:2" x14ac:dyDescent="0.55000000000000004">
      <c r="A43" s="17">
        <v>38</v>
      </c>
      <c r="B43">
        <v>12</v>
      </c>
    </row>
    <row r="44" spans="1:2" x14ac:dyDescent="0.55000000000000004">
      <c r="A44" s="17">
        <v>39</v>
      </c>
      <c r="B44">
        <v>7</v>
      </c>
    </row>
    <row r="45" spans="1:2" x14ac:dyDescent="0.55000000000000004">
      <c r="A45" s="17">
        <v>40</v>
      </c>
      <c r="B45">
        <v>10</v>
      </c>
    </row>
    <row r="46" spans="1:2" x14ac:dyDescent="0.55000000000000004">
      <c r="A46" s="17">
        <v>41</v>
      </c>
      <c r="B46">
        <v>5</v>
      </c>
    </row>
    <row r="47" spans="1:2" x14ac:dyDescent="0.55000000000000004">
      <c r="A47" s="17">
        <v>42</v>
      </c>
      <c r="B47">
        <v>5</v>
      </c>
    </row>
    <row r="48" spans="1:2" x14ac:dyDescent="0.55000000000000004">
      <c r="A48" s="17">
        <v>43</v>
      </c>
      <c r="B48">
        <v>7</v>
      </c>
    </row>
    <row r="49" spans="1:2" x14ac:dyDescent="0.55000000000000004">
      <c r="A49" s="17">
        <v>44</v>
      </c>
      <c r="B49">
        <v>9</v>
      </c>
    </row>
    <row r="50" spans="1:2" x14ac:dyDescent="0.55000000000000004">
      <c r="A50" s="17">
        <v>45</v>
      </c>
      <c r="B50">
        <v>7</v>
      </c>
    </row>
    <row r="51" spans="1:2" x14ac:dyDescent="0.55000000000000004">
      <c r="A51" s="17">
        <v>46</v>
      </c>
      <c r="B51">
        <v>2.5</v>
      </c>
    </row>
    <row r="52" spans="1:2" x14ac:dyDescent="0.55000000000000004">
      <c r="A52" s="17">
        <v>47</v>
      </c>
      <c r="B52">
        <v>2</v>
      </c>
    </row>
    <row r="53" spans="1:2" x14ac:dyDescent="0.55000000000000004">
      <c r="A53" s="17">
        <v>48</v>
      </c>
      <c r="B53">
        <v>4</v>
      </c>
    </row>
    <row r="54" spans="1:2" x14ac:dyDescent="0.55000000000000004">
      <c r="A54" s="17">
        <v>49</v>
      </c>
      <c r="B54">
        <v>16</v>
      </c>
    </row>
    <row r="55" spans="1:2" x14ac:dyDescent="0.55000000000000004">
      <c r="A55" s="17">
        <v>50</v>
      </c>
      <c r="B55">
        <v>11</v>
      </c>
    </row>
    <row r="56" spans="1:2" x14ac:dyDescent="0.55000000000000004">
      <c r="A56" s="17">
        <v>51</v>
      </c>
      <c r="B56">
        <v>11</v>
      </c>
    </row>
    <row r="57" spans="1:2" x14ac:dyDescent="0.55000000000000004">
      <c r="A57" s="17">
        <v>52</v>
      </c>
      <c r="B57">
        <v>12</v>
      </c>
    </row>
    <row r="58" spans="1:2" x14ac:dyDescent="0.55000000000000004">
      <c r="A58" s="17">
        <v>53</v>
      </c>
      <c r="B58">
        <v>13</v>
      </c>
    </row>
    <row r="59" spans="1:2" x14ac:dyDescent="0.55000000000000004">
      <c r="A59" s="17">
        <v>54</v>
      </c>
      <c r="B59">
        <v>11</v>
      </c>
    </row>
    <row r="60" spans="1:2" x14ac:dyDescent="0.55000000000000004">
      <c r="A60" s="17">
        <v>55</v>
      </c>
      <c r="B60">
        <v>11</v>
      </c>
    </row>
    <row r="61" spans="1:2" x14ac:dyDescent="0.55000000000000004">
      <c r="A61" s="17">
        <v>56</v>
      </c>
      <c r="B61">
        <v>8</v>
      </c>
    </row>
    <row r="62" spans="1:2" x14ac:dyDescent="0.55000000000000004">
      <c r="A62" s="17">
        <v>57</v>
      </c>
      <c r="B62">
        <v>5</v>
      </c>
    </row>
    <row r="63" spans="1:2" x14ac:dyDescent="0.55000000000000004">
      <c r="A63" s="17">
        <v>58</v>
      </c>
      <c r="B63">
        <v>4</v>
      </c>
    </row>
    <row r="64" spans="1:2" x14ac:dyDescent="0.55000000000000004">
      <c r="A64" s="17">
        <v>59</v>
      </c>
      <c r="B64">
        <v>8</v>
      </c>
    </row>
    <row r="65" spans="1:2" x14ac:dyDescent="0.55000000000000004">
      <c r="A65" s="17">
        <v>60</v>
      </c>
      <c r="B65">
        <v>6</v>
      </c>
    </row>
    <row r="66" spans="1:2" x14ac:dyDescent="0.55000000000000004">
      <c r="A66" s="17">
        <v>61</v>
      </c>
      <c r="B66">
        <v>8</v>
      </c>
    </row>
    <row r="67" spans="1:2" x14ac:dyDescent="0.55000000000000004">
      <c r="A67" s="17">
        <v>62</v>
      </c>
      <c r="B67">
        <v>8</v>
      </c>
    </row>
    <row r="68" spans="1:2" x14ac:dyDescent="0.55000000000000004">
      <c r="A68" s="17">
        <v>63</v>
      </c>
      <c r="B68">
        <v>16</v>
      </c>
    </row>
    <row r="69" spans="1:2" x14ac:dyDescent="0.55000000000000004">
      <c r="A69" s="17">
        <v>64</v>
      </c>
      <c r="B69">
        <v>12</v>
      </c>
    </row>
    <row r="70" spans="1:2" x14ac:dyDescent="0.55000000000000004">
      <c r="A70" s="17">
        <v>65</v>
      </c>
      <c r="B70">
        <v>11</v>
      </c>
    </row>
    <row r="71" spans="1:2" x14ac:dyDescent="0.55000000000000004">
      <c r="A71" s="17">
        <v>66</v>
      </c>
      <c r="B71">
        <v>10</v>
      </c>
    </row>
    <row r="72" spans="1:2" x14ac:dyDescent="0.55000000000000004">
      <c r="A72" s="17">
        <v>67</v>
      </c>
      <c r="B72">
        <v>13</v>
      </c>
    </row>
    <row r="73" spans="1:2" x14ac:dyDescent="0.55000000000000004">
      <c r="A73" s="17">
        <v>68</v>
      </c>
      <c r="B73">
        <v>9</v>
      </c>
    </row>
    <row r="74" spans="1:2" x14ac:dyDescent="0.55000000000000004">
      <c r="A74" s="17">
        <v>69</v>
      </c>
      <c r="B74">
        <v>11</v>
      </c>
    </row>
    <row r="75" spans="1:2" x14ac:dyDescent="0.55000000000000004">
      <c r="A75" s="17">
        <v>70</v>
      </c>
      <c r="B75">
        <v>14</v>
      </c>
    </row>
    <row r="76" spans="1:2" x14ac:dyDescent="0.55000000000000004">
      <c r="A76" s="17">
        <v>71</v>
      </c>
      <c r="B76">
        <v>9</v>
      </c>
    </row>
    <row r="77" spans="1:2" x14ac:dyDescent="0.55000000000000004">
      <c r="A77" s="17">
        <v>72</v>
      </c>
      <c r="B77">
        <v>5</v>
      </c>
    </row>
    <row r="78" spans="1:2" x14ac:dyDescent="0.55000000000000004">
      <c r="A78" s="17">
        <v>73</v>
      </c>
      <c r="B78">
        <v>6</v>
      </c>
    </row>
    <row r="79" spans="1:2" x14ac:dyDescent="0.55000000000000004">
      <c r="A79" s="17">
        <v>74</v>
      </c>
      <c r="B79">
        <v>15</v>
      </c>
    </row>
    <row r="80" spans="1:2" x14ac:dyDescent="0.55000000000000004">
      <c r="A80" s="17">
        <v>75</v>
      </c>
      <c r="B80">
        <v>10</v>
      </c>
    </row>
    <row r="81" spans="1:2" x14ac:dyDescent="0.55000000000000004">
      <c r="A81" s="17">
        <v>76</v>
      </c>
      <c r="B81">
        <v>15</v>
      </c>
    </row>
    <row r="82" spans="1:2" x14ac:dyDescent="0.55000000000000004">
      <c r="A82" s="17">
        <v>77</v>
      </c>
      <c r="B82">
        <v>7</v>
      </c>
    </row>
    <row r="83" spans="1:2" x14ac:dyDescent="0.55000000000000004">
      <c r="A83" s="17">
        <v>78</v>
      </c>
      <c r="B83">
        <v>5</v>
      </c>
    </row>
    <row r="84" spans="1:2" x14ac:dyDescent="0.55000000000000004">
      <c r="A84" s="17">
        <v>79</v>
      </c>
      <c r="B84">
        <v>7</v>
      </c>
    </row>
    <row r="85" spans="1:2" x14ac:dyDescent="0.55000000000000004">
      <c r="A85" s="17">
        <v>80</v>
      </c>
      <c r="B85">
        <v>7</v>
      </c>
    </row>
    <row r="86" spans="1:2" x14ac:dyDescent="0.55000000000000004">
      <c r="A86" s="17">
        <v>81</v>
      </c>
      <c r="B86">
        <v>8</v>
      </c>
    </row>
    <row r="87" spans="1:2" x14ac:dyDescent="0.55000000000000004">
      <c r="A87" s="17">
        <v>82</v>
      </c>
      <c r="B87">
        <v>11</v>
      </c>
    </row>
    <row r="88" spans="1:2" x14ac:dyDescent="0.55000000000000004">
      <c r="A88" s="17">
        <v>83</v>
      </c>
      <c r="B88">
        <v>7</v>
      </c>
    </row>
    <row r="89" spans="1:2" x14ac:dyDescent="0.55000000000000004">
      <c r="A89" s="17">
        <v>84</v>
      </c>
      <c r="B89">
        <v>20</v>
      </c>
    </row>
    <row r="90" spans="1:2" x14ac:dyDescent="0.55000000000000004">
      <c r="A90" s="17">
        <v>85</v>
      </c>
      <c r="B90">
        <v>12</v>
      </c>
    </row>
    <row r="91" spans="1:2" x14ac:dyDescent="0.55000000000000004">
      <c r="A91" s="17">
        <v>86</v>
      </c>
      <c r="B91">
        <v>14</v>
      </c>
    </row>
    <row r="92" spans="1:2" x14ac:dyDescent="0.55000000000000004">
      <c r="A92" s="17">
        <v>87</v>
      </c>
      <c r="B92">
        <v>11</v>
      </c>
    </row>
    <row r="93" spans="1:2" x14ac:dyDescent="0.55000000000000004">
      <c r="A93" s="17">
        <v>88</v>
      </c>
      <c r="B93">
        <v>12</v>
      </c>
    </row>
    <row r="94" spans="1:2" x14ac:dyDescent="0.55000000000000004">
      <c r="A94" s="17">
        <v>89</v>
      </c>
      <c r="B94">
        <v>17</v>
      </c>
    </row>
    <row r="95" spans="1:2" x14ac:dyDescent="0.55000000000000004">
      <c r="A95" s="17">
        <v>90</v>
      </c>
      <c r="B95">
        <v>13</v>
      </c>
    </row>
    <row r="96" spans="1:2" x14ac:dyDescent="0.55000000000000004">
      <c r="A96" s="17">
        <v>91</v>
      </c>
      <c r="B96">
        <v>8</v>
      </c>
    </row>
    <row r="97" spans="1:2" x14ac:dyDescent="0.55000000000000004">
      <c r="A97" s="17">
        <v>92</v>
      </c>
      <c r="B97">
        <v>11</v>
      </c>
    </row>
    <row r="98" spans="1:2" x14ac:dyDescent="0.55000000000000004">
      <c r="A98" s="17">
        <v>93</v>
      </c>
      <c r="B98">
        <v>16</v>
      </c>
    </row>
    <row r="99" spans="1:2" x14ac:dyDescent="0.55000000000000004">
      <c r="A99" s="17">
        <v>94</v>
      </c>
      <c r="B99">
        <v>12</v>
      </c>
    </row>
    <row r="100" spans="1:2" x14ac:dyDescent="0.55000000000000004">
      <c r="A100" s="17">
        <v>95</v>
      </c>
      <c r="B100">
        <v>14</v>
      </c>
    </row>
    <row r="101" spans="1:2" x14ac:dyDescent="0.55000000000000004">
      <c r="A101" s="17">
        <v>96</v>
      </c>
      <c r="B101">
        <v>10</v>
      </c>
    </row>
    <row r="102" spans="1:2" x14ac:dyDescent="0.55000000000000004">
      <c r="A102" s="17">
        <v>97</v>
      </c>
      <c r="B102">
        <v>11</v>
      </c>
    </row>
    <row r="103" spans="1:2" x14ac:dyDescent="0.55000000000000004">
      <c r="A103" s="17">
        <v>98</v>
      </c>
      <c r="B103">
        <v>11</v>
      </c>
    </row>
    <row r="104" spans="1:2" x14ac:dyDescent="0.55000000000000004">
      <c r="A104" s="17">
        <v>99</v>
      </c>
      <c r="B104">
        <v>16</v>
      </c>
    </row>
    <row r="105" spans="1:2" x14ac:dyDescent="0.55000000000000004">
      <c r="A105" s="17">
        <v>100</v>
      </c>
      <c r="B105">
        <v>12</v>
      </c>
    </row>
  </sheetData>
  <mergeCells count="9">
    <mergeCell ref="Z1:AC1"/>
    <mergeCell ref="AD1:AG1"/>
    <mergeCell ref="AH1:AK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7355-3309-4C57-B471-5E561D449566}">
  <dimension ref="A1:P61"/>
  <sheetViews>
    <sheetView topLeftCell="A34" workbookViewId="0">
      <selection activeCell="G65" sqref="G65"/>
    </sheetView>
  </sheetViews>
  <sheetFormatPr defaultRowHeight="14.4" x14ac:dyDescent="0.55000000000000004"/>
  <cols>
    <col min="2" max="2" width="15.15625" bestFit="1" customWidth="1"/>
    <col min="3" max="3" width="8.47265625" customWidth="1"/>
    <col min="4" max="4" width="22.578125" bestFit="1" customWidth="1"/>
    <col min="5" max="5" width="12.68359375" customWidth="1"/>
    <col min="6" max="6" width="7.7890625" customWidth="1"/>
    <col min="7" max="7" width="6.62890625" customWidth="1"/>
  </cols>
  <sheetData>
    <row r="1" spans="1:16" x14ac:dyDescent="0.55000000000000004">
      <c r="A1" s="1" t="s">
        <v>134</v>
      </c>
      <c r="B1" s="1" t="s">
        <v>119</v>
      </c>
      <c r="C1" s="1" t="s">
        <v>136</v>
      </c>
      <c r="D1" s="1" t="s">
        <v>56</v>
      </c>
      <c r="E1" s="1"/>
      <c r="F1" s="1" t="s">
        <v>61</v>
      </c>
      <c r="G1" s="1" t="s">
        <v>58</v>
      </c>
      <c r="H1" s="1" t="s">
        <v>55</v>
      </c>
      <c r="I1" s="1"/>
      <c r="J1" s="1"/>
      <c r="K1" s="1"/>
      <c r="N1" s="32"/>
      <c r="O1" s="33"/>
      <c r="P1" s="32"/>
    </row>
    <row r="2" spans="1:16" x14ac:dyDescent="0.55000000000000004">
      <c r="A2">
        <v>115</v>
      </c>
      <c r="B2" s="2">
        <v>45597.590277777781</v>
      </c>
      <c r="D2" t="s">
        <v>275</v>
      </c>
      <c r="H2">
        <v>1</v>
      </c>
      <c r="N2" s="32"/>
      <c r="O2" s="33"/>
      <c r="P2" s="32"/>
    </row>
    <row r="3" spans="1:16" x14ac:dyDescent="0.55000000000000004">
      <c r="A3">
        <v>115</v>
      </c>
      <c r="B3" s="2">
        <v>45598.590277777781</v>
      </c>
      <c r="D3" t="s">
        <v>221</v>
      </c>
      <c r="F3" t="s">
        <v>240</v>
      </c>
      <c r="H3">
        <v>1</v>
      </c>
      <c r="N3" s="32"/>
      <c r="O3" s="32"/>
      <c r="P3" s="32"/>
    </row>
    <row r="4" spans="1:16" x14ac:dyDescent="0.55000000000000004">
      <c r="A4">
        <v>116</v>
      </c>
      <c r="B4" s="2">
        <v>45597.555555555555</v>
      </c>
      <c r="D4" t="s">
        <v>221</v>
      </c>
      <c r="F4" t="s">
        <v>240</v>
      </c>
      <c r="H4">
        <v>1</v>
      </c>
      <c r="N4" s="32"/>
      <c r="O4" s="32"/>
      <c r="P4" s="32"/>
    </row>
    <row r="5" spans="1:16" x14ac:dyDescent="0.55000000000000004">
      <c r="A5">
        <v>116</v>
      </c>
      <c r="B5" s="2">
        <v>45597.555555555555</v>
      </c>
      <c r="D5" t="s">
        <v>275</v>
      </c>
      <c r="H5">
        <v>2</v>
      </c>
      <c r="N5" s="32"/>
      <c r="O5" s="32"/>
      <c r="P5" s="32"/>
    </row>
    <row r="6" spans="1:16" x14ac:dyDescent="0.55000000000000004">
      <c r="A6">
        <v>119</v>
      </c>
      <c r="B6" s="2">
        <v>45597.395833333336</v>
      </c>
      <c r="D6" t="s">
        <v>275</v>
      </c>
      <c r="H6">
        <v>2</v>
      </c>
      <c r="N6" s="32"/>
      <c r="O6" s="33"/>
      <c r="P6" s="32"/>
    </row>
    <row r="7" spans="1:16" x14ac:dyDescent="0.55000000000000004">
      <c r="A7">
        <v>120</v>
      </c>
      <c r="B7" s="2">
        <v>45597.429166666669</v>
      </c>
      <c r="D7" t="s">
        <v>275</v>
      </c>
      <c r="H7">
        <v>3</v>
      </c>
      <c r="N7" s="32"/>
      <c r="O7" s="33"/>
      <c r="P7" s="32"/>
    </row>
    <row r="8" spans="1:16" x14ac:dyDescent="0.55000000000000004">
      <c r="A8">
        <v>99</v>
      </c>
      <c r="B8" s="2">
        <v>45603.395833333336</v>
      </c>
      <c r="D8" t="s">
        <v>275</v>
      </c>
      <c r="H8">
        <v>3</v>
      </c>
      <c r="N8" s="32"/>
      <c r="O8" s="33"/>
      <c r="P8" s="32"/>
    </row>
    <row r="9" spans="1:16" x14ac:dyDescent="0.55000000000000004">
      <c r="A9">
        <v>100</v>
      </c>
      <c r="B9" s="2">
        <v>45604.4375</v>
      </c>
      <c r="C9" t="s">
        <v>216</v>
      </c>
      <c r="D9" t="s">
        <v>275</v>
      </c>
      <c r="H9">
        <v>2</v>
      </c>
      <c r="N9" s="32"/>
      <c r="O9" s="32"/>
      <c r="P9" s="32"/>
    </row>
    <row r="10" spans="1:16" x14ac:dyDescent="0.55000000000000004">
      <c r="A10">
        <v>100</v>
      </c>
      <c r="B10" s="2">
        <v>45604.4375</v>
      </c>
      <c r="C10" t="s">
        <v>215</v>
      </c>
      <c r="D10" t="s">
        <v>275</v>
      </c>
      <c r="H10">
        <v>1</v>
      </c>
      <c r="N10" s="32"/>
      <c r="O10" s="32"/>
      <c r="P10" s="32"/>
    </row>
    <row r="11" spans="1:16" x14ac:dyDescent="0.55000000000000004">
      <c r="A11">
        <v>101</v>
      </c>
      <c r="B11" s="2">
        <v>45603.5</v>
      </c>
      <c r="C11" t="s">
        <v>216</v>
      </c>
      <c r="D11" t="s">
        <v>221</v>
      </c>
      <c r="F11" t="s">
        <v>240</v>
      </c>
      <c r="H11">
        <v>1</v>
      </c>
      <c r="N11" s="32"/>
      <c r="O11" s="33"/>
      <c r="P11" s="32"/>
    </row>
    <row r="12" spans="1:16" x14ac:dyDescent="0.55000000000000004">
      <c r="A12">
        <v>101</v>
      </c>
      <c r="B12" s="2">
        <v>45603.5</v>
      </c>
      <c r="C12" t="s">
        <v>215</v>
      </c>
      <c r="D12" t="s">
        <v>221</v>
      </c>
      <c r="F12" t="s">
        <v>240</v>
      </c>
      <c r="H12">
        <v>2</v>
      </c>
      <c r="N12" s="32"/>
      <c r="O12" s="33"/>
      <c r="P12" s="32"/>
    </row>
    <row r="13" spans="1:16" x14ac:dyDescent="0.55000000000000004">
      <c r="A13">
        <v>102</v>
      </c>
      <c r="B13" s="2">
        <v>45603.477083275466</v>
      </c>
      <c r="C13" t="s">
        <v>215</v>
      </c>
      <c r="D13" t="s">
        <v>275</v>
      </c>
      <c r="H13">
        <v>1</v>
      </c>
      <c r="N13" s="32"/>
      <c r="O13" s="33"/>
      <c r="P13" s="32"/>
    </row>
    <row r="14" spans="1:16" x14ac:dyDescent="0.55000000000000004">
      <c r="A14">
        <v>103</v>
      </c>
      <c r="B14" s="2">
        <v>45604.486111053244</v>
      </c>
      <c r="C14" t="s">
        <v>215</v>
      </c>
      <c r="D14" t="s">
        <v>275</v>
      </c>
      <c r="H14">
        <v>8</v>
      </c>
      <c r="N14" s="32"/>
      <c r="O14" s="33"/>
      <c r="P14" s="32"/>
    </row>
    <row r="15" spans="1:16" x14ac:dyDescent="0.55000000000000004">
      <c r="A15">
        <v>104</v>
      </c>
      <c r="B15" s="2">
        <v>45604.416666608799</v>
      </c>
      <c r="C15" t="s">
        <v>215</v>
      </c>
      <c r="D15" t="s">
        <v>221</v>
      </c>
      <c r="F15" t="s">
        <v>240</v>
      </c>
      <c r="H15">
        <v>1</v>
      </c>
      <c r="N15" s="32"/>
      <c r="O15" s="33"/>
      <c r="P15" s="32"/>
    </row>
    <row r="16" spans="1:16" x14ac:dyDescent="0.55000000000000004">
      <c r="A16">
        <v>104</v>
      </c>
      <c r="B16" s="2">
        <v>45604.416666608799</v>
      </c>
      <c r="C16" t="s">
        <v>215</v>
      </c>
      <c r="D16" t="s">
        <v>275</v>
      </c>
      <c r="H16">
        <v>2</v>
      </c>
      <c r="N16" s="32"/>
      <c r="O16" s="32"/>
      <c r="P16" s="32"/>
    </row>
    <row r="17" spans="1:16" x14ac:dyDescent="0.55000000000000004">
      <c r="A17">
        <v>105</v>
      </c>
      <c r="B17" s="2">
        <v>45603.541666608799</v>
      </c>
      <c r="C17" t="s">
        <v>215</v>
      </c>
      <c r="D17" t="s">
        <v>275</v>
      </c>
      <c r="H17">
        <v>1</v>
      </c>
      <c r="N17" s="32"/>
      <c r="O17" s="32"/>
      <c r="P17" s="32"/>
    </row>
    <row r="18" spans="1:16" x14ac:dyDescent="0.55000000000000004">
      <c r="A18">
        <v>106</v>
      </c>
      <c r="B18" s="2">
        <v>45603.4375</v>
      </c>
      <c r="C18" t="s">
        <v>215</v>
      </c>
      <c r="D18" t="s">
        <v>275</v>
      </c>
      <c r="H18">
        <v>6</v>
      </c>
      <c r="N18" s="32"/>
      <c r="O18" s="33"/>
      <c r="P18" s="32"/>
    </row>
    <row r="19" spans="1:16" x14ac:dyDescent="0.55000000000000004">
      <c r="A19">
        <v>106</v>
      </c>
      <c r="B19" s="2">
        <v>45603.4375</v>
      </c>
      <c r="C19" t="s">
        <v>215</v>
      </c>
      <c r="D19" t="s">
        <v>275</v>
      </c>
      <c r="H19">
        <v>22</v>
      </c>
      <c r="N19" s="32"/>
      <c r="O19" s="32"/>
      <c r="P19" s="32"/>
    </row>
    <row r="20" spans="1:16" x14ac:dyDescent="0.55000000000000004">
      <c r="A20">
        <v>107</v>
      </c>
      <c r="B20" s="2">
        <v>45604.388888888891</v>
      </c>
      <c r="C20" t="s">
        <v>215</v>
      </c>
      <c r="D20" t="s">
        <v>275</v>
      </c>
      <c r="H20">
        <v>2</v>
      </c>
      <c r="N20" s="32"/>
      <c r="O20" s="32"/>
      <c r="P20" s="32"/>
    </row>
    <row r="21" spans="1:16" x14ac:dyDescent="0.55000000000000004">
      <c r="A21">
        <v>108</v>
      </c>
      <c r="B21" s="2">
        <v>45604.458333333336</v>
      </c>
      <c r="C21" t="s">
        <v>215</v>
      </c>
      <c r="D21" t="s">
        <v>275</v>
      </c>
      <c r="H21">
        <v>15</v>
      </c>
    </row>
    <row r="22" spans="1:16" x14ac:dyDescent="0.55000000000000004">
      <c r="A22">
        <v>108</v>
      </c>
      <c r="B22" s="2">
        <v>45604.458333333336</v>
      </c>
      <c r="C22" t="s">
        <v>215</v>
      </c>
      <c r="D22" t="s">
        <v>275</v>
      </c>
      <c r="H22">
        <v>3</v>
      </c>
    </row>
    <row r="23" spans="1:16" x14ac:dyDescent="0.55000000000000004">
      <c r="A23">
        <v>85</v>
      </c>
      <c r="B23" s="2">
        <v>45637.409722222219</v>
      </c>
      <c r="C23" t="s">
        <v>216</v>
      </c>
      <c r="D23" t="s">
        <v>275</v>
      </c>
      <c r="H23">
        <v>1</v>
      </c>
    </row>
    <row r="24" spans="1:16" x14ac:dyDescent="0.55000000000000004">
      <c r="A24">
        <v>85</v>
      </c>
      <c r="B24" s="2">
        <v>45637.409722222219</v>
      </c>
      <c r="C24" t="s">
        <v>215</v>
      </c>
      <c r="D24" t="s">
        <v>275</v>
      </c>
      <c r="E24" t="s">
        <v>276</v>
      </c>
      <c r="H24">
        <v>10</v>
      </c>
    </row>
    <row r="25" spans="1:16" x14ac:dyDescent="0.55000000000000004">
      <c r="A25">
        <v>85</v>
      </c>
      <c r="B25" s="2">
        <v>45637.409722222219</v>
      </c>
      <c r="C25" t="s">
        <v>215</v>
      </c>
      <c r="D25" t="s">
        <v>275</v>
      </c>
      <c r="E25" t="s">
        <v>277</v>
      </c>
      <c r="H25">
        <v>12</v>
      </c>
    </row>
    <row r="26" spans="1:16" x14ac:dyDescent="0.55000000000000004">
      <c r="A26">
        <v>85</v>
      </c>
      <c r="B26" s="2">
        <v>45637.409722222219</v>
      </c>
      <c r="C26" t="s">
        <v>215</v>
      </c>
      <c r="D26" t="s">
        <v>275</v>
      </c>
      <c r="E26" t="s">
        <v>276</v>
      </c>
      <c r="H26">
        <v>32</v>
      </c>
    </row>
    <row r="27" spans="1:16" x14ac:dyDescent="0.55000000000000004">
      <c r="A27">
        <v>85</v>
      </c>
      <c r="B27" s="2">
        <v>45637.409722222219</v>
      </c>
      <c r="C27" t="s">
        <v>215</v>
      </c>
      <c r="D27" t="s">
        <v>275</v>
      </c>
      <c r="E27" t="s">
        <v>277</v>
      </c>
      <c r="H27">
        <v>4</v>
      </c>
    </row>
    <row r="28" spans="1:16" x14ac:dyDescent="0.55000000000000004">
      <c r="A28">
        <v>86</v>
      </c>
      <c r="B28" s="2">
        <v>45637.5</v>
      </c>
      <c r="C28" t="s">
        <v>216</v>
      </c>
      <c r="D28" t="s">
        <v>221</v>
      </c>
      <c r="F28" t="s">
        <v>240</v>
      </c>
      <c r="H28">
        <v>3</v>
      </c>
    </row>
    <row r="29" spans="1:16" x14ac:dyDescent="0.55000000000000004">
      <c r="A29">
        <v>86</v>
      </c>
      <c r="B29" s="2">
        <v>45637.5</v>
      </c>
      <c r="C29" t="s">
        <v>216</v>
      </c>
      <c r="D29" t="s">
        <v>275</v>
      </c>
      <c r="E29" t="s">
        <v>276</v>
      </c>
      <c r="H29">
        <v>5</v>
      </c>
    </row>
    <row r="30" spans="1:16" x14ac:dyDescent="0.55000000000000004">
      <c r="A30">
        <v>86</v>
      </c>
      <c r="B30" s="2">
        <v>45637.5</v>
      </c>
      <c r="C30" t="s">
        <v>215</v>
      </c>
      <c r="D30" t="s">
        <v>221</v>
      </c>
      <c r="F30" t="s">
        <v>240</v>
      </c>
      <c r="H30">
        <v>5</v>
      </c>
    </row>
    <row r="31" spans="1:16" x14ac:dyDescent="0.55000000000000004">
      <c r="A31">
        <v>86</v>
      </c>
      <c r="B31" s="2">
        <v>45637.5</v>
      </c>
      <c r="C31" t="s">
        <v>215</v>
      </c>
      <c r="D31" t="s">
        <v>275</v>
      </c>
      <c r="E31" t="s">
        <v>276</v>
      </c>
      <c r="H31">
        <f>5+3+2+3+2+6+5+4+1</f>
        <v>31</v>
      </c>
    </row>
    <row r="32" spans="1:16" x14ac:dyDescent="0.55000000000000004">
      <c r="A32">
        <v>86</v>
      </c>
      <c r="B32" s="2">
        <v>45637.5</v>
      </c>
      <c r="C32" t="s">
        <v>215</v>
      </c>
      <c r="D32" t="s">
        <v>275</v>
      </c>
      <c r="E32" t="s">
        <v>277</v>
      </c>
      <c r="H32">
        <v>3</v>
      </c>
    </row>
    <row r="33" spans="1:8" x14ac:dyDescent="0.55000000000000004">
      <c r="A33">
        <v>87</v>
      </c>
      <c r="B33" s="2">
        <v>45637.625</v>
      </c>
      <c r="C33" t="s">
        <v>216</v>
      </c>
      <c r="D33" t="s">
        <v>221</v>
      </c>
      <c r="F33" t="s">
        <v>240</v>
      </c>
      <c r="H33">
        <v>1</v>
      </c>
    </row>
    <row r="34" spans="1:8" x14ac:dyDescent="0.55000000000000004">
      <c r="A34">
        <v>87</v>
      </c>
      <c r="B34" s="2">
        <v>45637.625</v>
      </c>
      <c r="C34" t="s">
        <v>216</v>
      </c>
      <c r="D34" t="s">
        <v>275</v>
      </c>
      <c r="E34" t="s">
        <v>276</v>
      </c>
      <c r="H34">
        <v>1</v>
      </c>
    </row>
    <row r="35" spans="1:8" x14ac:dyDescent="0.55000000000000004">
      <c r="A35">
        <v>87</v>
      </c>
      <c r="B35" s="2">
        <v>45637.625</v>
      </c>
      <c r="C35" t="s">
        <v>216</v>
      </c>
      <c r="D35" t="s">
        <v>275</v>
      </c>
      <c r="E35" t="s">
        <v>277</v>
      </c>
      <c r="H35">
        <v>2</v>
      </c>
    </row>
    <row r="36" spans="1:8" x14ac:dyDescent="0.55000000000000004">
      <c r="A36">
        <v>87</v>
      </c>
      <c r="B36" s="2">
        <v>45637.625</v>
      </c>
      <c r="C36" t="s">
        <v>216</v>
      </c>
      <c r="D36" t="s">
        <v>278</v>
      </c>
      <c r="H36">
        <v>1</v>
      </c>
    </row>
    <row r="37" spans="1:8" x14ac:dyDescent="0.55000000000000004">
      <c r="A37">
        <v>87</v>
      </c>
      <c r="B37" s="2">
        <v>45637.625</v>
      </c>
      <c r="C37" t="s">
        <v>215</v>
      </c>
      <c r="D37" t="s">
        <v>275</v>
      </c>
      <c r="E37" t="s">
        <v>276</v>
      </c>
      <c r="H37">
        <v>4</v>
      </c>
    </row>
    <row r="38" spans="1:8" x14ac:dyDescent="0.55000000000000004">
      <c r="A38">
        <v>87</v>
      </c>
      <c r="B38" s="2">
        <v>45637.625</v>
      </c>
      <c r="C38" t="s">
        <v>215</v>
      </c>
      <c r="D38" t="s">
        <v>275</v>
      </c>
      <c r="E38" t="s">
        <v>277</v>
      </c>
      <c r="H38">
        <v>10</v>
      </c>
    </row>
    <row r="39" spans="1:8" x14ac:dyDescent="0.55000000000000004">
      <c r="A39">
        <v>88</v>
      </c>
      <c r="B39" s="2">
        <v>45638.4375</v>
      </c>
      <c r="C39" t="s">
        <v>215</v>
      </c>
      <c r="D39" t="s">
        <v>275</v>
      </c>
      <c r="E39" t="s">
        <v>276</v>
      </c>
      <c r="H39">
        <v>12</v>
      </c>
    </row>
    <row r="40" spans="1:8" x14ac:dyDescent="0.55000000000000004">
      <c r="A40">
        <v>89</v>
      </c>
      <c r="B40" s="2">
        <v>45637.541666666664</v>
      </c>
      <c r="C40" t="s">
        <v>216</v>
      </c>
      <c r="D40" t="s">
        <v>221</v>
      </c>
      <c r="F40" t="s">
        <v>240</v>
      </c>
      <c r="H40">
        <v>14</v>
      </c>
    </row>
    <row r="41" spans="1:8" x14ac:dyDescent="0.55000000000000004">
      <c r="A41">
        <v>89</v>
      </c>
      <c r="B41" s="2">
        <v>45637.541666666664</v>
      </c>
      <c r="C41" t="s">
        <v>216</v>
      </c>
      <c r="D41" t="s">
        <v>275</v>
      </c>
      <c r="E41" t="s">
        <v>276</v>
      </c>
      <c r="H41">
        <v>1</v>
      </c>
    </row>
    <row r="42" spans="1:8" x14ac:dyDescent="0.55000000000000004">
      <c r="A42">
        <v>89</v>
      </c>
      <c r="B42" s="2">
        <v>45637.541666666664</v>
      </c>
      <c r="C42" t="s">
        <v>215</v>
      </c>
      <c r="D42" t="s">
        <v>275</v>
      </c>
      <c r="E42" t="s">
        <v>276</v>
      </c>
      <c r="H42">
        <v>2</v>
      </c>
    </row>
    <row r="43" spans="1:8" x14ac:dyDescent="0.55000000000000004">
      <c r="A43">
        <v>89</v>
      </c>
      <c r="B43" s="2">
        <v>45637.541666666664</v>
      </c>
      <c r="C43" t="s">
        <v>215</v>
      </c>
      <c r="D43" t="s">
        <v>275</v>
      </c>
      <c r="E43" t="s">
        <v>277</v>
      </c>
      <c r="H43">
        <v>3</v>
      </c>
    </row>
    <row r="44" spans="1:8" x14ac:dyDescent="0.55000000000000004">
      <c r="A44">
        <v>89</v>
      </c>
      <c r="B44" s="2">
        <v>45637.541666608799</v>
      </c>
      <c r="C44" t="s">
        <v>215</v>
      </c>
      <c r="D44" t="s">
        <v>221</v>
      </c>
      <c r="F44" t="s">
        <v>240</v>
      </c>
      <c r="H44">
        <v>3</v>
      </c>
    </row>
    <row r="45" spans="1:8" x14ac:dyDescent="0.55000000000000004">
      <c r="A45">
        <v>90</v>
      </c>
      <c r="B45" s="2">
        <v>45637.583333333336</v>
      </c>
      <c r="C45" t="s">
        <v>216</v>
      </c>
      <c r="D45" t="s">
        <v>221</v>
      </c>
      <c r="F45" t="s">
        <v>240</v>
      </c>
      <c r="H45">
        <v>6</v>
      </c>
    </row>
    <row r="46" spans="1:8" x14ac:dyDescent="0.55000000000000004">
      <c r="A46">
        <v>90</v>
      </c>
      <c r="B46" s="2">
        <v>45637.583333333336</v>
      </c>
      <c r="C46" t="s">
        <v>216</v>
      </c>
      <c r="D46" t="s">
        <v>275</v>
      </c>
      <c r="E46" t="s">
        <v>276</v>
      </c>
      <c r="H46">
        <v>1</v>
      </c>
    </row>
    <row r="47" spans="1:8" x14ac:dyDescent="0.55000000000000004">
      <c r="A47">
        <v>90</v>
      </c>
      <c r="B47" s="2">
        <v>45637.583333333336</v>
      </c>
      <c r="C47" t="s">
        <v>215</v>
      </c>
      <c r="D47" t="s">
        <v>221</v>
      </c>
      <c r="F47" t="s">
        <v>240</v>
      </c>
      <c r="H47">
        <v>8</v>
      </c>
    </row>
    <row r="48" spans="1:8" x14ac:dyDescent="0.55000000000000004">
      <c r="A48">
        <v>90</v>
      </c>
      <c r="B48" s="2">
        <v>45637.583333333336</v>
      </c>
      <c r="C48" t="s">
        <v>215</v>
      </c>
      <c r="D48" t="s">
        <v>275</v>
      </c>
      <c r="E48" t="s">
        <v>277</v>
      </c>
      <c r="H48">
        <v>2</v>
      </c>
    </row>
    <row r="49" spans="1:8" x14ac:dyDescent="0.55000000000000004">
      <c r="A49">
        <v>91</v>
      </c>
      <c r="B49" s="2">
        <v>45638.5</v>
      </c>
      <c r="C49" t="s">
        <v>215</v>
      </c>
      <c r="D49" t="s">
        <v>275</v>
      </c>
      <c r="E49" t="s">
        <v>276</v>
      </c>
      <c r="H49">
        <v>1</v>
      </c>
    </row>
    <row r="50" spans="1:8" x14ac:dyDescent="0.55000000000000004">
      <c r="A50">
        <v>92</v>
      </c>
      <c r="B50" s="2">
        <v>45638.456944386577</v>
      </c>
      <c r="C50" t="s">
        <v>215</v>
      </c>
      <c r="D50" t="s">
        <v>278</v>
      </c>
      <c r="H50">
        <v>1</v>
      </c>
    </row>
    <row r="51" spans="1:8" x14ac:dyDescent="0.55000000000000004">
      <c r="A51">
        <v>92</v>
      </c>
      <c r="B51" s="2">
        <v>45638.456944386577</v>
      </c>
      <c r="C51" t="s">
        <v>215</v>
      </c>
      <c r="D51" t="s">
        <v>275</v>
      </c>
      <c r="E51" t="s">
        <v>276</v>
      </c>
      <c r="H51">
        <v>1</v>
      </c>
    </row>
    <row r="52" spans="1:8" x14ac:dyDescent="0.55000000000000004">
      <c r="A52">
        <v>92</v>
      </c>
      <c r="B52" s="2">
        <v>45638.456944386577</v>
      </c>
      <c r="C52" t="s">
        <v>215</v>
      </c>
      <c r="D52" t="s">
        <v>221</v>
      </c>
      <c r="F52" t="s">
        <v>240</v>
      </c>
      <c r="H52">
        <v>1</v>
      </c>
    </row>
    <row r="53" spans="1:8" x14ac:dyDescent="0.55000000000000004">
      <c r="A53">
        <v>93</v>
      </c>
      <c r="B53" s="2">
        <v>45637.465277777781</v>
      </c>
      <c r="C53" t="s">
        <v>216</v>
      </c>
      <c r="D53" t="s">
        <v>278</v>
      </c>
      <c r="H53">
        <v>1</v>
      </c>
    </row>
    <row r="54" spans="1:8" x14ac:dyDescent="0.55000000000000004">
      <c r="A54">
        <v>93</v>
      </c>
      <c r="B54" s="2">
        <v>45637.465277777781</v>
      </c>
      <c r="C54" t="s">
        <v>216</v>
      </c>
      <c r="D54" t="s">
        <v>275</v>
      </c>
      <c r="E54" t="s">
        <v>276</v>
      </c>
      <c r="H54">
        <v>2</v>
      </c>
    </row>
    <row r="55" spans="1:8" x14ac:dyDescent="0.55000000000000004">
      <c r="A55">
        <v>93</v>
      </c>
      <c r="B55" s="2">
        <v>45637.465277777781</v>
      </c>
      <c r="C55" t="s">
        <v>216</v>
      </c>
      <c r="D55" t="s">
        <v>221</v>
      </c>
      <c r="F55" t="s">
        <v>240</v>
      </c>
      <c r="H55">
        <v>38</v>
      </c>
    </row>
    <row r="56" spans="1:8" x14ac:dyDescent="0.55000000000000004">
      <c r="A56">
        <v>93</v>
      </c>
      <c r="B56" s="2">
        <v>45637.465277777781</v>
      </c>
      <c r="C56" t="s">
        <v>215</v>
      </c>
      <c r="D56" t="s">
        <v>221</v>
      </c>
      <c r="F56" t="s">
        <v>240</v>
      </c>
      <c r="H56">
        <v>7</v>
      </c>
    </row>
    <row r="57" spans="1:8" x14ac:dyDescent="0.55000000000000004">
      <c r="A57">
        <v>93</v>
      </c>
      <c r="B57" s="2">
        <v>45637.465277777781</v>
      </c>
      <c r="C57" t="s">
        <v>215</v>
      </c>
      <c r="D57" t="s">
        <v>275</v>
      </c>
      <c r="E57" t="s">
        <v>277</v>
      </c>
      <c r="H57">
        <v>1</v>
      </c>
    </row>
    <row r="58" spans="1:8" x14ac:dyDescent="0.55000000000000004">
      <c r="A58">
        <v>94</v>
      </c>
      <c r="B58" s="2">
        <v>45638.5625</v>
      </c>
      <c r="C58" t="s">
        <v>215</v>
      </c>
      <c r="D58" t="s">
        <v>275</v>
      </c>
      <c r="E58" t="s">
        <v>276</v>
      </c>
      <c r="H58">
        <v>2</v>
      </c>
    </row>
    <row r="59" spans="1:8" x14ac:dyDescent="0.55000000000000004">
      <c r="A59">
        <v>95</v>
      </c>
      <c r="B59" s="2">
        <v>45638.520833333336</v>
      </c>
      <c r="C59" t="s">
        <v>215</v>
      </c>
      <c r="D59" t="s">
        <v>299</v>
      </c>
      <c r="H59">
        <v>4</v>
      </c>
    </row>
    <row r="60" spans="1:8" x14ac:dyDescent="0.55000000000000004">
      <c r="A60">
        <v>75</v>
      </c>
      <c r="B60" s="2">
        <v>45673.434027777781</v>
      </c>
      <c r="C60" t="s">
        <v>216</v>
      </c>
      <c r="D60" t="s">
        <v>275</v>
      </c>
      <c r="E60" t="s">
        <v>276</v>
      </c>
      <c r="H60">
        <v>2</v>
      </c>
    </row>
    <row r="61" spans="1:8" x14ac:dyDescent="0.55000000000000004">
      <c r="A61">
        <v>76</v>
      </c>
      <c r="B61" s="2">
        <v>45673.348611111112</v>
      </c>
      <c r="C61" t="s">
        <v>215</v>
      </c>
      <c r="D61" t="s">
        <v>275</v>
      </c>
      <c r="E61" t="s">
        <v>276</v>
      </c>
      <c r="H6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71F7-83A4-438D-A0B0-E036D0C069E2}">
  <dimension ref="A1:C1"/>
  <sheetViews>
    <sheetView workbookViewId="0">
      <selection activeCell="E9" sqref="E9"/>
    </sheetView>
  </sheetViews>
  <sheetFormatPr defaultRowHeight="14.4" x14ac:dyDescent="0.55000000000000004"/>
  <cols>
    <col min="2" max="2" width="9.26171875" bestFit="1" customWidth="1"/>
    <col min="3" max="3" width="15.05078125" bestFit="1" customWidth="1"/>
  </cols>
  <sheetData>
    <row r="1" spans="1:3" x14ac:dyDescent="0.55000000000000004">
      <c r="A1" t="s">
        <v>2</v>
      </c>
      <c r="B1" t="s">
        <v>310</v>
      </c>
      <c r="C1" t="s">
        <v>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CAE2-2641-4CF8-9645-A448D68335BD}">
  <dimension ref="A1:G22"/>
  <sheetViews>
    <sheetView workbookViewId="0">
      <selection activeCell="C10" sqref="C10"/>
    </sheetView>
  </sheetViews>
  <sheetFormatPr defaultRowHeight="14.4" x14ac:dyDescent="0.55000000000000004"/>
  <cols>
    <col min="1" max="1" width="10.47265625" bestFit="1" customWidth="1"/>
    <col min="3" max="3" width="15.05078125" bestFit="1" customWidth="1"/>
    <col min="4" max="4" width="19.9453125" bestFit="1" customWidth="1"/>
    <col min="5" max="5" width="12.05078125" bestFit="1" customWidth="1"/>
    <col min="6" max="6" width="19.9453125" bestFit="1" customWidth="1"/>
    <col min="7" max="7" width="12.05078125" bestFit="1" customWidth="1"/>
  </cols>
  <sheetData>
    <row r="1" spans="1:7" x14ac:dyDescent="0.55000000000000004">
      <c r="A1" s="1"/>
      <c r="B1" s="1" t="s">
        <v>69</v>
      </c>
      <c r="C1" s="1" t="s">
        <v>1</v>
      </c>
      <c r="D1" s="1" t="s">
        <v>70</v>
      </c>
      <c r="E1" s="1" t="s">
        <v>71</v>
      </c>
      <c r="F1" s="1" t="s">
        <v>72</v>
      </c>
      <c r="G1" s="1" t="s">
        <v>71</v>
      </c>
    </row>
    <row r="2" spans="1:7" x14ac:dyDescent="0.55000000000000004">
      <c r="A2" t="s">
        <v>84</v>
      </c>
      <c r="B2">
        <v>1</v>
      </c>
      <c r="C2" t="s">
        <v>80</v>
      </c>
      <c r="D2" t="s">
        <v>74</v>
      </c>
      <c r="E2" t="s">
        <v>203</v>
      </c>
    </row>
    <row r="3" spans="1:7" x14ac:dyDescent="0.55000000000000004">
      <c r="A3" t="s">
        <v>85</v>
      </c>
      <c r="B3">
        <v>2</v>
      </c>
      <c r="C3" t="s">
        <v>80</v>
      </c>
      <c r="D3" t="s">
        <v>76</v>
      </c>
      <c r="E3" t="s">
        <v>203</v>
      </c>
    </row>
    <row r="5" spans="1:7" x14ac:dyDescent="0.55000000000000004">
      <c r="A5" t="s">
        <v>83</v>
      </c>
      <c r="B5">
        <v>4</v>
      </c>
      <c r="C5" t="s">
        <v>79</v>
      </c>
      <c r="D5" t="s">
        <v>74</v>
      </c>
      <c r="E5" t="s">
        <v>204</v>
      </c>
    </row>
    <row r="6" spans="1:7" x14ac:dyDescent="0.55000000000000004">
      <c r="A6" t="s">
        <v>84</v>
      </c>
      <c r="B6">
        <v>5</v>
      </c>
      <c r="C6" t="s">
        <v>205</v>
      </c>
      <c r="D6" t="s">
        <v>76</v>
      </c>
      <c r="E6" t="s">
        <v>204</v>
      </c>
    </row>
    <row r="7" spans="1:7" x14ac:dyDescent="0.55000000000000004">
      <c r="A7" t="s">
        <v>85</v>
      </c>
      <c r="B7">
        <v>6</v>
      </c>
      <c r="C7" t="s">
        <v>206</v>
      </c>
    </row>
    <row r="12" spans="1:7" x14ac:dyDescent="0.55000000000000004">
      <c r="A12" t="s">
        <v>81</v>
      </c>
    </row>
    <row r="13" spans="1:7" x14ac:dyDescent="0.55000000000000004">
      <c r="A13" t="s">
        <v>82</v>
      </c>
      <c r="C13" t="s">
        <v>77</v>
      </c>
    </row>
    <row r="14" spans="1:7" x14ac:dyDescent="0.55000000000000004">
      <c r="C14" t="s">
        <v>78</v>
      </c>
    </row>
    <row r="15" spans="1:7" x14ac:dyDescent="0.55000000000000004">
      <c r="B15">
        <v>7</v>
      </c>
    </row>
    <row r="16" spans="1:7" x14ac:dyDescent="0.55000000000000004">
      <c r="B16">
        <v>8</v>
      </c>
    </row>
    <row r="18" spans="1:3" x14ac:dyDescent="0.55000000000000004">
      <c r="A18" t="s">
        <v>81</v>
      </c>
      <c r="B18">
        <v>9</v>
      </c>
      <c r="C18" t="s">
        <v>73</v>
      </c>
    </row>
    <row r="19" spans="1:3" x14ac:dyDescent="0.55000000000000004">
      <c r="A19" t="s">
        <v>82</v>
      </c>
      <c r="B19">
        <v>10</v>
      </c>
      <c r="C19" t="s">
        <v>73</v>
      </c>
    </row>
    <row r="20" spans="1:3" x14ac:dyDescent="0.55000000000000004">
      <c r="A20" t="s">
        <v>83</v>
      </c>
      <c r="B20">
        <v>11</v>
      </c>
      <c r="C20" t="s">
        <v>75</v>
      </c>
    </row>
    <row r="21" spans="1:3" x14ac:dyDescent="0.55000000000000004">
      <c r="A21" t="s">
        <v>84</v>
      </c>
      <c r="B21">
        <v>12</v>
      </c>
      <c r="C21" t="s">
        <v>24</v>
      </c>
    </row>
    <row r="22" spans="1:3" x14ac:dyDescent="0.55000000000000004">
      <c r="A22" t="s">
        <v>85</v>
      </c>
      <c r="B22">
        <v>13</v>
      </c>
      <c r="C22" t="s">
        <v>24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715D-D371-44F5-9FD2-586F970BD926}">
  <dimension ref="A1:P22"/>
  <sheetViews>
    <sheetView workbookViewId="0">
      <selection activeCell="H26" sqref="H26"/>
    </sheetView>
  </sheetViews>
  <sheetFormatPr defaultRowHeight="14.4" x14ac:dyDescent="0.55000000000000004"/>
  <cols>
    <col min="6" max="9" width="11.15625" bestFit="1" customWidth="1"/>
    <col min="10" max="12" width="10.15625" bestFit="1" customWidth="1"/>
    <col min="13" max="13" width="12.15625" bestFit="1" customWidth="1"/>
  </cols>
  <sheetData>
    <row r="1" spans="1:16" x14ac:dyDescent="0.55000000000000004">
      <c r="A1" s="1" t="s">
        <v>1</v>
      </c>
      <c r="B1" s="1" t="s">
        <v>7</v>
      </c>
      <c r="C1" s="1" t="s">
        <v>95</v>
      </c>
      <c r="E1" s="1" t="s">
        <v>1</v>
      </c>
      <c r="F1" s="1" t="s">
        <v>88</v>
      </c>
      <c r="G1" s="1" t="s">
        <v>86</v>
      </c>
      <c r="H1" s="1" t="s">
        <v>27</v>
      </c>
      <c r="I1" s="1" t="s">
        <v>87</v>
      </c>
      <c r="J1" s="1" t="s">
        <v>89</v>
      </c>
      <c r="K1" s="8" t="s">
        <v>91</v>
      </c>
      <c r="L1" s="8" t="s">
        <v>90</v>
      </c>
      <c r="M1" s="1" t="s">
        <v>94</v>
      </c>
      <c r="N1" s="1" t="s">
        <v>93</v>
      </c>
      <c r="O1" s="1" t="s">
        <v>92</v>
      </c>
    </row>
    <row r="2" spans="1:16" x14ac:dyDescent="0.55000000000000004">
      <c r="A2" t="s">
        <v>24</v>
      </c>
      <c r="B2" t="s">
        <v>89</v>
      </c>
      <c r="C2" s="5">
        <v>210.75630000000001</v>
      </c>
      <c r="D2" s="1"/>
      <c r="E2" t="s">
        <v>73</v>
      </c>
      <c r="K2" s="6"/>
      <c r="L2" s="6"/>
      <c r="M2">
        <f>SUM(F2:L2)</f>
        <v>0</v>
      </c>
      <c r="N2">
        <f>SUM(F2:J2)</f>
        <v>0</v>
      </c>
      <c r="O2" s="5">
        <v>12</v>
      </c>
    </row>
    <row r="3" spans="1:16" x14ac:dyDescent="0.55000000000000004">
      <c r="A3" t="s">
        <v>24</v>
      </c>
      <c r="B3" t="s">
        <v>91</v>
      </c>
      <c r="C3" s="5">
        <v>926.10419999999999</v>
      </c>
      <c r="E3" t="s">
        <v>24</v>
      </c>
      <c r="G3" s="5">
        <v>39455.430899999999</v>
      </c>
      <c r="H3" s="5">
        <v>12590.674199999999</v>
      </c>
      <c r="I3" s="5">
        <v>5597.5628999999999</v>
      </c>
      <c r="J3" s="7">
        <v>210.75630000000001</v>
      </c>
      <c r="K3" s="7">
        <v>926.10419999999999</v>
      </c>
      <c r="L3" s="7">
        <v>439.96510000000001</v>
      </c>
      <c r="M3" s="5">
        <f>SUM(F3:L3)</f>
        <v>59220.493600000002</v>
      </c>
      <c r="N3" s="5">
        <f>SUM(G3:I3)</f>
        <v>57643.667999999998</v>
      </c>
      <c r="O3" s="5">
        <v>12</v>
      </c>
      <c r="P3">
        <f>O3/(COUNT(G3:I3))</f>
        <v>4</v>
      </c>
    </row>
    <row r="4" spans="1:16" x14ac:dyDescent="0.55000000000000004">
      <c r="A4" t="s">
        <v>24</v>
      </c>
      <c r="B4" t="s">
        <v>90</v>
      </c>
      <c r="C4" s="5">
        <v>439.96510000000001</v>
      </c>
      <c r="E4" t="s">
        <v>77</v>
      </c>
      <c r="F4" s="7">
        <v>1254.4101000000001</v>
      </c>
      <c r="G4" s="5">
        <v>34629.698100000001</v>
      </c>
      <c r="H4" s="5">
        <v>645.90899999999999</v>
      </c>
      <c r="I4" s="5">
        <v>1451.1987999999999</v>
      </c>
      <c r="J4" s="7">
        <v>309.78530000000001</v>
      </c>
      <c r="K4" s="7">
        <v>642.995</v>
      </c>
      <c r="L4" s="7">
        <v>459.02539999999999</v>
      </c>
      <c r="M4" s="5">
        <f>SUM(F4:L4)</f>
        <v>39393.021700000005</v>
      </c>
      <c r="N4" s="5">
        <f>SUM(G4:J4)</f>
        <v>37036.591200000003</v>
      </c>
      <c r="O4" s="5">
        <v>12</v>
      </c>
      <c r="P4">
        <f>O4/(COUNT(G4:I4))</f>
        <v>4</v>
      </c>
    </row>
    <row r="5" spans="1:16" x14ac:dyDescent="0.55000000000000004">
      <c r="A5" t="s">
        <v>24</v>
      </c>
      <c r="B5" t="s">
        <v>87</v>
      </c>
      <c r="C5" s="5">
        <v>5597.5628999999999</v>
      </c>
      <c r="E5" t="s">
        <v>79</v>
      </c>
      <c r="G5" s="5">
        <v>14410.815699999999</v>
      </c>
      <c r="H5" s="5">
        <v>4107.7909</v>
      </c>
      <c r="I5" s="5">
        <v>4740.4111999999996</v>
      </c>
      <c r="J5" s="7">
        <v>1261.0335</v>
      </c>
      <c r="L5" s="6"/>
      <c r="M5" s="5">
        <f>SUM(F5:L5)</f>
        <v>24520.051299999999</v>
      </c>
      <c r="N5" s="5">
        <f>SUM(F5:J5)</f>
        <v>24520.051299999999</v>
      </c>
      <c r="O5" s="5">
        <v>12</v>
      </c>
      <c r="P5">
        <f>O5/(COUNT(G5:I5))</f>
        <v>4</v>
      </c>
    </row>
    <row r="6" spans="1:16" x14ac:dyDescent="0.55000000000000004">
      <c r="A6" t="s">
        <v>24</v>
      </c>
      <c r="B6" t="s">
        <v>27</v>
      </c>
      <c r="C6" s="5">
        <v>12590.674199999999</v>
      </c>
      <c r="E6" t="s">
        <v>80</v>
      </c>
      <c r="F6" s="5">
        <v>1003.8765</v>
      </c>
      <c r="G6" s="5">
        <v>5080.3022000000001</v>
      </c>
      <c r="H6" s="5">
        <v>2278.2080999999998</v>
      </c>
      <c r="I6" s="5">
        <v>2906.2314999999999</v>
      </c>
      <c r="L6" s="6"/>
      <c r="M6" s="5">
        <f>SUM(F6:L6)</f>
        <v>11268.6183</v>
      </c>
      <c r="N6" s="5">
        <f>SUM(F6:J6)</f>
        <v>11268.6183</v>
      </c>
      <c r="O6" s="5">
        <v>12</v>
      </c>
      <c r="P6">
        <f>O6/(COUNT(F6:I6))</f>
        <v>3</v>
      </c>
    </row>
    <row r="7" spans="1:16" x14ac:dyDescent="0.55000000000000004">
      <c r="A7" t="s">
        <v>24</v>
      </c>
      <c r="B7" t="s">
        <v>86</v>
      </c>
      <c r="C7" s="5">
        <v>39455.430899999999</v>
      </c>
    </row>
    <row r="8" spans="1:16" x14ac:dyDescent="0.55000000000000004">
      <c r="A8" t="s">
        <v>77</v>
      </c>
      <c r="B8" t="s">
        <v>89</v>
      </c>
      <c r="C8" s="5">
        <v>309.78530000000001</v>
      </c>
      <c r="E8" s="1" t="s">
        <v>96</v>
      </c>
      <c r="F8" s="1" t="s">
        <v>88</v>
      </c>
      <c r="G8" s="1" t="s">
        <v>86</v>
      </c>
      <c r="H8" s="1" t="s">
        <v>27</v>
      </c>
      <c r="I8" s="1" t="s">
        <v>87</v>
      </c>
      <c r="J8" s="1" t="s">
        <v>89</v>
      </c>
      <c r="K8" s="8" t="s">
        <v>91</v>
      </c>
      <c r="L8" s="8" t="s">
        <v>90</v>
      </c>
      <c r="M8" s="1" t="s">
        <v>94</v>
      </c>
    </row>
    <row r="9" spans="1:16" x14ac:dyDescent="0.55000000000000004">
      <c r="A9" t="s">
        <v>77</v>
      </c>
      <c r="B9" t="s">
        <v>91</v>
      </c>
      <c r="C9" s="5">
        <v>642.995</v>
      </c>
      <c r="E9" t="s">
        <v>73</v>
      </c>
      <c r="F9" t="e">
        <f>F2/$M$2*100</f>
        <v>#DIV/0!</v>
      </c>
      <c r="G9" t="e">
        <f t="shared" ref="G9:M9" si="0">G2/$M$2*100</f>
        <v>#DIV/0!</v>
      </c>
      <c r="H9" t="e">
        <f t="shared" si="0"/>
        <v>#DIV/0!</v>
      </c>
      <c r="I9" t="e">
        <f t="shared" si="0"/>
        <v>#DIV/0!</v>
      </c>
      <c r="J9" t="e">
        <f t="shared" si="0"/>
        <v>#DIV/0!</v>
      </c>
      <c r="K9" t="e">
        <f t="shared" si="0"/>
        <v>#DIV/0!</v>
      </c>
      <c r="L9" t="e">
        <f t="shared" si="0"/>
        <v>#DIV/0!</v>
      </c>
      <c r="M9" t="e">
        <f t="shared" si="0"/>
        <v>#DIV/0!</v>
      </c>
    </row>
    <row r="10" spans="1:16" x14ac:dyDescent="0.55000000000000004">
      <c r="A10" t="s">
        <v>77</v>
      </c>
      <c r="B10" t="s">
        <v>90</v>
      </c>
      <c r="C10" s="5">
        <v>459.02539999999999</v>
      </c>
      <c r="E10" t="s">
        <v>24</v>
      </c>
      <c r="F10" s="11">
        <f>F3/$M$3*100</f>
        <v>0</v>
      </c>
      <c r="G10" s="10">
        <f t="shared" ref="G10:M10" si="1">G3/$M$3*100</f>
        <v>66.624623507021894</v>
      </c>
      <c r="H10" s="10">
        <f t="shared" si="1"/>
        <v>21.260670816158139</v>
      </c>
      <c r="I10" s="10">
        <f t="shared" si="1"/>
        <v>9.4520706595393857</v>
      </c>
      <c r="J10" s="11">
        <f t="shared" si="1"/>
        <v>0.35588406510681297</v>
      </c>
      <c r="K10" s="11">
        <f t="shared" si="1"/>
        <v>1.5638238449265474</v>
      </c>
      <c r="L10" s="11">
        <f t="shared" si="1"/>
        <v>0.74292710724721145</v>
      </c>
      <c r="M10" s="10">
        <f t="shared" si="1"/>
        <v>100</v>
      </c>
    </row>
    <row r="11" spans="1:16" x14ac:dyDescent="0.55000000000000004">
      <c r="A11" t="s">
        <v>77</v>
      </c>
      <c r="B11" t="s">
        <v>88</v>
      </c>
      <c r="C11" s="5">
        <v>1254.4101000000001</v>
      </c>
      <c r="E11" t="s">
        <v>77</v>
      </c>
      <c r="F11" s="11">
        <f>F4/$M$4*100</f>
        <v>3.184345972626923</v>
      </c>
      <c r="G11" s="10">
        <f t="shared" ref="G11:M11" si="2">G4/$M$4*100</f>
        <v>87.908204564058607</v>
      </c>
      <c r="H11" s="10">
        <f t="shared" si="2"/>
        <v>1.6396533500754522</v>
      </c>
      <c r="I11" s="10">
        <f t="shared" si="2"/>
        <v>3.6838981560025887</v>
      </c>
      <c r="J11" s="11">
        <f t="shared" si="2"/>
        <v>0.78639638857660921</v>
      </c>
      <c r="K11" s="11">
        <f t="shared" si="2"/>
        <v>1.632256100831178</v>
      </c>
      <c r="L11" s="11">
        <f t="shared" si="2"/>
        <v>1.165245467828633</v>
      </c>
      <c r="M11" s="10">
        <f t="shared" si="2"/>
        <v>100</v>
      </c>
    </row>
    <row r="12" spans="1:16" x14ac:dyDescent="0.55000000000000004">
      <c r="A12" t="s">
        <v>77</v>
      </c>
      <c r="B12" t="s">
        <v>87</v>
      </c>
      <c r="C12" s="5">
        <v>1451.1987999999999</v>
      </c>
      <c r="E12" t="s">
        <v>79</v>
      </c>
      <c r="F12" s="11">
        <f>F5/$M$5*100</f>
        <v>0</v>
      </c>
      <c r="G12" s="10">
        <f t="shared" ref="G12:M12" si="3">G5/$M$5*100</f>
        <v>58.771556077454044</v>
      </c>
      <c r="H12" s="10">
        <f t="shared" si="3"/>
        <v>16.75278265017333</v>
      </c>
      <c r="I12" s="10">
        <f t="shared" si="3"/>
        <v>19.332794789054947</v>
      </c>
      <c r="J12" s="11">
        <f t="shared" si="3"/>
        <v>5.1428664833176754</v>
      </c>
      <c r="K12" s="11">
        <f t="shared" si="3"/>
        <v>0</v>
      </c>
      <c r="L12" s="11">
        <f t="shared" si="3"/>
        <v>0</v>
      </c>
      <c r="M12" s="10">
        <f t="shared" si="3"/>
        <v>100</v>
      </c>
    </row>
    <row r="13" spans="1:16" x14ac:dyDescent="0.55000000000000004">
      <c r="A13" t="s">
        <v>77</v>
      </c>
      <c r="B13" t="s">
        <v>27</v>
      </c>
      <c r="C13" s="5">
        <v>645.90899999999999</v>
      </c>
      <c r="E13" t="s">
        <v>80</v>
      </c>
      <c r="F13" s="10">
        <f>F6/$M$6*100</f>
        <v>8.9086032845748253</v>
      </c>
      <c r="G13" s="10">
        <f t="shared" ref="G13:M13" si="4">G6/$M$6*100</f>
        <v>45.083630173186364</v>
      </c>
      <c r="H13" s="10">
        <f t="shared" si="4"/>
        <v>20.217279877161161</v>
      </c>
      <c r="I13" s="10">
        <f t="shared" si="4"/>
        <v>25.790486665077651</v>
      </c>
      <c r="J13" s="11">
        <f t="shared" si="4"/>
        <v>0</v>
      </c>
      <c r="K13" s="11">
        <f t="shared" si="4"/>
        <v>0</v>
      </c>
      <c r="L13" s="11">
        <f t="shared" si="4"/>
        <v>0</v>
      </c>
      <c r="M13" s="10">
        <f t="shared" si="4"/>
        <v>100</v>
      </c>
    </row>
    <row r="14" spans="1:16" x14ac:dyDescent="0.55000000000000004">
      <c r="A14" t="s">
        <v>77</v>
      </c>
      <c r="B14" t="s">
        <v>86</v>
      </c>
      <c r="C14" s="5">
        <v>34629.698100000001</v>
      </c>
    </row>
    <row r="15" spans="1:16" x14ac:dyDescent="0.55000000000000004">
      <c r="A15" t="s">
        <v>79</v>
      </c>
      <c r="B15" t="s">
        <v>89</v>
      </c>
      <c r="C15" s="5">
        <v>1261.0335</v>
      </c>
      <c r="E15" s="1" t="s">
        <v>97</v>
      </c>
      <c r="F15" s="1" t="s">
        <v>88</v>
      </c>
      <c r="G15" s="1" t="s">
        <v>86</v>
      </c>
      <c r="H15" s="1" t="s">
        <v>27</v>
      </c>
      <c r="I15" s="1" t="s">
        <v>87</v>
      </c>
      <c r="J15" s="1" t="s">
        <v>89</v>
      </c>
      <c r="K15" s="8" t="s">
        <v>91</v>
      </c>
      <c r="L15" s="8" t="s">
        <v>90</v>
      </c>
      <c r="M15" s="1" t="s">
        <v>98</v>
      </c>
      <c r="N15" s="1" t="s">
        <v>92</v>
      </c>
    </row>
    <row r="16" spans="1:16" x14ac:dyDescent="0.55000000000000004">
      <c r="A16" t="s">
        <v>79</v>
      </c>
      <c r="B16" t="s">
        <v>87</v>
      </c>
      <c r="C16" s="5">
        <v>4740.4111999999996</v>
      </c>
      <c r="E16" t="s">
        <v>73</v>
      </c>
      <c r="F16" s="5" t="e">
        <f>$M$16*F9/100</f>
        <v>#DIV/0!</v>
      </c>
      <c r="G16" s="5" t="e">
        <f t="shared" ref="G16:L16" si="5">$M$16*G9/100</f>
        <v>#DIV/0!</v>
      </c>
      <c r="H16" s="5" t="e">
        <f t="shared" si="5"/>
        <v>#DIV/0!</v>
      </c>
      <c r="I16" s="5" t="e">
        <f t="shared" si="5"/>
        <v>#DIV/0!</v>
      </c>
      <c r="J16" s="5" t="e">
        <f t="shared" si="5"/>
        <v>#DIV/0!</v>
      </c>
      <c r="K16" s="5" t="e">
        <f t="shared" si="5"/>
        <v>#DIV/0!</v>
      </c>
      <c r="L16" s="5" t="e">
        <f t="shared" si="5"/>
        <v>#DIV/0!</v>
      </c>
      <c r="M16" s="5">
        <v>12</v>
      </c>
      <c r="N16" s="5"/>
    </row>
    <row r="17" spans="1:14" x14ac:dyDescent="0.55000000000000004">
      <c r="A17" t="s">
        <v>79</v>
      </c>
      <c r="B17" t="s">
        <v>27</v>
      </c>
      <c r="C17" s="5">
        <v>4107.7909</v>
      </c>
      <c r="E17" t="s">
        <v>24</v>
      </c>
      <c r="F17" s="9">
        <f>$M$17*F10/100</f>
        <v>0</v>
      </c>
      <c r="G17" s="9">
        <f t="shared" ref="G17:L17" si="6">$M$17*G10/100</f>
        <v>7.9949548208426267</v>
      </c>
      <c r="H17" s="9">
        <f t="shared" si="6"/>
        <v>2.5512804979389769</v>
      </c>
      <c r="I17" s="9">
        <f t="shared" si="6"/>
        <v>1.1342484791447263</v>
      </c>
      <c r="J17" s="9">
        <f t="shared" si="6"/>
        <v>4.270608781281756E-2</v>
      </c>
      <c r="K17" s="9">
        <f t="shared" si="6"/>
        <v>0.18765886139118568</v>
      </c>
      <c r="L17" s="9">
        <f t="shared" si="6"/>
        <v>8.9151252869665368E-2</v>
      </c>
      <c r="M17" s="5">
        <v>12</v>
      </c>
      <c r="N17" s="5"/>
    </row>
    <row r="18" spans="1:14" x14ac:dyDescent="0.55000000000000004">
      <c r="A18" t="s">
        <v>79</v>
      </c>
      <c r="B18" t="s">
        <v>86</v>
      </c>
      <c r="C18" s="5">
        <v>14410.815699999999</v>
      </c>
      <c r="E18" t="s">
        <v>77</v>
      </c>
      <c r="F18" s="9">
        <f>$M$18*F11/100</f>
        <v>0.38212151671523076</v>
      </c>
      <c r="G18" s="9">
        <f t="shared" ref="G18:L18" si="7">$M$18*G11/100</f>
        <v>10.548984547687033</v>
      </c>
      <c r="H18" s="9">
        <f t="shared" si="7"/>
        <v>0.19675840200905426</v>
      </c>
      <c r="I18" s="9">
        <f t="shared" si="7"/>
        <v>0.44206777872031067</v>
      </c>
      <c r="J18" s="9">
        <f t="shared" si="7"/>
        <v>9.4367566629193114E-2</v>
      </c>
      <c r="K18" s="9">
        <f t="shared" si="7"/>
        <v>0.19587073209974137</v>
      </c>
      <c r="L18" s="9">
        <f t="shared" si="7"/>
        <v>0.13982945613943595</v>
      </c>
      <c r="M18" s="5">
        <v>12</v>
      </c>
      <c r="N18" s="5"/>
    </row>
    <row r="19" spans="1:14" x14ac:dyDescent="0.55000000000000004">
      <c r="A19" t="s">
        <v>80</v>
      </c>
      <c r="B19" t="s">
        <v>88</v>
      </c>
      <c r="C19" s="5">
        <v>1003.8765</v>
      </c>
      <c r="E19" t="s">
        <v>79</v>
      </c>
      <c r="F19" s="9">
        <f>$M$19*F12/100</f>
        <v>0</v>
      </c>
      <c r="G19" s="9">
        <f t="shared" ref="G19:L19" si="8">$M$19*G12/100</f>
        <v>7.052586729294485</v>
      </c>
      <c r="H19" s="9">
        <f t="shared" si="8"/>
        <v>2.0103339180207995</v>
      </c>
      <c r="I19" s="9">
        <f t="shared" si="8"/>
        <v>2.3199353746865938</v>
      </c>
      <c r="J19" s="9">
        <f t="shared" si="8"/>
        <v>0.61714397799812104</v>
      </c>
      <c r="K19" s="9">
        <f t="shared" si="8"/>
        <v>0</v>
      </c>
      <c r="L19" s="9">
        <f t="shared" si="8"/>
        <v>0</v>
      </c>
      <c r="M19" s="5">
        <v>12</v>
      </c>
      <c r="N19" s="5"/>
    </row>
    <row r="20" spans="1:14" x14ac:dyDescent="0.55000000000000004">
      <c r="A20" t="s">
        <v>80</v>
      </c>
      <c r="B20" t="s">
        <v>87</v>
      </c>
      <c r="C20" s="5">
        <v>2906.2314999999999</v>
      </c>
      <c r="E20" t="s">
        <v>80</v>
      </c>
      <c r="F20" s="9">
        <f>$M$20*F13/100</f>
        <v>1.0690323941489792</v>
      </c>
      <c r="G20" s="9">
        <f t="shared" ref="G20:L20" si="9">$M$20*G13/100</f>
        <v>5.4100356207823639</v>
      </c>
      <c r="H20" s="9">
        <f t="shared" si="9"/>
        <v>2.4260735852593394</v>
      </c>
      <c r="I20" s="9">
        <f t="shared" si="9"/>
        <v>3.094858399809318</v>
      </c>
      <c r="J20" s="9">
        <f t="shared" si="9"/>
        <v>0</v>
      </c>
      <c r="K20" s="9">
        <f t="shared" si="9"/>
        <v>0</v>
      </c>
      <c r="L20" s="9">
        <f t="shared" si="9"/>
        <v>0</v>
      </c>
      <c r="M20" s="5">
        <v>12</v>
      </c>
      <c r="N20" s="5"/>
    </row>
    <row r="21" spans="1:14" x14ac:dyDescent="0.55000000000000004">
      <c r="A21" t="s">
        <v>80</v>
      </c>
      <c r="B21" t="s">
        <v>27</v>
      </c>
      <c r="C21" s="5">
        <v>2278.2080999999998</v>
      </c>
    </row>
    <row r="22" spans="1:14" x14ac:dyDescent="0.55000000000000004">
      <c r="A22" t="s">
        <v>80</v>
      </c>
      <c r="B22" t="s">
        <v>86</v>
      </c>
      <c r="C22" s="5">
        <v>5080.3022000000001</v>
      </c>
    </row>
  </sheetData>
  <pageMargins left="0.7" right="0.7" top="0.75" bottom="0.75" header="0.3" footer="0.3"/>
  <pageSetup paperSize="9" orientation="portrait" horizontalDpi="30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3EE1-1753-47EE-BD00-11635797415C}">
  <dimension ref="A1:K39"/>
  <sheetViews>
    <sheetView workbookViewId="0">
      <selection activeCell="K1" sqref="K1"/>
    </sheetView>
  </sheetViews>
  <sheetFormatPr defaultRowHeight="14.4" x14ac:dyDescent="0.55000000000000004"/>
  <cols>
    <col min="6" max="6" width="15.15625" bestFit="1" customWidth="1"/>
    <col min="9" max="9" width="12.3125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1" t="s">
        <v>32</v>
      </c>
      <c r="K1" s="1" t="s">
        <v>33</v>
      </c>
    </row>
    <row r="2" spans="1:11" x14ac:dyDescent="0.55000000000000004">
      <c r="A2" t="s">
        <v>23</v>
      </c>
      <c r="B2" t="s">
        <v>24</v>
      </c>
      <c r="C2" t="s">
        <v>25</v>
      </c>
      <c r="D2">
        <v>-38.035870614121997</v>
      </c>
      <c r="E2">
        <v>176.34714401308599</v>
      </c>
      <c r="F2" s="2">
        <v>45426.458333333336</v>
      </c>
      <c r="G2" s="2" t="s">
        <v>26</v>
      </c>
      <c r="H2" t="s">
        <v>27</v>
      </c>
      <c r="I2" t="s">
        <v>8</v>
      </c>
      <c r="J2" t="s">
        <v>38</v>
      </c>
      <c r="K2">
        <f>(2.9+3.3)/2</f>
        <v>3.0999999999999996</v>
      </c>
    </row>
    <row r="3" spans="1:11" x14ac:dyDescent="0.55000000000000004">
      <c r="A3" t="s">
        <v>23</v>
      </c>
      <c r="B3" t="s">
        <v>24</v>
      </c>
      <c r="C3" t="s">
        <v>25</v>
      </c>
      <c r="D3">
        <v>-38.035870614121997</v>
      </c>
      <c r="E3">
        <v>176.34714401308599</v>
      </c>
      <c r="F3" s="2">
        <v>45426.458333333336</v>
      </c>
      <c r="G3" s="2" t="s">
        <v>26</v>
      </c>
      <c r="H3" t="s">
        <v>27</v>
      </c>
      <c r="I3" t="s">
        <v>9</v>
      </c>
      <c r="J3" t="s">
        <v>38</v>
      </c>
      <c r="K3">
        <v>0.6</v>
      </c>
    </row>
    <row r="4" spans="1:11" x14ac:dyDescent="0.55000000000000004">
      <c r="A4" t="s">
        <v>23</v>
      </c>
      <c r="B4" t="s">
        <v>24</v>
      </c>
      <c r="C4" t="s">
        <v>25</v>
      </c>
      <c r="D4">
        <v>-38.035870614121997</v>
      </c>
      <c r="E4">
        <v>176.34714401308599</v>
      </c>
      <c r="F4" s="2">
        <v>45426.458333333336</v>
      </c>
      <c r="G4" s="2" t="s">
        <v>26</v>
      </c>
      <c r="H4" t="s">
        <v>27</v>
      </c>
      <c r="I4" t="s">
        <v>10</v>
      </c>
      <c r="J4" t="s">
        <v>39</v>
      </c>
      <c r="K4">
        <v>4</v>
      </c>
    </row>
    <row r="5" spans="1:11" x14ac:dyDescent="0.55000000000000004">
      <c r="A5" t="s">
        <v>23</v>
      </c>
      <c r="B5" t="s">
        <v>24</v>
      </c>
      <c r="C5" t="s">
        <v>25</v>
      </c>
      <c r="D5">
        <v>-38.035870614121997</v>
      </c>
      <c r="E5">
        <v>176.34714401308599</v>
      </c>
      <c r="F5" s="2">
        <v>45426.458333333336</v>
      </c>
      <c r="G5" s="2" t="s">
        <v>26</v>
      </c>
      <c r="H5" t="s">
        <v>27</v>
      </c>
      <c r="I5" t="s">
        <v>11</v>
      </c>
      <c r="J5" t="s">
        <v>40</v>
      </c>
      <c r="K5">
        <v>0</v>
      </c>
    </row>
    <row r="6" spans="1:11" x14ac:dyDescent="0.55000000000000004">
      <c r="A6" t="s">
        <v>23</v>
      </c>
      <c r="B6" t="s">
        <v>24</v>
      </c>
      <c r="C6" t="s">
        <v>25</v>
      </c>
      <c r="D6">
        <v>-38.035870614121997</v>
      </c>
      <c r="E6">
        <v>176.34714401308599</v>
      </c>
      <c r="F6" s="2">
        <v>45426.458333333336</v>
      </c>
      <c r="G6" s="2" t="s">
        <v>26</v>
      </c>
      <c r="H6" t="s">
        <v>27</v>
      </c>
      <c r="I6" t="s">
        <v>12</v>
      </c>
      <c r="J6" t="s">
        <v>40</v>
      </c>
      <c r="K6">
        <v>0</v>
      </c>
    </row>
    <row r="7" spans="1:11" x14ac:dyDescent="0.55000000000000004">
      <c r="A7" t="s">
        <v>23</v>
      </c>
      <c r="B7" t="s">
        <v>24</v>
      </c>
      <c r="C7" t="s">
        <v>25</v>
      </c>
      <c r="D7">
        <v>-38.035870614121997</v>
      </c>
      <c r="E7">
        <v>176.34714401308599</v>
      </c>
      <c r="F7" s="2">
        <v>45426.458333333336</v>
      </c>
      <c r="G7" s="2" t="s">
        <v>26</v>
      </c>
      <c r="H7" t="s">
        <v>27</v>
      </c>
      <c r="I7" t="s">
        <v>34</v>
      </c>
      <c r="J7" t="s">
        <v>39</v>
      </c>
      <c r="K7">
        <v>65</v>
      </c>
    </row>
    <row r="8" spans="1:11" x14ac:dyDescent="0.55000000000000004">
      <c r="A8" t="s">
        <v>23</v>
      </c>
      <c r="B8" t="s">
        <v>24</v>
      </c>
      <c r="C8" t="s">
        <v>25</v>
      </c>
      <c r="D8">
        <v>-38.035870614121997</v>
      </c>
      <c r="E8">
        <v>176.34714401308599</v>
      </c>
      <c r="F8" s="2">
        <v>45426.458333333336</v>
      </c>
      <c r="G8" s="2" t="s">
        <v>26</v>
      </c>
      <c r="H8" t="s">
        <v>27</v>
      </c>
      <c r="I8" t="s">
        <v>35</v>
      </c>
      <c r="J8" t="s">
        <v>39</v>
      </c>
      <c r="K8">
        <v>0</v>
      </c>
    </row>
    <row r="9" spans="1:11" x14ac:dyDescent="0.55000000000000004">
      <c r="A9" t="s">
        <v>23</v>
      </c>
      <c r="B9" t="s">
        <v>24</v>
      </c>
      <c r="C9" t="s">
        <v>25</v>
      </c>
      <c r="D9">
        <v>-38.035870614121997</v>
      </c>
      <c r="E9">
        <v>176.34714401308599</v>
      </c>
      <c r="F9" s="2">
        <v>45426.458333333336</v>
      </c>
      <c r="G9" s="2" t="s">
        <v>26</v>
      </c>
      <c r="H9" t="s">
        <v>27</v>
      </c>
      <c r="I9" t="s">
        <v>36</v>
      </c>
      <c r="J9" t="s">
        <v>39</v>
      </c>
      <c r="K9">
        <v>0</v>
      </c>
    </row>
    <row r="10" spans="1:11" x14ac:dyDescent="0.55000000000000004">
      <c r="A10" t="s">
        <v>23</v>
      </c>
      <c r="B10" t="s">
        <v>24</v>
      </c>
      <c r="C10" t="s">
        <v>25</v>
      </c>
      <c r="D10">
        <v>-38.035870614121997</v>
      </c>
      <c r="E10">
        <v>176.34714401308599</v>
      </c>
      <c r="F10" s="2">
        <v>45426.458333333336</v>
      </c>
      <c r="G10" s="2" t="s">
        <v>26</v>
      </c>
      <c r="H10" t="s">
        <v>27</v>
      </c>
      <c r="I10" t="s">
        <v>37</v>
      </c>
      <c r="J10" t="s">
        <v>39</v>
      </c>
      <c r="K10">
        <v>0</v>
      </c>
    </row>
    <row r="11" spans="1:11" x14ac:dyDescent="0.55000000000000004">
      <c r="A11" t="s">
        <v>23</v>
      </c>
      <c r="B11" t="s">
        <v>24</v>
      </c>
      <c r="C11" t="s">
        <v>25</v>
      </c>
      <c r="D11">
        <v>-38.035870614121997</v>
      </c>
      <c r="E11">
        <v>176.34714401308599</v>
      </c>
      <c r="F11" s="2">
        <v>45426.458333333336</v>
      </c>
      <c r="G11" s="2" t="s">
        <v>26</v>
      </c>
      <c r="H11" t="s">
        <v>27</v>
      </c>
      <c r="I11" t="s">
        <v>14</v>
      </c>
      <c r="J11" t="s">
        <v>39</v>
      </c>
      <c r="K11">
        <v>35</v>
      </c>
    </row>
    <row r="12" spans="1:11" x14ac:dyDescent="0.55000000000000004">
      <c r="A12" t="s">
        <v>23</v>
      </c>
      <c r="B12" t="s">
        <v>24</v>
      </c>
      <c r="C12" t="s">
        <v>25</v>
      </c>
      <c r="D12">
        <v>-38.035870614121997</v>
      </c>
      <c r="E12">
        <v>176.34714401308599</v>
      </c>
      <c r="F12" s="2">
        <v>45426.458333333336</v>
      </c>
      <c r="G12" s="2" t="s">
        <v>26</v>
      </c>
      <c r="H12" t="s">
        <v>27</v>
      </c>
      <c r="I12" t="s">
        <v>13</v>
      </c>
      <c r="J12" t="s">
        <v>39</v>
      </c>
      <c r="K12">
        <v>0</v>
      </c>
    </row>
    <row r="13" spans="1:11" x14ac:dyDescent="0.55000000000000004">
      <c r="A13" t="s">
        <v>23</v>
      </c>
      <c r="B13" t="s">
        <v>24</v>
      </c>
      <c r="C13" t="s">
        <v>25</v>
      </c>
      <c r="D13">
        <v>-38.035870614121997</v>
      </c>
      <c r="E13">
        <v>176.34714401308599</v>
      </c>
      <c r="F13" s="2">
        <v>45426.458333333336</v>
      </c>
      <c r="G13" s="2" t="s">
        <v>26</v>
      </c>
      <c r="H13" t="s">
        <v>27</v>
      </c>
      <c r="I13" t="s">
        <v>15</v>
      </c>
      <c r="J13" t="s">
        <v>41</v>
      </c>
      <c r="K13">
        <v>9.6999999999999993</v>
      </c>
    </row>
    <row r="14" spans="1:11" x14ac:dyDescent="0.55000000000000004">
      <c r="A14" t="s">
        <v>23</v>
      </c>
      <c r="B14" t="s">
        <v>24</v>
      </c>
      <c r="C14" t="s">
        <v>25</v>
      </c>
      <c r="D14">
        <v>-38.035870614121997</v>
      </c>
      <c r="E14">
        <v>176.34714401308599</v>
      </c>
      <c r="F14" s="2">
        <v>45426.458333333336</v>
      </c>
      <c r="G14" s="2" t="s">
        <v>26</v>
      </c>
      <c r="H14" t="s">
        <v>27</v>
      </c>
      <c r="I14" t="s">
        <v>16</v>
      </c>
      <c r="J14" t="s">
        <v>39</v>
      </c>
      <c r="K14">
        <v>95</v>
      </c>
    </row>
    <row r="15" spans="1:11" x14ac:dyDescent="0.55000000000000004">
      <c r="A15" t="s">
        <v>23</v>
      </c>
      <c r="B15" t="s">
        <v>24</v>
      </c>
      <c r="C15" t="s">
        <v>25</v>
      </c>
      <c r="D15">
        <v>-38.035870614121997</v>
      </c>
      <c r="E15">
        <v>176.34714401308599</v>
      </c>
      <c r="F15" s="2">
        <v>45426.458333333336</v>
      </c>
      <c r="G15" s="2" t="s">
        <v>26</v>
      </c>
      <c r="H15" t="s">
        <v>27</v>
      </c>
      <c r="I15" t="s">
        <v>17</v>
      </c>
      <c r="K15">
        <v>7.6</v>
      </c>
    </row>
    <row r="16" spans="1:11" x14ac:dyDescent="0.55000000000000004">
      <c r="A16" t="s">
        <v>23</v>
      </c>
      <c r="B16" t="s">
        <v>24</v>
      </c>
      <c r="C16" t="s">
        <v>25</v>
      </c>
      <c r="D16">
        <v>-38.035870614121997</v>
      </c>
      <c r="E16">
        <v>176.34714401308599</v>
      </c>
      <c r="F16" s="2">
        <v>45426.458333333336</v>
      </c>
      <c r="G16" s="2" t="s">
        <v>26</v>
      </c>
      <c r="H16" t="s">
        <v>27</v>
      </c>
      <c r="I16" t="s">
        <v>18</v>
      </c>
      <c r="J16" t="s">
        <v>42</v>
      </c>
      <c r="K16">
        <v>14.5</v>
      </c>
    </row>
    <row r="17" spans="1:11" x14ac:dyDescent="0.55000000000000004">
      <c r="A17" t="s">
        <v>23</v>
      </c>
      <c r="B17" t="s">
        <v>24</v>
      </c>
      <c r="C17" t="s">
        <v>25</v>
      </c>
      <c r="D17">
        <v>-38.035870614121997</v>
      </c>
      <c r="E17">
        <v>176.34714401308599</v>
      </c>
      <c r="F17" s="2">
        <v>45426.458333333336</v>
      </c>
      <c r="G17" s="2" t="s">
        <v>26</v>
      </c>
      <c r="H17" t="s">
        <v>27</v>
      </c>
      <c r="I17" t="s">
        <v>19</v>
      </c>
      <c r="J17" t="s">
        <v>39</v>
      </c>
      <c r="K17">
        <v>0</v>
      </c>
    </row>
    <row r="18" spans="1:11" x14ac:dyDescent="0.55000000000000004">
      <c r="A18" t="s">
        <v>23</v>
      </c>
      <c r="B18" t="s">
        <v>24</v>
      </c>
      <c r="C18" t="s">
        <v>25</v>
      </c>
      <c r="D18">
        <v>-38.035870614121997</v>
      </c>
      <c r="E18">
        <v>176.34714401308599</v>
      </c>
      <c r="F18" s="2">
        <v>45426.458333333336</v>
      </c>
      <c r="G18" s="2" t="s">
        <v>26</v>
      </c>
      <c r="H18" t="s">
        <v>27</v>
      </c>
      <c r="I18" t="s">
        <v>20</v>
      </c>
      <c r="J18" t="s">
        <v>39</v>
      </c>
      <c r="K18">
        <v>1</v>
      </c>
    </row>
    <row r="19" spans="1:11" x14ac:dyDescent="0.55000000000000004">
      <c r="A19" t="s">
        <v>23</v>
      </c>
      <c r="B19" t="s">
        <v>24</v>
      </c>
      <c r="C19" t="s">
        <v>25</v>
      </c>
      <c r="D19">
        <v>-38.035870614121997</v>
      </c>
      <c r="E19">
        <v>176.34714401308599</v>
      </c>
      <c r="F19" s="2">
        <v>45426.458333333336</v>
      </c>
      <c r="G19" s="2" t="s">
        <v>26</v>
      </c>
      <c r="H19" t="s">
        <v>27</v>
      </c>
      <c r="I19" t="s">
        <v>21</v>
      </c>
      <c r="K19" t="s">
        <v>28</v>
      </c>
    </row>
    <row r="20" spans="1:11" x14ac:dyDescent="0.55000000000000004">
      <c r="A20" t="s">
        <v>23</v>
      </c>
      <c r="B20" t="s">
        <v>24</v>
      </c>
      <c r="C20" t="s">
        <v>25</v>
      </c>
      <c r="D20">
        <v>-38.035870614121997</v>
      </c>
      <c r="E20">
        <v>176.34714401308599</v>
      </c>
      <c r="F20" s="2">
        <v>45426.458333333336</v>
      </c>
      <c r="G20" s="2" t="s">
        <v>26</v>
      </c>
      <c r="H20" t="s">
        <v>27</v>
      </c>
      <c r="I20" t="s">
        <v>22</v>
      </c>
      <c r="J20" s="3" t="s">
        <v>43</v>
      </c>
      <c r="K20">
        <v>4</v>
      </c>
    </row>
    <row r="21" spans="1:11" x14ac:dyDescent="0.55000000000000004">
      <c r="A21" t="s">
        <v>29</v>
      </c>
      <c r="B21" t="s">
        <v>24</v>
      </c>
      <c r="C21" t="s">
        <v>30</v>
      </c>
      <c r="D21">
        <v>-38.025817216872099</v>
      </c>
      <c r="E21">
        <v>176.37596138736399</v>
      </c>
      <c r="F21" s="2">
        <v>45427.513888888891</v>
      </c>
      <c r="G21" s="2" t="s">
        <v>26</v>
      </c>
      <c r="H21" t="s">
        <v>27</v>
      </c>
      <c r="I21" t="s">
        <v>8</v>
      </c>
      <c r="J21" t="s">
        <v>38</v>
      </c>
      <c r="K21">
        <f>(2.3+2.4)/2</f>
        <v>2.3499999999999996</v>
      </c>
    </row>
    <row r="22" spans="1:11" x14ac:dyDescent="0.55000000000000004">
      <c r="A22" t="s">
        <v>29</v>
      </c>
      <c r="B22" t="s">
        <v>24</v>
      </c>
      <c r="C22" t="s">
        <v>30</v>
      </c>
      <c r="D22">
        <v>-38.025817216872099</v>
      </c>
      <c r="E22">
        <v>176.37596138736399</v>
      </c>
      <c r="F22" s="2">
        <v>45427.513888888891</v>
      </c>
      <c r="G22" s="2" t="s">
        <v>26</v>
      </c>
      <c r="H22" t="s">
        <v>27</v>
      </c>
      <c r="I22" t="s">
        <v>9</v>
      </c>
      <c r="J22" t="s">
        <v>38</v>
      </c>
      <c r="K22">
        <v>0.8</v>
      </c>
    </row>
    <row r="23" spans="1:11" x14ac:dyDescent="0.55000000000000004">
      <c r="A23" t="s">
        <v>29</v>
      </c>
      <c r="B23" t="s">
        <v>24</v>
      </c>
      <c r="C23" t="s">
        <v>30</v>
      </c>
      <c r="D23">
        <v>-38.025817216872099</v>
      </c>
      <c r="E23">
        <v>176.37596138736399</v>
      </c>
      <c r="F23" s="2">
        <v>45427.513888888891</v>
      </c>
      <c r="G23" s="2" t="s">
        <v>26</v>
      </c>
      <c r="H23" t="s">
        <v>27</v>
      </c>
      <c r="I23" t="s">
        <v>10</v>
      </c>
      <c r="J23" t="s">
        <v>39</v>
      </c>
      <c r="K23">
        <v>4</v>
      </c>
    </row>
    <row r="24" spans="1:11" x14ac:dyDescent="0.55000000000000004">
      <c r="A24" t="s">
        <v>29</v>
      </c>
      <c r="B24" t="s">
        <v>24</v>
      </c>
      <c r="C24" t="s">
        <v>30</v>
      </c>
      <c r="D24">
        <v>-38.025817216872099</v>
      </c>
      <c r="E24">
        <v>176.37596138736399</v>
      </c>
      <c r="F24" s="2">
        <v>45427.513888888891</v>
      </c>
      <c r="G24" s="2" t="s">
        <v>26</v>
      </c>
      <c r="H24" t="s">
        <v>27</v>
      </c>
      <c r="I24" t="s">
        <v>11</v>
      </c>
      <c r="J24" t="s">
        <v>40</v>
      </c>
      <c r="K24">
        <v>0</v>
      </c>
    </row>
    <row r="25" spans="1:11" x14ac:dyDescent="0.55000000000000004">
      <c r="A25" t="s">
        <v>29</v>
      </c>
      <c r="B25" t="s">
        <v>24</v>
      </c>
      <c r="C25" t="s">
        <v>30</v>
      </c>
      <c r="D25">
        <v>-38.025817216872099</v>
      </c>
      <c r="E25">
        <v>176.37596138736399</v>
      </c>
      <c r="F25" s="2">
        <v>45427.513888888891</v>
      </c>
      <c r="G25" s="2" t="s">
        <v>26</v>
      </c>
      <c r="H25" t="s">
        <v>27</v>
      </c>
      <c r="I25" t="s">
        <v>12</v>
      </c>
      <c r="J25" t="s">
        <v>40</v>
      </c>
      <c r="K25">
        <v>0</v>
      </c>
    </row>
    <row r="26" spans="1:11" x14ac:dyDescent="0.55000000000000004">
      <c r="A26" t="s">
        <v>29</v>
      </c>
      <c r="B26" t="s">
        <v>24</v>
      </c>
      <c r="C26" t="s">
        <v>30</v>
      </c>
      <c r="D26">
        <v>-38.025817216872099</v>
      </c>
      <c r="E26">
        <v>176.37596138736399</v>
      </c>
      <c r="F26" s="2">
        <v>45427.513888888891</v>
      </c>
      <c r="G26" s="2" t="s">
        <v>26</v>
      </c>
      <c r="H26" t="s">
        <v>27</v>
      </c>
      <c r="I26" t="s">
        <v>34</v>
      </c>
      <c r="J26" t="s">
        <v>39</v>
      </c>
      <c r="K26">
        <v>60</v>
      </c>
    </row>
    <row r="27" spans="1:11" x14ac:dyDescent="0.55000000000000004">
      <c r="A27" t="s">
        <v>29</v>
      </c>
      <c r="B27" t="s">
        <v>24</v>
      </c>
      <c r="C27" t="s">
        <v>30</v>
      </c>
      <c r="D27">
        <v>-38.025817216872099</v>
      </c>
      <c r="E27">
        <v>176.37596138736399</v>
      </c>
      <c r="F27" s="2">
        <v>45427.513888888891</v>
      </c>
      <c r="G27" s="2" t="s">
        <v>26</v>
      </c>
      <c r="H27" t="s">
        <v>27</v>
      </c>
      <c r="I27" t="s">
        <v>35</v>
      </c>
      <c r="J27" t="s">
        <v>39</v>
      </c>
      <c r="K27">
        <v>0</v>
      </c>
    </row>
    <row r="28" spans="1:11" x14ac:dyDescent="0.55000000000000004">
      <c r="A28" t="s">
        <v>29</v>
      </c>
      <c r="B28" t="s">
        <v>24</v>
      </c>
      <c r="C28" t="s">
        <v>30</v>
      </c>
      <c r="D28">
        <v>-38.025817216872099</v>
      </c>
      <c r="E28">
        <v>176.37596138736399</v>
      </c>
      <c r="F28" s="2">
        <v>45427.513888888891</v>
      </c>
      <c r="G28" s="2" t="s">
        <v>26</v>
      </c>
      <c r="H28" t="s">
        <v>27</v>
      </c>
      <c r="I28" t="s">
        <v>36</v>
      </c>
      <c r="J28" t="s">
        <v>39</v>
      </c>
      <c r="K28">
        <v>0</v>
      </c>
    </row>
    <row r="29" spans="1:11" x14ac:dyDescent="0.55000000000000004">
      <c r="A29" t="s">
        <v>29</v>
      </c>
      <c r="B29" t="s">
        <v>24</v>
      </c>
      <c r="C29" t="s">
        <v>30</v>
      </c>
      <c r="D29">
        <v>-38.025817216872099</v>
      </c>
      <c r="E29">
        <v>176.37596138736399</v>
      </c>
      <c r="F29" s="2">
        <v>45427.513888888891</v>
      </c>
      <c r="G29" s="2" t="s">
        <v>26</v>
      </c>
      <c r="H29" t="s">
        <v>27</v>
      </c>
      <c r="I29" t="s">
        <v>37</v>
      </c>
      <c r="J29" t="s">
        <v>39</v>
      </c>
      <c r="K29">
        <v>0</v>
      </c>
    </row>
    <row r="30" spans="1:11" x14ac:dyDescent="0.55000000000000004">
      <c r="A30" t="s">
        <v>29</v>
      </c>
      <c r="B30" t="s">
        <v>24</v>
      </c>
      <c r="C30" t="s">
        <v>30</v>
      </c>
      <c r="D30">
        <v>-38.025817216872099</v>
      </c>
      <c r="E30">
        <v>176.37596138736399</v>
      </c>
      <c r="F30" s="2">
        <v>45427.513888888891</v>
      </c>
      <c r="G30" s="2" t="s">
        <v>26</v>
      </c>
      <c r="H30" t="s">
        <v>27</v>
      </c>
      <c r="I30" t="s">
        <v>14</v>
      </c>
      <c r="J30" t="s">
        <v>39</v>
      </c>
      <c r="K30">
        <v>40</v>
      </c>
    </row>
    <row r="31" spans="1:11" x14ac:dyDescent="0.55000000000000004">
      <c r="A31" t="s">
        <v>29</v>
      </c>
      <c r="B31" t="s">
        <v>24</v>
      </c>
      <c r="C31" t="s">
        <v>30</v>
      </c>
      <c r="D31">
        <v>-38.025817216872099</v>
      </c>
      <c r="E31">
        <v>176.37596138736399</v>
      </c>
      <c r="F31" s="2">
        <v>45427.513888888891</v>
      </c>
      <c r="G31" s="2" t="s">
        <v>26</v>
      </c>
      <c r="H31" t="s">
        <v>27</v>
      </c>
      <c r="I31" t="s">
        <v>13</v>
      </c>
      <c r="J31" t="s">
        <v>39</v>
      </c>
      <c r="K31">
        <v>0</v>
      </c>
    </row>
    <row r="32" spans="1:11" x14ac:dyDescent="0.55000000000000004">
      <c r="A32" t="s">
        <v>29</v>
      </c>
      <c r="B32" t="s">
        <v>24</v>
      </c>
      <c r="C32" t="s">
        <v>30</v>
      </c>
      <c r="D32">
        <v>-38.025817216872099</v>
      </c>
      <c r="E32">
        <v>176.37596138736399</v>
      </c>
      <c r="F32" s="2">
        <v>45427.513888888891</v>
      </c>
      <c r="G32" s="2" t="s">
        <v>26</v>
      </c>
      <c r="H32" t="s">
        <v>27</v>
      </c>
      <c r="I32" t="s">
        <v>15</v>
      </c>
      <c r="J32" t="s">
        <v>41</v>
      </c>
      <c r="K32">
        <v>9.68</v>
      </c>
    </row>
    <row r="33" spans="1:11" x14ac:dyDescent="0.55000000000000004">
      <c r="A33" t="s">
        <v>29</v>
      </c>
      <c r="B33" t="s">
        <v>24</v>
      </c>
      <c r="C33" t="s">
        <v>30</v>
      </c>
      <c r="D33">
        <v>-38.025817216872099</v>
      </c>
      <c r="E33">
        <v>176.37596138736399</v>
      </c>
      <c r="F33" s="2">
        <v>45427.513888888891</v>
      </c>
      <c r="G33" s="2" t="s">
        <v>26</v>
      </c>
      <c r="H33" t="s">
        <v>27</v>
      </c>
      <c r="I33" t="s">
        <v>16</v>
      </c>
      <c r="J33" t="s">
        <v>39</v>
      </c>
      <c r="K33">
        <v>95.9</v>
      </c>
    </row>
    <row r="34" spans="1:11" x14ac:dyDescent="0.55000000000000004">
      <c r="A34" t="s">
        <v>29</v>
      </c>
      <c r="B34" t="s">
        <v>24</v>
      </c>
      <c r="C34" t="s">
        <v>30</v>
      </c>
      <c r="D34">
        <v>-38.025817216872099</v>
      </c>
      <c r="E34">
        <v>176.37596138736399</v>
      </c>
      <c r="F34" s="2">
        <v>45427.513888888891</v>
      </c>
      <c r="G34" s="2" t="s">
        <v>26</v>
      </c>
      <c r="H34" t="s">
        <v>27</v>
      </c>
      <c r="I34" t="s">
        <v>17</v>
      </c>
      <c r="K34">
        <v>7.54</v>
      </c>
    </row>
    <row r="35" spans="1:11" x14ac:dyDescent="0.55000000000000004">
      <c r="A35" t="s">
        <v>29</v>
      </c>
      <c r="B35" t="s">
        <v>24</v>
      </c>
      <c r="C35" t="s">
        <v>30</v>
      </c>
      <c r="D35">
        <v>-38.025817216872099</v>
      </c>
      <c r="E35">
        <v>176.37596138736399</v>
      </c>
      <c r="F35" s="2">
        <v>45427.513888888891</v>
      </c>
      <c r="G35" s="2" t="s">
        <v>26</v>
      </c>
      <c r="H35" t="s">
        <v>27</v>
      </c>
      <c r="I35" t="s">
        <v>18</v>
      </c>
      <c r="J35" t="s">
        <v>42</v>
      </c>
      <c r="K35">
        <v>14.9</v>
      </c>
    </row>
    <row r="36" spans="1:11" x14ac:dyDescent="0.55000000000000004">
      <c r="A36" t="s">
        <v>29</v>
      </c>
      <c r="B36" t="s">
        <v>24</v>
      </c>
      <c r="C36" t="s">
        <v>30</v>
      </c>
      <c r="D36">
        <v>-38.025817216872099</v>
      </c>
      <c r="E36">
        <v>176.37596138736399</v>
      </c>
      <c r="F36" s="2">
        <v>45427.513888888891</v>
      </c>
      <c r="G36" s="2" t="s">
        <v>26</v>
      </c>
      <c r="H36" t="s">
        <v>27</v>
      </c>
      <c r="I36" t="s">
        <v>19</v>
      </c>
      <c r="J36" t="s">
        <v>39</v>
      </c>
      <c r="K36">
        <v>0</v>
      </c>
    </row>
    <row r="37" spans="1:11" x14ac:dyDescent="0.55000000000000004">
      <c r="A37" t="s">
        <v>29</v>
      </c>
      <c r="B37" t="s">
        <v>24</v>
      </c>
      <c r="C37" t="s">
        <v>30</v>
      </c>
      <c r="D37">
        <v>-38.025817216872099</v>
      </c>
      <c r="E37">
        <v>176.37596138736399</v>
      </c>
      <c r="F37" s="2">
        <v>45427.513888888891</v>
      </c>
      <c r="G37" s="2" t="s">
        <v>26</v>
      </c>
      <c r="H37" t="s">
        <v>27</v>
      </c>
      <c r="I37" t="s">
        <v>20</v>
      </c>
      <c r="J37" t="s">
        <v>39</v>
      </c>
      <c r="K37">
        <v>1</v>
      </c>
    </row>
    <row r="38" spans="1:11" x14ac:dyDescent="0.55000000000000004">
      <c r="A38" t="s">
        <v>29</v>
      </c>
      <c r="B38" t="s">
        <v>24</v>
      </c>
      <c r="C38" t="s">
        <v>30</v>
      </c>
      <c r="D38">
        <v>-38.025817216872099</v>
      </c>
      <c r="E38">
        <v>176.37596138736399</v>
      </c>
      <c r="F38" s="2">
        <v>45427.513888888891</v>
      </c>
      <c r="G38" s="2" t="s">
        <v>26</v>
      </c>
      <c r="H38" t="s">
        <v>27</v>
      </c>
      <c r="I38" t="s">
        <v>21</v>
      </c>
      <c r="K38" t="s">
        <v>34</v>
      </c>
    </row>
    <row r="39" spans="1:11" x14ac:dyDescent="0.55000000000000004">
      <c r="A39" t="s">
        <v>29</v>
      </c>
      <c r="B39" t="s">
        <v>24</v>
      </c>
      <c r="C39" t="s">
        <v>30</v>
      </c>
      <c r="D39">
        <v>-38.025817216872099</v>
      </c>
      <c r="E39">
        <v>176.37596138736399</v>
      </c>
      <c r="F39" s="2">
        <v>45427.513888888891</v>
      </c>
      <c r="G39" s="2" t="s">
        <v>26</v>
      </c>
      <c r="H39" t="s">
        <v>27</v>
      </c>
      <c r="I39" t="s">
        <v>22</v>
      </c>
      <c r="J39" s="3" t="s">
        <v>43</v>
      </c>
      <c r="K39">
        <v>4</v>
      </c>
    </row>
  </sheetData>
  <phoneticPr fontId="2" type="noConversion"/>
  <pageMargins left="0.7" right="0.7" top="0.75" bottom="0.75" header="0.3" footer="0.3"/>
  <pageSetup paperSize="9"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0D43-9BA1-46A4-A6C7-B3A5C324BC03}">
  <dimension ref="A1:R30"/>
  <sheetViews>
    <sheetView workbookViewId="0">
      <selection activeCell="E2" sqref="E2:G13"/>
    </sheetView>
  </sheetViews>
  <sheetFormatPr defaultRowHeight="14.4" x14ac:dyDescent="0.55000000000000004"/>
  <cols>
    <col min="4" max="4" width="15.15625" bestFit="1" customWidth="1"/>
    <col min="5" max="5" width="13.3671875" bestFit="1" customWidth="1"/>
    <col min="6" max="6" width="13.47265625" bestFit="1" customWidth="1"/>
    <col min="7" max="7" width="7.68359375" customWidth="1"/>
    <col min="8" max="8" width="7.41796875" bestFit="1" customWidth="1"/>
    <col min="9" max="9" width="3.734375" bestFit="1" customWidth="1"/>
    <col min="10" max="10" width="10.83984375" bestFit="1" customWidth="1"/>
    <col min="11" max="11" width="9.15625" bestFit="1" customWidth="1"/>
    <col min="12" max="12" width="9.26171875" bestFit="1" customWidth="1"/>
    <col min="13" max="13" width="13.734375" bestFit="1" customWidth="1"/>
    <col min="14" max="14" width="12.83984375" bestFit="1" customWidth="1"/>
    <col min="15" max="15" width="12.05078125" bestFit="1" customWidth="1"/>
    <col min="16" max="16" width="12.41796875" bestFit="1" customWidth="1"/>
    <col min="17" max="17" width="7.83984375" bestFit="1" customWidth="1"/>
    <col min="18" max="18" width="8.62890625" bestFit="1" customWidth="1"/>
  </cols>
  <sheetData>
    <row r="1" spans="1:18" x14ac:dyDescent="0.55000000000000004">
      <c r="A1" s="1" t="s">
        <v>0</v>
      </c>
      <c r="B1" s="1" t="s">
        <v>1</v>
      </c>
      <c r="C1" s="1" t="s">
        <v>2</v>
      </c>
      <c r="D1" s="1" t="s">
        <v>57</v>
      </c>
      <c r="E1" s="1" t="s">
        <v>56</v>
      </c>
      <c r="F1" s="1" t="s">
        <v>61</v>
      </c>
      <c r="G1" s="1" t="s">
        <v>58</v>
      </c>
      <c r="H1" s="1" t="s">
        <v>55</v>
      </c>
      <c r="I1" s="1" t="s">
        <v>54</v>
      </c>
      <c r="J1" s="1" t="s">
        <v>53</v>
      </c>
      <c r="K1" s="1" t="s">
        <v>52</v>
      </c>
      <c r="L1" s="1"/>
      <c r="M1" s="1"/>
      <c r="N1" s="1"/>
      <c r="O1" s="1"/>
      <c r="P1" s="1"/>
      <c r="Q1" s="1"/>
      <c r="R1" s="1"/>
    </row>
    <row r="2" spans="1:18" x14ac:dyDescent="0.55000000000000004">
      <c r="A2">
        <v>1</v>
      </c>
      <c r="B2" t="s">
        <v>24</v>
      </c>
      <c r="C2" t="s">
        <v>25</v>
      </c>
      <c r="D2" s="2">
        <v>45427.458333333336</v>
      </c>
      <c r="E2" s="2" t="s">
        <v>47</v>
      </c>
      <c r="F2" s="2" t="s">
        <v>66</v>
      </c>
      <c r="G2" s="2" t="s">
        <v>59</v>
      </c>
      <c r="H2">
        <v>1</v>
      </c>
      <c r="J2">
        <v>320</v>
      </c>
    </row>
    <row r="3" spans="1:18" x14ac:dyDescent="0.55000000000000004">
      <c r="A3">
        <v>1</v>
      </c>
      <c r="B3" t="s">
        <v>24</v>
      </c>
      <c r="C3" t="s">
        <v>25</v>
      </c>
      <c r="D3" s="2">
        <v>45427.458333333336</v>
      </c>
      <c r="E3" s="2" t="s">
        <v>46</v>
      </c>
      <c r="F3" s="2" t="s">
        <v>67</v>
      </c>
      <c r="G3" s="2" t="s">
        <v>60</v>
      </c>
      <c r="H3">
        <v>1</v>
      </c>
      <c r="J3">
        <v>150</v>
      </c>
    </row>
    <row r="4" spans="1:18" x14ac:dyDescent="0.55000000000000004">
      <c r="A4">
        <v>1</v>
      </c>
      <c r="B4" t="s">
        <v>24</v>
      </c>
      <c r="C4" t="s">
        <v>25</v>
      </c>
      <c r="D4" s="2">
        <v>45427.458333333336</v>
      </c>
      <c r="E4" t="s">
        <v>45</v>
      </c>
      <c r="F4" t="s">
        <v>64</v>
      </c>
      <c r="G4" s="2" t="s">
        <v>59</v>
      </c>
      <c r="H4">
        <v>1</v>
      </c>
      <c r="J4">
        <v>150</v>
      </c>
    </row>
    <row r="5" spans="1:18" x14ac:dyDescent="0.55000000000000004">
      <c r="A5">
        <v>1</v>
      </c>
      <c r="B5" t="s">
        <v>24</v>
      </c>
      <c r="C5" t="s">
        <v>25</v>
      </c>
      <c r="D5" s="2">
        <v>45427.458333333336</v>
      </c>
      <c r="E5" t="s">
        <v>45</v>
      </c>
      <c r="F5" t="s">
        <v>64</v>
      </c>
      <c r="G5" s="2" t="s">
        <v>59</v>
      </c>
      <c r="H5">
        <v>1</v>
      </c>
      <c r="J5">
        <v>180</v>
      </c>
    </row>
    <row r="6" spans="1:18" x14ac:dyDescent="0.55000000000000004">
      <c r="A6">
        <v>1</v>
      </c>
      <c r="B6" t="s">
        <v>24</v>
      </c>
      <c r="C6" t="s">
        <v>25</v>
      </c>
      <c r="D6" s="2">
        <v>45427.458333333336</v>
      </c>
      <c r="E6" t="s">
        <v>45</v>
      </c>
      <c r="F6" t="s">
        <v>64</v>
      </c>
      <c r="G6" s="2" t="s">
        <v>59</v>
      </c>
      <c r="H6">
        <v>1</v>
      </c>
      <c r="J6">
        <v>165</v>
      </c>
    </row>
    <row r="7" spans="1:18" x14ac:dyDescent="0.55000000000000004">
      <c r="A7">
        <v>1</v>
      </c>
      <c r="B7" t="s">
        <v>24</v>
      </c>
      <c r="C7" t="s">
        <v>25</v>
      </c>
      <c r="D7" s="2">
        <v>45427.458333333336</v>
      </c>
      <c r="E7" t="s">
        <v>45</v>
      </c>
      <c r="F7" t="s">
        <v>64</v>
      </c>
      <c r="G7" s="2" t="s">
        <v>59</v>
      </c>
      <c r="H7">
        <v>1</v>
      </c>
      <c r="J7">
        <v>100</v>
      </c>
    </row>
    <row r="8" spans="1:18" x14ac:dyDescent="0.55000000000000004">
      <c r="A8">
        <v>1</v>
      </c>
      <c r="B8" t="s">
        <v>24</v>
      </c>
      <c r="C8" t="s">
        <v>25</v>
      </c>
      <c r="D8" s="2">
        <v>45427.458333333336</v>
      </c>
      <c r="E8" t="s">
        <v>45</v>
      </c>
      <c r="F8" t="s">
        <v>64</v>
      </c>
      <c r="G8" s="2" t="s">
        <v>59</v>
      </c>
      <c r="H8">
        <v>1</v>
      </c>
      <c r="J8">
        <v>120</v>
      </c>
    </row>
    <row r="9" spans="1:18" x14ac:dyDescent="0.55000000000000004">
      <c r="A9">
        <v>1</v>
      </c>
      <c r="B9" t="s">
        <v>24</v>
      </c>
      <c r="C9" t="s">
        <v>25</v>
      </c>
      <c r="D9" s="2">
        <v>45427.458333333336</v>
      </c>
      <c r="E9" t="s">
        <v>45</v>
      </c>
      <c r="F9" t="s">
        <v>64</v>
      </c>
      <c r="G9" s="2" t="s">
        <v>59</v>
      </c>
      <c r="H9">
        <v>1</v>
      </c>
      <c r="J9">
        <v>80</v>
      </c>
    </row>
    <row r="10" spans="1:18" x14ac:dyDescent="0.55000000000000004">
      <c r="A10">
        <v>1</v>
      </c>
      <c r="B10" t="s">
        <v>24</v>
      </c>
      <c r="C10" t="s">
        <v>25</v>
      </c>
      <c r="D10" s="2">
        <v>45427.458333333336</v>
      </c>
      <c r="E10" t="s">
        <v>51</v>
      </c>
      <c r="G10" s="2" t="s">
        <v>59</v>
      </c>
      <c r="H10">
        <v>1</v>
      </c>
      <c r="J10">
        <v>110</v>
      </c>
    </row>
    <row r="11" spans="1:18" x14ac:dyDescent="0.55000000000000004">
      <c r="A11">
        <v>1</v>
      </c>
      <c r="B11" t="s">
        <v>24</v>
      </c>
      <c r="C11" t="s">
        <v>25</v>
      </c>
      <c r="D11" s="2">
        <v>45427.458333333336</v>
      </c>
      <c r="E11" t="s">
        <v>63</v>
      </c>
      <c r="F11" t="s">
        <v>62</v>
      </c>
      <c r="G11" s="2" t="s">
        <v>60</v>
      </c>
      <c r="H11">
        <v>100</v>
      </c>
    </row>
    <row r="12" spans="1:18" x14ac:dyDescent="0.55000000000000004">
      <c r="A12">
        <v>1</v>
      </c>
      <c r="B12" t="s">
        <v>24</v>
      </c>
      <c r="C12" t="s">
        <v>25</v>
      </c>
      <c r="D12" s="2">
        <v>45427.458333333336</v>
      </c>
      <c r="E12" t="s">
        <v>44</v>
      </c>
      <c r="F12" t="s">
        <v>68</v>
      </c>
      <c r="G12" s="2" t="s">
        <v>60</v>
      </c>
      <c r="H12">
        <v>100</v>
      </c>
    </row>
    <row r="13" spans="1:18" x14ac:dyDescent="0.55000000000000004">
      <c r="A13">
        <v>2</v>
      </c>
      <c r="B13" t="s">
        <v>24</v>
      </c>
      <c r="C13" t="s">
        <v>30</v>
      </c>
      <c r="D13" s="2">
        <v>45427.416666666664</v>
      </c>
      <c r="E13" t="s">
        <v>49</v>
      </c>
      <c r="F13" t="s">
        <v>65</v>
      </c>
      <c r="G13" s="2" t="s">
        <v>60</v>
      </c>
      <c r="H13">
        <v>1</v>
      </c>
      <c r="I13" t="s">
        <v>48</v>
      </c>
      <c r="J13">
        <v>30</v>
      </c>
    </row>
    <row r="14" spans="1:18" x14ac:dyDescent="0.55000000000000004">
      <c r="A14">
        <v>2</v>
      </c>
      <c r="B14" t="s">
        <v>24</v>
      </c>
      <c r="C14" t="s">
        <v>30</v>
      </c>
      <c r="D14" s="2">
        <v>45427.416666666664</v>
      </c>
      <c r="E14" t="s">
        <v>49</v>
      </c>
      <c r="F14" t="s">
        <v>65</v>
      </c>
      <c r="G14" s="2" t="s">
        <v>60</v>
      </c>
      <c r="H14">
        <v>1</v>
      </c>
      <c r="I14" t="s">
        <v>48</v>
      </c>
      <c r="J14">
        <v>30</v>
      </c>
    </row>
    <row r="15" spans="1:18" x14ac:dyDescent="0.55000000000000004">
      <c r="A15">
        <v>2</v>
      </c>
      <c r="B15" t="s">
        <v>24</v>
      </c>
      <c r="C15" t="s">
        <v>30</v>
      </c>
      <c r="D15" s="2">
        <v>45427.416666608799</v>
      </c>
      <c r="E15" t="s">
        <v>49</v>
      </c>
      <c r="F15" t="s">
        <v>65</v>
      </c>
      <c r="G15" s="2" t="s">
        <v>60</v>
      </c>
      <c r="H15">
        <v>1</v>
      </c>
      <c r="I15" t="s">
        <v>48</v>
      </c>
      <c r="J15">
        <v>45</v>
      </c>
    </row>
    <row r="16" spans="1:18" x14ac:dyDescent="0.55000000000000004">
      <c r="A16">
        <v>2</v>
      </c>
      <c r="B16" t="s">
        <v>24</v>
      </c>
      <c r="C16" t="s">
        <v>30</v>
      </c>
      <c r="D16" s="2">
        <v>45427.416666608799</v>
      </c>
      <c r="E16" t="s">
        <v>49</v>
      </c>
      <c r="F16" t="s">
        <v>65</v>
      </c>
      <c r="G16" s="2" t="s">
        <v>60</v>
      </c>
      <c r="H16">
        <v>1</v>
      </c>
      <c r="I16" t="s">
        <v>48</v>
      </c>
      <c r="J16">
        <v>35</v>
      </c>
    </row>
    <row r="17" spans="1:10" x14ac:dyDescent="0.55000000000000004">
      <c r="A17">
        <v>2</v>
      </c>
      <c r="B17" t="s">
        <v>24</v>
      </c>
      <c r="C17" t="s">
        <v>30</v>
      </c>
      <c r="D17" s="2">
        <v>45427.416666608799</v>
      </c>
      <c r="E17" t="s">
        <v>49</v>
      </c>
      <c r="F17" t="s">
        <v>65</v>
      </c>
      <c r="G17" s="2" t="s">
        <v>60</v>
      </c>
      <c r="H17">
        <v>1</v>
      </c>
      <c r="I17" t="s">
        <v>48</v>
      </c>
      <c r="J17">
        <v>34</v>
      </c>
    </row>
    <row r="18" spans="1:10" x14ac:dyDescent="0.55000000000000004">
      <c r="A18">
        <v>2</v>
      </c>
      <c r="B18" t="s">
        <v>24</v>
      </c>
      <c r="C18" t="s">
        <v>30</v>
      </c>
      <c r="D18" s="2">
        <v>45427.416666608799</v>
      </c>
      <c r="E18" t="s">
        <v>49</v>
      </c>
      <c r="F18" t="s">
        <v>65</v>
      </c>
      <c r="G18" s="2" t="s">
        <v>60</v>
      </c>
      <c r="H18">
        <v>1</v>
      </c>
      <c r="I18" t="s">
        <v>48</v>
      </c>
      <c r="J18">
        <v>31</v>
      </c>
    </row>
    <row r="19" spans="1:10" x14ac:dyDescent="0.55000000000000004">
      <c r="A19">
        <v>2</v>
      </c>
      <c r="B19" t="s">
        <v>24</v>
      </c>
      <c r="C19" t="s">
        <v>30</v>
      </c>
      <c r="D19" s="2">
        <v>45427.416666608799</v>
      </c>
      <c r="E19" t="s">
        <v>49</v>
      </c>
      <c r="F19" t="s">
        <v>65</v>
      </c>
      <c r="G19" s="2" t="s">
        <v>60</v>
      </c>
      <c r="H19">
        <v>1</v>
      </c>
      <c r="I19" t="s">
        <v>48</v>
      </c>
      <c r="J19">
        <v>25</v>
      </c>
    </row>
    <row r="20" spans="1:10" x14ac:dyDescent="0.55000000000000004">
      <c r="A20">
        <v>2</v>
      </c>
      <c r="B20" t="s">
        <v>24</v>
      </c>
      <c r="C20" t="s">
        <v>30</v>
      </c>
      <c r="D20" s="2">
        <v>45427.416666608799</v>
      </c>
      <c r="E20" t="s">
        <v>49</v>
      </c>
      <c r="F20" t="s">
        <v>65</v>
      </c>
      <c r="G20" s="2" t="s">
        <v>60</v>
      </c>
      <c r="H20">
        <v>1</v>
      </c>
      <c r="I20" t="s">
        <v>50</v>
      </c>
      <c r="J20">
        <v>25</v>
      </c>
    </row>
    <row r="21" spans="1:10" x14ac:dyDescent="0.55000000000000004">
      <c r="A21">
        <v>2</v>
      </c>
      <c r="B21" t="s">
        <v>24</v>
      </c>
      <c r="C21" t="s">
        <v>30</v>
      </c>
      <c r="D21" s="2">
        <v>45427.416666608799</v>
      </c>
      <c r="E21" t="s">
        <v>49</v>
      </c>
      <c r="F21" t="s">
        <v>65</v>
      </c>
      <c r="G21" s="2" t="s">
        <v>60</v>
      </c>
      <c r="H21">
        <v>1</v>
      </c>
      <c r="I21" t="s">
        <v>48</v>
      </c>
      <c r="J21">
        <v>30</v>
      </c>
    </row>
    <row r="22" spans="1:10" x14ac:dyDescent="0.55000000000000004">
      <c r="A22">
        <v>2</v>
      </c>
      <c r="B22" t="s">
        <v>24</v>
      </c>
      <c r="C22" t="s">
        <v>30</v>
      </c>
      <c r="D22" s="2">
        <v>45427.416666666664</v>
      </c>
      <c r="E22" s="2" t="s">
        <v>47</v>
      </c>
      <c r="F22" s="2" t="s">
        <v>66</v>
      </c>
      <c r="G22" s="2" t="s">
        <v>59</v>
      </c>
      <c r="H22">
        <v>1</v>
      </c>
      <c r="J22">
        <v>330</v>
      </c>
    </row>
    <row r="23" spans="1:10" x14ac:dyDescent="0.55000000000000004">
      <c r="A23">
        <v>2</v>
      </c>
      <c r="B23" t="s">
        <v>24</v>
      </c>
      <c r="C23" t="s">
        <v>30</v>
      </c>
      <c r="D23" s="2">
        <v>45427.416666666664</v>
      </c>
      <c r="E23" s="2" t="s">
        <v>47</v>
      </c>
      <c r="F23" s="2" t="s">
        <v>66</v>
      </c>
      <c r="G23" s="2" t="s">
        <v>59</v>
      </c>
      <c r="H23">
        <v>1</v>
      </c>
      <c r="J23">
        <v>80</v>
      </c>
    </row>
    <row r="24" spans="1:10" x14ac:dyDescent="0.55000000000000004">
      <c r="A24">
        <v>2</v>
      </c>
      <c r="B24" t="s">
        <v>24</v>
      </c>
      <c r="C24" t="s">
        <v>30</v>
      </c>
      <c r="D24" s="2">
        <v>45427.416666608799</v>
      </c>
      <c r="E24" s="2" t="s">
        <v>46</v>
      </c>
      <c r="F24" s="2" t="s">
        <v>67</v>
      </c>
      <c r="G24" s="2" t="s">
        <v>60</v>
      </c>
      <c r="H24">
        <v>1</v>
      </c>
      <c r="J24">
        <v>105</v>
      </c>
    </row>
    <row r="25" spans="1:10" x14ac:dyDescent="0.55000000000000004">
      <c r="A25">
        <v>2</v>
      </c>
      <c r="B25" t="s">
        <v>24</v>
      </c>
      <c r="C25" t="s">
        <v>30</v>
      </c>
      <c r="D25" s="2">
        <v>45427.416666608799</v>
      </c>
      <c r="E25" s="2" t="s">
        <v>46</v>
      </c>
      <c r="F25" s="2" t="s">
        <v>67</v>
      </c>
      <c r="G25" s="2" t="s">
        <v>60</v>
      </c>
      <c r="H25">
        <v>1</v>
      </c>
      <c r="J25">
        <v>100</v>
      </c>
    </row>
    <row r="26" spans="1:10" x14ac:dyDescent="0.55000000000000004">
      <c r="A26">
        <v>2</v>
      </c>
      <c r="B26" t="s">
        <v>24</v>
      </c>
      <c r="C26" t="s">
        <v>30</v>
      </c>
      <c r="D26" s="2">
        <v>45427.416666608799</v>
      </c>
      <c r="E26" s="2" t="s">
        <v>46</v>
      </c>
      <c r="F26" s="2" t="s">
        <v>67</v>
      </c>
      <c r="G26" s="2" t="s">
        <v>60</v>
      </c>
      <c r="H26">
        <v>1</v>
      </c>
      <c r="J26">
        <v>100</v>
      </c>
    </row>
    <row r="27" spans="1:10" x14ac:dyDescent="0.55000000000000004">
      <c r="A27">
        <v>2</v>
      </c>
      <c r="B27" t="s">
        <v>24</v>
      </c>
      <c r="C27" t="s">
        <v>30</v>
      </c>
      <c r="D27" s="2">
        <v>45427.416666608799</v>
      </c>
      <c r="E27" t="s">
        <v>45</v>
      </c>
      <c r="F27" t="s">
        <v>64</v>
      </c>
      <c r="G27" s="2" t="s">
        <v>59</v>
      </c>
      <c r="H27">
        <v>1</v>
      </c>
      <c r="J27">
        <v>60</v>
      </c>
    </row>
    <row r="28" spans="1:10" x14ac:dyDescent="0.55000000000000004">
      <c r="A28">
        <v>2</v>
      </c>
      <c r="B28" t="s">
        <v>24</v>
      </c>
      <c r="C28" t="s">
        <v>30</v>
      </c>
      <c r="D28" s="2">
        <v>45427.416666608799</v>
      </c>
      <c r="E28" t="s">
        <v>45</v>
      </c>
      <c r="F28" t="s">
        <v>64</v>
      </c>
      <c r="G28" s="2" t="s">
        <v>59</v>
      </c>
      <c r="H28">
        <v>1</v>
      </c>
      <c r="J28">
        <v>60</v>
      </c>
    </row>
    <row r="29" spans="1:10" x14ac:dyDescent="0.55000000000000004">
      <c r="A29">
        <v>2</v>
      </c>
      <c r="B29" t="s">
        <v>24</v>
      </c>
      <c r="C29" t="s">
        <v>30</v>
      </c>
      <c r="D29" s="2">
        <v>45427.416666608799</v>
      </c>
      <c r="E29" t="s">
        <v>63</v>
      </c>
      <c r="F29" t="s">
        <v>62</v>
      </c>
      <c r="G29" s="2" t="s">
        <v>60</v>
      </c>
      <c r="H29">
        <v>200</v>
      </c>
    </row>
    <row r="30" spans="1:10" x14ac:dyDescent="0.55000000000000004">
      <c r="A30">
        <v>2</v>
      </c>
      <c r="B30" t="s">
        <v>24</v>
      </c>
      <c r="C30" t="s">
        <v>30</v>
      </c>
      <c r="D30" s="2">
        <v>45427.416666608799</v>
      </c>
      <c r="E30" t="s">
        <v>44</v>
      </c>
      <c r="F30" t="s">
        <v>68</v>
      </c>
      <c r="G30" s="2" t="s">
        <v>60</v>
      </c>
      <c r="H30">
        <v>200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1A2C-DE50-44AA-A991-01B62FBEC852}">
  <dimension ref="A1:AH16"/>
  <sheetViews>
    <sheetView workbookViewId="0">
      <selection activeCell="E9" sqref="E9"/>
    </sheetView>
  </sheetViews>
  <sheetFormatPr defaultRowHeight="14.4" x14ac:dyDescent="0.55000000000000004"/>
  <cols>
    <col min="1" max="1" width="6.1015625" bestFit="1" customWidth="1"/>
    <col min="2" max="2" width="6.3671875" bestFit="1" customWidth="1"/>
    <col min="3" max="3" width="4" bestFit="1" customWidth="1"/>
    <col min="4" max="4" width="8.26171875" customWidth="1"/>
    <col min="5" max="5" width="8.15625" customWidth="1"/>
    <col min="6" max="6" width="15.15625" bestFit="1" customWidth="1"/>
    <col min="7" max="7" width="8.1015625" bestFit="1" customWidth="1"/>
    <col min="8" max="8" width="5.578125" bestFit="1" customWidth="1"/>
    <col min="9" max="9" width="12.05078125" bestFit="1" customWidth="1"/>
    <col min="10" max="10" width="9.26171875" bestFit="1" customWidth="1"/>
    <col min="11" max="11" width="7.3125" bestFit="1" customWidth="1"/>
    <col min="12" max="12" width="6.89453125" bestFit="1" customWidth="1"/>
    <col min="13" max="13" width="7.68359375" bestFit="1" customWidth="1"/>
    <col min="14" max="15" width="7.68359375" customWidth="1"/>
    <col min="16" max="16" width="6.62890625" bestFit="1" customWidth="1"/>
    <col min="17" max="17" width="6.26171875" bestFit="1" customWidth="1"/>
    <col min="18" max="18" width="4.7890625" bestFit="1" customWidth="1"/>
    <col min="19" max="19" width="4.68359375" bestFit="1" customWidth="1"/>
    <col min="20" max="20" width="8.47265625" bestFit="1" customWidth="1"/>
    <col min="21" max="21" width="6.1015625" bestFit="1" customWidth="1"/>
    <col min="22" max="22" width="3.68359375" bestFit="1" customWidth="1"/>
    <col min="23" max="23" width="11.5234375" bestFit="1" customWidth="1"/>
    <col min="24" max="24" width="12.3125" bestFit="1" customWidth="1"/>
    <col min="25" max="25" width="5.83984375" customWidth="1"/>
    <col min="26" max="26" width="7.83984375" customWidth="1"/>
    <col min="27" max="27" width="9.5234375" bestFit="1" customWidth="1"/>
    <col min="28" max="28" width="5.47265625" bestFit="1" customWidth="1"/>
    <col min="29" max="29" width="6.05078125" bestFit="1" customWidth="1"/>
    <col min="30" max="30" width="5.41796875" bestFit="1" customWidth="1"/>
    <col min="31" max="31" width="7.1015625" bestFit="1" customWidth="1"/>
    <col min="32" max="32" width="12.7890625" bestFit="1" customWidth="1"/>
    <col min="33" max="33" width="5.68359375" bestFit="1" customWidth="1"/>
    <col min="34" max="34" width="12.41796875" bestFit="1" customWidth="1"/>
  </cols>
  <sheetData>
    <row r="1" spans="1:34" s="1" customFormat="1" ht="14.7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14</v>
      </c>
      <c r="S1" s="1" t="s">
        <v>13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49</v>
      </c>
      <c r="AC1" s="4" t="s">
        <v>47</v>
      </c>
      <c r="AD1" s="4" t="s">
        <v>46</v>
      </c>
      <c r="AE1" s="1" t="s">
        <v>45</v>
      </c>
      <c r="AF1" s="1" t="s">
        <v>63</v>
      </c>
      <c r="AG1" s="1" t="s">
        <v>44</v>
      </c>
      <c r="AH1"/>
    </row>
    <row r="2" spans="1:34" x14ac:dyDescent="0.55000000000000004">
      <c r="A2">
        <v>1</v>
      </c>
      <c r="B2" t="s">
        <v>24</v>
      </c>
      <c r="C2" t="s">
        <v>25</v>
      </c>
      <c r="D2">
        <v>-38.035870614121997</v>
      </c>
      <c r="E2">
        <v>176.34714401308599</v>
      </c>
      <c r="F2" s="2">
        <v>45426.458333333336</v>
      </c>
      <c r="G2" s="2" t="s">
        <v>26</v>
      </c>
      <c r="H2" t="s">
        <v>27</v>
      </c>
      <c r="I2">
        <f>(2.9+3.3)/2</f>
        <v>3.0999999999999996</v>
      </c>
      <c r="J2">
        <v>0.6</v>
      </c>
      <c r="K2">
        <v>4</v>
      </c>
      <c r="L2">
        <v>0</v>
      </c>
      <c r="M2">
        <v>0</v>
      </c>
      <c r="N2">
        <v>3</v>
      </c>
      <c r="O2">
        <v>0</v>
      </c>
      <c r="P2">
        <v>0</v>
      </c>
      <c r="Q2">
        <v>0</v>
      </c>
      <c r="R2">
        <v>2</v>
      </c>
      <c r="S2">
        <v>0</v>
      </c>
      <c r="T2">
        <v>9.6999999999999993</v>
      </c>
      <c r="U2">
        <v>95</v>
      </c>
      <c r="V2">
        <v>7.6</v>
      </c>
      <c r="W2">
        <v>14.5</v>
      </c>
      <c r="X2">
        <v>0</v>
      </c>
      <c r="Y2">
        <v>1</v>
      </c>
      <c r="Z2" t="s">
        <v>28</v>
      </c>
      <c r="AA2">
        <v>4</v>
      </c>
      <c r="AC2" s="2"/>
    </row>
    <row r="3" spans="1:34" x14ac:dyDescent="0.55000000000000004">
      <c r="A3">
        <v>2</v>
      </c>
      <c r="B3" t="s">
        <v>24</v>
      </c>
      <c r="C3" t="s">
        <v>30</v>
      </c>
      <c r="D3">
        <v>-38.025817216872099</v>
      </c>
      <c r="E3">
        <v>176.37596138736399</v>
      </c>
      <c r="F3" s="2">
        <v>45427.513888888891</v>
      </c>
      <c r="G3" s="2" t="s">
        <v>26</v>
      </c>
      <c r="H3" t="s">
        <v>27</v>
      </c>
      <c r="I3">
        <f>(2.3+2.4)/2</f>
        <v>2.3499999999999996</v>
      </c>
      <c r="J3">
        <v>0.8</v>
      </c>
      <c r="K3">
        <v>4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2</v>
      </c>
      <c r="S3">
        <v>0</v>
      </c>
      <c r="T3">
        <v>9.68</v>
      </c>
      <c r="U3">
        <v>95.9</v>
      </c>
      <c r="V3">
        <v>7.54</v>
      </c>
      <c r="W3">
        <v>14.9</v>
      </c>
      <c r="X3">
        <v>0</v>
      </c>
      <c r="Y3">
        <v>1</v>
      </c>
      <c r="Z3" t="s">
        <v>34</v>
      </c>
      <c r="AA3">
        <v>4</v>
      </c>
      <c r="AC3" s="2"/>
    </row>
    <row r="4" spans="1:34" x14ac:dyDescent="0.55000000000000004">
      <c r="F4" s="2"/>
      <c r="G4" s="2"/>
      <c r="AC4" s="2"/>
    </row>
    <row r="5" spans="1:34" x14ac:dyDescent="0.55000000000000004">
      <c r="F5" s="2"/>
      <c r="G5" s="2"/>
      <c r="AC5" s="2"/>
    </row>
    <row r="6" spans="1:34" x14ac:dyDescent="0.55000000000000004">
      <c r="F6" s="2"/>
      <c r="G6" s="2"/>
      <c r="AC6" s="2"/>
    </row>
    <row r="9" spans="1:34" x14ac:dyDescent="0.55000000000000004">
      <c r="F9" s="2"/>
      <c r="G9" s="2"/>
      <c r="AC9" s="2"/>
    </row>
    <row r="10" spans="1:34" x14ac:dyDescent="0.55000000000000004">
      <c r="F10" s="2"/>
      <c r="G10" s="2"/>
      <c r="AC10" s="2"/>
    </row>
    <row r="11" spans="1:34" x14ac:dyDescent="0.55000000000000004">
      <c r="F11" s="2"/>
      <c r="G11" s="2"/>
      <c r="AC11" s="2"/>
    </row>
    <row r="12" spans="1:34" x14ac:dyDescent="0.55000000000000004">
      <c r="F12" s="2"/>
      <c r="G12" s="2"/>
      <c r="AC12" s="2"/>
    </row>
    <row r="13" spans="1:34" x14ac:dyDescent="0.55000000000000004">
      <c r="F13" s="2"/>
      <c r="G13" s="2"/>
      <c r="AC13" s="2"/>
    </row>
    <row r="14" spans="1:34" x14ac:dyDescent="0.55000000000000004">
      <c r="F14" s="2"/>
      <c r="G14" s="2"/>
      <c r="AC14" s="2"/>
    </row>
    <row r="15" spans="1:34" x14ac:dyDescent="0.55000000000000004">
      <c r="F15" s="2"/>
      <c r="G15" s="2"/>
      <c r="AC15" s="2"/>
    </row>
    <row r="16" spans="1:34" x14ac:dyDescent="0.55000000000000004">
      <c r="F16" s="2"/>
      <c r="G16" s="2"/>
      <c r="AC16" s="2"/>
    </row>
  </sheetData>
  <pageMargins left="0.7" right="0.7" top="0.75" bottom="0.75" header="0.3" footer="0.3"/>
  <pageSetup paperSize="9" orientation="portrait" horizontalDpi="300" verticalDpi="0" r:id="rId1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</vt:lpstr>
      <vt:lpstr>Site_info</vt:lpstr>
      <vt:lpstr>Monitoring_data</vt:lpstr>
      <vt:lpstr>Fish_data</vt:lpstr>
      <vt:lpstr>Rock_sizes_Periphyton_biomass</vt:lpstr>
      <vt:lpstr>Macroinvertebrates</vt:lpstr>
      <vt:lpstr>Sediment_D50</vt:lpstr>
      <vt:lpstr>Planning_fieldwork</vt:lpstr>
      <vt:lpstr>Site_selection</vt:lpstr>
      <vt:lpstr>Test_HM</vt:lpstr>
      <vt:lpstr>Test_Catch</vt:lpstr>
      <vt:lpstr>Test_Habitat_Monitoring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Raven, Olivier (Student)</dc:creator>
  <cp:lastModifiedBy>Raven, Olivier (Student)</cp:lastModifiedBy>
  <cp:lastPrinted>2024-10-02T20:03:58Z</cp:lastPrinted>
  <dcterms:created xsi:type="dcterms:W3CDTF">2024-05-24T00:00:55Z</dcterms:created>
  <dcterms:modified xsi:type="dcterms:W3CDTF">2025-01-22T03:10:20Z</dcterms:modified>
</cp:coreProperties>
</file>