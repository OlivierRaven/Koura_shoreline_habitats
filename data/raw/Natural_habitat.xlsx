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waikatouniversitynz-my.sharepoint.com/personal/or81_students_waikato_ac_nz/Documents/Documents/PhD/Data/3.Natural_habitat_monitoring/data/raw/"/>
    </mc:Choice>
  </mc:AlternateContent>
  <xr:revisionPtr revIDLastSave="11947" documentId="8_{BA1C0506-8470-4C61-BE1E-5F42A2356AD3}" xr6:coauthVersionLast="47" xr6:coauthVersionMax="47" xr10:uidLastSave="{DA8400DD-B66E-4958-B7C7-9E10996094B0}"/>
  <bookViews>
    <workbookView xWindow="-96" yWindow="-96" windowWidth="23232" windowHeight="13872" activeTab="1" xr2:uid="{DCE36AD3-B751-40A7-A58C-3E409E2B8D1C}"/>
  </bookViews>
  <sheets>
    <sheet name="Site_info" sheetId="11" r:id="rId1"/>
    <sheet name="Monitoring_data" sheetId="18" r:id="rId2"/>
    <sheet name="Weed_data" sheetId="19" r:id="rId3"/>
    <sheet name="Fish_data" sheetId="13" r:id="rId4"/>
    <sheet name="Macroinvertebrates" sheetId="16" r:id="rId5"/>
    <sheet name="Monitoring_data_(weed)" sheetId="12" r:id="rId6"/>
    <sheet name="Rock_sizes_Periphyton_biomass" sheetId="15" r:id="rId7"/>
    <sheet name="Site_selection" sheetId="9" r:id="rId8"/>
  </sheets>
  <definedNames>
    <definedName name="_xlnm._FilterDatabase" localSheetId="3" hidden="1">Fish_data!$A$1:$U$1501</definedName>
    <definedName name="_xlnm._FilterDatabase" localSheetId="4" hidden="1">Macroinvertebrates!$A$1:$H$1</definedName>
    <definedName name="_xlnm._FilterDatabase" localSheetId="1" hidden="1">Monitoring_data!$A$1:$G$1849</definedName>
    <definedName name="_xlnm._FilterDatabase" localSheetId="5" hidden="1">'Monitoring_data_(weed)'!$A$1:$G$2146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3" i="19" l="1"/>
  <c r="E203" i="19"/>
  <c r="F194" i="19"/>
  <c r="E194" i="19"/>
  <c r="F187" i="19"/>
  <c r="E187" i="19"/>
  <c r="F180" i="19"/>
  <c r="E180" i="19"/>
  <c r="F164" i="19"/>
  <c r="E164" i="19"/>
  <c r="F155" i="19"/>
  <c r="E155" i="19"/>
  <c r="F210" i="19"/>
  <c r="E210" i="19"/>
  <c r="F207" i="19"/>
  <c r="E207" i="19"/>
  <c r="F200" i="19"/>
  <c r="E200" i="19"/>
  <c r="F197" i="19"/>
  <c r="E197" i="19"/>
  <c r="F191" i="19"/>
  <c r="E191" i="19"/>
  <c r="F183" i="19"/>
  <c r="E183" i="19"/>
  <c r="F177" i="19"/>
  <c r="E177" i="19"/>
  <c r="F174" i="19"/>
  <c r="E174" i="19"/>
  <c r="F171" i="19"/>
  <c r="E171" i="19"/>
  <c r="F168" i="19"/>
  <c r="E168" i="19"/>
  <c r="F161" i="19"/>
  <c r="E161" i="19"/>
  <c r="F158" i="19"/>
  <c r="E158" i="19"/>
  <c r="F152" i="19"/>
  <c r="E152" i="19"/>
  <c r="F149" i="19"/>
  <c r="E149" i="19"/>
  <c r="F146" i="19"/>
  <c r="E146" i="19"/>
  <c r="F143" i="19"/>
  <c r="E143" i="19"/>
  <c r="F140" i="19"/>
  <c r="E140" i="19"/>
  <c r="F137" i="19"/>
  <c r="E137" i="19"/>
  <c r="F134" i="19"/>
  <c r="E134" i="19"/>
  <c r="F131" i="19"/>
  <c r="E131" i="19"/>
  <c r="F128" i="19"/>
  <c r="E128" i="19"/>
  <c r="F125" i="19"/>
  <c r="E125" i="19"/>
  <c r="F122" i="19"/>
  <c r="E122" i="19"/>
  <c r="F119" i="19"/>
  <c r="E119" i="19"/>
  <c r="F116" i="19"/>
  <c r="E116" i="19"/>
  <c r="F113" i="19"/>
  <c r="E113" i="19"/>
  <c r="F110" i="19"/>
  <c r="E110" i="19"/>
  <c r="F107" i="19"/>
  <c r="E107" i="19"/>
  <c r="F103" i="19"/>
  <c r="E103" i="19"/>
  <c r="F100" i="19"/>
  <c r="E100" i="19"/>
  <c r="F97" i="19"/>
  <c r="E97" i="19"/>
  <c r="F92" i="19"/>
  <c r="E92" i="19"/>
  <c r="F87" i="19"/>
  <c r="E87" i="19"/>
  <c r="F84" i="19"/>
  <c r="E84" i="19"/>
  <c r="F81" i="19"/>
  <c r="E81" i="19"/>
  <c r="F77" i="19"/>
  <c r="E77" i="19"/>
  <c r="F74" i="19"/>
  <c r="E74" i="19"/>
  <c r="F71" i="19"/>
  <c r="E71" i="19"/>
  <c r="F68" i="19"/>
  <c r="E68" i="19"/>
  <c r="F65" i="19"/>
  <c r="E65" i="19"/>
  <c r="F62" i="19"/>
  <c r="E62" i="19"/>
  <c r="F58" i="19"/>
  <c r="E58" i="19"/>
  <c r="F55" i="19"/>
  <c r="E55" i="19"/>
  <c r="F52" i="19"/>
  <c r="E52" i="19"/>
  <c r="F49" i="19"/>
  <c r="E49" i="19"/>
  <c r="F46" i="19"/>
  <c r="E46" i="19"/>
  <c r="F43" i="19"/>
  <c r="E43" i="19"/>
  <c r="F40" i="19"/>
  <c r="E40" i="19"/>
  <c r="F37" i="19"/>
  <c r="E37" i="19"/>
  <c r="F34" i="19"/>
  <c r="E34" i="19"/>
  <c r="F31" i="19"/>
  <c r="E31" i="19"/>
  <c r="F28" i="19"/>
  <c r="E28" i="19"/>
  <c r="F25" i="19"/>
  <c r="E25" i="19"/>
  <c r="F22" i="19"/>
  <c r="E22" i="19"/>
  <c r="F19" i="19"/>
  <c r="E19" i="19"/>
  <c r="F16" i="19"/>
  <c r="E16" i="19"/>
  <c r="F13" i="19"/>
  <c r="E13" i="19"/>
  <c r="F10" i="19"/>
  <c r="E10" i="19"/>
  <c r="F7" i="19"/>
  <c r="E7" i="19"/>
  <c r="F3" i="19"/>
  <c r="F4" i="19"/>
  <c r="F5" i="19"/>
  <c r="F6" i="19"/>
  <c r="F8" i="19"/>
  <c r="F9" i="19"/>
  <c r="F11" i="19"/>
  <c r="F12" i="19"/>
  <c r="F14" i="19"/>
  <c r="F15" i="19"/>
  <c r="F17" i="19"/>
  <c r="F18" i="19"/>
  <c r="F20" i="19"/>
  <c r="F21" i="19"/>
  <c r="F23" i="19"/>
  <c r="F24" i="19"/>
  <c r="F26" i="19"/>
  <c r="F27" i="19"/>
  <c r="F29" i="19"/>
  <c r="F30" i="19"/>
  <c r="F32" i="19"/>
  <c r="F33" i="19"/>
  <c r="F35" i="19"/>
  <c r="F36" i="19"/>
  <c r="F38" i="19"/>
  <c r="F39" i="19"/>
  <c r="F41" i="19"/>
  <c r="F42" i="19"/>
  <c r="F44" i="19"/>
  <c r="F45" i="19"/>
  <c r="F47" i="19"/>
  <c r="F48" i="19"/>
  <c r="F50" i="19"/>
  <c r="F51" i="19"/>
  <c r="F53" i="19"/>
  <c r="F54" i="19"/>
  <c r="F56" i="19"/>
  <c r="F57" i="19"/>
  <c r="F59" i="19"/>
  <c r="F60" i="19"/>
  <c r="F61" i="19"/>
  <c r="F63" i="19"/>
  <c r="F64" i="19"/>
  <c r="F66" i="19"/>
  <c r="F67" i="19"/>
  <c r="F69" i="19"/>
  <c r="F70" i="19"/>
  <c r="F72" i="19"/>
  <c r="F73" i="19"/>
  <c r="F75" i="19"/>
  <c r="F76" i="19"/>
  <c r="F78" i="19"/>
  <c r="F79" i="19"/>
  <c r="F80" i="19"/>
  <c r="F82" i="19"/>
  <c r="F83" i="19"/>
  <c r="F85" i="19"/>
  <c r="F86" i="19"/>
  <c r="F88" i="19"/>
  <c r="F89" i="19"/>
  <c r="F90" i="19"/>
  <c r="F91" i="19"/>
  <c r="F93" i="19"/>
  <c r="F94" i="19"/>
  <c r="F95" i="19"/>
  <c r="F96" i="19"/>
  <c r="F98" i="19"/>
  <c r="F99" i="19"/>
  <c r="F101" i="19"/>
  <c r="F102" i="19"/>
  <c r="F104" i="19"/>
  <c r="F105" i="19"/>
  <c r="F106" i="19"/>
  <c r="F108" i="19"/>
  <c r="F109" i="19"/>
  <c r="F111" i="19"/>
  <c r="F112" i="19"/>
  <c r="F114" i="19"/>
  <c r="F115" i="19"/>
  <c r="F117" i="19"/>
  <c r="F118" i="19"/>
  <c r="F120" i="19"/>
  <c r="F121" i="19"/>
  <c r="F123" i="19"/>
  <c r="F124" i="19"/>
  <c r="F126" i="19"/>
  <c r="F127" i="19"/>
  <c r="F129" i="19"/>
  <c r="F130" i="19"/>
  <c r="F132" i="19"/>
  <c r="F133" i="19"/>
  <c r="F135" i="19"/>
  <c r="F136" i="19"/>
  <c r="F138" i="19"/>
  <c r="F139" i="19"/>
  <c r="F141" i="19"/>
  <c r="F142" i="19"/>
  <c r="F144" i="19"/>
  <c r="F145" i="19"/>
  <c r="F147" i="19"/>
  <c r="F148" i="19"/>
  <c r="F150" i="19"/>
  <c r="F151" i="19"/>
  <c r="F153" i="19"/>
  <c r="F154" i="19"/>
  <c r="F156" i="19"/>
  <c r="F157" i="19"/>
  <c r="F159" i="19"/>
  <c r="F160" i="19"/>
  <c r="F162" i="19"/>
  <c r="F163" i="19"/>
  <c r="F165" i="19"/>
  <c r="F166" i="19"/>
  <c r="F167" i="19"/>
  <c r="F169" i="19"/>
  <c r="F170" i="19"/>
  <c r="F172" i="19"/>
  <c r="F173" i="19"/>
  <c r="F175" i="19"/>
  <c r="F176" i="19"/>
  <c r="F178" i="19"/>
  <c r="F179" i="19"/>
  <c r="F181" i="19"/>
  <c r="F182" i="19"/>
  <c r="F184" i="19"/>
  <c r="F185" i="19"/>
  <c r="F186" i="19"/>
  <c r="F188" i="19"/>
  <c r="F189" i="19"/>
  <c r="F190" i="19"/>
  <c r="F192" i="19"/>
  <c r="F193" i="19"/>
  <c r="F195" i="19"/>
  <c r="F196" i="19"/>
  <c r="F198" i="19"/>
  <c r="F199" i="19"/>
  <c r="F201" i="19"/>
  <c r="F202" i="19"/>
  <c r="F204" i="19"/>
  <c r="F205" i="19"/>
  <c r="F206" i="19"/>
  <c r="F208" i="19"/>
  <c r="F209" i="19"/>
  <c r="F2" i="19"/>
  <c r="E23" i="19"/>
  <c r="E24" i="19"/>
  <c r="E26" i="19"/>
  <c r="E27" i="19"/>
  <c r="E29" i="19"/>
  <c r="E30" i="19"/>
  <c r="E32" i="19"/>
  <c r="E33" i="19"/>
  <c r="E35" i="19"/>
  <c r="E36" i="19"/>
  <c r="E38" i="19"/>
  <c r="E39" i="19"/>
  <c r="E41" i="19"/>
  <c r="E42" i="19"/>
  <c r="E44" i="19"/>
  <c r="E45" i="19"/>
  <c r="E47" i="19"/>
  <c r="E48" i="19"/>
  <c r="E50" i="19"/>
  <c r="E51" i="19"/>
  <c r="E53" i="19"/>
  <c r="E54" i="19"/>
  <c r="E56" i="19"/>
  <c r="E57" i="19"/>
  <c r="E59" i="19"/>
  <c r="E60" i="19"/>
  <c r="E61" i="19"/>
  <c r="E63" i="19"/>
  <c r="E64" i="19"/>
  <c r="E66" i="19"/>
  <c r="E67" i="19"/>
  <c r="E69" i="19"/>
  <c r="E70" i="19"/>
  <c r="E72" i="19"/>
  <c r="E73" i="19"/>
  <c r="E75" i="19"/>
  <c r="E76" i="19"/>
  <c r="E78" i="19"/>
  <c r="E79" i="19"/>
  <c r="E80" i="19"/>
  <c r="E82" i="19"/>
  <c r="E83" i="19"/>
  <c r="E85" i="19"/>
  <c r="E86" i="19"/>
  <c r="E88" i="19"/>
  <c r="E89" i="19"/>
  <c r="E90" i="19"/>
  <c r="E91" i="19"/>
  <c r="E93" i="19"/>
  <c r="E94" i="19"/>
  <c r="E95" i="19"/>
  <c r="E96" i="19"/>
  <c r="E98" i="19"/>
  <c r="E99" i="19"/>
  <c r="E101" i="19"/>
  <c r="E102" i="19"/>
  <c r="E104" i="19"/>
  <c r="E105" i="19"/>
  <c r="E106" i="19"/>
  <c r="E108" i="19"/>
  <c r="E109" i="19"/>
  <c r="E111" i="19"/>
  <c r="E112" i="19"/>
  <c r="E114" i="19"/>
  <c r="E115" i="19"/>
  <c r="E117" i="19"/>
  <c r="E118" i="19"/>
  <c r="E120" i="19"/>
  <c r="E121" i="19"/>
  <c r="E123" i="19"/>
  <c r="E124" i="19"/>
  <c r="E126" i="19"/>
  <c r="E127" i="19"/>
  <c r="E129" i="19"/>
  <c r="E130" i="19"/>
  <c r="E132" i="19"/>
  <c r="E133" i="19"/>
  <c r="E135" i="19"/>
  <c r="E136" i="19"/>
  <c r="E138" i="19"/>
  <c r="E139" i="19"/>
  <c r="E141" i="19"/>
  <c r="E142" i="19"/>
  <c r="E144" i="19"/>
  <c r="E145" i="19"/>
  <c r="E147" i="19"/>
  <c r="E148" i="19"/>
  <c r="E150" i="19"/>
  <c r="E151" i="19"/>
  <c r="E153" i="19"/>
  <c r="E154" i="19"/>
  <c r="E156" i="19"/>
  <c r="E157" i="19"/>
  <c r="E159" i="19"/>
  <c r="E160" i="19"/>
  <c r="E162" i="19"/>
  <c r="E163" i="19"/>
  <c r="E165" i="19"/>
  <c r="E166" i="19"/>
  <c r="E167" i="19"/>
  <c r="E169" i="19"/>
  <c r="E170" i="19"/>
  <c r="E172" i="19"/>
  <c r="E173" i="19"/>
  <c r="E175" i="19"/>
  <c r="E176" i="19"/>
  <c r="E178" i="19"/>
  <c r="E179" i="19"/>
  <c r="E181" i="19"/>
  <c r="E182" i="19"/>
  <c r="E184" i="19"/>
  <c r="E185" i="19"/>
  <c r="E186" i="19"/>
  <c r="E188" i="19"/>
  <c r="E189" i="19"/>
  <c r="E190" i="19"/>
  <c r="E192" i="19"/>
  <c r="E193" i="19"/>
  <c r="E195" i="19"/>
  <c r="E196" i="19"/>
  <c r="E198" i="19"/>
  <c r="E199" i="19"/>
  <c r="E201" i="19"/>
  <c r="E202" i="19"/>
  <c r="E204" i="19"/>
  <c r="E205" i="19"/>
  <c r="E206" i="19"/>
  <c r="E208" i="19"/>
  <c r="E209" i="19"/>
  <c r="E4" i="19"/>
  <c r="E5" i="19"/>
  <c r="E6" i="19"/>
  <c r="E8" i="19"/>
  <c r="E9" i="19"/>
  <c r="E11" i="19"/>
  <c r="E12" i="19"/>
  <c r="E14" i="19"/>
  <c r="E15" i="19"/>
  <c r="E17" i="19"/>
  <c r="E18" i="19"/>
  <c r="E20" i="19"/>
  <c r="E21" i="19"/>
  <c r="E3" i="19"/>
  <c r="E2" i="19"/>
  <c r="Q17" i="11"/>
  <c r="F1844" i="18"/>
  <c r="C1844" i="18"/>
  <c r="A1844" i="18"/>
  <c r="F1816" i="18"/>
  <c r="C1816" i="18"/>
  <c r="A1816" i="18"/>
  <c r="F1788" i="18"/>
  <c r="C1788" i="18"/>
  <c r="A1788" i="18"/>
  <c r="F1760" i="18"/>
  <c r="C1760" i="18"/>
  <c r="A1760" i="18"/>
  <c r="F1732" i="18"/>
  <c r="C1732" i="18"/>
  <c r="A1732" i="18"/>
  <c r="F1704" i="18"/>
  <c r="C1704" i="18"/>
  <c r="A1704" i="18"/>
  <c r="F1676" i="18"/>
  <c r="C1676" i="18"/>
  <c r="A1676" i="18"/>
  <c r="F1648" i="18"/>
  <c r="C1648" i="18"/>
  <c r="A1648" i="18"/>
  <c r="F1620" i="18"/>
  <c r="C1620" i="18"/>
  <c r="A1620" i="18"/>
  <c r="F1592" i="18"/>
  <c r="C1592" i="18"/>
  <c r="A1592" i="18"/>
  <c r="F1564" i="18"/>
  <c r="C1564" i="18"/>
  <c r="A1564" i="18"/>
  <c r="F1536" i="18"/>
  <c r="C1536" i="18"/>
  <c r="A1536" i="18"/>
  <c r="F1508" i="18"/>
  <c r="C1508" i="18"/>
  <c r="A1508" i="18"/>
  <c r="F1480" i="18"/>
  <c r="C1480" i="18"/>
  <c r="A1480" i="18"/>
  <c r="F1452" i="18"/>
  <c r="C1452" i="18"/>
  <c r="A1452" i="18"/>
  <c r="F1424" i="18"/>
  <c r="C1424" i="18"/>
  <c r="A1424" i="18"/>
  <c r="F1396" i="18"/>
  <c r="C1396" i="18"/>
  <c r="A1396" i="18"/>
  <c r="F1368" i="18"/>
  <c r="C1368" i="18"/>
  <c r="A1368" i="18"/>
  <c r="F1340" i="18"/>
  <c r="C1340" i="18"/>
  <c r="A1340" i="18"/>
  <c r="F1312" i="18"/>
  <c r="C1312" i="18"/>
  <c r="A1312" i="18"/>
  <c r="F1284" i="18"/>
  <c r="C1284" i="18"/>
  <c r="A1284" i="18"/>
  <c r="F1256" i="18"/>
  <c r="C1256" i="18"/>
  <c r="A1256" i="18"/>
  <c r="F1228" i="18"/>
  <c r="C1228" i="18"/>
  <c r="A1228" i="18"/>
  <c r="F1200" i="18"/>
  <c r="C1200" i="18"/>
  <c r="A1200" i="18"/>
  <c r="F1144" i="18"/>
  <c r="C1144" i="18"/>
  <c r="A1144" i="18"/>
  <c r="F1116" i="18"/>
  <c r="C1116" i="18"/>
  <c r="A1116" i="18"/>
  <c r="F1088" i="18"/>
  <c r="C1088" i="18"/>
  <c r="A1088" i="18"/>
  <c r="F1060" i="18"/>
  <c r="C1060" i="18"/>
  <c r="A1060" i="18"/>
  <c r="F1032" i="18"/>
  <c r="C1032" i="18"/>
  <c r="A1032" i="18"/>
  <c r="F1004" i="18"/>
  <c r="C1004" i="18"/>
  <c r="A1004" i="18"/>
  <c r="F976" i="18"/>
  <c r="C976" i="18"/>
  <c r="A976" i="18"/>
  <c r="F948" i="18"/>
  <c r="C948" i="18"/>
  <c r="A948" i="18"/>
  <c r="F920" i="18"/>
  <c r="C920" i="18"/>
  <c r="A920" i="18"/>
  <c r="F892" i="18"/>
  <c r="C892" i="18"/>
  <c r="A892" i="18"/>
  <c r="F864" i="18"/>
  <c r="C864" i="18"/>
  <c r="A864" i="18"/>
  <c r="F836" i="18"/>
  <c r="C836" i="18"/>
  <c r="A836" i="18"/>
  <c r="F808" i="18"/>
  <c r="C808" i="18"/>
  <c r="A808" i="18"/>
  <c r="F780" i="18"/>
  <c r="C780" i="18"/>
  <c r="A780" i="18"/>
  <c r="F752" i="18"/>
  <c r="C752" i="18"/>
  <c r="A752" i="18"/>
  <c r="F724" i="18"/>
  <c r="C724" i="18"/>
  <c r="A724" i="18"/>
  <c r="F696" i="18"/>
  <c r="C696" i="18"/>
  <c r="A696" i="18"/>
  <c r="F668" i="18"/>
  <c r="C668" i="18"/>
  <c r="A668" i="18"/>
  <c r="F640" i="18"/>
  <c r="C640" i="18"/>
  <c r="A640" i="18"/>
  <c r="F612" i="18"/>
  <c r="C612" i="18"/>
  <c r="A612" i="18"/>
  <c r="F584" i="18"/>
  <c r="C584" i="18"/>
  <c r="A584" i="18"/>
  <c r="F556" i="18"/>
  <c r="C556" i="18"/>
  <c r="A556" i="18"/>
  <c r="F528" i="18"/>
  <c r="C528" i="18"/>
  <c r="A528" i="18"/>
  <c r="F500" i="18"/>
  <c r="C500" i="18"/>
  <c r="A500" i="18"/>
  <c r="F472" i="18"/>
  <c r="C472" i="18"/>
  <c r="A472" i="18"/>
  <c r="F444" i="18"/>
  <c r="C444" i="18"/>
  <c r="A444" i="18"/>
  <c r="F416" i="18"/>
  <c r="C416" i="18"/>
  <c r="A416" i="18"/>
  <c r="F388" i="18"/>
  <c r="C388" i="18"/>
  <c r="A388" i="18"/>
  <c r="F360" i="18"/>
  <c r="C360" i="18"/>
  <c r="A360" i="18"/>
  <c r="F332" i="18"/>
  <c r="C332" i="18"/>
  <c r="A332" i="18"/>
  <c r="F304" i="18"/>
  <c r="C304" i="18"/>
  <c r="A304" i="18"/>
  <c r="F276" i="18"/>
  <c r="C276" i="18"/>
  <c r="A276" i="18"/>
  <c r="F248" i="18"/>
  <c r="C248" i="18"/>
  <c r="A248" i="18"/>
  <c r="F220" i="18"/>
  <c r="C220" i="18"/>
  <c r="A220" i="18"/>
  <c r="F192" i="18"/>
  <c r="C192" i="18"/>
  <c r="A192" i="18"/>
  <c r="F164" i="18"/>
  <c r="C164" i="18"/>
  <c r="A164" i="18"/>
  <c r="F136" i="18"/>
  <c r="C136" i="18"/>
  <c r="A136" i="18"/>
  <c r="F108" i="18"/>
  <c r="C108" i="18"/>
  <c r="A108" i="18"/>
  <c r="F80" i="18"/>
  <c r="C80" i="18"/>
  <c r="A80" i="18"/>
  <c r="F52" i="18"/>
  <c r="C52" i="18"/>
  <c r="A52" i="18"/>
  <c r="F24" i="18"/>
  <c r="C24" i="18"/>
  <c r="A24" i="18"/>
  <c r="F1172" i="18"/>
  <c r="C1172" i="18"/>
  <c r="A1172" i="18"/>
  <c r="Q38" i="11"/>
  <c r="Q27" i="11"/>
  <c r="Q28" i="11"/>
  <c r="Q29" i="11"/>
  <c r="Q30" i="11"/>
  <c r="Q31" i="11"/>
  <c r="Q32" i="11"/>
  <c r="Q33" i="11"/>
  <c r="Q34" i="11"/>
  <c r="Q35" i="11"/>
  <c r="Q36" i="11"/>
  <c r="Q37" i="11"/>
  <c r="Q26" i="11"/>
  <c r="Q15" i="11"/>
  <c r="Q16" i="11"/>
  <c r="Q18" i="11"/>
  <c r="Q19" i="11"/>
  <c r="Q20" i="11"/>
  <c r="Q21" i="11"/>
  <c r="Q22" i="11"/>
  <c r="Q23" i="11"/>
  <c r="Q24" i="11"/>
  <c r="Q25"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14" i="11"/>
  <c r="Q13" i="11"/>
  <c r="Q3" i="11"/>
  <c r="Q4" i="11"/>
  <c r="Q5" i="11"/>
  <c r="Q6" i="11"/>
  <c r="Q7" i="11"/>
  <c r="Q8" i="11"/>
  <c r="Q9" i="11"/>
  <c r="Q10" i="11"/>
  <c r="Q11" i="11"/>
  <c r="Q12" i="11"/>
  <c r="Q2" i="11"/>
  <c r="B102" i="16"/>
  <c r="B87" i="16"/>
  <c r="B11" i="16"/>
  <c r="B12" i="16"/>
  <c r="B13" i="16"/>
  <c r="B14" i="16"/>
  <c r="B15" i="16"/>
  <c r="B16" i="16"/>
  <c r="B103" i="16"/>
  <c r="B90" i="16"/>
  <c r="B89" i="16"/>
  <c r="B105" i="16"/>
  <c r="B95" i="16"/>
  <c r="B71" i="16"/>
  <c r="B70" i="16"/>
  <c r="B69" i="16"/>
  <c r="B19" i="16"/>
  <c r="B10" i="16"/>
  <c r="B9" i="16"/>
  <c r="B8" i="16"/>
  <c r="B7" i="16"/>
  <c r="B3" i="16"/>
  <c r="G1017" i="13"/>
  <c r="B450" i="18"/>
  <c r="B22" i="18"/>
  <c r="B1849" i="18"/>
  <c r="B1848" i="18"/>
  <c r="B1847" i="18"/>
  <c r="B1846" i="18"/>
  <c r="B1845" i="18"/>
  <c r="B1843" i="18"/>
  <c r="B1844" i="18" s="1"/>
  <c r="B1842" i="18"/>
  <c r="B1841" i="18"/>
  <c r="B1840" i="18"/>
  <c r="B1839" i="18"/>
  <c r="B1838" i="18"/>
  <c r="B1837" i="18"/>
  <c r="B1836" i="18"/>
  <c r="B1835" i="18"/>
  <c r="B1834" i="18"/>
  <c r="B1833" i="18"/>
  <c r="B1832" i="18"/>
  <c r="B1831" i="18"/>
  <c r="B1830" i="18"/>
  <c r="B1829" i="18"/>
  <c r="B1828" i="18"/>
  <c r="B1827" i="18"/>
  <c r="F1826" i="18"/>
  <c r="B1826" i="18"/>
  <c r="B1825" i="18"/>
  <c r="B1824" i="18"/>
  <c r="B1823" i="18"/>
  <c r="B1822" i="18"/>
  <c r="B1821" i="18"/>
  <c r="B1820" i="18"/>
  <c r="B1819" i="18"/>
  <c r="B1818" i="18"/>
  <c r="B1817" i="18"/>
  <c r="B1815" i="18"/>
  <c r="B1816" i="18" s="1"/>
  <c r="B1814" i="18"/>
  <c r="B1813" i="18"/>
  <c r="B1812" i="18"/>
  <c r="B1811" i="18"/>
  <c r="B1810" i="18"/>
  <c r="B1809" i="18"/>
  <c r="B1808" i="18"/>
  <c r="B1807" i="18"/>
  <c r="B1806" i="18"/>
  <c r="B1805" i="18"/>
  <c r="B1804" i="18"/>
  <c r="B1803" i="18"/>
  <c r="B1802" i="18"/>
  <c r="B1801" i="18"/>
  <c r="B1800" i="18"/>
  <c r="B1799" i="18"/>
  <c r="F1798" i="18"/>
  <c r="B1798" i="18"/>
  <c r="B1797" i="18"/>
  <c r="B1796" i="18"/>
  <c r="B1795" i="18"/>
  <c r="B1794" i="18"/>
  <c r="B1793" i="18"/>
  <c r="B1792" i="18"/>
  <c r="B1791" i="18"/>
  <c r="B1790" i="18"/>
  <c r="B1789" i="18"/>
  <c r="B1787" i="18"/>
  <c r="B1788" i="18" s="1"/>
  <c r="B1786" i="18"/>
  <c r="B1785" i="18"/>
  <c r="B1784" i="18"/>
  <c r="B1783" i="18"/>
  <c r="B1782" i="18"/>
  <c r="B1781" i="18"/>
  <c r="B1780" i="18"/>
  <c r="B1779" i="18"/>
  <c r="B1778" i="18"/>
  <c r="B1777" i="18"/>
  <c r="B1776" i="18"/>
  <c r="B1775" i="18"/>
  <c r="B1774" i="18"/>
  <c r="B1773" i="18"/>
  <c r="B1772" i="18"/>
  <c r="B1771" i="18"/>
  <c r="F1770" i="18"/>
  <c r="B1770" i="18"/>
  <c r="B1769" i="18"/>
  <c r="B1768" i="18"/>
  <c r="B1767" i="18"/>
  <c r="B1766" i="18"/>
  <c r="B1765" i="18"/>
  <c r="B1764" i="18"/>
  <c r="B1763" i="18"/>
  <c r="B1762" i="18"/>
  <c r="B1761" i="18"/>
  <c r="B1759" i="18"/>
  <c r="B1760" i="18" s="1"/>
  <c r="B1758" i="18"/>
  <c r="B1757" i="18"/>
  <c r="B1756" i="18"/>
  <c r="B1755" i="18"/>
  <c r="B1754" i="18"/>
  <c r="B1753" i="18"/>
  <c r="B1752" i="18"/>
  <c r="B1751" i="18"/>
  <c r="B1750" i="18"/>
  <c r="B1749" i="18"/>
  <c r="B1748" i="18"/>
  <c r="B1747" i="18"/>
  <c r="B1746" i="18"/>
  <c r="B1745" i="18"/>
  <c r="B1744" i="18"/>
  <c r="B1743" i="18"/>
  <c r="F1742" i="18"/>
  <c r="B1742" i="18"/>
  <c r="B1741" i="18"/>
  <c r="B1740" i="18"/>
  <c r="B1739" i="18"/>
  <c r="B1738" i="18"/>
  <c r="B1737" i="18"/>
  <c r="B1736" i="18"/>
  <c r="B1735" i="18"/>
  <c r="B1734" i="18"/>
  <c r="B1733" i="18"/>
  <c r="B1731" i="18"/>
  <c r="B1732" i="18" s="1"/>
  <c r="B1730" i="18"/>
  <c r="B1729" i="18"/>
  <c r="B1728" i="18"/>
  <c r="B1727" i="18"/>
  <c r="B1726" i="18"/>
  <c r="B1725" i="18"/>
  <c r="B1724" i="18"/>
  <c r="B1723" i="18"/>
  <c r="B1722" i="18"/>
  <c r="B1721" i="18"/>
  <c r="B1720" i="18"/>
  <c r="B1719" i="18"/>
  <c r="B1718" i="18"/>
  <c r="B1717" i="18"/>
  <c r="B1716" i="18"/>
  <c r="B1715" i="18"/>
  <c r="F1714" i="18"/>
  <c r="B1714" i="18"/>
  <c r="B1713" i="18"/>
  <c r="B1712" i="18"/>
  <c r="B1711" i="18"/>
  <c r="B1710" i="18"/>
  <c r="B1709" i="18"/>
  <c r="B1708" i="18"/>
  <c r="B1707" i="18"/>
  <c r="B1706" i="18"/>
  <c r="B1705" i="18"/>
  <c r="B1703" i="18"/>
  <c r="B1704" i="18" s="1"/>
  <c r="B1702" i="18"/>
  <c r="B1701" i="18"/>
  <c r="B1700" i="18"/>
  <c r="B1699" i="18"/>
  <c r="B1698" i="18"/>
  <c r="B1697" i="18"/>
  <c r="B1696" i="18"/>
  <c r="B1695" i="18"/>
  <c r="B1694" i="18"/>
  <c r="B1693" i="18"/>
  <c r="B1692" i="18"/>
  <c r="B1691" i="18"/>
  <c r="B1690" i="18"/>
  <c r="B1689" i="18"/>
  <c r="B1688" i="18"/>
  <c r="B1687" i="18"/>
  <c r="F1686" i="18"/>
  <c r="B1686" i="18"/>
  <c r="B1685" i="18"/>
  <c r="B1684" i="18"/>
  <c r="B1683" i="18"/>
  <c r="B1682" i="18"/>
  <c r="B1681" i="18"/>
  <c r="B1680" i="18"/>
  <c r="B1679" i="18"/>
  <c r="B1678" i="18"/>
  <c r="B1677" i="18"/>
  <c r="B1675" i="18"/>
  <c r="B1676" i="18" s="1"/>
  <c r="B1674" i="18"/>
  <c r="B1673" i="18"/>
  <c r="B1672" i="18"/>
  <c r="B1671" i="18"/>
  <c r="B1670" i="18"/>
  <c r="B1669" i="18"/>
  <c r="B1668" i="18"/>
  <c r="B1667" i="18"/>
  <c r="B1666" i="18"/>
  <c r="B1665" i="18"/>
  <c r="B1664" i="18"/>
  <c r="B1663" i="18"/>
  <c r="B1662" i="18"/>
  <c r="B1661" i="18"/>
  <c r="B1660" i="18"/>
  <c r="B1659" i="18"/>
  <c r="F1658" i="18"/>
  <c r="B1658" i="18"/>
  <c r="B1657" i="18"/>
  <c r="B1656" i="18"/>
  <c r="B1655" i="18"/>
  <c r="B1654" i="18"/>
  <c r="B1653" i="18"/>
  <c r="B1652" i="18"/>
  <c r="B1651" i="18"/>
  <c r="B1650" i="18"/>
  <c r="B1649" i="18"/>
  <c r="B1647" i="18"/>
  <c r="B1648" i="18" s="1"/>
  <c r="B1646" i="18"/>
  <c r="B1645" i="18"/>
  <c r="B1644" i="18"/>
  <c r="B1643" i="18"/>
  <c r="B1642" i="18"/>
  <c r="B1641" i="18"/>
  <c r="B1640" i="18"/>
  <c r="B1639" i="18"/>
  <c r="B1638" i="18"/>
  <c r="B1637" i="18"/>
  <c r="B1636" i="18"/>
  <c r="B1635" i="18"/>
  <c r="B1634" i="18"/>
  <c r="B1633" i="18"/>
  <c r="B1632" i="18"/>
  <c r="B1631" i="18"/>
  <c r="F1630" i="18"/>
  <c r="B1630" i="18"/>
  <c r="B1629" i="18"/>
  <c r="B1628" i="18"/>
  <c r="B1627" i="18"/>
  <c r="B1626" i="18"/>
  <c r="B1625" i="18"/>
  <c r="B1624" i="18"/>
  <c r="B1623" i="18"/>
  <c r="B1622" i="18"/>
  <c r="B1621" i="18"/>
  <c r="B1619" i="18"/>
  <c r="B1620" i="18" s="1"/>
  <c r="B1618" i="18"/>
  <c r="B1617" i="18"/>
  <c r="B1616" i="18"/>
  <c r="B1615" i="18"/>
  <c r="B1614" i="18"/>
  <c r="B1613" i="18"/>
  <c r="B1612" i="18"/>
  <c r="B1611" i="18"/>
  <c r="B1610" i="18"/>
  <c r="B1609" i="18"/>
  <c r="B1608" i="18"/>
  <c r="B1607" i="18"/>
  <c r="B1606" i="18"/>
  <c r="B1605" i="18"/>
  <c r="B1604" i="18"/>
  <c r="B1603" i="18"/>
  <c r="F1602" i="18"/>
  <c r="B1602" i="18"/>
  <c r="B1601" i="18"/>
  <c r="B1600" i="18"/>
  <c r="B1599" i="18"/>
  <c r="B1598" i="18"/>
  <c r="B1597" i="18"/>
  <c r="B1596" i="18"/>
  <c r="B1595" i="18"/>
  <c r="B1594" i="18"/>
  <c r="B1593" i="18"/>
  <c r="B1591" i="18"/>
  <c r="B1592" i="18" s="1"/>
  <c r="B1590" i="18"/>
  <c r="B1589" i="18"/>
  <c r="B1588" i="18"/>
  <c r="B1587" i="18"/>
  <c r="B1586" i="18"/>
  <c r="B1585" i="18"/>
  <c r="B1584" i="18"/>
  <c r="B1583" i="18"/>
  <c r="B1582" i="18"/>
  <c r="B1581" i="18"/>
  <c r="B1580" i="18"/>
  <c r="B1579" i="18"/>
  <c r="B1578" i="18"/>
  <c r="B1577" i="18"/>
  <c r="B1576" i="18"/>
  <c r="B1575" i="18"/>
  <c r="F1574" i="18"/>
  <c r="B1574" i="18"/>
  <c r="B1573" i="18"/>
  <c r="B1572" i="18"/>
  <c r="B1571" i="18"/>
  <c r="B1570" i="18"/>
  <c r="B1569" i="18"/>
  <c r="B1568" i="18"/>
  <c r="B1567" i="18"/>
  <c r="B1566" i="18"/>
  <c r="B1565" i="18"/>
  <c r="B1563" i="18"/>
  <c r="B1564" i="18" s="1"/>
  <c r="B1562" i="18"/>
  <c r="B1561" i="18"/>
  <c r="B1560" i="18"/>
  <c r="B1559" i="18"/>
  <c r="B1558" i="18"/>
  <c r="B1557" i="18"/>
  <c r="B1556" i="18"/>
  <c r="B1555" i="18"/>
  <c r="B1554" i="18"/>
  <c r="B1553" i="18"/>
  <c r="B1552" i="18"/>
  <c r="B1551" i="18"/>
  <c r="B1550" i="18"/>
  <c r="B1549" i="18"/>
  <c r="B1548" i="18"/>
  <c r="B1547" i="18"/>
  <c r="F1546" i="18"/>
  <c r="B1546" i="18"/>
  <c r="B1545" i="18"/>
  <c r="B1544" i="18"/>
  <c r="B1543" i="18"/>
  <c r="B1542" i="18"/>
  <c r="B1541" i="18"/>
  <c r="B1540" i="18"/>
  <c r="B1539" i="18"/>
  <c r="B1538" i="18"/>
  <c r="B1537" i="18"/>
  <c r="B1535" i="18"/>
  <c r="B1536" i="18" s="1"/>
  <c r="B1534" i="18"/>
  <c r="B1533" i="18"/>
  <c r="B1532" i="18"/>
  <c r="B1531" i="18"/>
  <c r="B1530" i="18"/>
  <c r="B1529" i="18"/>
  <c r="B1528" i="18"/>
  <c r="B1527" i="18"/>
  <c r="B1526" i="18"/>
  <c r="B1525" i="18"/>
  <c r="B1524" i="18"/>
  <c r="B1523" i="18"/>
  <c r="B1522" i="18"/>
  <c r="B1521" i="18"/>
  <c r="B1520" i="18"/>
  <c r="B1519" i="18"/>
  <c r="F1518" i="18"/>
  <c r="B1518" i="18"/>
  <c r="B1517" i="18"/>
  <c r="B1516" i="18"/>
  <c r="B1515" i="18"/>
  <c r="B1514" i="18"/>
  <c r="B1513" i="18"/>
  <c r="B1512" i="18"/>
  <c r="B1511" i="18"/>
  <c r="B1510" i="18"/>
  <c r="B1509" i="18"/>
  <c r="B1507" i="18"/>
  <c r="B1508" i="18" s="1"/>
  <c r="B1506" i="18"/>
  <c r="B1505" i="18"/>
  <c r="B1504" i="18"/>
  <c r="B1503" i="18"/>
  <c r="B1502" i="18"/>
  <c r="B1501" i="18"/>
  <c r="B1500" i="18"/>
  <c r="B1499" i="18"/>
  <c r="B1498" i="18"/>
  <c r="B1497" i="18"/>
  <c r="B1496" i="18"/>
  <c r="B1495" i="18"/>
  <c r="B1494" i="18"/>
  <c r="B1493" i="18"/>
  <c r="B1492" i="18"/>
  <c r="B1491" i="18"/>
  <c r="F1490" i="18"/>
  <c r="B1490" i="18"/>
  <c r="B1489" i="18"/>
  <c r="B1488" i="18"/>
  <c r="B1487" i="18"/>
  <c r="B1486" i="18"/>
  <c r="B1485" i="18"/>
  <c r="B1484" i="18"/>
  <c r="B1483" i="18"/>
  <c r="B1482" i="18"/>
  <c r="B1481" i="18"/>
  <c r="B1479" i="18"/>
  <c r="B1480" i="18" s="1"/>
  <c r="B1478" i="18"/>
  <c r="B1477" i="18"/>
  <c r="B1476" i="18"/>
  <c r="B1475" i="18"/>
  <c r="B1474" i="18"/>
  <c r="B1473" i="18"/>
  <c r="B1472" i="18"/>
  <c r="B1471" i="18"/>
  <c r="B1470" i="18"/>
  <c r="B1469" i="18"/>
  <c r="B1468" i="18"/>
  <c r="B1467" i="18"/>
  <c r="B1466" i="18"/>
  <c r="B1465" i="18"/>
  <c r="B1464" i="18"/>
  <c r="B1463" i="18"/>
  <c r="F1462" i="18"/>
  <c r="B1462" i="18"/>
  <c r="B1461" i="18"/>
  <c r="B1460" i="18"/>
  <c r="B1459" i="18"/>
  <c r="B1458" i="18"/>
  <c r="B1457" i="18"/>
  <c r="B1456" i="18"/>
  <c r="B1455" i="18"/>
  <c r="B1454" i="18"/>
  <c r="B1453" i="18"/>
  <c r="B1451" i="18"/>
  <c r="B1452" i="18" s="1"/>
  <c r="B1450" i="18"/>
  <c r="B1449" i="18"/>
  <c r="B1448" i="18"/>
  <c r="B1447" i="18"/>
  <c r="B1446" i="18"/>
  <c r="B1445" i="18"/>
  <c r="B1444" i="18"/>
  <c r="B1443" i="18"/>
  <c r="B1442" i="18"/>
  <c r="B1441" i="18"/>
  <c r="B1440" i="18"/>
  <c r="B1439" i="18"/>
  <c r="B1438" i="18"/>
  <c r="B1437" i="18"/>
  <c r="B1436" i="18"/>
  <c r="B1435" i="18"/>
  <c r="F1434" i="18"/>
  <c r="B1434" i="18"/>
  <c r="B1433" i="18"/>
  <c r="B1432" i="18"/>
  <c r="B1431" i="18"/>
  <c r="B1430" i="18"/>
  <c r="B1429" i="18"/>
  <c r="B1428" i="18"/>
  <c r="B1427" i="18"/>
  <c r="B1426" i="18"/>
  <c r="B1425" i="18"/>
  <c r="B1423" i="18"/>
  <c r="B1424" i="18" s="1"/>
  <c r="B1422" i="18"/>
  <c r="B1421" i="18"/>
  <c r="B1420" i="18"/>
  <c r="B1419" i="18"/>
  <c r="B1418" i="18"/>
  <c r="B1417" i="18"/>
  <c r="B1416" i="18"/>
  <c r="B1415" i="18"/>
  <c r="B1414" i="18"/>
  <c r="B1413" i="18"/>
  <c r="B1412" i="18"/>
  <c r="B1411" i="18"/>
  <c r="B1410" i="18"/>
  <c r="B1409" i="18"/>
  <c r="B1408" i="18"/>
  <c r="B1407" i="18"/>
  <c r="F1406" i="18"/>
  <c r="B1406" i="18"/>
  <c r="B1405" i="18"/>
  <c r="B1404" i="18"/>
  <c r="B1403" i="18"/>
  <c r="B1402" i="18"/>
  <c r="B1401" i="18"/>
  <c r="B1400" i="18"/>
  <c r="B1399" i="18"/>
  <c r="B1398" i="18"/>
  <c r="B1397" i="18"/>
  <c r="B1395" i="18"/>
  <c r="B1396" i="18" s="1"/>
  <c r="B1394" i="18"/>
  <c r="B1393" i="18"/>
  <c r="B1392" i="18"/>
  <c r="B1391" i="18"/>
  <c r="B1390" i="18"/>
  <c r="B1389" i="18"/>
  <c r="B1388" i="18"/>
  <c r="B1387" i="18"/>
  <c r="B1386" i="18"/>
  <c r="B1385" i="18"/>
  <c r="B1384" i="18"/>
  <c r="B1383" i="18"/>
  <c r="B1382" i="18"/>
  <c r="B1381" i="18"/>
  <c r="B1380" i="18"/>
  <c r="B1379" i="18"/>
  <c r="F1378" i="18"/>
  <c r="B1378" i="18"/>
  <c r="B1377" i="18"/>
  <c r="B1376" i="18"/>
  <c r="B1375" i="18"/>
  <c r="B1374" i="18"/>
  <c r="B1373" i="18"/>
  <c r="B1372" i="18"/>
  <c r="B1371" i="18"/>
  <c r="B1370" i="18"/>
  <c r="B1369" i="18"/>
  <c r="B1367" i="18"/>
  <c r="B1368" i="18" s="1"/>
  <c r="B1366" i="18"/>
  <c r="B1365" i="18"/>
  <c r="B1364" i="18"/>
  <c r="B1363" i="18"/>
  <c r="B1362" i="18"/>
  <c r="B1361" i="18"/>
  <c r="B1360" i="18"/>
  <c r="B1359" i="18"/>
  <c r="B1358" i="18"/>
  <c r="B1357" i="18"/>
  <c r="B1356" i="18"/>
  <c r="B1355" i="18"/>
  <c r="B1354" i="18"/>
  <c r="B1353" i="18"/>
  <c r="B1352" i="18"/>
  <c r="B1351" i="18"/>
  <c r="F1350" i="18"/>
  <c r="B1350" i="18"/>
  <c r="B1349" i="18"/>
  <c r="B1348" i="18"/>
  <c r="B1347" i="18"/>
  <c r="B1346" i="18"/>
  <c r="B1345" i="18"/>
  <c r="B1344" i="18"/>
  <c r="B1343" i="18"/>
  <c r="B1342" i="18"/>
  <c r="B1341" i="18"/>
  <c r="B1339" i="18"/>
  <c r="B1340" i="18" s="1"/>
  <c r="B1338" i="18"/>
  <c r="B1337" i="18"/>
  <c r="B1336" i="18"/>
  <c r="B1335" i="18"/>
  <c r="B1334" i="18"/>
  <c r="B1333" i="18"/>
  <c r="B1332" i="18"/>
  <c r="B1331" i="18"/>
  <c r="B1330" i="18"/>
  <c r="B1329" i="18"/>
  <c r="B1328" i="18"/>
  <c r="B1327" i="18"/>
  <c r="B1326" i="18"/>
  <c r="B1325" i="18"/>
  <c r="B1324" i="18"/>
  <c r="B1323" i="18"/>
  <c r="F1322" i="18"/>
  <c r="B1322" i="18"/>
  <c r="B1321" i="18"/>
  <c r="B1320" i="18"/>
  <c r="B1319" i="18"/>
  <c r="B1318" i="18"/>
  <c r="B1317" i="18"/>
  <c r="B1316" i="18"/>
  <c r="B1315" i="18"/>
  <c r="B1314" i="18"/>
  <c r="B1313" i="18"/>
  <c r="B1311" i="18"/>
  <c r="B1312" i="18" s="1"/>
  <c r="B1310" i="18"/>
  <c r="B1309" i="18"/>
  <c r="B1308" i="18"/>
  <c r="B1307" i="18"/>
  <c r="B1306" i="18"/>
  <c r="B1305" i="18"/>
  <c r="B1304" i="18"/>
  <c r="B1303" i="18"/>
  <c r="B1302" i="18"/>
  <c r="B1301" i="18"/>
  <c r="B1300" i="18"/>
  <c r="B1299" i="18"/>
  <c r="B1298" i="18"/>
  <c r="B1297" i="18"/>
  <c r="B1296" i="18"/>
  <c r="B1295" i="18"/>
  <c r="F1294" i="18"/>
  <c r="B1294" i="18"/>
  <c r="B1293" i="18"/>
  <c r="B1292" i="18"/>
  <c r="B1291" i="18"/>
  <c r="B1290" i="18"/>
  <c r="B1289" i="18"/>
  <c r="B1288" i="18"/>
  <c r="B1287" i="18"/>
  <c r="B1286" i="18"/>
  <c r="B1285" i="18"/>
  <c r="B1283" i="18"/>
  <c r="B1284" i="18" s="1"/>
  <c r="B1282" i="18"/>
  <c r="B1281" i="18"/>
  <c r="B1280" i="18"/>
  <c r="B1279" i="18"/>
  <c r="B1278" i="18"/>
  <c r="B1277" i="18"/>
  <c r="B1276" i="18"/>
  <c r="B1275" i="18"/>
  <c r="B1274" i="18"/>
  <c r="B1273" i="18"/>
  <c r="B1272" i="18"/>
  <c r="B1271" i="18"/>
  <c r="B1270" i="18"/>
  <c r="B1269" i="18"/>
  <c r="B1268" i="18"/>
  <c r="B1267" i="18"/>
  <c r="F1266" i="18"/>
  <c r="B1266" i="18"/>
  <c r="B1265" i="18"/>
  <c r="B1264" i="18"/>
  <c r="B1263" i="18"/>
  <c r="B1262" i="18"/>
  <c r="B1261" i="18"/>
  <c r="B1260" i="18"/>
  <c r="B1259" i="18"/>
  <c r="B1258" i="18"/>
  <c r="B1257" i="18"/>
  <c r="B1255" i="18"/>
  <c r="B1256" i="18" s="1"/>
  <c r="B1254" i="18"/>
  <c r="B1253" i="18"/>
  <c r="B1252" i="18"/>
  <c r="B1251" i="18"/>
  <c r="B1250" i="18"/>
  <c r="B1249" i="18"/>
  <c r="B1248" i="18"/>
  <c r="B1247" i="18"/>
  <c r="B1246" i="18"/>
  <c r="B1245" i="18"/>
  <c r="B1244" i="18"/>
  <c r="B1243" i="18"/>
  <c r="B1242" i="18"/>
  <c r="B1241" i="18"/>
  <c r="B1240" i="18"/>
  <c r="B1239" i="18"/>
  <c r="F1238" i="18"/>
  <c r="B1238" i="18"/>
  <c r="B1237" i="18"/>
  <c r="B1236" i="18"/>
  <c r="B1235" i="18"/>
  <c r="B1234" i="18"/>
  <c r="B1233" i="18"/>
  <c r="B1232" i="18"/>
  <c r="B1231" i="18"/>
  <c r="B1230" i="18"/>
  <c r="B1229" i="18"/>
  <c r="B1227" i="18"/>
  <c r="B1228" i="18" s="1"/>
  <c r="B1226" i="18"/>
  <c r="B1225" i="18"/>
  <c r="B1224" i="18"/>
  <c r="B1223" i="18"/>
  <c r="B1222" i="18"/>
  <c r="B1221" i="18"/>
  <c r="B1220" i="18"/>
  <c r="B1219" i="18"/>
  <c r="B1218" i="18"/>
  <c r="B1217" i="18"/>
  <c r="B1216" i="18"/>
  <c r="B1215" i="18"/>
  <c r="B1214" i="18"/>
  <c r="B1213" i="18"/>
  <c r="B1212" i="18"/>
  <c r="B1211" i="18"/>
  <c r="F1210" i="18"/>
  <c r="B1210" i="18"/>
  <c r="B1209" i="18"/>
  <c r="B1208" i="18"/>
  <c r="B1207" i="18"/>
  <c r="B1206" i="18"/>
  <c r="B1205" i="18"/>
  <c r="B1204" i="18"/>
  <c r="B1203" i="18"/>
  <c r="B1202" i="18"/>
  <c r="B1201" i="18"/>
  <c r="B1199" i="18"/>
  <c r="B1200" i="18" s="1"/>
  <c r="B1198" i="18"/>
  <c r="B1197" i="18"/>
  <c r="B1196" i="18"/>
  <c r="B1195" i="18"/>
  <c r="B1194" i="18"/>
  <c r="B1193" i="18"/>
  <c r="B1192" i="18"/>
  <c r="B1191" i="18"/>
  <c r="B1190" i="18"/>
  <c r="B1189" i="18"/>
  <c r="B1188" i="18"/>
  <c r="B1187" i="18"/>
  <c r="B1186" i="18"/>
  <c r="B1185" i="18"/>
  <c r="B1184" i="18"/>
  <c r="B1183" i="18"/>
  <c r="F1182" i="18"/>
  <c r="B1182" i="18"/>
  <c r="B1181" i="18"/>
  <c r="B1180" i="18"/>
  <c r="B1179" i="18"/>
  <c r="B1178" i="18"/>
  <c r="B1177" i="18"/>
  <c r="B1176" i="18"/>
  <c r="B1175" i="18"/>
  <c r="B1174" i="18"/>
  <c r="B1173" i="18"/>
  <c r="B1171" i="18"/>
  <c r="B1172" i="18" s="1"/>
  <c r="B1170" i="18"/>
  <c r="B1169" i="18"/>
  <c r="B1168" i="18"/>
  <c r="B1167" i="18"/>
  <c r="B1166" i="18"/>
  <c r="B1165" i="18"/>
  <c r="B1164" i="18"/>
  <c r="B1163" i="18"/>
  <c r="B1162" i="18"/>
  <c r="B1161" i="18"/>
  <c r="B1160" i="18"/>
  <c r="B1159" i="18"/>
  <c r="B1158" i="18"/>
  <c r="B1157" i="18"/>
  <c r="B1156" i="18"/>
  <c r="B1155" i="18"/>
  <c r="F1154" i="18"/>
  <c r="B1154" i="18"/>
  <c r="B1153" i="18"/>
  <c r="B1152" i="18"/>
  <c r="B1151" i="18"/>
  <c r="B1150" i="18"/>
  <c r="B1149" i="18"/>
  <c r="B1148" i="18"/>
  <c r="B1147" i="18"/>
  <c r="B1146" i="18"/>
  <c r="B1145" i="18"/>
  <c r="B1143" i="18"/>
  <c r="B1144" i="18" s="1"/>
  <c r="B1142" i="18"/>
  <c r="B1141" i="18"/>
  <c r="B1140" i="18"/>
  <c r="B1139" i="18"/>
  <c r="B1138" i="18"/>
  <c r="B1137" i="18"/>
  <c r="B1136" i="18"/>
  <c r="B1135" i="18"/>
  <c r="B1134" i="18"/>
  <c r="B1133" i="18"/>
  <c r="B1132" i="18"/>
  <c r="B1131" i="18"/>
  <c r="B1130" i="18"/>
  <c r="B1129" i="18"/>
  <c r="B1128" i="18"/>
  <c r="B1127" i="18"/>
  <c r="F1126" i="18"/>
  <c r="B1126" i="18"/>
  <c r="B1125" i="18"/>
  <c r="B1124" i="18"/>
  <c r="B1123" i="18"/>
  <c r="B1122" i="18"/>
  <c r="B1121" i="18"/>
  <c r="B1120" i="18"/>
  <c r="B1119" i="18"/>
  <c r="B1118" i="18"/>
  <c r="B1117" i="18"/>
  <c r="B1115" i="18"/>
  <c r="B1116" i="18" s="1"/>
  <c r="B1114" i="18"/>
  <c r="B1113" i="18"/>
  <c r="B1112" i="18"/>
  <c r="B1111" i="18"/>
  <c r="B1110" i="18"/>
  <c r="B1109" i="18"/>
  <c r="B1108" i="18"/>
  <c r="B1107" i="18"/>
  <c r="B1106" i="18"/>
  <c r="B1105" i="18"/>
  <c r="B1104" i="18"/>
  <c r="B1103" i="18"/>
  <c r="B1102" i="18"/>
  <c r="B1101" i="18"/>
  <c r="B1100" i="18"/>
  <c r="B1099" i="18"/>
  <c r="F1098" i="18"/>
  <c r="B1098" i="18"/>
  <c r="B1097" i="18"/>
  <c r="B1096" i="18"/>
  <c r="B1095" i="18"/>
  <c r="B1094" i="18"/>
  <c r="B1093" i="18"/>
  <c r="B1092" i="18"/>
  <c r="B1091" i="18"/>
  <c r="B1090" i="18"/>
  <c r="B1089" i="18"/>
  <c r="B1087" i="18"/>
  <c r="B1088" i="18" s="1"/>
  <c r="B1086" i="18"/>
  <c r="B1085" i="18"/>
  <c r="B1084" i="18"/>
  <c r="B1083" i="18"/>
  <c r="B1082" i="18"/>
  <c r="B1081" i="18"/>
  <c r="B1080" i="18"/>
  <c r="B1079" i="18"/>
  <c r="B1078" i="18"/>
  <c r="B1077" i="18"/>
  <c r="B1076" i="18"/>
  <c r="B1075" i="18"/>
  <c r="B1074" i="18"/>
  <c r="B1073" i="18"/>
  <c r="B1072" i="18"/>
  <c r="B1071" i="18"/>
  <c r="F1070" i="18"/>
  <c r="B1070" i="18"/>
  <c r="B1069" i="18"/>
  <c r="B1068" i="18"/>
  <c r="B1067" i="18"/>
  <c r="B1066" i="18"/>
  <c r="B1065" i="18"/>
  <c r="B1064" i="18"/>
  <c r="B1063" i="18"/>
  <c r="B1062" i="18"/>
  <c r="B1061" i="18"/>
  <c r="B1059" i="18"/>
  <c r="B1060" i="18" s="1"/>
  <c r="B1058" i="18"/>
  <c r="B1057" i="18"/>
  <c r="B1056" i="18"/>
  <c r="B1055" i="18"/>
  <c r="B1054" i="18"/>
  <c r="B1053" i="18"/>
  <c r="B1052" i="18"/>
  <c r="B1051" i="18"/>
  <c r="B1050" i="18"/>
  <c r="B1049" i="18"/>
  <c r="B1048" i="18"/>
  <c r="B1047" i="18"/>
  <c r="B1046" i="18"/>
  <c r="B1045" i="18"/>
  <c r="B1044" i="18"/>
  <c r="B1043" i="18"/>
  <c r="F1042" i="18"/>
  <c r="B1042" i="18"/>
  <c r="B1041" i="18"/>
  <c r="B1040" i="18"/>
  <c r="B1039" i="18"/>
  <c r="B1038" i="18"/>
  <c r="B1037" i="18"/>
  <c r="B1036" i="18"/>
  <c r="B1035" i="18"/>
  <c r="B1034" i="18"/>
  <c r="B1033" i="18"/>
  <c r="B1031" i="18"/>
  <c r="B1032" i="18" s="1"/>
  <c r="B1030" i="18"/>
  <c r="B1029" i="18"/>
  <c r="B1028" i="18"/>
  <c r="B1027" i="18"/>
  <c r="B1026" i="18"/>
  <c r="B1025" i="18"/>
  <c r="B1024" i="18"/>
  <c r="B1023" i="18"/>
  <c r="B1022" i="18"/>
  <c r="B1021" i="18"/>
  <c r="B1020" i="18"/>
  <c r="B1019" i="18"/>
  <c r="B1018" i="18"/>
  <c r="B1017" i="18"/>
  <c r="B1016" i="18"/>
  <c r="B1015" i="18"/>
  <c r="F1014" i="18"/>
  <c r="B1014" i="18"/>
  <c r="B1013" i="18"/>
  <c r="B1012" i="18"/>
  <c r="B1011" i="18"/>
  <c r="B1010" i="18"/>
  <c r="B1009" i="18"/>
  <c r="B1008" i="18"/>
  <c r="B1007" i="18"/>
  <c r="B1006" i="18"/>
  <c r="B1005" i="18"/>
  <c r="B1003" i="18"/>
  <c r="B1004" i="18" s="1"/>
  <c r="B1002" i="18"/>
  <c r="B1001" i="18"/>
  <c r="B1000" i="18"/>
  <c r="B999" i="18"/>
  <c r="B998" i="18"/>
  <c r="B997" i="18"/>
  <c r="B996" i="18"/>
  <c r="B995" i="18"/>
  <c r="B994" i="18"/>
  <c r="B993" i="18"/>
  <c r="B992" i="18"/>
  <c r="B991" i="18"/>
  <c r="B990" i="18"/>
  <c r="B989" i="18"/>
  <c r="B988" i="18"/>
  <c r="B987" i="18"/>
  <c r="F986" i="18"/>
  <c r="B986" i="18"/>
  <c r="B985" i="18"/>
  <c r="B984" i="18"/>
  <c r="B983" i="18"/>
  <c r="B982" i="18"/>
  <c r="B981" i="18"/>
  <c r="B980" i="18"/>
  <c r="B979" i="18"/>
  <c r="B978" i="18"/>
  <c r="B977" i="18"/>
  <c r="B975" i="18"/>
  <c r="B976" i="18" s="1"/>
  <c r="B974" i="18"/>
  <c r="B973" i="18"/>
  <c r="B972" i="18"/>
  <c r="B971" i="18"/>
  <c r="B970" i="18"/>
  <c r="B969" i="18"/>
  <c r="B968" i="18"/>
  <c r="B967" i="18"/>
  <c r="B966" i="18"/>
  <c r="B965" i="18"/>
  <c r="B964" i="18"/>
  <c r="B963" i="18"/>
  <c r="B962" i="18"/>
  <c r="B961" i="18"/>
  <c r="B960" i="18"/>
  <c r="B959" i="18"/>
  <c r="F958" i="18"/>
  <c r="B958" i="18"/>
  <c r="B957" i="18"/>
  <c r="B956" i="18"/>
  <c r="B955" i="18"/>
  <c r="B954" i="18"/>
  <c r="B953" i="18"/>
  <c r="B952" i="18"/>
  <c r="B951" i="18"/>
  <c r="B950" i="18"/>
  <c r="B949" i="18"/>
  <c r="B947" i="18"/>
  <c r="B948" i="18" s="1"/>
  <c r="B946" i="18"/>
  <c r="B945" i="18"/>
  <c r="B944" i="18"/>
  <c r="B943" i="18"/>
  <c r="B942" i="18"/>
  <c r="B941" i="18"/>
  <c r="B940" i="18"/>
  <c r="B939" i="18"/>
  <c r="B938" i="18"/>
  <c r="B937" i="18"/>
  <c r="B936" i="18"/>
  <c r="B935" i="18"/>
  <c r="B934" i="18"/>
  <c r="B933" i="18"/>
  <c r="B932" i="18"/>
  <c r="B931" i="18"/>
  <c r="F930" i="18"/>
  <c r="B930" i="18"/>
  <c r="B929" i="18"/>
  <c r="B928" i="18"/>
  <c r="B927" i="18"/>
  <c r="B926" i="18"/>
  <c r="B925" i="18"/>
  <c r="B924" i="18"/>
  <c r="B923" i="18"/>
  <c r="B922" i="18"/>
  <c r="B921" i="18"/>
  <c r="B919" i="18"/>
  <c r="B920" i="18" s="1"/>
  <c r="B918" i="18"/>
  <c r="B917" i="18"/>
  <c r="B916" i="18"/>
  <c r="B915" i="18"/>
  <c r="B914" i="18"/>
  <c r="B913" i="18"/>
  <c r="B912" i="18"/>
  <c r="B911" i="18"/>
  <c r="B910" i="18"/>
  <c r="B909" i="18"/>
  <c r="B908" i="18"/>
  <c r="B907" i="18"/>
  <c r="B906" i="18"/>
  <c r="B905" i="18"/>
  <c r="B904" i="18"/>
  <c r="B903" i="18"/>
  <c r="F902" i="18"/>
  <c r="B902" i="18"/>
  <c r="B901" i="18"/>
  <c r="B900" i="18"/>
  <c r="B899" i="18"/>
  <c r="B898" i="18"/>
  <c r="B897" i="18"/>
  <c r="B896" i="18"/>
  <c r="B895" i="18"/>
  <c r="B894" i="18"/>
  <c r="B893" i="18"/>
  <c r="B891" i="18"/>
  <c r="B892" i="18" s="1"/>
  <c r="B890" i="18"/>
  <c r="B889" i="18"/>
  <c r="B888" i="18"/>
  <c r="B887" i="18"/>
  <c r="B886" i="18"/>
  <c r="B885" i="18"/>
  <c r="B884" i="18"/>
  <c r="B883" i="18"/>
  <c r="B882" i="18"/>
  <c r="B881" i="18"/>
  <c r="B880" i="18"/>
  <c r="B879" i="18"/>
  <c r="B878" i="18"/>
  <c r="B877" i="18"/>
  <c r="B876" i="18"/>
  <c r="B875" i="18"/>
  <c r="F874" i="18"/>
  <c r="B874" i="18"/>
  <c r="B873" i="18"/>
  <c r="B872" i="18"/>
  <c r="B871" i="18"/>
  <c r="B870" i="18"/>
  <c r="B869" i="18"/>
  <c r="B868" i="18"/>
  <c r="B867" i="18"/>
  <c r="B866" i="18"/>
  <c r="B865" i="18"/>
  <c r="B863" i="18"/>
  <c r="B864" i="18" s="1"/>
  <c r="B862" i="18"/>
  <c r="B861" i="18"/>
  <c r="B860" i="18"/>
  <c r="B859" i="18"/>
  <c r="B858" i="18"/>
  <c r="B857" i="18"/>
  <c r="B856" i="18"/>
  <c r="B855" i="18"/>
  <c r="B854" i="18"/>
  <c r="B853" i="18"/>
  <c r="B852" i="18"/>
  <c r="B851" i="18"/>
  <c r="B850" i="18"/>
  <c r="B849" i="18"/>
  <c r="B848" i="18"/>
  <c r="B847" i="18"/>
  <c r="F846" i="18"/>
  <c r="B846" i="18"/>
  <c r="B845" i="18"/>
  <c r="B844" i="18"/>
  <c r="B843" i="18"/>
  <c r="B842" i="18"/>
  <c r="B841" i="18"/>
  <c r="B840" i="18"/>
  <c r="B839" i="18"/>
  <c r="B838" i="18"/>
  <c r="B837" i="18"/>
  <c r="B835" i="18"/>
  <c r="B836" i="18" s="1"/>
  <c r="B834" i="18"/>
  <c r="B833" i="18"/>
  <c r="B832" i="18"/>
  <c r="B831" i="18"/>
  <c r="B830" i="18"/>
  <c r="B829" i="18"/>
  <c r="B828" i="18"/>
  <c r="B827" i="18"/>
  <c r="B826" i="18"/>
  <c r="B825" i="18"/>
  <c r="B824" i="18"/>
  <c r="B823" i="18"/>
  <c r="B822" i="18"/>
  <c r="B821" i="18"/>
  <c r="B820" i="18"/>
  <c r="B819" i="18"/>
  <c r="F818" i="18"/>
  <c r="B818" i="18"/>
  <c r="B817" i="18"/>
  <c r="B816" i="18"/>
  <c r="B815" i="18"/>
  <c r="B814" i="18"/>
  <c r="B813" i="18"/>
  <c r="B812" i="18"/>
  <c r="B811" i="18"/>
  <c r="B810" i="18"/>
  <c r="B809" i="18"/>
  <c r="B807" i="18"/>
  <c r="B808" i="18" s="1"/>
  <c r="B806" i="18"/>
  <c r="B805" i="18"/>
  <c r="B804" i="18"/>
  <c r="B803" i="18"/>
  <c r="B802" i="18"/>
  <c r="B801" i="18"/>
  <c r="B800" i="18"/>
  <c r="B799" i="18"/>
  <c r="B798" i="18"/>
  <c r="B797" i="18"/>
  <c r="B796" i="18"/>
  <c r="B795" i="18"/>
  <c r="B794" i="18"/>
  <c r="B793" i="18"/>
  <c r="B792" i="18"/>
  <c r="B791" i="18"/>
  <c r="F790" i="18"/>
  <c r="B790" i="18"/>
  <c r="B789" i="18"/>
  <c r="B788" i="18"/>
  <c r="B787" i="18"/>
  <c r="B786" i="18"/>
  <c r="B785" i="18"/>
  <c r="B784" i="18"/>
  <c r="B783" i="18"/>
  <c r="B782" i="18"/>
  <c r="B781" i="18"/>
  <c r="B779" i="18"/>
  <c r="B780" i="18" s="1"/>
  <c r="B778" i="18"/>
  <c r="B777" i="18"/>
  <c r="B776" i="18"/>
  <c r="B775" i="18"/>
  <c r="B774" i="18"/>
  <c r="B773" i="18"/>
  <c r="B772" i="18"/>
  <c r="B771" i="18"/>
  <c r="B770" i="18"/>
  <c r="B769" i="18"/>
  <c r="B768" i="18"/>
  <c r="B767" i="18"/>
  <c r="B766" i="18"/>
  <c r="B765" i="18"/>
  <c r="B764" i="18"/>
  <c r="B763" i="18"/>
  <c r="F762" i="18"/>
  <c r="B762" i="18"/>
  <c r="B761" i="18"/>
  <c r="B760" i="18"/>
  <c r="B759" i="18"/>
  <c r="B758" i="18"/>
  <c r="B757" i="18"/>
  <c r="B756" i="18"/>
  <c r="B755" i="18"/>
  <c r="B754" i="18"/>
  <c r="B753" i="18"/>
  <c r="B751" i="18"/>
  <c r="B752" i="18" s="1"/>
  <c r="B750" i="18"/>
  <c r="B749" i="18"/>
  <c r="B748" i="18"/>
  <c r="B747" i="18"/>
  <c r="B746" i="18"/>
  <c r="B745" i="18"/>
  <c r="B744" i="18"/>
  <c r="B743" i="18"/>
  <c r="B742" i="18"/>
  <c r="B741" i="18"/>
  <c r="B740" i="18"/>
  <c r="B739" i="18"/>
  <c r="B738" i="18"/>
  <c r="B737" i="18"/>
  <c r="B736" i="18"/>
  <c r="B735" i="18"/>
  <c r="F734" i="18"/>
  <c r="B734" i="18"/>
  <c r="B733" i="18"/>
  <c r="B732" i="18"/>
  <c r="B731" i="18"/>
  <c r="B730" i="18"/>
  <c r="B729" i="18"/>
  <c r="B728" i="18"/>
  <c r="B727" i="18"/>
  <c r="B726" i="18"/>
  <c r="B725" i="18"/>
  <c r="B723" i="18"/>
  <c r="B724" i="18" s="1"/>
  <c r="B722" i="18"/>
  <c r="B721" i="18"/>
  <c r="B720" i="18"/>
  <c r="B719" i="18"/>
  <c r="B718" i="18"/>
  <c r="B717" i="18"/>
  <c r="B716" i="18"/>
  <c r="B715" i="18"/>
  <c r="B714" i="18"/>
  <c r="B713" i="18"/>
  <c r="B712" i="18"/>
  <c r="B711" i="18"/>
  <c r="B710" i="18"/>
  <c r="B709" i="18"/>
  <c r="B708" i="18"/>
  <c r="B707" i="18"/>
  <c r="F706" i="18"/>
  <c r="B706" i="18"/>
  <c r="B705" i="18"/>
  <c r="B704" i="18"/>
  <c r="B703" i="18"/>
  <c r="B702" i="18"/>
  <c r="B701" i="18"/>
  <c r="B700" i="18"/>
  <c r="B699" i="18"/>
  <c r="B698" i="18"/>
  <c r="B697" i="18"/>
  <c r="B695" i="18"/>
  <c r="B696" i="18" s="1"/>
  <c r="B694" i="18"/>
  <c r="B693" i="18"/>
  <c r="B692" i="18"/>
  <c r="B691" i="18"/>
  <c r="B690" i="18"/>
  <c r="B689" i="18"/>
  <c r="B688" i="18"/>
  <c r="B687" i="18"/>
  <c r="B686" i="18"/>
  <c r="B685" i="18"/>
  <c r="B684" i="18"/>
  <c r="B683" i="18"/>
  <c r="B682" i="18"/>
  <c r="B681" i="18"/>
  <c r="B680" i="18"/>
  <c r="B679" i="18"/>
  <c r="F678" i="18"/>
  <c r="B678" i="18"/>
  <c r="B677" i="18"/>
  <c r="B676" i="18"/>
  <c r="B675" i="18"/>
  <c r="B674" i="18"/>
  <c r="B673" i="18"/>
  <c r="B672" i="18"/>
  <c r="B671" i="18"/>
  <c r="B670" i="18"/>
  <c r="B669" i="18"/>
  <c r="B667" i="18"/>
  <c r="B668" i="18" s="1"/>
  <c r="B666" i="18"/>
  <c r="B665" i="18"/>
  <c r="B664" i="18"/>
  <c r="B663" i="18"/>
  <c r="B662" i="18"/>
  <c r="B661" i="18"/>
  <c r="B660" i="18"/>
  <c r="B659" i="18"/>
  <c r="B658" i="18"/>
  <c r="B657" i="18"/>
  <c r="B656" i="18"/>
  <c r="B655" i="18"/>
  <c r="B654" i="18"/>
  <c r="B653" i="18"/>
  <c r="B652" i="18"/>
  <c r="B651" i="18"/>
  <c r="F650" i="18"/>
  <c r="B650" i="18"/>
  <c r="B649" i="18"/>
  <c r="B648" i="18"/>
  <c r="B647" i="18"/>
  <c r="B646" i="18"/>
  <c r="B645" i="18"/>
  <c r="B644" i="18"/>
  <c r="B643" i="18"/>
  <c r="B642" i="18"/>
  <c r="B641" i="18"/>
  <c r="B639" i="18"/>
  <c r="B640" i="18" s="1"/>
  <c r="B638" i="18"/>
  <c r="B637" i="18"/>
  <c r="B636" i="18"/>
  <c r="B635" i="18"/>
  <c r="B634" i="18"/>
  <c r="B633" i="18"/>
  <c r="B632" i="18"/>
  <c r="B631" i="18"/>
  <c r="B630" i="18"/>
  <c r="B629" i="18"/>
  <c r="B628" i="18"/>
  <c r="B627" i="18"/>
  <c r="B626" i="18"/>
  <c r="B625" i="18"/>
  <c r="B624" i="18"/>
  <c r="B623" i="18"/>
  <c r="F622" i="18"/>
  <c r="B622" i="18"/>
  <c r="B621" i="18"/>
  <c r="B620" i="18"/>
  <c r="B619" i="18"/>
  <c r="B618" i="18"/>
  <c r="B617" i="18"/>
  <c r="B616" i="18"/>
  <c r="B615" i="18"/>
  <c r="B614" i="18"/>
  <c r="B613" i="18"/>
  <c r="B611" i="18"/>
  <c r="B612" i="18" s="1"/>
  <c r="B610" i="18"/>
  <c r="B609" i="18"/>
  <c r="B608" i="18"/>
  <c r="B607" i="18"/>
  <c r="B606" i="18"/>
  <c r="B605" i="18"/>
  <c r="B604" i="18"/>
  <c r="B603" i="18"/>
  <c r="B602" i="18"/>
  <c r="B601" i="18"/>
  <c r="B600" i="18"/>
  <c r="B599" i="18"/>
  <c r="B598" i="18"/>
  <c r="B597" i="18"/>
  <c r="B596" i="18"/>
  <c r="B595" i="18"/>
  <c r="F594" i="18"/>
  <c r="B594" i="18"/>
  <c r="B593" i="18"/>
  <c r="B592" i="18"/>
  <c r="B591" i="18"/>
  <c r="B590" i="18"/>
  <c r="B589" i="18"/>
  <c r="B588" i="18"/>
  <c r="B587" i="18"/>
  <c r="B586" i="18"/>
  <c r="B585" i="18"/>
  <c r="B583" i="18"/>
  <c r="B584" i="18" s="1"/>
  <c r="B582" i="18"/>
  <c r="B581" i="18"/>
  <c r="B580" i="18"/>
  <c r="B579" i="18"/>
  <c r="B578" i="18"/>
  <c r="B577" i="18"/>
  <c r="B576" i="18"/>
  <c r="B575" i="18"/>
  <c r="B574" i="18"/>
  <c r="B573" i="18"/>
  <c r="B572" i="18"/>
  <c r="B571" i="18"/>
  <c r="B570" i="18"/>
  <c r="B569" i="18"/>
  <c r="B568" i="18"/>
  <c r="B567" i="18"/>
  <c r="F566" i="18"/>
  <c r="B566" i="18"/>
  <c r="B565" i="18"/>
  <c r="B564" i="18"/>
  <c r="B563" i="18"/>
  <c r="B562" i="18"/>
  <c r="B561" i="18"/>
  <c r="B560" i="18"/>
  <c r="B559" i="18"/>
  <c r="B558" i="18"/>
  <c r="B557" i="18"/>
  <c r="B555" i="18"/>
  <c r="B556" i="18" s="1"/>
  <c r="B554" i="18"/>
  <c r="B553" i="18"/>
  <c r="B552" i="18"/>
  <c r="B551" i="18"/>
  <c r="B550" i="18"/>
  <c r="B549" i="18"/>
  <c r="B548" i="18"/>
  <c r="B547" i="18"/>
  <c r="B546" i="18"/>
  <c r="B545" i="18"/>
  <c r="B544" i="18"/>
  <c r="B543" i="18"/>
  <c r="B542" i="18"/>
  <c r="B541" i="18"/>
  <c r="B540" i="18"/>
  <c r="B539" i="18"/>
  <c r="F538" i="18"/>
  <c r="B538" i="18"/>
  <c r="B537" i="18"/>
  <c r="B536" i="18"/>
  <c r="B535" i="18"/>
  <c r="B534" i="18"/>
  <c r="B533" i="18"/>
  <c r="B532" i="18"/>
  <c r="B531" i="18"/>
  <c r="B530" i="18"/>
  <c r="B529" i="18"/>
  <c r="B527" i="18"/>
  <c r="B528" i="18" s="1"/>
  <c r="B526" i="18"/>
  <c r="B525" i="18"/>
  <c r="B524" i="18"/>
  <c r="B523" i="18"/>
  <c r="B522" i="18"/>
  <c r="B521" i="18"/>
  <c r="B520" i="18"/>
  <c r="B519" i="18"/>
  <c r="B518" i="18"/>
  <c r="B517" i="18"/>
  <c r="B516" i="18"/>
  <c r="B515" i="18"/>
  <c r="B514" i="18"/>
  <c r="B513" i="18"/>
  <c r="B512" i="18"/>
  <c r="B511" i="18"/>
  <c r="F510" i="18"/>
  <c r="B510" i="18"/>
  <c r="B509" i="18"/>
  <c r="B508" i="18"/>
  <c r="B507" i="18"/>
  <c r="B506" i="18"/>
  <c r="B505" i="18"/>
  <c r="B504" i="18"/>
  <c r="B503" i="18"/>
  <c r="B502" i="18"/>
  <c r="B501" i="18"/>
  <c r="B499" i="18"/>
  <c r="B500" i="18" s="1"/>
  <c r="B498" i="18"/>
  <c r="B497" i="18"/>
  <c r="B496" i="18"/>
  <c r="B495" i="18"/>
  <c r="B494" i="18"/>
  <c r="B493" i="18"/>
  <c r="B492" i="18"/>
  <c r="B491" i="18"/>
  <c r="B490" i="18"/>
  <c r="B489" i="18"/>
  <c r="B488" i="18"/>
  <c r="B487" i="18"/>
  <c r="B486" i="18"/>
  <c r="B485" i="18"/>
  <c r="B484" i="18"/>
  <c r="B483" i="18"/>
  <c r="F482" i="18"/>
  <c r="B482" i="18"/>
  <c r="B481" i="18"/>
  <c r="B480" i="18"/>
  <c r="B479" i="18"/>
  <c r="B478" i="18"/>
  <c r="B477" i="18"/>
  <c r="B476" i="18"/>
  <c r="B475" i="18"/>
  <c r="B474" i="18"/>
  <c r="B473" i="18"/>
  <c r="B471" i="18"/>
  <c r="B472" i="18" s="1"/>
  <c r="B470" i="18"/>
  <c r="B469" i="18"/>
  <c r="B468" i="18"/>
  <c r="B467" i="18"/>
  <c r="B466" i="18"/>
  <c r="B465" i="18"/>
  <c r="B464" i="18"/>
  <c r="B463" i="18"/>
  <c r="B462" i="18"/>
  <c r="B461" i="18"/>
  <c r="B460" i="18"/>
  <c r="B459" i="18"/>
  <c r="B458" i="18"/>
  <c r="B457" i="18"/>
  <c r="B456" i="18"/>
  <c r="B455" i="18"/>
  <c r="F454" i="18"/>
  <c r="B454" i="18"/>
  <c r="B453" i="18"/>
  <c r="B452" i="18"/>
  <c r="B451" i="18"/>
  <c r="B449" i="18"/>
  <c r="B448" i="18"/>
  <c r="B447" i="18"/>
  <c r="B446" i="18"/>
  <c r="B445" i="18"/>
  <c r="B443" i="18"/>
  <c r="B444" i="18" s="1"/>
  <c r="B442" i="18"/>
  <c r="B441" i="18"/>
  <c r="B440" i="18"/>
  <c r="B439" i="18"/>
  <c r="B438" i="18"/>
  <c r="B437" i="18"/>
  <c r="B436" i="18"/>
  <c r="B435" i="18"/>
  <c r="B434" i="18"/>
  <c r="B433" i="18"/>
  <c r="B432" i="18"/>
  <c r="B431" i="18"/>
  <c r="B430" i="18"/>
  <c r="B429" i="18"/>
  <c r="B428" i="18"/>
  <c r="B427" i="18"/>
  <c r="F426" i="18"/>
  <c r="B426" i="18"/>
  <c r="B425" i="18"/>
  <c r="B424" i="18"/>
  <c r="B423" i="18"/>
  <c r="B422" i="18"/>
  <c r="B421" i="18"/>
  <c r="B420" i="18"/>
  <c r="B419" i="18"/>
  <c r="B418" i="18"/>
  <c r="B417" i="18"/>
  <c r="B415" i="18"/>
  <c r="B416" i="18" s="1"/>
  <c r="B414" i="18"/>
  <c r="B413" i="18"/>
  <c r="B412" i="18"/>
  <c r="B411" i="18"/>
  <c r="B410" i="18"/>
  <c r="B409" i="18"/>
  <c r="B408" i="18"/>
  <c r="B407" i="18"/>
  <c r="B406" i="18"/>
  <c r="B405" i="18"/>
  <c r="B404" i="18"/>
  <c r="B403" i="18"/>
  <c r="B402" i="18"/>
  <c r="B401" i="18"/>
  <c r="B400" i="18"/>
  <c r="B399" i="18"/>
  <c r="F398" i="18"/>
  <c r="B398" i="18"/>
  <c r="B397" i="18"/>
  <c r="B396" i="18"/>
  <c r="B395" i="18"/>
  <c r="B394" i="18"/>
  <c r="B393" i="18"/>
  <c r="B392" i="18"/>
  <c r="B391" i="18"/>
  <c r="B390" i="18"/>
  <c r="B389" i="18"/>
  <c r="B387" i="18"/>
  <c r="B388" i="18" s="1"/>
  <c r="B386" i="18"/>
  <c r="B385" i="18"/>
  <c r="B384" i="18"/>
  <c r="B383" i="18"/>
  <c r="B382" i="18"/>
  <c r="B381" i="18"/>
  <c r="B380" i="18"/>
  <c r="B379" i="18"/>
  <c r="B378" i="18"/>
  <c r="B377" i="18"/>
  <c r="B376" i="18"/>
  <c r="B375" i="18"/>
  <c r="B374" i="18"/>
  <c r="B373" i="18"/>
  <c r="B372" i="18"/>
  <c r="B371" i="18"/>
  <c r="F370" i="18"/>
  <c r="B370" i="18"/>
  <c r="B369" i="18"/>
  <c r="B368" i="18"/>
  <c r="B367" i="18"/>
  <c r="B366" i="18"/>
  <c r="B365" i="18"/>
  <c r="B364" i="18"/>
  <c r="B363" i="18"/>
  <c r="B362" i="18"/>
  <c r="B361" i="18"/>
  <c r="B359" i="18"/>
  <c r="B360" i="18" s="1"/>
  <c r="B358" i="18"/>
  <c r="B357" i="18"/>
  <c r="B356" i="18"/>
  <c r="F355" i="18"/>
  <c r="B355" i="18"/>
  <c r="B354" i="18"/>
  <c r="B353" i="18"/>
  <c r="B352" i="18"/>
  <c r="B351" i="18"/>
  <c r="B350" i="18"/>
  <c r="B349" i="18"/>
  <c r="B348" i="18"/>
  <c r="B347" i="18"/>
  <c r="B346" i="18"/>
  <c r="B345" i="18"/>
  <c r="B344" i="18"/>
  <c r="B343" i="18"/>
  <c r="F342" i="18"/>
  <c r="B342" i="18"/>
  <c r="B341" i="18"/>
  <c r="B340" i="18"/>
  <c r="B339" i="18"/>
  <c r="B338" i="18"/>
  <c r="B337" i="18"/>
  <c r="B336" i="18"/>
  <c r="B335" i="18"/>
  <c r="B334" i="18"/>
  <c r="B333" i="18"/>
  <c r="B331" i="18"/>
  <c r="B332" i="18" s="1"/>
  <c r="B330" i="18"/>
  <c r="B329" i="18"/>
  <c r="B328" i="18"/>
  <c r="B327" i="18"/>
  <c r="B326" i="18"/>
  <c r="B325" i="18"/>
  <c r="B324" i="18"/>
  <c r="B323" i="18"/>
  <c r="B322" i="18"/>
  <c r="B321" i="18"/>
  <c r="B320" i="18"/>
  <c r="B319" i="18"/>
  <c r="B318" i="18"/>
  <c r="B317" i="18"/>
  <c r="B316" i="18"/>
  <c r="B315" i="18"/>
  <c r="F314" i="18"/>
  <c r="B314" i="18"/>
  <c r="B313" i="18"/>
  <c r="B312" i="18"/>
  <c r="B311" i="18"/>
  <c r="B310" i="18"/>
  <c r="B309" i="18"/>
  <c r="B308" i="18"/>
  <c r="B307" i="18"/>
  <c r="B306" i="18"/>
  <c r="B305" i="18"/>
  <c r="B303" i="18"/>
  <c r="B304" i="18" s="1"/>
  <c r="B302" i="18"/>
  <c r="B301" i="18"/>
  <c r="B300" i="18"/>
  <c r="B299" i="18"/>
  <c r="B298" i="18"/>
  <c r="B297" i="18"/>
  <c r="B296" i="18"/>
  <c r="B295" i="18"/>
  <c r="B294" i="18"/>
  <c r="B293" i="18"/>
  <c r="B292" i="18"/>
  <c r="B291" i="18"/>
  <c r="B290" i="18"/>
  <c r="B289" i="18"/>
  <c r="B288" i="18"/>
  <c r="B287" i="18"/>
  <c r="F286" i="18"/>
  <c r="B286" i="18"/>
  <c r="B285" i="18"/>
  <c r="B284" i="18"/>
  <c r="B283" i="18"/>
  <c r="B282" i="18"/>
  <c r="B281" i="18"/>
  <c r="B280" i="18"/>
  <c r="B279" i="18"/>
  <c r="B278" i="18"/>
  <c r="B277" i="18"/>
  <c r="B275" i="18"/>
  <c r="B276" i="18" s="1"/>
  <c r="B274" i="18"/>
  <c r="B273" i="18"/>
  <c r="B272" i="18"/>
  <c r="B271" i="18"/>
  <c r="B270" i="18"/>
  <c r="B269" i="18"/>
  <c r="B268" i="18"/>
  <c r="B267" i="18"/>
  <c r="B266" i="18"/>
  <c r="B265" i="18"/>
  <c r="B264" i="18"/>
  <c r="B263" i="18"/>
  <c r="B262" i="18"/>
  <c r="B261" i="18"/>
  <c r="B260" i="18"/>
  <c r="B259" i="18"/>
  <c r="F258" i="18"/>
  <c r="B258" i="18"/>
  <c r="B257" i="18"/>
  <c r="B256" i="18"/>
  <c r="B255" i="18"/>
  <c r="B254" i="18"/>
  <c r="B253" i="18"/>
  <c r="B252" i="18"/>
  <c r="B251" i="18"/>
  <c r="B250" i="18"/>
  <c r="B249" i="18"/>
  <c r="B247" i="18"/>
  <c r="B248" i="18" s="1"/>
  <c r="B246" i="18"/>
  <c r="B245" i="18"/>
  <c r="B244" i="18"/>
  <c r="B243" i="18"/>
  <c r="B242" i="18"/>
  <c r="B241" i="18"/>
  <c r="B240" i="18"/>
  <c r="B239" i="18"/>
  <c r="B238" i="18"/>
  <c r="B237" i="18"/>
  <c r="B236" i="18"/>
  <c r="B235" i="18"/>
  <c r="B234" i="18"/>
  <c r="B233" i="18"/>
  <c r="B232" i="18"/>
  <c r="B231" i="18"/>
  <c r="F230" i="18"/>
  <c r="B230" i="18"/>
  <c r="B229" i="18"/>
  <c r="B228" i="18"/>
  <c r="B227" i="18"/>
  <c r="B226" i="18"/>
  <c r="B225" i="18"/>
  <c r="B224" i="18"/>
  <c r="B223" i="18"/>
  <c r="B222" i="18"/>
  <c r="B221" i="18"/>
  <c r="B219" i="18"/>
  <c r="B220" i="18" s="1"/>
  <c r="B218" i="18"/>
  <c r="B217" i="18"/>
  <c r="B216" i="18"/>
  <c r="B215" i="18"/>
  <c r="B214" i="18"/>
  <c r="B213" i="18"/>
  <c r="B212" i="18"/>
  <c r="B211" i="18"/>
  <c r="B210" i="18"/>
  <c r="B209" i="18"/>
  <c r="B208" i="18"/>
  <c r="B207" i="18"/>
  <c r="B206" i="18"/>
  <c r="B205" i="18"/>
  <c r="B204" i="18"/>
  <c r="B203" i="18"/>
  <c r="F202" i="18"/>
  <c r="B202" i="18"/>
  <c r="B201" i="18"/>
  <c r="B200" i="18"/>
  <c r="B199" i="18"/>
  <c r="B198" i="18"/>
  <c r="B197" i="18"/>
  <c r="B196" i="18"/>
  <c r="B195" i="18"/>
  <c r="B194" i="18"/>
  <c r="B193" i="18"/>
  <c r="B191" i="18"/>
  <c r="B192" i="18" s="1"/>
  <c r="B190" i="18"/>
  <c r="B189" i="18"/>
  <c r="B188" i="18"/>
  <c r="B187" i="18"/>
  <c r="B186" i="18"/>
  <c r="B185" i="18"/>
  <c r="B184" i="18"/>
  <c r="B183" i="18"/>
  <c r="B182" i="18"/>
  <c r="B181" i="18"/>
  <c r="B180" i="18"/>
  <c r="B179" i="18"/>
  <c r="B178" i="18"/>
  <c r="B177" i="18"/>
  <c r="B176" i="18"/>
  <c r="B175" i="18"/>
  <c r="F174" i="18"/>
  <c r="B174" i="18"/>
  <c r="B173" i="18"/>
  <c r="B172" i="18"/>
  <c r="B171" i="18"/>
  <c r="B170" i="18"/>
  <c r="B169" i="18"/>
  <c r="B168" i="18"/>
  <c r="B167" i="18"/>
  <c r="B166" i="18"/>
  <c r="B165" i="18"/>
  <c r="B163" i="18"/>
  <c r="B164" i="18" s="1"/>
  <c r="B162" i="18"/>
  <c r="B161" i="18"/>
  <c r="B160" i="18"/>
  <c r="B159" i="18"/>
  <c r="B158" i="18"/>
  <c r="B157" i="18"/>
  <c r="B156" i="18"/>
  <c r="B155" i="18"/>
  <c r="B154" i="18"/>
  <c r="B153" i="18"/>
  <c r="B152" i="18"/>
  <c r="B151" i="18"/>
  <c r="B150" i="18"/>
  <c r="B149" i="18"/>
  <c r="B148" i="18"/>
  <c r="B147" i="18"/>
  <c r="F146" i="18"/>
  <c r="B146" i="18"/>
  <c r="B145" i="18"/>
  <c r="B144" i="18"/>
  <c r="B143" i="18"/>
  <c r="B142" i="18"/>
  <c r="B141" i="18"/>
  <c r="B140" i="18"/>
  <c r="B139" i="18"/>
  <c r="B138" i="18"/>
  <c r="B137" i="18"/>
  <c r="B135" i="18"/>
  <c r="B136" i="18" s="1"/>
  <c r="B134" i="18"/>
  <c r="B133" i="18"/>
  <c r="B132" i="18"/>
  <c r="B131" i="18"/>
  <c r="B130" i="18"/>
  <c r="B129" i="18"/>
  <c r="B128" i="18"/>
  <c r="B127" i="18"/>
  <c r="B126" i="18"/>
  <c r="B125" i="18"/>
  <c r="B124" i="18"/>
  <c r="B123" i="18"/>
  <c r="B122" i="18"/>
  <c r="B121" i="18"/>
  <c r="B120" i="18"/>
  <c r="B119" i="18"/>
  <c r="F118" i="18"/>
  <c r="B118" i="18"/>
  <c r="B117" i="18"/>
  <c r="B116" i="18"/>
  <c r="B115" i="18"/>
  <c r="B114" i="18"/>
  <c r="B113" i="18"/>
  <c r="B112" i="18"/>
  <c r="B111" i="18"/>
  <c r="B110" i="18"/>
  <c r="B109" i="18"/>
  <c r="B107" i="18"/>
  <c r="B108" i="18" s="1"/>
  <c r="B106" i="18"/>
  <c r="B105" i="18"/>
  <c r="B104" i="18"/>
  <c r="B103" i="18"/>
  <c r="B102" i="18"/>
  <c r="B101" i="18"/>
  <c r="B100" i="18"/>
  <c r="B99" i="18"/>
  <c r="B98" i="18"/>
  <c r="B97" i="18"/>
  <c r="B96" i="18"/>
  <c r="B95" i="18"/>
  <c r="B94" i="18"/>
  <c r="B93" i="18"/>
  <c r="B92" i="18"/>
  <c r="B91" i="18"/>
  <c r="F90" i="18"/>
  <c r="B90" i="18"/>
  <c r="B89" i="18"/>
  <c r="B88" i="18"/>
  <c r="B87" i="18"/>
  <c r="B86" i="18"/>
  <c r="B85" i="18"/>
  <c r="B84" i="18"/>
  <c r="B83" i="18"/>
  <c r="B82" i="18"/>
  <c r="B81" i="18"/>
  <c r="B79" i="18"/>
  <c r="B80" i="18" s="1"/>
  <c r="B78" i="18"/>
  <c r="B77" i="18"/>
  <c r="B76" i="18"/>
  <c r="B75" i="18"/>
  <c r="B74" i="18"/>
  <c r="B73" i="18"/>
  <c r="B72" i="18"/>
  <c r="B71" i="18"/>
  <c r="B70" i="18"/>
  <c r="B69" i="18"/>
  <c r="B68" i="18"/>
  <c r="B67" i="18"/>
  <c r="B66" i="18"/>
  <c r="B65" i="18"/>
  <c r="B64" i="18"/>
  <c r="B63" i="18"/>
  <c r="F62" i="18"/>
  <c r="B62" i="18"/>
  <c r="B61" i="18"/>
  <c r="B60" i="18"/>
  <c r="B59" i="18"/>
  <c r="B58" i="18"/>
  <c r="B57" i="18"/>
  <c r="B56" i="18"/>
  <c r="B55" i="18"/>
  <c r="B54" i="18"/>
  <c r="B53" i="18"/>
  <c r="B51" i="18"/>
  <c r="B52" i="18" s="1"/>
  <c r="B50" i="18"/>
  <c r="B49" i="18"/>
  <c r="B48" i="18"/>
  <c r="B47" i="18"/>
  <c r="B46" i="18"/>
  <c r="B45" i="18"/>
  <c r="B44" i="18"/>
  <c r="B43" i="18"/>
  <c r="B42" i="18"/>
  <c r="B41" i="18"/>
  <c r="B40" i="18"/>
  <c r="B39" i="18"/>
  <c r="B38" i="18"/>
  <c r="B37" i="18"/>
  <c r="B36" i="18"/>
  <c r="B35" i="18"/>
  <c r="F34" i="18"/>
  <c r="B34" i="18"/>
  <c r="B33" i="18"/>
  <c r="B32" i="18"/>
  <c r="B31" i="18"/>
  <c r="B30" i="18"/>
  <c r="B29" i="18"/>
  <c r="B28" i="18"/>
  <c r="B27" i="18"/>
  <c r="B26" i="18"/>
  <c r="B25" i="18"/>
  <c r="B23" i="18"/>
  <c r="B24" i="18" s="1"/>
  <c r="B21" i="18"/>
  <c r="B20" i="18"/>
  <c r="B19" i="18"/>
  <c r="B18" i="18"/>
  <c r="B17" i="18"/>
  <c r="B16" i="18"/>
  <c r="B15" i="18"/>
  <c r="B14" i="18"/>
  <c r="B13" i="18"/>
  <c r="B12" i="18"/>
  <c r="B11" i="18"/>
  <c r="B10" i="18"/>
  <c r="B9" i="18"/>
  <c r="B8" i="18"/>
  <c r="B7" i="18"/>
  <c r="F6" i="18"/>
  <c r="B6" i="18"/>
  <c r="B5" i="18"/>
  <c r="B4" i="18"/>
  <c r="B3" i="18"/>
  <c r="B2" i="18"/>
  <c r="N1500" i="13"/>
  <c r="B1501" i="13"/>
  <c r="B1500" i="13"/>
  <c r="B1499" i="13"/>
  <c r="N1497" i="13"/>
  <c r="N1496" i="13"/>
  <c r="B1498" i="13"/>
  <c r="G1493" i="13"/>
  <c r="B1491" i="13"/>
  <c r="B1492" i="13"/>
  <c r="B1493" i="13"/>
  <c r="B1494" i="13"/>
  <c r="B1495" i="13"/>
  <c r="B1496" i="13"/>
  <c r="B1497" i="13"/>
  <c r="B1490" i="13"/>
  <c r="B1489" i="13"/>
  <c r="B1488" i="13"/>
  <c r="B1487" i="13"/>
  <c r="B1486" i="13"/>
  <c r="B1484" i="13"/>
  <c r="B1485" i="13"/>
  <c r="B1479" i="13"/>
  <c r="B1480" i="13"/>
  <c r="B1481" i="13"/>
  <c r="B1482" i="13"/>
  <c r="B1483" i="13"/>
  <c r="B1478" i="13"/>
  <c r="B68" i="13"/>
  <c r="B1472" i="13"/>
  <c r="B1473" i="13"/>
  <c r="B384" i="13"/>
  <c r="B1091" i="13"/>
  <c r="B1212" i="13"/>
  <c r="B487" i="13"/>
  <c r="B381" i="13"/>
  <c r="N1469" i="13"/>
  <c r="N1465" i="13"/>
  <c r="B1466" i="13"/>
  <c r="B1467" i="13"/>
  <c r="B1468" i="13"/>
  <c r="B1469" i="13"/>
  <c r="B1465" i="13"/>
  <c r="B1464" i="13"/>
  <c r="B857" i="13"/>
  <c r="B179" i="13"/>
  <c r="B380" i="13"/>
  <c r="B1474" i="13"/>
  <c r="B1459" i="13"/>
  <c r="B1460" i="13"/>
  <c r="B483" i="13"/>
  <c r="B1462" i="13"/>
  <c r="B1463" i="13"/>
  <c r="B229" i="13"/>
  <c r="B231" i="13"/>
  <c r="B125" i="13"/>
  <c r="B318" i="13"/>
  <c r="B1323" i="13"/>
  <c r="B387" i="13"/>
  <c r="G1218" i="13"/>
  <c r="H1218" i="13"/>
  <c r="I1218" i="13"/>
  <c r="J1218" i="13"/>
  <c r="K1218" i="13"/>
  <c r="G4" i="13"/>
  <c r="H4" i="13"/>
  <c r="I4" i="13"/>
  <c r="J4" i="13"/>
  <c r="K4" i="13"/>
  <c r="G5" i="13"/>
  <c r="H5" i="13"/>
  <c r="I5" i="13"/>
  <c r="J5" i="13"/>
  <c r="K5" i="13"/>
  <c r="G6" i="13"/>
  <c r="H6" i="13"/>
  <c r="I6" i="13"/>
  <c r="J6" i="13"/>
  <c r="K6" i="13"/>
  <c r="G7" i="13"/>
  <c r="H7" i="13"/>
  <c r="I7" i="13"/>
  <c r="J7" i="13"/>
  <c r="K7" i="13"/>
  <c r="G385" i="13"/>
  <c r="H385" i="13"/>
  <c r="I385" i="13"/>
  <c r="J385" i="13"/>
  <c r="K385" i="13"/>
  <c r="G1194" i="13"/>
  <c r="H1194" i="13"/>
  <c r="I1194" i="13"/>
  <c r="J1194" i="13"/>
  <c r="K1194" i="13"/>
  <c r="G1016" i="13"/>
  <c r="H1016" i="13"/>
  <c r="I1016" i="13"/>
  <c r="J1016" i="13"/>
  <c r="K1016" i="13"/>
  <c r="G573" i="13"/>
  <c r="H573" i="13"/>
  <c r="I573" i="13"/>
  <c r="J573" i="13"/>
  <c r="K573" i="13"/>
  <c r="G1195" i="13"/>
  <c r="H1195" i="13"/>
  <c r="I1195" i="13"/>
  <c r="J1195" i="13"/>
  <c r="K1195" i="13"/>
  <c r="G1196" i="13"/>
  <c r="H1196" i="13"/>
  <c r="I1196" i="13"/>
  <c r="J1196" i="13"/>
  <c r="K1196" i="13"/>
  <c r="G14" i="13"/>
  <c r="H14" i="13"/>
  <c r="I14" i="13"/>
  <c r="J14" i="13"/>
  <c r="K14" i="13"/>
  <c r="G1318" i="13"/>
  <c r="H1318" i="13"/>
  <c r="I1318" i="13"/>
  <c r="J1318" i="13"/>
  <c r="K1318" i="13"/>
  <c r="G16" i="13"/>
  <c r="H16" i="13"/>
  <c r="I16" i="13"/>
  <c r="J16" i="13"/>
  <c r="K16" i="13"/>
  <c r="G17" i="13"/>
  <c r="H17" i="13"/>
  <c r="I17" i="13"/>
  <c r="J17" i="13"/>
  <c r="K17" i="13"/>
  <c r="G24" i="13"/>
  <c r="H24" i="13"/>
  <c r="I24" i="13"/>
  <c r="J24" i="13"/>
  <c r="K24" i="13"/>
  <c r="G242" i="13"/>
  <c r="H242" i="13"/>
  <c r="I242" i="13"/>
  <c r="J242" i="13"/>
  <c r="K242" i="13"/>
  <c r="G1245" i="13"/>
  <c r="H1245" i="13"/>
  <c r="I1245" i="13"/>
  <c r="J1245" i="13"/>
  <c r="K1245" i="13"/>
  <c r="G1183" i="13"/>
  <c r="H1183" i="13"/>
  <c r="I1183" i="13"/>
  <c r="J1183" i="13"/>
  <c r="K1183" i="13"/>
  <c r="G1022" i="13"/>
  <c r="H1022" i="13"/>
  <c r="I1022" i="13"/>
  <c r="J1022" i="13"/>
  <c r="K1022" i="13"/>
  <c r="G1197" i="13"/>
  <c r="H1197" i="13"/>
  <c r="I1197" i="13"/>
  <c r="J1197" i="13"/>
  <c r="K1197" i="13"/>
  <c r="G1200" i="13"/>
  <c r="H1200" i="13"/>
  <c r="I1200" i="13"/>
  <c r="J1200" i="13"/>
  <c r="K1200" i="13"/>
  <c r="G25" i="13"/>
  <c r="H25" i="13"/>
  <c r="I25" i="13"/>
  <c r="J25" i="13"/>
  <c r="K25" i="13"/>
  <c r="G26" i="13"/>
  <c r="H26" i="13"/>
  <c r="I26" i="13"/>
  <c r="J26" i="13"/>
  <c r="K26" i="13"/>
  <c r="G27" i="13"/>
  <c r="H27" i="13"/>
  <c r="I27" i="13"/>
  <c r="J27" i="13"/>
  <c r="K27" i="13"/>
  <c r="G28" i="13"/>
  <c r="H28" i="13"/>
  <c r="I28" i="13"/>
  <c r="J28" i="13"/>
  <c r="K28" i="13"/>
  <c r="G29" i="13"/>
  <c r="H29" i="13"/>
  <c r="I29" i="13"/>
  <c r="J29" i="13"/>
  <c r="K29" i="13"/>
  <c r="G30" i="13"/>
  <c r="H30" i="13"/>
  <c r="I30" i="13"/>
  <c r="J30" i="13"/>
  <c r="K30" i="13"/>
  <c r="G31" i="13"/>
  <c r="H31" i="13"/>
  <c r="I31" i="13"/>
  <c r="J31" i="13"/>
  <c r="K31" i="13"/>
  <c r="G32" i="13"/>
  <c r="H32" i="13"/>
  <c r="I32" i="13"/>
  <c r="J32" i="13"/>
  <c r="K32" i="13"/>
  <c r="G33" i="13"/>
  <c r="H33" i="13"/>
  <c r="I33" i="13"/>
  <c r="J33" i="13"/>
  <c r="K33" i="13"/>
  <c r="G34" i="13"/>
  <c r="H34" i="13"/>
  <c r="I34" i="13"/>
  <c r="J34" i="13"/>
  <c r="K34" i="13"/>
  <c r="G35" i="13"/>
  <c r="H35" i="13"/>
  <c r="I35" i="13"/>
  <c r="J35" i="13"/>
  <c r="K35" i="13"/>
  <c r="G36" i="13"/>
  <c r="H36" i="13"/>
  <c r="I36" i="13"/>
  <c r="J36" i="13"/>
  <c r="K36" i="13"/>
  <c r="G37" i="13"/>
  <c r="H37" i="13"/>
  <c r="I37" i="13"/>
  <c r="J37" i="13"/>
  <c r="K37" i="13"/>
  <c r="G38" i="13"/>
  <c r="H38" i="13"/>
  <c r="I38" i="13"/>
  <c r="J38" i="13"/>
  <c r="K38" i="13"/>
  <c r="G39" i="13"/>
  <c r="H39" i="13"/>
  <c r="I39" i="13"/>
  <c r="J39" i="13"/>
  <c r="K39" i="13"/>
  <c r="G40" i="13"/>
  <c r="H40" i="13"/>
  <c r="I40" i="13"/>
  <c r="J40" i="13"/>
  <c r="K40" i="13"/>
  <c r="G45" i="13"/>
  <c r="H45" i="13"/>
  <c r="I45" i="13"/>
  <c r="J45" i="13"/>
  <c r="K45" i="13"/>
  <c r="G59" i="13"/>
  <c r="H59" i="13"/>
  <c r="I59" i="13"/>
  <c r="J59" i="13"/>
  <c r="K59" i="13"/>
  <c r="G43" i="13"/>
  <c r="H43" i="13"/>
  <c r="I43" i="13"/>
  <c r="J43" i="13"/>
  <c r="K43" i="13"/>
  <c r="G44" i="13"/>
  <c r="H44" i="13"/>
  <c r="I44" i="13"/>
  <c r="J44" i="13"/>
  <c r="K44" i="13"/>
  <c r="G1477" i="13"/>
  <c r="H1477" i="13"/>
  <c r="I1477" i="13"/>
  <c r="J1477" i="13"/>
  <c r="K1477" i="13"/>
  <c r="G46" i="13"/>
  <c r="H46" i="13"/>
  <c r="I46" i="13"/>
  <c r="J46" i="13"/>
  <c r="K46" i="13"/>
  <c r="G47" i="13"/>
  <c r="H47" i="13"/>
  <c r="I47" i="13"/>
  <c r="J47" i="13"/>
  <c r="K47" i="13"/>
  <c r="G48" i="13"/>
  <c r="H48" i="13"/>
  <c r="I48" i="13"/>
  <c r="J48" i="13"/>
  <c r="K48" i="13"/>
  <c r="G18" i="13"/>
  <c r="H18" i="13"/>
  <c r="I18" i="13"/>
  <c r="J18" i="13"/>
  <c r="K18" i="13"/>
  <c r="G164" i="13"/>
  <c r="H164" i="13"/>
  <c r="I164" i="13"/>
  <c r="J164" i="13"/>
  <c r="K164" i="13"/>
  <c r="G51" i="13"/>
  <c r="H51" i="13"/>
  <c r="I51" i="13"/>
  <c r="J51" i="13"/>
  <c r="K51" i="13"/>
  <c r="G52" i="13"/>
  <c r="H52" i="13"/>
  <c r="I52" i="13"/>
  <c r="J52" i="13"/>
  <c r="K52" i="13"/>
  <c r="G53" i="13"/>
  <c r="H53" i="13"/>
  <c r="I53" i="13"/>
  <c r="J53" i="13"/>
  <c r="K53" i="13"/>
  <c r="G55" i="13"/>
  <c r="H55" i="13"/>
  <c r="I55" i="13"/>
  <c r="J55" i="13"/>
  <c r="K55" i="13"/>
  <c r="G189" i="13"/>
  <c r="H189" i="13"/>
  <c r="I189" i="13"/>
  <c r="J189" i="13"/>
  <c r="K189" i="13"/>
  <c r="G528" i="13"/>
  <c r="H528" i="13"/>
  <c r="I528" i="13"/>
  <c r="J528" i="13"/>
  <c r="K528" i="13"/>
  <c r="G58" i="13"/>
  <c r="H58" i="13"/>
  <c r="I58" i="13"/>
  <c r="J58" i="13"/>
  <c r="K58" i="13"/>
  <c r="G15" i="13"/>
  <c r="H15" i="13"/>
  <c r="I15" i="13"/>
  <c r="J15" i="13"/>
  <c r="K15" i="13"/>
  <c r="G945" i="13"/>
  <c r="H945" i="13"/>
  <c r="I945" i="13"/>
  <c r="J945" i="13"/>
  <c r="K945" i="13"/>
  <c r="G1182" i="13"/>
  <c r="H1182" i="13"/>
  <c r="I1182" i="13"/>
  <c r="J1182" i="13"/>
  <c r="K1182" i="13"/>
  <c r="G158" i="13"/>
  <c r="H158" i="13"/>
  <c r="I158" i="13"/>
  <c r="J158" i="13"/>
  <c r="K158" i="13"/>
  <c r="G147" i="13"/>
  <c r="H147" i="13"/>
  <c r="I147" i="13"/>
  <c r="J147" i="13"/>
  <c r="K147" i="13"/>
  <c r="G41" i="13"/>
  <c r="H41" i="13"/>
  <c r="I41" i="13"/>
  <c r="J41" i="13"/>
  <c r="K41" i="13"/>
  <c r="G156" i="13"/>
  <c r="H156" i="13"/>
  <c r="I156" i="13"/>
  <c r="J156" i="13"/>
  <c r="K156" i="13"/>
  <c r="G65" i="13"/>
  <c r="H65" i="13"/>
  <c r="I65" i="13"/>
  <c r="J65" i="13"/>
  <c r="K65" i="13"/>
  <c r="G224" i="13"/>
  <c r="H224" i="13"/>
  <c r="I224" i="13"/>
  <c r="J224" i="13"/>
  <c r="K224" i="13"/>
  <c r="G1221" i="13"/>
  <c r="H1221" i="13"/>
  <c r="I1221" i="13"/>
  <c r="J1221" i="13"/>
  <c r="K1221" i="13"/>
  <c r="G480" i="13"/>
  <c r="H480" i="13"/>
  <c r="I480" i="13"/>
  <c r="J480" i="13"/>
  <c r="K480" i="13"/>
  <c r="G117" i="13"/>
  <c r="H117" i="13"/>
  <c r="I117" i="13"/>
  <c r="J117" i="13"/>
  <c r="K117" i="13"/>
  <c r="G70" i="13"/>
  <c r="H70" i="13"/>
  <c r="I70" i="13"/>
  <c r="J70" i="13"/>
  <c r="K70" i="13"/>
  <c r="G71" i="13"/>
  <c r="H71" i="13"/>
  <c r="I71" i="13"/>
  <c r="J71" i="13"/>
  <c r="K71" i="13"/>
  <c r="G72" i="13"/>
  <c r="H72" i="13"/>
  <c r="I72" i="13"/>
  <c r="J72" i="13"/>
  <c r="K72" i="13"/>
  <c r="G57" i="13"/>
  <c r="H57" i="13"/>
  <c r="I57" i="13"/>
  <c r="J57" i="13"/>
  <c r="K57" i="13"/>
  <c r="G606" i="13"/>
  <c r="H606" i="13"/>
  <c r="I606" i="13"/>
  <c r="J606" i="13"/>
  <c r="K606" i="13"/>
  <c r="G144" i="13"/>
  <c r="H144" i="13"/>
  <c r="I144" i="13"/>
  <c r="J144" i="13"/>
  <c r="K144" i="13"/>
  <c r="G618" i="13"/>
  <c r="H618" i="13"/>
  <c r="I618" i="13"/>
  <c r="J618" i="13"/>
  <c r="K618" i="13"/>
  <c r="G619" i="13"/>
  <c r="H619" i="13"/>
  <c r="I619" i="13"/>
  <c r="J619" i="13"/>
  <c r="K619" i="13"/>
  <c r="G475" i="13"/>
  <c r="H475" i="13"/>
  <c r="I475" i="13"/>
  <c r="J475" i="13"/>
  <c r="K475" i="13"/>
  <c r="G79" i="13"/>
  <c r="H79" i="13"/>
  <c r="I79" i="13"/>
  <c r="J79" i="13"/>
  <c r="K79" i="13"/>
  <c r="G80" i="13"/>
  <c r="H80" i="13"/>
  <c r="I80" i="13"/>
  <c r="J80" i="13"/>
  <c r="K80" i="13"/>
  <c r="G81" i="13"/>
  <c r="H81" i="13"/>
  <c r="I81" i="13"/>
  <c r="J81" i="13"/>
  <c r="K81" i="13"/>
  <c r="G82" i="13"/>
  <c r="H82" i="13"/>
  <c r="I82" i="13"/>
  <c r="J82" i="13"/>
  <c r="K82" i="13"/>
  <c r="G83" i="13"/>
  <c r="H83" i="13"/>
  <c r="I83" i="13"/>
  <c r="J83" i="13"/>
  <c r="K83" i="13"/>
  <c r="G84" i="13"/>
  <c r="H84" i="13"/>
  <c r="I84" i="13"/>
  <c r="J84" i="13"/>
  <c r="K84" i="13"/>
  <c r="G85" i="13"/>
  <c r="H85" i="13"/>
  <c r="I85" i="13"/>
  <c r="J85" i="13"/>
  <c r="K85" i="13"/>
  <c r="G86" i="13"/>
  <c r="H86" i="13"/>
  <c r="I86" i="13"/>
  <c r="J86" i="13"/>
  <c r="K86" i="13"/>
  <c r="G87" i="13"/>
  <c r="H87" i="13"/>
  <c r="I87" i="13"/>
  <c r="J87" i="13"/>
  <c r="K87" i="13"/>
  <c r="G88" i="13"/>
  <c r="H88" i="13"/>
  <c r="I88" i="13"/>
  <c r="J88" i="13"/>
  <c r="K88" i="13"/>
  <c r="G89" i="13"/>
  <c r="H89" i="13"/>
  <c r="I89" i="13"/>
  <c r="J89" i="13"/>
  <c r="K89" i="13"/>
  <c r="G90" i="13"/>
  <c r="H90" i="13"/>
  <c r="I90" i="13"/>
  <c r="J90" i="13"/>
  <c r="K90" i="13"/>
  <c r="G91" i="13"/>
  <c r="H91" i="13"/>
  <c r="I91" i="13"/>
  <c r="J91" i="13"/>
  <c r="K91" i="13"/>
  <c r="G92" i="13"/>
  <c r="H92" i="13"/>
  <c r="I92" i="13"/>
  <c r="J92" i="13"/>
  <c r="K92" i="13"/>
  <c r="G93" i="13"/>
  <c r="H93" i="13"/>
  <c r="I93" i="13"/>
  <c r="J93" i="13"/>
  <c r="K93" i="13"/>
  <c r="G94" i="13"/>
  <c r="H94" i="13"/>
  <c r="I94" i="13"/>
  <c r="J94" i="13"/>
  <c r="K94" i="13"/>
  <c r="G95" i="13"/>
  <c r="H95" i="13"/>
  <c r="I95" i="13"/>
  <c r="J95" i="13"/>
  <c r="K95" i="13"/>
  <c r="G96" i="13"/>
  <c r="H96" i="13"/>
  <c r="I96" i="13"/>
  <c r="J96" i="13"/>
  <c r="K96" i="13"/>
  <c r="G97" i="13"/>
  <c r="H97" i="13"/>
  <c r="I97" i="13"/>
  <c r="J97" i="13"/>
  <c r="K97" i="13"/>
  <c r="G98" i="13"/>
  <c r="H98" i="13"/>
  <c r="I98" i="13"/>
  <c r="J98" i="13"/>
  <c r="K98" i="13"/>
  <c r="G99" i="13"/>
  <c r="H99" i="13"/>
  <c r="I99" i="13"/>
  <c r="J99" i="13"/>
  <c r="K99" i="13"/>
  <c r="G100" i="13"/>
  <c r="H100" i="13"/>
  <c r="I100" i="13"/>
  <c r="J100" i="13"/>
  <c r="K100" i="13"/>
  <c r="G101" i="13"/>
  <c r="H101" i="13"/>
  <c r="I101" i="13"/>
  <c r="J101" i="13"/>
  <c r="K101" i="13"/>
  <c r="G102" i="13"/>
  <c r="H102" i="13"/>
  <c r="I102" i="13"/>
  <c r="J102" i="13"/>
  <c r="K102" i="13"/>
  <c r="G103" i="13"/>
  <c r="H103" i="13"/>
  <c r="I103" i="13"/>
  <c r="J103" i="13"/>
  <c r="K103" i="13"/>
  <c r="G104" i="13"/>
  <c r="H104" i="13"/>
  <c r="I104" i="13"/>
  <c r="J104" i="13"/>
  <c r="K104" i="13"/>
  <c r="G105" i="13"/>
  <c r="H105" i="13"/>
  <c r="I105" i="13"/>
  <c r="J105" i="13"/>
  <c r="K105" i="13"/>
  <c r="G106" i="13"/>
  <c r="H106" i="13"/>
  <c r="I106" i="13"/>
  <c r="J106" i="13"/>
  <c r="K106" i="13"/>
  <c r="G107" i="13"/>
  <c r="H107" i="13"/>
  <c r="I107" i="13"/>
  <c r="J107" i="13"/>
  <c r="K107" i="13"/>
  <c r="G1080" i="13"/>
  <c r="H1080" i="13"/>
  <c r="I1080" i="13"/>
  <c r="J1080" i="13"/>
  <c r="K1080" i="13"/>
  <c r="G1185" i="13"/>
  <c r="H1185" i="13"/>
  <c r="I1185" i="13"/>
  <c r="J1185" i="13"/>
  <c r="K1185" i="13"/>
  <c r="G954" i="13"/>
  <c r="H954" i="13"/>
  <c r="I954" i="13"/>
  <c r="J954" i="13"/>
  <c r="K954" i="13"/>
  <c r="G1206" i="13"/>
  <c r="H1206" i="13"/>
  <c r="I1206" i="13"/>
  <c r="J1206" i="13"/>
  <c r="K1206" i="13"/>
  <c r="G13" i="13"/>
  <c r="H13" i="13"/>
  <c r="I13" i="13"/>
  <c r="J13" i="13"/>
  <c r="K13" i="13"/>
  <c r="G1081" i="13"/>
  <c r="H1081" i="13"/>
  <c r="I1081" i="13"/>
  <c r="J1081" i="13"/>
  <c r="K1081" i="13"/>
  <c r="G1186" i="13"/>
  <c r="H1186" i="13"/>
  <c r="I1186" i="13"/>
  <c r="J1186" i="13"/>
  <c r="K1186" i="13"/>
  <c r="G1133" i="13"/>
  <c r="H1133" i="13"/>
  <c r="I1133" i="13"/>
  <c r="J1133" i="13"/>
  <c r="K1133" i="13"/>
  <c r="G1180" i="13"/>
  <c r="H1180" i="13"/>
  <c r="I1180" i="13"/>
  <c r="J1180" i="13"/>
  <c r="K1180" i="13"/>
  <c r="G1184" i="13"/>
  <c r="H1184" i="13"/>
  <c r="I1184" i="13"/>
  <c r="J1184" i="13"/>
  <c r="K1184" i="13"/>
  <c r="G947" i="13"/>
  <c r="H947" i="13"/>
  <c r="I947" i="13"/>
  <c r="J947" i="13"/>
  <c r="K947" i="13"/>
  <c r="G1385" i="13"/>
  <c r="H1385" i="13"/>
  <c r="I1385" i="13"/>
  <c r="J1385" i="13"/>
  <c r="K1385" i="13"/>
  <c r="G120" i="13"/>
  <c r="H120" i="13"/>
  <c r="I120" i="13"/>
  <c r="J120" i="13"/>
  <c r="K120" i="13"/>
  <c r="G1470" i="13"/>
  <c r="H1470" i="13"/>
  <c r="I1470" i="13"/>
  <c r="J1470" i="13"/>
  <c r="K1470" i="13"/>
  <c r="G476" i="13"/>
  <c r="H476" i="13"/>
  <c r="I476" i="13"/>
  <c r="J476" i="13"/>
  <c r="K476" i="13"/>
  <c r="G1202" i="13"/>
  <c r="H1202" i="13"/>
  <c r="I1202" i="13"/>
  <c r="J1202" i="13"/>
  <c r="K1202" i="13"/>
  <c r="G1386" i="13"/>
  <c r="H1386" i="13"/>
  <c r="I1386" i="13"/>
  <c r="J1386" i="13"/>
  <c r="K1386" i="13"/>
  <c r="G1198" i="13"/>
  <c r="H1198" i="13"/>
  <c r="I1198" i="13"/>
  <c r="J1198" i="13"/>
  <c r="K1198" i="13"/>
  <c r="G126" i="13"/>
  <c r="H126" i="13"/>
  <c r="I126" i="13"/>
  <c r="J126" i="13"/>
  <c r="K126" i="13"/>
  <c r="G127" i="13"/>
  <c r="H127" i="13"/>
  <c r="I127" i="13"/>
  <c r="J127" i="13"/>
  <c r="K127" i="13"/>
  <c r="G128" i="13"/>
  <c r="H128" i="13"/>
  <c r="I128" i="13"/>
  <c r="J128" i="13"/>
  <c r="K128" i="13"/>
  <c r="G129" i="13"/>
  <c r="H129" i="13"/>
  <c r="I129" i="13"/>
  <c r="J129" i="13"/>
  <c r="K129" i="13"/>
  <c r="G130" i="13"/>
  <c r="H130" i="13"/>
  <c r="I130" i="13"/>
  <c r="J130" i="13"/>
  <c r="K130" i="13"/>
  <c r="G131" i="13"/>
  <c r="H131" i="13"/>
  <c r="I131" i="13"/>
  <c r="J131" i="13"/>
  <c r="K131" i="13"/>
  <c r="G132" i="13"/>
  <c r="H132" i="13"/>
  <c r="I132" i="13"/>
  <c r="J132" i="13"/>
  <c r="K132" i="13"/>
  <c r="G133" i="13"/>
  <c r="H133" i="13"/>
  <c r="I133" i="13"/>
  <c r="J133" i="13"/>
  <c r="K133" i="13"/>
  <c r="G134" i="13"/>
  <c r="H134" i="13"/>
  <c r="I134" i="13"/>
  <c r="J134" i="13"/>
  <c r="K134" i="13"/>
  <c r="G135" i="13"/>
  <c r="H135" i="13"/>
  <c r="I135" i="13"/>
  <c r="J135" i="13"/>
  <c r="K135" i="13"/>
  <c r="G136" i="13"/>
  <c r="H136" i="13"/>
  <c r="I136" i="13"/>
  <c r="J136" i="13"/>
  <c r="K136" i="13"/>
  <c r="G137" i="13"/>
  <c r="H137" i="13"/>
  <c r="I137" i="13"/>
  <c r="J137" i="13"/>
  <c r="K137" i="13"/>
  <c r="G138" i="13"/>
  <c r="H138" i="13"/>
  <c r="I138" i="13"/>
  <c r="J138" i="13"/>
  <c r="K138" i="13"/>
  <c r="G139" i="13"/>
  <c r="H139" i="13"/>
  <c r="I139" i="13"/>
  <c r="J139" i="13"/>
  <c r="K139" i="13"/>
  <c r="G140" i="13"/>
  <c r="H140" i="13"/>
  <c r="I140" i="13"/>
  <c r="J140" i="13"/>
  <c r="K140" i="13"/>
  <c r="G141" i="13"/>
  <c r="H141" i="13"/>
  <c r="I141" i="13"/>
  <c r="J141" i="13"/>
  <c r="K141" i="13"/>
  <c r="G142" i="13"/>
  <c r="H142" i="13"/>
  <c r="I142" i="13"/>
  <c r="J142" i="13"/>
  <c r="K142" i="13"/>
  <c r="G143" i="13"/>
  <c r="H143" i="13"/>
  <c r="I143" i="13"/>
  <c r="J143" i="13"/>
  <c r="K143" i="13"/>
  <c r="G21" i="13"/>
  <c r="H21" i="13"/>
  <c r="I21" i="13"/>
  <c r="J21" i="13"/>
  <c r="K21" i="13"/>
  <c r="G145" i="13"/>
  <c r="H145" i="13"/>
  <c r="I145" i="13"/>
  <c r="J145" i="13"/>
  <c r="K145" i="13"/>
  <c r="G11" i="13"/>
  <c r="H11" i="13"/>
  <c r="I11" i="13"/>
  <c r="J11" i="13"/>
  <c r="K11" i="13"/>
  <c r="G109" i="13"/>
  <c r="H109" i="13"/>
  <c r="I109" i="13"/>
  <c r="J109" i="13"/>
  <c r="K109" i="13"/>
  <c r="G225" i="13"/>
  <c r="H225" i="13"/>
  <c r="I225" i="13"/>
  <c r="J225" i="13"/>
  <c r="K225" i="13"/>
  <c r="G56" i="13"/>
  <c r="H56" i="13"/>
  <c r="I56" i="13"/>
  <c r="J56" i="13"/>
  <c r="K56" i="13"/>
  <c r="G1222" i="13"/>
  <c r="H1222" i="13"/>
  <c r="I1222" i="13"/>
  <c r="J1222" i="13"/>
  <c r="K1222" i="13"/>
  <c r="G151" i="13"/>
  <c r="H151" i="13"/>
  <c r="I151" i="13"/>
  <c r="J151" i="13"/>
  <c r="K151" i="13"/>
  <c r="G206" i="13"/>
  <c r="H206" i="13"/>
  <c r="I206" i="13"/>
  <c r="J206" i="13"/>
  <c r="K206" i="13"/>
  <c r="G153" i="13"/>
  <c r="H153" i="13"/>
  <c r="I153" i="13"/>
  <c r="J153" i="13"/>
  <c r="K153" i="13"/>
  <c r="G154" i="13"/>
  <c r="H154" i="13"/>
  <c r="I154" i="13"/>
  <c r="J154" i="13"/>
  <c r="K154" i="13"/>
  <c r="G146" i="13"/>
  <c r="H146" i="13"/>
  <c r="I146" i="13"/>
  <c r="J146" i="13"/>
  <c r="K146" i="13"/>
  <c r="G525" i="13"/>
  <c r="H525" i="13"/>
  <c r="I525" i="13"/>
  <c r="J525" i="13"/>
  <c r="K525" i="13"/>
  <c r="G245" i="13"/>
  <c r="H245" i="13"/>
  <c r="I245" i="13"/>
  <c r="J245" i="13"/>
  <c r="K245" i="13"/>
  <c r="G150" i="13"/>
  <c r="H150" i="13"/>
  <c r="I150" i="13"/>
  <c r="J150" i="13"/>
  <c r="K150" i="13"/>
  <c r="G204" i="13"/>
  <c r="H204" i="13"/>
  <c r="I204" i="13"/>
  <c r="J204" i="13"/>
  <c r="K204" i="13"/>
  <c r="G213" i="13"/>
  <c r="H213" i="13"/>
  <c r="I213" i="13"/>
  <c r="J213" i="13"/>
  <c r="K213" i="13"/>
  <c r="G1229" i="13"/>
  <c r="H1229" i="13"/>
  <c r="I1229" i="13"/>
  <c r="J1229" i="13"/>
  <c r="K1229" i="13"/>
  <c r="G1220" i="13"/>
  <c r="H1220" i="13"/>
  <c r="I1220" i="13"/>
  <c r="J1220" i="13"/>
  <c r="K1220" i="13"/>
  <c r="G705" i="13"/>
  <c r="H705" i="13"/>
  <c r="I705" i="13"/>
  <c r="J705" i="13"/>
  <c r="K705" i="13"/>
  <c r="G1230" i="13"/>
  <c r="H1230" i="13"/>
  <c r="I1230" i="13"/>
  <c r="J1230" i="13"/>
  <c r="K1230" i="13"/>
  <c r="G851" i="13"/>
  <c r="H851" i="13"/>
  <c r="I851" i="13"/>
  <c r="J851" i="13"/>
  <c r="K851" i="13"/>
  <c r="G166" i="13"/>
  <c r="H166" i="13"/>
  <c r="I166" i="13"/>
  <c r="J166" i="13"/>
  <c r="K166" i="13"/>
  <c r="G1205" i="13"/>
  <c r="H1205" i="13"/>
  <c r="I1205" i="13"/>
  <c r="J1205" i="13"/>
  <c r="K1205" i="13"/>
  <c r="G1219" i="13"/>
  <c r="H1219" i="13"/>
  <c r="I1219" i="13"/>
  <c r="J1219" i="13"/>
  <c r="K1219" i="13"/>
  <c r="G169" i="13"/>
  <c r="H169" i="13"/>
  <c r="I169" i="13"/>
  <c r="J169" i="13"/>
  <c r="K169" i="13"/>
  <c r="G170" i="13"/>
  <c r="H170" i="13"/>
  <c r="I170" i="13"/>
  <c r="J170" i="13"/>
  <c r="K170" i="13"/>
  <c r="G171" i="13"/>
  <c r="H171" i="13"/>
  <c r="I171" i="13"/>
  <c r="J171" i="13"/>
  <c r="K171" i="13"/>
  <c r="G172" i="13"/>
  <c r="H172" i="13"/>
  <c r="I172" i="13"/>
  <c r="J172" i="13"/>
  <c r="K172" i="13"/>
  <c r="G173" i="13"/>
  <c r="H173" i="13"/>
  <c r="I173" i="13"/>
  <c r="J173" i="13"/>
  <c r="K173" i="13"/>
  <c r="G190" i="13"/>
  <c r="H190" i="13"/>
  <c r="I190" i="13"/>
  <c r="J190" i="13"/>
  <c r="K190" i="13"/>
  <c r="G202" i="13"/>
  <c r="H202" i="13"/>
  <c r="I202" i="13"/>
  <c r="J202" i="13"/>
  <c r="K202" i="13"/>
  <c r="G148" i="13"/>
  <c r="H148" i="13"/>
  <c r="I148" i="13"/>
  <c r="J148" i="13"/>
  <c r="K148" i="13"/>
  <c r="G1015" i="13"/>
  <c r="H1015" i="13"/>
  <c r="I1015" i="13"/>
  <c r="J1015" i="13"/>
  <c r="K1015" i="13"/>
  <c r="G1201" i="13"/>
  <c r="H1201" i="13"/>
  <c r="I1201" i="13"/>
  <c r="J1201" i="13"/>
  <c r="K1201" i="13"/>
  <c r="G1455" i="13"/>
  <c r="H1455" i="13"/>
  <c r="I1455" i="13"/>
  <c r="J1455" i="13"/>
  <c r="K1455" i="13"/>
  <c r="G180" i="13"/>
  <c r="H180" i="13"/>
  <c r="I180" i="13"/>
  <c r="J180" i="13"/>
  <c r="K180" i="13"/>
  <c r="G181" i="13"/>
  <c r="H181" i="13"/>
  <c r="I181" i="13"/>
  <c r="J181" i="13"/>
  <c r="K181" i="13"/>
  <c r="G182" i="13"/>
  <c r="H182" i="13"/>
  <c r="I182" i="13"/>
  <c r="J182" i="13"/>
  <c r="K182" i="13"/>
  <c r="G183" i="13"/>
  <c r="H183" i="13"/>
  <c r="I183" i="13"/>
  <c r="J183" i="13"/>
  <c r="K183" i="13"/>
  <c r="G184" i="13"/>
  <c r="H184" i="13"/>
  <c r="I184" i="13"/>
  <c r="J184" i="13"/>
  <c r="K184" i="13"/>
  <c r="G175" i="13"/>
  <c r="H175" i="13"/>
  <c r="I175" i="13"/>
  <c r="J175" i="13"/>
  <c r="K175" i="13"/>
  <c r="G233" i="13"/>
  <c r="H233" i="13"/>
  <c r="I233" i="13"/>
  <c r="J233" i="13"/>
  <c r="K233" i="13"/>
  <c r="G481" i="13"/>
  <c r="H481" i="13"/>
  <c r="I481" i="13"/>
  <c r="J481" i="13"/>
  <c r="K481" i="13"/>
  <c r="G215" i="13"/>
  <c r="H215" i="13"/>
  <c r="I215" i="13"/>
  <c r="J215" i="13"/>
  <c r="K215" i="13"/>
  <c r="G246" i="13"/>
  <c r="H246" i="13"/>
  <c r="I246" i="13"/>
  <c r="J246" i="13"/>
  <c r="K246" i="13"/>
  <c r="G958" i="13"/>
  <c r="H958" i="13"/>
  <c r="I958" i="13"/>
  <c r="J958" i="13"/>
  <c r="K958" i="13"/>
  <c r="G191" i="13"/>
  <c r="H191" i="13"/>
  <c r="I191" i="13"/>
  <c r="J191" i="13"/>
  <c r="K191" i="13"/>
  <c r="G192" i="13"/>
  <c r="H192" i="13"/>
  <c r="I192" i="13"/>
  <c r="J192" i="13"/>
  <c r="K192" i="13"/>
  <c r="G291" i="13"/>
  <c r="H291" i="13"/>
  <c r="I291" i="13"/>
  <c r="J291" i="13"/>
  <c r="K291" i="13"/>
  <c r="G226" i="13"/>
  <c r="H226" i="13"/>
  <c r="I226" i="13"/>
  <c r="J226" i="13"/>
  <c r="K226" i="13"/>
  <c r="G1083" i="13"/>
  <c r="H1083" i="13"/>
  <c r="I1083" i="13"/>
  <c r="J1083" i="13"/>
  <c r="K1083" i="13"/>
  <c r="G1246" i="13"/>
  <c r="H1246" i="13"/>
  <c r="I1246" i="13"/>
  <c r="J1246" i="13"/>
  <c r="K1246" i="13"/>
  <c r="G1187" i="13"/>
  <c r="H1187" i="13"/>
  <c r="I1187" i="13"/>
  <c r="J1187" i="13"/>
  <c r="K1187" i="13"/>
  <c r="G198" i="13"/>
  <c r="H198" i="13"/>
  <c r="I198" i="13"/>
  <c r="J198" i="13"/>
  <c r="K198" i="13"/>
  <c r="G199" i="13"/>
  <c r="H199" i="13"/>
  <c r="I199" i="13"/>
  <c r="J199" i="13"/>
  <c r="K199" i="13"/>
  <c r="G60" i="13"/>
  <c r="H60" i="13"/>
  <c r="I60" i="13"/>
  <c r="J60" i="13"/>
  <c r="K60" i="13"/>
  <c r="G1082" i="13"/>
  <c r="H1082" i="13"/>
  <c r="I1082" i="13"/>
  <c r="J1082" i="13"/>
  <c r="K1082" i="13"/>
  <c r="G956" i="13"/>
  <c r="H956" i="13"/>
  <c r="I956" i="13"/>
  <c r="J956" i="13"/>
  <c r="K956" i="13"/>
  <c r="G1207" i="13"/>
  <c r="H1207" i="13"/>
  <c r="I1207" i="13"/>
  <c r="J1207" i="13"/>
  <c r="K1207" i="13"/>
  <c r="G957" i="13"/>
  <c r="H957" i="13"/>
  <c r="I957" i="13"/>
  <c r="J957" i="13"/>
  <c r="K957" i="13"/>
  <c r="G3" i="13"/>
  <c r="H3" i="13"/>
  <c r="I3" i="13"/>
  <c r="J3" i="13"/>
  <c r="K3" i="13"/>
  <c r="G9" i="13"/>
  <c r="H9" i="13"/>
  <c r="I9" i="13"/>
  <c r="J9" i="13"/>
  <c r="K9" i="13"/>
  <c r="G163" i="13"/>
  <c r="H163" i="13"/>
  <c r="I163" i="13"/>
  <c r="J163" i="13"/>
  <c r="K163" i="13"/>
  <c r="G177" i="13"/>
  <c r="H177" i="13"/>
  <c r="I177" i="13"/>
  <c r="J177" i="13"/>
  <c r="K177" i="13"/>
  <c r="G472" i="13"/>
  <c r="H472" i="13"/>
  <c r="I472" i="13"/>
  <c r="J472" i="13"/>
  <c r="K472" i="13"/>
  <c r="G1213" i="13"/>
  <c r="H1213" i="13"/>
  <c r="I1213" i="13"/>
  <c r="J1213" i="13"/>
  <c r="K1213" i="13"/>
  <c r="G1312" i="13"/>
  <c r="H1312" i="13"/>
  <c r="I1312" i="13"/>
  <c r="J1312" i="13"/>
  <c r="K1312" i="13"/>
  <c r="G234" i="13"/>
  <c r="H234" i="13"/>
  <c r="I234" i="13"/>
  <c r="J234" i="13"/>
  <c r="K234" i="13"/>
  <c r="G378" i="13"/>
  <c r="H378" i="13"/>
  <c r="I378" i="13"/>
  <c r="J378" i="13"/>
  <c r="K378" i="13"/>
  <c r="G1011" i="13"/>
  <c r="H1011" i="13"/>
  <c r="I1011" i="13"/>
  <c r="J1011" i="13"/>
  <c r="K1011" i="13"/>
  <c r="G1086" i="13"/>
  <c r="H1086" i="13"/>
  <c r="I1086" i="13"/>
  <c r="J1086" i="13"/>
  <c r="K1086" i="13"/>
  <c r="G1087" i="13"/>
  <c r="H1087" i="13"/>
  <c r="I1087" i="13"/>
  <c r="J1087" i="13"/>
  <c r="K1087" i="13"/>
  <c r="G1188" i="13"/>
  <c r="H1188" i="13"/>
  <c r="I1188" i="13"/>
  <c r="J1188" i="13"/>
  <c r="K1188" i="13"/>
  <c r="G1010" i="13"/>
  <c r="H1010" i="13"/>
  <c r="I1010" i="13"/>
  <c r="J1010" i="13"/>
  <c r="K1010" i="13"/>
  <c r="G1311" i="13"/>
  <c r="H1311" i="13"/>
  <c r="I1311" i="13"/>
  <c r="J1311" i="13"/>
  <c r="K1311" i="13"/>
  <c r="G524" i="13"/>
  <c r="H524" i="13"/>
  <c r="I524" i="13"/>
  <c r="J524" i="13"/>
  <c r="K524" i="13"/>
  <c r="G223" i="13"/>
  <c r="H223" i="13"/>
  <c r="I223" i="13"/>
  <c r="J223" i="13"/>
  <c r="K223" i="13"/>
  <c r="G222" i="13"/>
  <c r="H222" i="13"/>
  <c r="I222" i="13"/>
  <c r="J222" i="13"/>
  <c r="K222" i="13"/>
  <c r="G1448" i="13"/>
  <c r="H1448" i="13"/>
  <c r="I1448" i="13"/>
  <c r="J1448" i="13"/>
  <c r="K1448" i="13"/>
  <c r="G1324" i="13"/>
  <c r="H1324" i="13"/>
  <c r="I1324" i="13"/>
  <c r="J1324" i="13"/>
  <c r="K1324" i="13"/>
  <c r="G1456" i="13"/>
  <c r="H1456" i="13"/>
  <c r="I1456" i="13"/>
  <c r="J1456" i="13"/>
  <c r="K1456" i="13"/>
  <c r="G1208" i="13"/>
  <c r="H1208" i="13"/>
  <c r="I1208" i="13"/>
  <c r="J1208" i="13"/>
  <c r="K1208" i="13"/>
  <c r="G382" i="13"/>
  <c r="H382" i="13"/>
  <c r="I382" i="13"/>
  <c r="J382" i="13"/>
  <c r="K382" i="13"/>
  <c r="G238" i="13"/>
  <c r="H238" i="13"/>
  <c r="I238" i="13"/>
  <c r="J238" i="13"/>
  <c r="K238" i="13"/>
  <c r="G1317" i="13"/>
  <c r="H1317" i="13"/>
  <c r="I1317" i="13"/>
  <c r="J1317" i="13"/>
  <c r="K1317" i="13"/>
  <c r="G1475" i="13"/>
  <c r="H1475" i="13"/>
  <c r="I1475" i="13"/>
  <c r="J1475" i="13"/>
  <c r="K1475" i="13"/>
  <c r="G1316" i="13"/>
  <c r="H1316" i="13"/>
  <c r="I1316" i="13"/>
  <c r="J1316" i="13"/>
  <c r="K1316" i="13"/>
  <c r="G1406" i="13"/>
  <c r="H1406" i="13"/>
  <c r="I1406" i="13"/>
  <c r="J1406" i="13"/>
  <c r="K1406" i="13"/>
  <c r="G1090" i="13"/>
  <c r="H1090" i="13"/>
  <c r="I1090" i="13"/>
  <c r="J1090" i="13"/>
  <c r="K1090" i="13"/>
  <c r="G1457" i="13"/>
  <c r="H1457" i="13"/>
  <c r="I1457" i="13"/>
  <c r="J1457" i="13"/>
  <c r="K1457" i="13"/>
  <c r="G1325" i="13"/>
  <c r="H1325" i="13"/>
  <c r="I1325" i="13"/>
  <c r="J1325" i="13"/>
  <c r="K1325" i="13"/>
  <c r="G1313" i="13"/>
  <c r="H1313" i="13"/>
  <c r="I1313" i="13"/>
  <c r="J1313" i="13"/>
  <c r="K1313" i="13"/>
  <c r="G1314" i="13"/>
  <c r="H1314" i="13"/>
  <c r="I1314" i="13"/>
  <c r="J1314" i="13"/>
  <c r="K1314" i="13"/>
  <c r="G965" i="13"/>
  <c r="H965" i="13"/>
  <c r="I965" i="13"/>
  <c r="J965" i="13"/>
  <c r="K965" i="13"/>
  <c r="G1453" i="13"/>
  <c r="H1453" i="13"/>
  <c r="I1453" i="13"/>
  <c r="J1453" i="13"/>
  <c r="K1453" i="13"/>
  <c r="G1461" i="13"/>
  <c r="H1461" i="13"/>
  <c r="I1461" i="13"/>
  <c r="J1461" i="13"/>
  <c r="K1461" i="13"/>
  <c r="G1458" i="13"/>
  <c r="H1458" i="13"/>
  <c r="I1458" i="13"/>
  <c r="J1458" i="13"/>
  <c r="K1458" i="13"/>
  <c r="G1454" i="13"/>
  <c r="H1454" i="13"/>
  <c r="I1454" i="13"/>
  <c r="J1454" i="13"/>
  <c r="K1454" i="13"/>
  <c r="G1389" i="13"/>
  <c r="H1389" i="13"/>
  <c r="I1389" i="13"/>
  <c r="J1389" i="13"/>
  <c r="K1389" i="13"/>
  <c r="G244" i="13"/>
  <c r="H244" i="13"/>
  <c r="I244" i="13"/>
  <c r="J244" i="13"/>
  <c r="K244" i="13"/>
  <c r="G1471" i="13"/>
  <c r="H1471" i="13"/>
  <c r="I1471" i="13"/>
  <c r="J1471" i="13"/>
  <c r="K1471" i="13"/>
  <c r="G1414" i="13"/>
  <c r="H1414" i="13"/>
  <c r="I1414" i="13"/>
  <c r="J1414" i="13"/>
  <c r="K1414" i="13"/>
  <c r="G247" i="13"/>
  <c r="H247" i="13"/>
  <c r="I247" i="13"/>
  <c r="J247" i="13"/>
  <c r="K247" i="13"/>
  <c r="G248" i="13"/>
  <c r="H248" i="13"/>
  <c r="I248" i="13"/>
  <c r="J248" i="13"/>
  <c r="K248" i="13"/>
  <c r="G249" i="13"/>
  <c r="H249" i="13"/>
  <c r="I249" i="13"/>
  <c r="J249" i="13"/>
  <c r="K249" i="13"/>
  <c r="G250" i="13"/>
  <c r="H250" i="13"/>
  <c r="I250" i="13"/>
  <c r="J250" i="13"/>
  <c r="K250" i="13"/>
  <c r="G251" i="13"/>
  <c r="H251" i="13"/>
  <c r="I251" i="13"/>
  <c r="J251" i="13"/>
  <c r="K251" i="13"/>
  <c r="G252" i="13"/>
  <c r="H252" i="13"/>
  <c r="I252" i="13"/>
  <c r="J252" i="13"/>
  <c r="K252" i="13"/>
  <c r="G253" i="13"/>
  <c r="H253" i="13"/>
  <c r="I253" i="13"/>
  <c r="J253" i="13"/>
  <c r="K253" i="13"/>
  <c r="G254" i="13"/>
  <c r="H254" i="13"/>
  <c r="I254" i="13"/>
  <c r="J254" i="13"/>
  <c r="K254" i="13"/>
  <c r="G255" i="13"/>
  <c r="H255" i="13"/>
  <c r="I255" i="13"/>
  <c r="J255" i="13"/>
  <c r="K255" i="13"/>
  <c r="G256" i="13"/>
  <c r="H256" i="13"/>
  <c r="I256" i="13"/>
  <c r="J256" i="13"/>
  <c r="K256" i="13"/>
  <c r="G257" i="13"/>
  <c r="H257" i="13"/>
  <c r="I257" i="13"/>
  <c r="J257" i="13"/>
  <c r="K257" i="13"/>
  <c r="G258" i="13"/>
  <c r="H258" i="13"/>
  <c r="I258" i="13"/>
  <c r="J258" i="13"/>
  <c r="K258" i="13"/>
  <c r="G259" i="13"/>
  <c r="H259" i="13"/>
  <c r="I259" i="13"/>
  <c r="J259" i="13"/>
  <c r="K259" i="13"/>
  <c r="G260" i="13"/>
  <c r="H260" i="13"/>
  <c r="I260" i="13"/>
  <c r="J260" i="13"/>
  <c r="K260" i="13"/>
  <c r="G261" i="13"/>
  <c r="H261" i="13"/>
  <c r="I261" i="13"/>
  <c r="J261" i="13"/>
  <c r="K261" i="13"/>
  <c r="G262" i="13"/>
  <c r="H262" i="13"/>
  <c r="I262" i="13"/>
  <c r="J262" i="13"/>
  <c r="K262" i="13"/>
  <c r="G263" i="13"/>
  <c r="H263" i="13"/>
  <c r="I263" i="13"/>
  <c r="J263" i="13"/>
  <c r="K263" i="13"/>
  <c r="G264" i="13"/>
  <c r="H264" i="13"/>
  <c r="I264" i="13"/>
  <c r="J264" i="13"/>
  <c r="K264" i="13"/>
  <c r="G265" i="13"/>
  <c r="H265" i="13"/>
  <c r="I265" i="13"/>
  <c r="J265" i="13"/>
  <c r="K265" i="13"/>
  <c r="G266" i="13"/>
  <c r="H266" i="13"/>
  <c r="I266" i="13"/>
  <c r="J266" i="13"/>
  <c r="K266" i="13"/>
  <c r="G267" i="13"/>
  <c r="H267" i="13"/>
  <c r="I267" i="13"/>
  <c r="J267" i="13"/>
  <c r="K267" i="13"/>
  <c r="G268" i="13"/>
  <c r="H268" i="13"/>
  <c r="I268" i="13"/>
  <c r="J268" i="13"/>
  <c r="K268" i="13"/>
  <c r="G269" i="13"/>
  <c r="H269" i="13"/>
  <c r="I269" i="13"/>
  <c r="J269" i="13"/>
  <c r="K269" i="13"/>
  <c r="G270" i="13"/>
  <c r="H270" i="13"/>
  <c r="I270" i="13"/>
  <c r="J270" i="13"/>
  <c r="K270" i="13"/>
  <c r="G271" i="13"/>
  <c r="H271" i="13"/>
  <c r="I271" i="13"/>
  <c r="J271" i="13"/>
  <c r="K271" i="13"/>
  <c r="G272" i="13"/>
  <c r="H272" i="13"/>
  <c r="I272" i="13"/>
  <c r="J272" i="13"/>
  <c r="K272" i="13"/>
  <c r="G273" i="13"/>
  <c r="H273" i="13"/>
  <c r="I273" i="13"/>
  <c r="J273" i="13"/>
  <c r="K273" i="13"/>
  <c r="G274" i="13"/>
  <c r="H274" i="13"/>
  <c r="I274" i="13"/>
  <c r="J274" i="13"/>
  <c r="K274" i="13"/>
  <c r="G275" i="13"/>
  <c r="H275" i="13"/>
  <c r="I275" i="13"/>
  <c r="J275" i="13"/>
  <c r="K275" i="13"/>
  <c r="G276" i="13"/>
  <c r="H276" i="13"/>
  <c r="I276" i="13"/>
  <c r="J276" i="13"/>
  <c r="K276" i="13"/>
  <c r="G277" i="13"/>
  <c r="H277" i="13"/>
  <c r="I277" i="13"/>
  <c r="J277" i="13"/>
  <c r="K277" i="13"/>
  <c r="G278" i="13"/>
  <c r="H278" i="13"/>
  <c r="I278" i="13"/>
  <c r="J278" i="13"/>
  <c r="K278" i="13"/>
  <c r="G279" i="13"/>
  <c r="H279" i="13"/>
  <c r="I279" i="13"/>
  <c r="J279" i="13"/>
  <c r="K279" i="13"/>
  <c r="G280" i="13"/>
  <c r="H280" i="13"/>
  <c r="I280" i="13"/>
  <c r="J280" i="13"/>
  <c r="K280" i="13"/>
  <c r="G281" i="13"/>
  <c r="H281" i="13"/>
  <c r="I281" i="13"/>
  <c r="J281" i="13"/>
  <c r="K281" i="13"/>
  <c r="G282" i="13"/>
  <c r="H282" i="13"/>
  <c r="I282" i="13"/>
  <c r="J282" i="13"/>
  <c r="K282" i="13"/>
  <c r="G283" i="13"/>
  <c r="H283" i="13"/>
  <c r="I283" i="13"/>
  <c r="J283" i="13"/>
  <c r="K283" i="13"/>
  <c r="G284" i="13"/>
  <c r="H284" i="13"/>
  <c r="I284" i="13"/>
  <c r="J284" i="13"/>
  <c r="K284" i="13"/>
  <c r="G285" i="13"/>
  <c r="H285" i="13"/>
  <c r="I285" i="13"/>
  <c r="J285" i="13"/>
  <c r="K285" i="13"/>
  <c r="G286" i="13"/>
  <c r="H286" i="13"/>
  <c r="I286" i="13"/>
  <c r="J286" i="13"/>
  <c r="K286" i="13"/>
  <c r="G287" i="13"/>
  <c r="H287" i="13"/>
  <c r="I287" i="13"/>
  <c r="J287" i="13"/>
  <c r="K287" i="13"/>
  <c r="G288" i="13"/>
  <c r="H288" i="13"/>
  <c r="I288" i="13"/>
  <c r="J288" i="13"/>
  <c r="K288" i="13"/>
  <c r="G289" i="13"/>
  <c r="H289" i="13"/>
  <c r="I289" i="13"/>
  <c r="J289" i="13"/>
  <c r="K289" i="13"/>
  <c r="G290" i="13"/>
  <c r="H290" i="13"/>
  <c r="I290" i="13"/>
  <c r="J290" i="13"/>
  <c r="K290" i="13"/>
  <c r="G1315" i="13"/>
  <c r="H1315" i="13"/>
  <c r="I1315" i="13"/>
  <c r="J1315" i="13"/>
  <c r="K1315" i="13"/>
  <c r="G1322" i="13"/>
  <c r="H1322" i="13"/>
  <c r="I1322" i="13"/>
  <c r="J1322" i="13"/>
  <c r="K1322" i="13"/>
  <c r="G293" i="13"/>
  <c r="H293" i="13"/>
  <c r="I293" i="13"/>
  <c r="J293" i="13"/>
  <c r="K293" i="13"/>
  <c r="G294" i="13"/>
  <c r="H294" i="13"/>
  <c r="I294" i="13"/>
  <c r="J294" i="13"/>
  <c r="K294" i="13"/>
  <c r="G295" i="13"/>
  <c r="H295" i="13"/>
  <c r="I295" i="13"/>
  <c r="J295" i="13"/>
  <c r="K295" i="13"/>
  <c r="G296" i="13"/>
  <c r="H296" i="13"/>
  <c r="I296" i="13"/>
  <c r="J296" i="13"/>
  <c r="K296" i="13"/>
  <c r="G297" i="13"/>
  <c r="H297" i="13"/>
  <c r="I297" i="13"/>
  <c r="J297" i="13"/>
  <c r="K297" i="13"/>
  <c r="G298" i="13"/>
  <c r="H298" i="13"/>
  <c r="I298" i="13"/>
  <c r="J298" i="13"/>
  <c r="K298" i="13"/>
  <c r="G299" i="13"/>
  <c r="H299" i="13"/>
  <c r="I299" i="13"/>
  <c r="J299" i="13"/>
  <c r="K299" i="13"/>
  <c r="G300" i="13"/>
  <c r="H300" i="13"/>
  <c r="I300" i="13"/>
  <c r="J300" i="13"/>
  <c r="K300" i="13"/>
  <c r="G301" i="13"/>
  <c r="H301" i="13"/>
  <c r="I301" i="13"/>
  <c r="J301" i="13"/>
  <c r="K301" i="13"/>
  <c r="G302" i="13"/>
  <c r="H302" i="13"/>
  <c r="I302" i="13"/>
  <c r="J302" i="13"/>
  <c r="K302" i="13"/>
  <c r="G303" i="13"/>
  <c r="H303" i="13"/>
  <c r="I303" i="13"/>
  <c r="J303" i="13"/>
  <c r="K303" i="13"/>
  <c r="G304" i="13"/>
  <c r="H304" i="13"/>
  <c r="I304" i="13"/>
  <c r="J304" i="13"/>
  <c r="K304" i="13"/>
  <c r="G305" i="13"/>
  <c r="H305" i="13"/>
  <c r="I305" i="13"/>
  <c r="J305" i="13"/>
  <c r="K305" i="13"/>
  <c r="G306" i="13"/>
  <c r="H306" i="13"/>
  <c r="I306" i="13"/>
  <c r="J306" i="13"/>
  <c r="K306" i="13"/>
  <c r="G307" i="13"/>
  <c r="H307" i="13"/>
  <c r="I307" i="13"/>
  <c r="J307" i="13"/>
  <c r="K307" i="13"/>
  <c r="G308" i="13"/>
  <c r="H308" i="13"/>
  <c r="I308" i="13"/>
  <c r="J308" i="13"/>
  <c r="K308" i="13"/>
  <c r="G309" i="13"/>
  <c r="H309" i="13"/>
  <c r="I309" i="13"/>
  <c r="J309" i="13"/>
  <c r="K309" i="13"/>
  <c r="G310" i="13"/>
  <c r="H310" i="13"/>
  <c r="I310" i="13"/>
  <c r="J310" i="13"/>
  <c r="K310" i="13"/>
  <c r="G311" i="13"/>
  <c r="H311" i="13"/>
  <c r="I311" i="13"/>
  <c r="J311" i="13"/>
  <c r="K311" i="13"/>
  <c r="G312" i="13"/>
  <c r="H312" i="13"/>
  <c r="I312" i="13"/>
  <c r="J312" i="13"/>
  <c r="K312" i="13"/>
  <c r="G313" i="13"/>
  <c r="H313" i="13"/>
  <c r="I313" i="13"/>
  <c r="J313" i="13"/>
  <c r="K313" i="13"/>
  <c r="G314" i="13"/>
  <c r="H314" i="13"/>
  <c r="I314" i="13"/>
  <c r="J314" i="13"/>
  <c r="K314" i="13"/>
  <c r="G315" i="13"/>
  <c r="H315" i="13"/>
  <c r="I315" i="13"/>
  <c r="J315" i="13"/>
  <c r="K315" i="13"/>
  <c r="G316" i="13"/>
  <c r="H316" i="13"/>
  <c r="I316" i="13"/>
  <c r="J316" i="13"/>
  <c r="K316" i="13"/>
  <c r="G317" i="13"/>
  <c r="H317" i="13"/>
  <c r="I317" i="13"/>
  <c r="J317" i="13"/>
  <c r="K317" i="13"/>
  <c r="G8" i="13"/>
  <c r="H8" i="13"/>
  <c r="I8" i="13"/>
  <c r="J8" i="13"/>
  <c r="K8" i="13"/>
  <c r="G319" i="13"/>
  <c r="H319" i="13"/>
  <c r="I319" i="13"/>
  <c r="J319" i="13"/>
  <c r="K319" i="13"/>
  <c r="G320" i="13"/>
  <c r="H320" i="13"/>
  <c r="I320" i="13"/>
  <c r="J320" i="13"/>
  <c r="K320" i="13"/>
  <c r="G321" i="13"/>
  <c r="H321" i="13"/>
  <c r="I321" i="13"/>
  <c r="J321" i="13"/>
  <c r="K321" i="13"/>
  <c r="G322" i="13"/>
  <c r="H322" i="13"/>
  <c r="I322" i="13"/>
  <c r="J322" i="13"/>
  <c r="K322" i="13"/>
  <c r="G323" i="13"/>
  <c r="H323" i="13"/>
  <c r="I323" i="13"/>
  <c r="J323" i="13"/>
  <c r="K323" i="13"/>
  <c r="G324" i="13"/>
  <c r="H324" i="13"/>
  <c r="I324" i="13"/>
  <c r="J324" i="13"/>
  <c r="K324" i="13"/>
  <c r="G325" i="13"/>
  <c r="H325" i="13"/>
  <c r="I325" i="13"/>
  <c r="J325" i="13"/>
  <c r="K325" i="13"/>
  <c r="G326" i="13"/>
  <c r="H326" i="13"/>
  <c r="I326" i="13"/>
  <c r="J326" i="13"/>
  <c r="K326" i="13"/>
  <c r="G327" i="13"/>
  <c r="H327" i="13"/>
  <c r="I327" i="13"/>
  <c r="J327" i="13"/>
  <c r="K327" i="13"/>
  <c r="G328" i="13"/>
  <c r="H328" i="13"/>
  <c r="I328" i="13"/>
  <c r="J328" i="13"/>
  <c r="K328" i="13"/>
  <c r="G329" i="13"/>
  <c r="H329" i="13"/>
  <c r="I329" i="13"/>
  <c r="J329" i="13"/>
  <c r="K329" i="13"/>
  <c r="G330" i="13"/>
  <c r="H330" i="13"/>
  <c r="I330" i="13"/>
  <c r="J330" i="13"/>
  <c r="K330" i="13"/>
  <c r="G331" i="13"/>
  <c r="H331" i="13"/>
  <c r="I331" i="13"/>
  <c r="J331" i="13"/>
  <c r="K331" i="13"/>
  <c r="G332" i="13"/>
  <c r="H332" i="13"/>
  <c r="I332" i="13"/>
  <c r="J332" i="13"/>
  <c r="K332" i="13"/>
  <c r="G333" i="13"/>
  <c r="H333" i="13"/>
  <c r="I333" i="13"/>
  <c r="J333" i="13"/>
  <c r="K333" i="13"/>
  <c r="G334" i="13"/>
  <c r="H334" i="13"/>
  <c r="I334" i="13"/>
  <c r="J334" i="13"/>
  <c r="K334" i="13"/>
  <c r="G335" i="13"/>
  <c r="H335" i="13"/>
  <c r="I335" i="13"/>
  <c r="J335" i="13"/>
  <c r="K335" i="13"/>
  <c r="G336" i="13"/>
  <c r="H336" i="13"/>
  <c r="I336" i="13"/>
  <c r="J336" i="13"/>
  <c r="K336" i="13"/>
  <c r="G337" i="13"/>
  <c r="H337" i="13"/>
  <c r="I337" i="13"/>
  <c r="J337" i="13"/>
  <c r="K337" i="13"/>
  <c r="G338" i="13"/>
  <c r="H338" i="13"/>
  <c r="I338" i="13"/>
  <c r="J338" i="13"/>
  <c r="K338" i="13"/>
  <c r="G339" i="13"/>
  <c r="H339" i="13"/>
  <c r="I339" i="13"/>
  <c r="J339" i="13"/>
  <c r="K339" i="13"/>
  <c r="G340" i="13"/>
  <c r="H340" i="13"/>
  <c r="I340" i="13"/>
  <c r="J340" i="13"/>
  <c r="K340" i="13"/>
  <c r="G341" i="13"/>
  <c r="H341" i="13"/>
  <c r="I341" i="13"/>
  <c r="J341" i="13"/>
  <c r="K341" i="13"/>
  <c r="G342" i="13"/>
  <c r="H342" i="13"/>
  <c r="I342" i="13"/>
  <c r="J342" i="13"/>
  <c r="K342" i="13"/>
  <c r="G343" i="13"/>
  <c r="H343" i="13"/>
  <c r="I343" i="13"/>
  <c r="J343" i="13"/>
  <c r="K343" i="13"/>
  <c r="G344" i="13"/>
  <c r="H344" i="13"/>
  <c r="I344" i="13"/>
  <c r="J344" i="13"/>
  <c r="K344" i="13"/>
  <c r="G345" i="13"/>
  <c r="H345" i="13"/>
  <c r="I345" i="13"/>
  <c r="J345" i="13"/>
  <c r="K345" i="13"/>
  <c r="G346" i="13"/>
  <c r="H346" i="13"/>
  <c r="I346" i="13"/>
  <c r="J346" i="13"/>
  <c r="K346" i="13"/>
  <c r="G347" i="13"/>
  <c r="H347" i="13"/>
  <c r="I347" i="13"/>
  <c r="J347" i="13"/>
  <c r="K347" i="13"/>
  <c r="G348" i="13"/>
  <c r="H348" i="13"/>
  <c r="I348" i="13"/>
  <c r="J348" i="13"/>
  <c r="K348" i="13"/>
  <c r="G349" i="13"/>
  <c r="H349" i="13"/>
  <c r="I349" i="13"/>
  <c r="J349" i="13"/>
  <c r="K349" i="13"/>
  <c r="G350" i="13"/>
  <c r="H350" i="13"/>
  <c r="I350" i="13"/>
  <c r="J350" i="13"/>
  <c r="K350" i="13"/>
  <c r="G351" i="13"/>
  <c r="H351" i="13"/>
  <c r="I351" i="13"/>
  <c r="J351" i="13"/>
  <c r="K351" i="13"/>
  <c r="G352" i="13"/>
  <c r="H352" i="13"/>
  <c r="I352" i="13"/>
  <c r="J352" i="13"/>
  <c r="K352" i="13"/>
  <c r="G353" i="13"/>
  <c r="H353" i="13"/>
  <c r="I353" i="13"/>
  <c r="J353" i="13"/>
  <c r="K353" i="13"/>
  <c r="G354" i="13"/>
  <c r="H354" i="13"/>
  <c r="I354" i="13"/>
  <c r="J354" i="13"/>
  <c r="K354" i="13"/>
  <c r="G1084" i="13"/>
  <c r="H1084" i="13"/>
  <c r="I1084" i="13"/>
  <c r="J1084" i="13"/>
  <c r="K1084" i="13"/>
  <c r="G356" i="13"/>
  <c r="H356" i="13"/>
  <c r="I356" i="13"/>
  <c r="J356" i="13"/>
  <c r="K356" i="13"/>
  <c r="G357" i="13"/>
  <c r="H357" i="13"/>
  <c r="I357" i="13"/>
  <c r="J357" i="13"/>
  <c r="K357" i="13"/>
  <c r="G358" i="13"/>
  <c r="H358" i="13"/>
  <c r="I358" i="13"/>
  <c r="J358" i="13"/>
  <c r="K358" i="13"/>
  <c r="G359" i="13"/>
  <c r="H359" i="13"/>
  <c r="I359" i="13"/>
  <c r="J359" i="13"/>
  <c r="K359" i="13"/>
  <c r="G360" i="13"/>
  <c r="H360" i="13"/>
  <c r="I360" i="13"/>
  <c r="J360" i="13"/>
  <c r="K360" i="13"/>
  <c r="G361" i="13"/>
  <c r="H361" i="13"/>
  <c r="I361" i="13"/>
  <c r="J361" i="13"/>
  <c r="K361" i="13"/>
  <c r="G362" i="13"/>
  <c r="H362" i="13"/>
  <c r="I362" i="13"/>
  <c r="J362" i="13"/>
  <c r="K362" i="13"/>
  <c r="G363" i="13"/>
  <c r="H363" i="13"/>
  <c r="I363" i="13"/>
  <c r="J363" i="13"/>
  <c r="K363" i="13"/>
  <c r="G364" i="13"/>
  <c r="H364" i="13"/>
  <c r="I364" i="13"/>
  <c r="J364" i="13"/>
  <c r="K364" i="13"/>
  <c r="G365" i="13"/>
  <c r="H365" i="13"/>
  <c r="I365" i="13"/>
  <c r="J365" i="13"/>
  <c r="K365" i="13"/>
  <c r="G366" i="13"/>
  <c r="H366" i="13"/>
  <c r="I366" i="13"/>
  <c r="J366" i="13"/>
  <c r="K366" i="13"/>
  <c r="G367" i="13"/>
  <c r="H367" i="13"/>
  <c r="I367" i="13"/>
  <c r="J367" i="13"/>
  <c r="K367" i="13"/>
  <c r="G368" i="13"/>
  <c r="H368" i="13"/>
  <c r="I368" i="13"/>
  <c r="J368" i="13"/>
  <c r="K368" i="13"/>
  <c r="G369" i="13"/>
  <c r="H369" i="13"/>
  <c r="I369" i="13"/>
  <c r="J369" i="13"/>
  <c r="K369" i="13"/>
  <c r="G370" i="13"/>
  <c r="H370" i="13"/>
  <c r="I370" i="13"/>
  <c r="J370" i="13"/>
  <c r="K370" i="13"/>
  <c r="G371" i="13"/>
  <c r="H371" i="13"/>
  <c r="I371" i="13"/>
  <c r="J371" i="13"/>
  <c r="K371" i="13"/>
  <c r="G372" i="13"/>
  <c r="H372" i="13"/>
  <c r="I372" i="13"/>
  <c r="J372" i="13"/>
  <c r="K372" i="13"/>
  <c r="G373" i="13"/>
  <c r="H373" i="13"/>
  <c r="I373" i="13"/>
  <c r="J373" i="13"/>
  <c r="K373" i="13"/>
  <c r="G374" i="13"/>
  <c r="H374" i="13"/>
  <c r="I374" i="13"/>
  <c r="J374" i="13"/>
  <c r="K374" i="13"/>
  <c r="G375" i="13"/>
  <c r="H375" i="13"/>
  <c r="I375" i="13"/>
  <c r="J375" i="13"/>
  <c r="K375" i="13"/>
  <c r="G376" i="13"/>
  <c r="H376" i="13"/>
  <c r="I376" i="13"/>
  <c r="J376" i="13"/>
  <c r="K376" i="13"/>
  <c r="G377" i="13"/>
  <c r="H377" i="13"/>
  <c r="I377" i="13"/>
  <c r="J377" i="13"/>
  <c r="K377" i="13"/>
  <c r="G12" i="13"/>
  <c r="H12" i="13"/>
  <c r="I12" i="13"/>
  <c r="J12" i="13"/>
  <c r="K12" i="13"/>
  <c r="G203" i="13"/>
  <c r="H203" i="13"/>
  <c r="I203" i="13"/>
  <c r="J203" i="13"/>
  <c r="K203" i="13"/>
  <c r="G155" i="13"/>
  <c r="H155" i="13"/>
  <c r="I155" i="13"/>
  <c r="J155" i="13"/>
  <c r="K155" i="13"/>
  <c r="G479" i="13"/>
  <c r="H479" i="13"/>
  <c r="I479" i="13"/>
  <c r="J479" i="13"/>
  <c r="K479" i="13"/>
  <c r="G1199" i="13"/>
  <c r="H1199" i="13"/>
  <c r="I1199" i="13"/>
  <c r="J1199" i="13"/>
  <c r="K1199" i="13"/>
  <c r="G383" i="13"/>
  <c r="H383" i="13"/>
  <c r="I383" i="13"/>
  <c r="J383" i="13"/>
  <c r="K383" i="13"/>
  <c r="G1391" i="13"/>
  <c r="H1391" i="13"/>
  <c r="I1391" i="13"/>
  <c r="J1391" i="13"/>
  <c r="K1391" i="13"/>
  <c r="G1452" i="13"/>
  <c r="H1452" i="13"/>
  <c r="I1452" i="13"/>
  <c r="J1452" i="13"/>
  <c r="K1452" i="13"/>
  <c r="G386" i="13"/>
  <c r="H386" i="13"/>
  <c r="I386" i="13"/>
  <c r="J386" i="13"/>
  <c r="K386" i="13"/>
  <c r="G1247" i="13"/>
  <c r="H1247" i="13"/>
  <c r="I1247" i="13"/>
  <c r="J1247" i="13"/>
  <c r="K1247" i="13"/>
  <c r="G388" i="13"/>
  <c r="H388" i="13"/>
  <c r="I388" i="13"/>
  <c r="J388" i="13"/>
  <c r="K388" i="13"/>
  <c r="G389" i="13"/>
  <c r="H389" i="13"/>
  <c r="I389" i="13"/>
  <c r="J389" i="13"/>
  <c r="K389" i="13"/>
  <c r="G390" i="13"/>
  <c r="H390" i="13"/>
  <c r="I390" i="13"/>
  <c r="J390" i="13"/>
  <c r="K390" i="13"/>
  <c r="G391" i="13"/>
  <c r="H391" i="13"/>
  <c r="I391" i="13"/>
  <c r="J391" i="13"/>
  <c r="K391" i="13"/>
  <c r="G392" i="13"/>
  <c r="H392" i="13"/>
  <c r="I392" i="13"/>
  <c r="J392" i="13"/>
  <c r="K392" i="13"/>
  <c r="G393" i="13"/>
  <c r="H393" i="13"/>
  <c r="I393" i="13"/>
  <c r="J393" i="13"/>
  <c r="K393" i="13"/>
  <c r="G394" i="13"/>
  <c r="H394" i="13"/>
  <c r="I394" i="13"/>
  <c r="J394" i="13"/>
  <c r="K394" i="13"/>
  <c r="G395" i="13"/>
  <c r="H395" i="13"/>
  <c r="I395" i="13"/>
  <c r="J395" i="13"/>
  <c r="K395" i="13"/>
  <c r="G396" i="13"/>
  <c r="H396" i="13"/>
  <c r="I396" i="13"/>
  <c r="J396" i="13"/>
  <c r="K396" i="13"/>
  <c r="G397" i="13"/>
  <c r="H397" i="13"/>
  <c r="I397" i="13"/>
  <c r="J397" i="13"/>
  <c r="K397" i="13"/>
  <c r="G10" i="13"/>
  <c r="H10" i="13"/>
  <c r="I10" i="13"/>
  <c r="J10" i="13"/>
  <c r="K10" i="13"/>
  <c r="G966" i="13"/>
  <c r="H966" i="13"/>
  <c r="I966" i="13"/>
  <c r="J966" i="13"/>
  <c r="K966" i="13"/>
  <c r="G400" i="13"/>
  <c r="H400" i="13"/>
  <c r="I400" i="13"/>
  <c r="J400" i="13"/>
  <c r="K400" i="13"/>
  <c r="G401" i="13"/>
  <c r="H401" i="13"/>
  <c r="I401" i="13"/>
  <c r="J401" i="13"/>
  <c r="K401" i="13"/>
  <c r="G402" i="13"/>
  <c r="H402" i="13"/>
  <c r="I402" i="13"/>
  <c r="J402" i="13"/>
  <c r="K402" i="13"/>
  <c r="G403" i="13"/>
  <c r="H403" i="13"/>
  <c r="I403" i="13"/>
  <c r="J403" i="13"/>
  <c r="K403" i="13"/>
  <c r="G404" i="13"/>
  <c r="H404" i="13"/>
  <c r="I404" i="13"/>
  <c r="J404" i="13"/>
  <c r="K404" i="13"/>
  <c r="G405" i="13"/>
  <c r="H405" i="13"/>
  <c r="I405" i="13"/>
  <c r="J405" i="13"/>
  <c r="K405" i="13"/>
  <c r="G406" i="13"/>
  <c r="H406" i="13"/>
  <c r="I406" i="13"/>
  <c r="J406" i="13"/>
  <c r="K406" i="13"/>
  <c r="G407" i="13"/>
  <c r="H407" i="13"/>
  <c r="I407" i="13"/>
  <c r="J407" i="13"/>
  <c r="K407" i="13"/>
  <c r="G408" i="13"/>
  <c r="H408" i="13"/>
  <c r="I408" i="13"/>
  <c r="J408" i="13"/>
  <c r="K408" i="13"/>
  <c r="G409" i="13"/>
  <c r="H409" i="13"/>
  <c r="I409" i="13"/>
  <c r="J409" i="13"/>
  <c r="K409" i="13"/>
  <c r="G410" i="13"/>
  <c r="H410" i="13"/>
  <c r="I410" i="13"/>
  <c r="J410" i="13"/>
  <c r="K410" i="13"/>
  <c r="G411" i="13"/>
  <c r="H411" i="13"/>
  <c r="I411" i="13"/>
  <c r="J411" i="13"/>
  <c r="K411" i="13"/>
  <c r="G412" i="13"/>
  <c r="H412" i="13"/>
  <c r="I412" i="13"/>
  <c r="J412" i="13"/>
  <c r="K412" i="13"/>
  <c r="G413" i="13"/>
  <c r="H413" i="13"/>
  <c r="I413" i="13"/>
  <c r="J413" i="13"/>
  <c r="K413" i="13"/>
  <c r="G414" i="13"/>
  <c r="H414" i="13"/>
  <c r="I414" i="13"/>
  <c r="J414" i="13"/>
  <c r="K414" i="13"/>
  <c r="G415" i="13"/>
  <c r="H415" i="13"/>
  <c r="I415" i="13"/>
  <c r="J415" i="13"/>
  <c r="K415" i="13"/>
  <c r="G416" i="13"/>
  <c r="H416" i="13"/>
  <c r="I416" i="13"/>
  <c r="J416" i="13"/>
  <c r="K416" i="13"/>
  <c r="G417" i="13"/>
  <c r="H417" i="13"/>
  <c r="I417" i="13"/>
  <c r="J417" i="13"/>
  <c r="K417" i="13"/>
  <c r="G418" i="13"/>
  <c r="H418" i="13"/>
  <c r="I418" i="13"/>
  <c r="J418" i="13"/>
  <c r="K418" i="13"/>
  <c r="G419" i="13"/>
  <c r="H419" i="13"/>
  <c r="I419" i="13"/>
  <c r="J419" i="13"/>
  <c r="K419" i="13"/>
  <c r="G420" i="13"/>
  <c r="H420" i="13"/>
  <c r="I420" i="13"/>
  <c r="J420" i="13"/>
  <c r="K420" i="13"/>
  <c r="G421" i="13"/>
  <c r="H421" i="13"/>
  <c r="I421" i="13"/>
  <c r="J421" i="13"/>
  <c r="K421" i="13"/>
  <c r="G422" i="13"/>
  <c r="H422" i="13"/>
  <c r="I422" i="13"/>
  <c r="J422" i="13"/>
  <c r="K422" i="13"/>
  <c r="G423" i="13"/>
  <c r="H423" i="13"/>
  <c r="I423" i="13"/>
  <c r="J423" i="13"/>
  <c r="K423" i="13"/>
  <c r="G424" i="13"/>
  <c r="H424" i="13"/>
  <c r="I424" i="13"/>
  <c r="J424" i="13"/>
  <c r="K424" i="13"/>
  <c r="G425" i="13"/>
  <c r="H425" i="13"/>
  <c r="I425" i="13"/>
  <c r="J425" i="13"/>
  <c r="K425" i="13"/>
  <c r="G426" i="13"/>
  <c r="H426" i="13"/>
  <c r="I426" i="13"/>
  <c r="J426" i="13"/>
  <c r="K426" i="13"/>
  <c r="G427" i="13"/>
  <c r="H427" i="13"/>
  <c r="I427" i="13"/>
  <c r="J427" i="13"/>
  <c r="K427" i="13"/>
  <c r="G428" i="13"/>
  <c r="H428" i="13"/>
  <c r="I428" i="13"/>
  <c r="J428" i="13"/>
  <c r="K428" i="13"/>
  <c r="G429" i="13"/>
  <c r="H429" i="13"/>
  <c r="I429" i="13"/>
  <c r="J429" i="13"/>
  <c r="K429" i="13"/>
  <c r="G430" i="13"/>
  <c r="H430" i="13"/>
  <c r="I430" i="13"/>
  <c r="J430" i="13"/>
  <c r="K430" i="13"/>
  <c r="G431" i="13"/>
  <c r="H431" i="13"/>
  <c r="I431" i="13"/>
  <c r="J431" i="13"/>
  <c r="K431" i="13"/>
  <c r="G432" i="13"/>
  <c r="H432" i="13"/>
  <c r="I432" i="13"/>
  <c r="J432" i="13"/>
  <c r="K432" i="13"/>
  <c r="G433" i="13"/>
  <c r="H433" i="13"/>
  <c r="I433" i="13"/>
  <c r="J433" i="13"/>
  <c r="K433" i="13"/>
  <c r="G434" i="13"/>
  <c r="H434" i="13"/>
  <c r="I434" i="13"/>
  <c r="J434" i="13"/>
  <c r="K434" i="13"/>
  <c r="G435" i="13"/>
  <c r="H435" i="13"/>
  <c r="I435" i="13"/>
  <c r="J435" i="13"/>
  <c r="K435" i="13"/>
  <c r="G436" i="13"/>
  <c r="H436" i="13"/>
  <c r="I436" i="13"/>
  <c r="J436" i="13"/>
  <c r="K436" i="13"/>
  <c r="G437" i="13"/>
  <c r="H437" i="13"/>
  <c r="I437" i="13"/>
  <c r="J437" i="13"/>
  <c r="K437" i="13"/>
  <c r="G438" i="13"/>
  <c r="H438" i="13"/>
  <c r="I438" i="13"/>
  <c r="J438" i="13"/>
  <c r="K438" i="13"/>
  <c r="G439" i="13"/>
  <c r="H439" i="13"/>
  <c r="I439" i="13"/>
  <c r="J439" i="13"/>
  <c r="K439" i="13"/>
  <c r="G440" i="13"/>
  <c r="H440" i="13"/>
  <c r="I440" i="13"/>
  <c r="J440" i="13"/>
  <c r="K440" i="13"/>
  <c r="G441" i="13"/>
  <c r="H441" i="13"/>
  <c r="I441" i="13"/>
  <c r="J441" i="13"/>
  <c r="K441" i="13"/>
  <c r="G442" i="13"/>
  <c r="H442" i="13"/>
  <c r="I442" i="13"/>
  <c r="J442" i="13"/>
  <c r="K442" i="13"/>
  <c r="G443" i="13"/>
  <c r="H443" i="13"/>
  <c r="I443" i="13"/>
  <c r="J443" i="13"/>
  <c r="K443" i="13"/>
  <c r="G444" i="13"/>
  <c r="H444" i="13"/>
  <c r="I444" i="13"/>
  <c r="J444" i="13"/>
  <c r="K444" i="13"/>
  <c r="G445" i="13"/>
  <c r="H445" i="13"/>
  <c r="I445" i="13"/>
  <c r="J445" i="13"/>
  <c r="K445" i="13"/>
  <c r="G446" i="13"/>
  <c r="H446" i="13"/>
  <c r="I446" i="13"/>
  <c r="J446" i="13"/>
  <c r="K446" i="13"/>
  <c r="G447" i="13"/>
  <c r="H447" i="13"/>
  <c r="I447" i="13"/>
  <c r="J447" i="13"/>
  <c r="K447" i="13"/>
  <c r="G448" i="13"/>
  <c r="H448" i="13"/>
  <c r="I448" i="13"/>
  <c r="J448" i="13"/>
  <c r="K448" i="13"/>
  <c r="G449" i="13"/>
  <c r="H449" i="13"/>
  <c r="I449" i="13"/>
  <c r="J449" i="13"/>
  <c r="K449" i="13"/>
  <c r="G450" i="13"/>
  <c r="H450" i="13"/>
  <c r="I450" i="13"/>
  <c r="J450" i="13"/>
  <c r="K450" i="13"/>
  <c r="G451" i="13"/>
  <c r="H451" i="13"/>
  <c r="I451" i="13"/>
  <c r="J451" i="13"/>
  <c r="K451" i="13"/>
  <c r="G452" i="13"/>
  <c r="H452" i="13"/>
  <c r="I452" i="13"/>
  <c r="J452" i="13"/>
  <c r="K452" i="13"/>
  <c r="G453" i="13"/>
  <c r="H453" i="13"/>
  <c r="I453" i="13"/>
  <c r="J453" i="13"/>
  <c r="K453" i="13"/>
  <c r="G454" i="13"/>
  <c r="H454" i="13"/>
  <c r="I454" i="13"/>
  <c r="J454" i="13"/>
  <c r="K454" i="13"/>
  <c r="G455" i="13"/>
  <c r="H455" i="13"/>
  <c r="I455" i="13"/>
  <c r="J455" i="13"/>
  <c r="K455" i="13"/>
  <c r="G456" i="13"/>
  <c r="H456" i="13"/>
  <c r="I456" i="13"/>
  <c r="J456" i="13"/>
  <c r="K456" i="13"/>
  <c r="G457" i="13"/>
  <c r="H457" i="13"/>
  <c r="I457" i="13"/>
  <c r="J457" i="13"/>
  <c r="K457" i="13"/>
  <c r="G458" i="13"/>
  <c r="H458" i="13"/>
  <c r="I458" i="13"/>
  <c r="J458" i="13"/>
  <c r="K458" i="13"/>
  <c r="G459" i="13"/>
  <c r="H459" i="13"/>
  <c r="I459" i="13"/>
  <c r="J459" i="13"/>
  <c r="K459" i="13"/>
  <c r="G460" i="13"/>
  <c r="H460" i="13"/>
  <c r="I460" i="13"/>
  <c r="J460" i="13"/>
  <c r="K460" i="13"/>
  <c r="G461" i="13"/>
  <c r="H461" i="13"/>
  <c r="I461" i="13"/>
  <c r="J461" i="13"/>
  <c r="K461" i="13"/>
  <c r="G216" i="13"/>
  <c r="H216" i="13"/>
  <c r="I216" i="13"/>
  <c r="J216" i="13"/>
  <c r="K216" i="13"/>
  <c r="G482" i="13"/>
  <c r="H482" i="13"/>
  <c r="I482" i="13"/>
  <c r="J482" i="13"/>
  <c r="K482" i="13"/>
  <c r="G464" i="13"/>
  <c r="H464" i="13"/>
  <c r="I464" i="13"/>
  <c r="J464" i="13"/>
  <c r="K464" i="13"/>
  <c r="G465" i="13"/>
  <c r="H465" i="13"/>
  <c r="I465" i="13"/>
  <c r="J465" i="13"/>
  <c r="K465" i="13"/>
  <c r="G466" i="13"/>
  <c r="H466" i="13"/>
  <c r="I466" i="13"/>
  <c r="J466" i="13"/>
  <c r="K466" i="13"/>
  <c r="G853" i="13"/>
  <c r="H853" i="13"/>
  <c r="I853" i="13"/>
  <c r="J853" i="13"/>
  <c r="K853" i="13"/>
  <c r="G468" i="13"/>
  <c r="H468" i="13"/>
  <c r="I468" i="13"/>
  <c r="J468" i="13"/>
  <c r="K468" i="13"/>
  <c r="G469" i="13"/>
  <c r="H469" i="13"/>
  <c r="I469" i="13"/>
  <c r="J469" i="13"/>
  <c r="K469" i="13"/>
  <c r="G176" i="13"/>
  <c r="H176" i="13"/>
  <c r="I176" i="13"/>
  <c r="J176" i="13"/>
  <c r="K176" i="13"/>
  <c r="G157" i="13"/>
  <c r="H157" i="13"/>
  <c r="I157" i="13"/>
  <c r="J157" i="13"/>
  <c r="K157" i="13"/>
  <c r="G1309" i="13"/>
  <c r="H1309" i="13"/>
  <c r="I1309" i="13"/>
  <c r="J1309" i="13"/>
  <c r="K1309" i="13"/>
  <c r="G473" i="13"/>
  <c r="H473" i="13"/>
  <c r="I473" i="13"/>
  <c r="J473" i="13"/>
  <c r="K473" i="13"/>
  <c r="G161" i="13"/>
  <c r="H161" i="13"/>
  <c r="I161" i="13"/>
  <c r="J161" i="13"/>
  <c r="K161" i="13"/>
  <c r="G208" i="13"/>
  <c r="H208" i="13"/>
  <c r="I208" i="13"/>
  <c r="J208" i="13"/>
  <c r="K208" i="13"/>
  <c r="G1321" i="13"/>
  <c r="H1321" i="13"/>
  <c r="I1321" i="13"/>
  <c r="J1321" i="13"/>
  <c r="K1321" i="13"/>
  <c r="G477" i="13"/>
  <c r="H477" i="13"/>
  <c r="I477" i="13"/>
  <c r="J477" i="13"/>
  <c r="K477" i="13"/>
  <c r="G292" i="13"/>
  <c r="H292" i="13"/>
  <c r="I292" i="13"/>
  <c r="J292" i="13"/>
  <c r="K292" i="13"/>
  <c r="G1310" i="13"/>
  <c r="H1310" i="13"/>
  <c r="I1310" i="13"/>
  <c r="J1310" i="13"/>
  <c r="K1310" i="13"/>
  <c r="G1387" i="13"/>
  <c r="H1387" i="13"/>
  <c r="I1387" i="13"/>
  <c r="J1387" i="13"/>
  <c r="K1387" i="13"/>
  <c r="G1085" i="13"/>
  <c r="H1085" i="13"/>
  <c r="I1085" i="13"/>
  <c r="J1085" i="13"/>
  <c r="K1085" i="13"/>
  <c r="G854" i="13"/>
  <c r="H854" i="13"/>
  <c r="I854" i="13"/>
  <c r="J854" i="13"/>
  <c r="K854" i="13"/>
  <c r="G1319" i="13"/>
  <c r="H1319" i="13"/>
  <c r="I1319" i="13"/>
  <c r="J1319" i="13"/>
  <c r="K1319" i="13"/>
  <c r="G1388" i="13"/>
  <c r="H1388" i="13"/>
  <c r="I1388" i="13"/>
  <c r="J1388" i="13"/>
  <c r="K1388" i="13"/>
  <c r="G1320" i="13"/>
  <c r="H1320" i="13"/>
  <c r="I1320" i="13"/>
  <c r="J1320" i="13"/>
  <c r="K1320" i="13"/>
  <c r="G486" i="13"/>
  <c r="H486" i="13"/>
  <c r="I486" i="13"/>
  <c r="J486" i="13"/>
  <c r="K486" i="13"/>
  <c r="G1181" i="13"/>
  <c r="H1181" i="13"/>
  <c r="I1181" i="13"/>
  <c r="J1181" i="13"/>
  <c r="K1181" i="13"/>
  <c r="G488" i="13"/>
  <c r="H488" i="13"/>
  <c r="I488" i="13"/>
  <c r="J488" i="13"/>
  <c r="K488" i="13"/>
  <c r="G489" i="13"/>
  <c r="H489" i="13"/>
  <c r="I489" i="13"/>
  <c r="J489" i="13"/>
  <c r="K489" i="13"/>
  <c r="G490" i="13"/>
  <c r="H490" i="13"/>
  <c r="I490" i="13"/>
  <c r="J490" i="13"/>
  <c r="K490" i="13"/>
  <c r="G491" i="13"/>
  <c r="H491" i="13"/>
  <c r="I491" i="13"/>
  <c r="J491" i="13"/>
  <c r="K491" i="13"/>
  <c r="G492" i="13"/>
  <c r="H492" i="13"/>
  <c r="I492" i="13"/>
  <c r="J492" i="13"/>
  <c r="K492" i="13"/>
  <c r="G493" i="13"/>
  <c r="H493" i="13"/>
  <c r="I493" i="13"/>
  <c r="J493" i="13"/>
  <c r="K493" i="13"/>
  <c r="G494" i="13"/>
  <c r="H494" i="13"/>
  <c r="I494" i="13"/>
  <c r="J494" i="13"/>
  <c r="K494" i="13"/>
  <c r="G495" i="13"/>
  <c r="H495" i="13"/>
  <c r="I495" i="13"/>
  <c r="J495" i="13"/>
  <c r="K495" i="13"/>
  <c r="G496" i="13"/>
  <c r="H496" i="13"/>
  <c r="I496" i="13"/>
  <c r="J496" i="13"/>
  <c r="K496" i="13"/>
  <c r="G497" i="13"/>
  <c r="H497" i="13"/>
  <c r="I497" i="13"/>
  <c r="J497" i="13"/>
  <c r="K497" i="13"/>
  <c r="G498" i="13"/>
  <c r="H498" i="13"/>
  <c r="I498" i="13"/>
  <c r="J498" i="13"/>
  <c r="K498" i="13"/>
  <c r="G499" i="13"/>
  <c r="H499" i="13"/>
  <c r="I499" i="13"/>
  <c r="J499" i="13"/>
  <c r="K499" i="13"/>
  <c r="G500" i="13"/>
  <c r="H500" i="13"/>
  <c r="I500" i="13"/>
  <c r="J500" i="13"/>
  <c r="K500" i="13"/>
  <c r="G501" i="13"/>
  <c r="H501" i="13"/>
  <c r="I501" i="13"/>
  <c r="J501" i="13"/>
  <c r="K501" i="13"/>
  <c r="G502" i="13"/>
  <c r="H502" i="13"/>
  <c r="I502" i="13"/>
  <c r="J502" i="13"/>
  <c r="K502" i="13"/>
  <c r="G503" i="13"/>
  <c r="H503" i="13"/>
  <c r="I503" i="13"/>
  <c r="J503" i="13"/>
  <c r="K503" i="13"/>
  <c r="G504" i="13"/>
  <c r="H504" i="13"/>
  <c r="I504" i="13"/>
  <c r="J504" i="13"/>
  <c r="K504" i="13"/>
  <c r="G505" i="13"/>
  <c r="H505" i="13"/>
  <c r="I505" i="13"/>
  <c r="J505" i="13"/>
  <c r="K505" i="13"/>
  <c r="G506" i="13"/>
  <c r="H506" i="13"/>
  <c r="I506" i="13"/>
  <c r="J506" i="13"/>
  <c r="K506" i="13"/>
  <c r="G507" i="13"/>
  <c r="H507" i="13"/>
  <c r="I507" i="13"/>
  <c r="J507" i="13"/>
  <c r="K507" i="13"/>
  <c r="G508" i="13"/>
  <c r="H508" i="13"/>
  <c r="I508" i="13"/>
  <c r="J508" i="13"/>
  <c r="K508" i="13"/>
  <c r="G509" i="13"/>
  <c r="H509" i="13"/>
  <c r="I509" i="13"/>
  <c r="J509" i="13"/>
  <c r="K509" i="13"/>
  <c r="G510" i="13"/>
  <c r="H510" i="13"/>
  <c r="I510" i="13"/>
  <c r="J510" i="13"/>
  <c r="K510" i="13"/>
  <c r="G511" i="13"/>
  <c r="H511" i="13"/>
  <c r="I511" i="13"/>
  <c r="J511" i="13"/>
  <c r="K511" i="13"/>
  <c r="G512" i="13"/>
  <c r="H512" i="13"/>
  <c r="I512" i="13"/>
  <c r="J512" i="13"/>
  <c r="K512" i="13"/>
  <c r="G513" i="13"/>
  <c r="H513" i="13"/>
  <c r="I513" i="13"/>
  <c r="J513" i="13"/>
  <c r="K513" i="13"/>
  <c r="G514" i="13"/>
  <c r="H514" i="13"/>
  <c r="I514" i="13"/>
  <c r="J514" i="13"/>
  <c r="K514" i="13"/>
  <c r="G515" i="13"/>
  <c r="H515" i="13"/>
  <c r="I515" i="13"/>
  <c r="J515" i="13"/>
  <c r="K515" i="13"/>
  <c r="G516" i="13"/>
  <c r="H516" i="13"/>
  <c r="I516" i="13"/>
  <c r="J516" i="13"/>
  <c r="K516" i="13"/>
  <c r="G517" i="13"/>
  <c r="H517" i="13"/>
  <c r="I517" i="13"/>
  <c r="J517" i="13"/>
  <c r="K517" i="13"/>
  <c r="G518" i="13"/>
  <c r="H518" i="13"/>
  <c r="I518" i="13"/>
  <c r="J518" i="13"/>
  <c r="K518" i="13"/>
  <c r="G519" i="13"/>
  <c r="H519" i="13"/>
  <c r="I519" i="13"/>
  <c r="J519" i="13"/>
  <c r="K519" i="13"/>
  <c r="G520" i="13"/>
  <c r="H520" i="13"/>
  <c r="I520" i="13"/>
  <c r="J520" i="13"/>
  <c r="K520" i="13"/>
  <c r="G521" i="13"/>
  <c r="H521" i="13"/>
  <c r="I521" i="13"/>
  <c r="J521" i="13"/>
  <c r="K521" i="13"/>
  <c r="G522" i="13"/>
  <c r="H522" i="13"/>
  <c r="I522" i="13"/>
  <c r="J522" i="13"/>
  <c r="K522" i="13"/>
  <c r="G1451" i="13"/>
  <c r="H1451" i="13"/>
  <c r="I1451" i="13"/>
  <c r="J1451" i="13"/>
  <c r="K1451" i="13"/>
  <c r="G1450" i="13"/>
  <c r="H1450" i="13"/>
  <c r="I1450" i="13"/>
  <c r="J1450" i="13"/>
  <c r="K1450" i="13"/>
  <c r="G1449" i="13"/>
  <c r="H1449" i="13"/>
  <c r="I1449" i="13"/>
  <c r="J1449" i="13"/>
  <c r="K1449" i="13"/>
  <c r="G526" i="13"/>
  <c r="H526" i="13"/>
  <c r="I526" i="13"/>
  <c r="J526" i="13"/>
  <c r="K526" i="13"/>
  <c r="G527" i="13"/>
  <c r="H527" i="13"/>
  <c r="I527" i="13"/>
  <c r="J527" i="13"/>
  <c r="K527" i="13"/>
  <c r="G185" i="13"/>
  <c r="H185" i="13"/>
  <c r="I185" i="13"/>
  <c r="J185" i="13"/>
  <c r="K185" i="13"/>
  <c r="G529" i="13"/>
  <c r="H529" i="13"/>
  <c r="I529" i="13"/>
  <c r="J529" i="13"/>
  <c r="K529" i="13"/>
  <c r="G530" i="13"/>
  <c r="H530" i="13"/>
  <c r="I530" i="13"/>
  <c r="J530" i="13"/>
  <c r="K530" i="13"/>
  <c r="G531" i="13"/>
  <c r="H531" i="13"/>
  <c r="I531" i="13"/>
  <c r="J531" i="13"/>
  <c r="K531" i="13"/>
  <c r="G532" i="13"/>
  <c r="H532" i="13"/>
  <c r="I532" i="13"/>
  <c r="J532" i="13"/>
  <c r="K532" i="13"/>
  <c r="G533" i="13"/>
  <c r="H533" i="13"/>
  <c r="I533" i="13"/>
  <c r="J533" i="13"/>
  <c r="K533" i="13"/>
  <c r="G534" i="13"/>
  <c r="H534" i="13"/>
  <c r="I534" i="13"/>
  <c r="J534" i="13"/>
  <c r="K534" i="13"/>
  <c r="G535" i="13"/>
  <c r="H535" i="13"/>
  <c r="I535" i="13"/>
  <c r="J535" i="13"/>
  <c r="K535" i="13"/>
  <c r="G536" i="13"/>
  <c r="H536" i="13"/>
  <c r="I536" i="13"/>
  <c r="J536" i="13"/>
  <c r="K536" i="13"/>
  <c r="G537" i="13"/>
  <c r="H537" i="13"/>
  <c r="I537" i="13"/>
  <c r="J537" i="13"/>
  <c r="K537" i="13"/>
  <c r="G538" i="13"/>
  <c r="H538" i="13"/>
  <c r="I538" i="13"/>
  <c r="J538" i="13"/>
  <c r="K538" i="13"/>
  <c r="G539" i="13"/>
  <c r="H539" i="13"/>
  <c r="I539" i="13"/>
  <c r="J539" i="13"/>
  <c r="K539" i="13"/>
  <c r="G540" i="13"/>
  <c r="H540" i="13"/>
  <c r="I540" i="13"/>
  <c r="J540" i="13"/>
  <c r="K540" i="13"/>
  <c r="G541" i="13"/>
  <c r="H541" i="13"/>
  <c r="I541" i="13"/>
  <c r="J541" i="13"/>
  <c r="K541" i="13"/>
  <c r="G542" i="13"/>
  <c r="H542" i="13"/>
  <c r="I542" i="13"/>
  <c r="J542" i="13"/>
  <c r="K542" i="13"/>
  <c r="G543" i="13"/>
  <c r="H543" i="13"/>
  <c r="I543" i="13"/>
  <c r="J543" i="13"/>
  <c r="K543" i="13"/>
  <c r="G544" i="13"/>
  <c r="H544" i="13"/>
  <c r="I544" i="13"/>
  <c r="J544" i="13"/>
  <c r="K544" i="13"/>
  <c r="G545" i="13"/>
  <c r="H545" i="13"/>
  <c r="I545" i="13"/>
  <c r="J545" i="13"/>
  <c r="K545" i="13"/>
  <c r="G546" i="13"/>
  <c r="H546" i="13"/>
  <c r="I546" i="13"/>
  <c r="J546" i="13"/>
  <c r="K546" i="13"/>
  <c r="G547" i="13"/>
  <c r="H547" i="13"/>
  <c r="I547" i="13"/>
  <c r="J547" i="13"/>
  <c r="K547" i="13"/>
  <c r="G548" i="13"/>
  <c r="H548" i="13"/>
  <c r="I548" i="13"/>
  <c r="J548" i="13"/>
  <c r="K548" i="13"/>
  <c r="G549" i="13"/>
  <c r="H549" i="13"/>
  <c r="I549" i="13"/>
  <c r="J549" i="13"/>
  <c r="K549" i="13"/>
  <c r="G550" i="13"/>
  <c r="H550" i="13"/>
  <c r="I550" i="13"/>
  <c r="J550" i="13"/>
  <c r="K550" i="13"/>
  <c r="G551" i="13"/>
  <c r="H551" i="13"/>
  <c r="I551" i="13"/>
  <c r="J551" i="13"/>
  <c r="K551" i="13"/>
  <c r="G552" i="13"/>
  <c r="H552" i="13"/>
  <c r="I552" i="13"/>
  <c r="J552" i="13"/>
  <c r="K552" i="13"/>
  <c r="G553" i="13"/>
  <c r="H553" i="13"/>
  <c r="I553" i="13"/>
  <c r="J553" i="13"/>
  <c r="K553" i="13"/>
  <c r="G554" i="13"/>
  <c r="H554" i="13"/>
  <c r="I554" i="13"/>
  <c r="J554" i="13"/>
  <c r="K554" i="13"/>
  <c r="G555" i="13"/>
  <c r="H555" i="13"/>
  <c r="I555" i="13"/>
  <c r="J555" i="13"/>
  <c r="K555" i="13"/>
  <c r="G556" i="13"/>
  <c r="H556" i="13"/>
  <c r="I556" i="13"/>
  <c r="J556" i="13"/>
  <c r="K556" i="13"/>
  <c r="G557" i="13"/>
  <c r="H557" i="13"/>
  <c r="I557" i="13"/>
  <c r="J557" i="13"/>
  <c r="K557" i="13"/>
  <c r="G558" i="13"/>
  <c r="H558" i="13"/>
  <c r="I558" i="13"/>
  <c r="J558" i="13"/>
  <c r="K558" i="13"/>
  <c r="G559" i="13"/>
  <c r="H559" i="13"/>
  <c r="I559" i="13"/>
  <c r="J559" i="13"/>
  <c r="K559" i="13"/>
  <c r="G560" i="13"/>
  <c r="H560" i="13"/>
  <c r="I560" i="13"/>
  <c r="J560" i="13"/>
  <c r="K560" i="13"/>
  <c r="G561" i="13"/>
  <c r="H561" i="13"/>
  <c r="I561" i="13"/>
  <c r="J561" i="13"/>
  <c r="K561" i="13"/>
  <c r="G562" i="13"/>
  <c r="H562" i="13"/>
  <c r="I562" i="13"/>
  <c r="J562" i="13"/>
  <c r="K562" i="13"/>
  <c r="G563" i="13"/>
  <c r="H563" i="13"/>
  <c r="I563" i="13"/>
  <c r="J563" i="13"/>
  <c r="K563" i="13"/>
  <c r="G564" i="13"/>
  <c r="H564" i="13"/>
  <c r="I564" i="13"/>
  <c r="J564" i="13"/>
  <c r="K564" i="13"/>
  <c r="G565" i="13"/>
  <c r="H565" i="13"/>
  <c r="I565" i="13"/>
  <c r="J565" i="13"/>
  <c r="K565" i="13"/>
  <c r="G566" i="13"/>
  <c r="H566" i="13"/>
  <c r="I566" i="13"/>
  <c r="J566" i="13"/>
  <c r="K566" i="13"/>
  <c r="G567" i="13"/>
  <c r="H567" i="13"/>
  <c r="I567" i="13"/>
  <c r="J567" i="13"/>
  <c r="K567" i="13"/>
  <c r="G568" i="13"/>
  <c r="H568" i="13"/>
  <c r="I568" i="13"/>
  <c r="J568" i="13"/>
  <c r="K568" i="13"/>
  <c r="G569" i="13"/>
  <c r="H569" i="13"/>
  <c r="I569" i="13"/>
  <c r="J569" i="13"/>
  <c r="K569" i="13"/>
  <c r="G570" i="13"/>
  <c r="H570" i="13"/>
  <c r="I570" i="13"/>
  <c r="J570" i="13"/>
  <c r="K570" i="13"/>
  <c r="G571" i="13"/>
  <c r="H571" i="13"/>
  <c r="I571" i="13"/>
  <c r="J571" i="13"/>
  <c r="K571" i="13"/>
  <c r="G572" i="13"/>
  <c r="H572" i="13"/>
  <c r="I572" i="13"/>
  <c r="J572" i="13"/>
  <c r="K572" i="13"/>
  <c r="G968" i="13"/>
  <c r="H968" i="13"/>
  <c r="I968" i="13"/>
  <c r="J968" i="13"/>
  <c r="K968" i="13"/>
  <c r="G574" i="13"/>
  <c r="H574" i="13"/>
  <c r="I574" i="13"/>
  <c r="J574" i="13"/>
  <c r="K574" i="13"/>
  <c r="G575" i="13"/>
  <c r="H575" i="13"/>
  <c r="I575" i="13"/>
  <c r="J575" i="13"/>
  <c r="K575" i="13"/>
  <c r="G576" i="13"/>
  <c r="H576" i="13"/>
  <c r="I576" i="13"/>
  <c r="J576" i="13"/>
  <c r="K576" i="13"/>
  <c r="G577" i="13"/>
  <c r="H577" i="13"/>
  <c r="I577" i="13"/>
  <c r="J577" i="13"/>
  <c r="K577" i="13"/>
  <c r="G578" i="13"/>
  <c r="H578" i="13"/>
  <c r="I578" i="13"/>
  <c r="J578" i="13"/>
  <c r="K578" i="13"/>
  <c r="G579" i="13"/>
  <c r="H579" i="13"/>
  <c r="I579" i="13"/>
  <c r="J579" i="13"/>
  <c r="K579" i="13"/>
  <c r="G580" i="13"/>
  <c r="H580" i="13"/>
  <c r="I580" i="13"/>
  <c r="J580" i="13"/>
  <c r="K580" i="13"/>
  <c r="G581" i="13"/>
  <c r="H581" i="13"/>
  <c r="I581" i="13"/>
  <c r="J581" i="13"/>
  <c r="K581" i="13"/>
  <c r="G582" i="13"/>
  <c r="H582" i="13"/>
  <c r="I582" i="13"/>
  <c r="J582" i="13"/>
  <c r="K582" i="13"/>
  <c r="G583" i="13"/>
  <c r="H583" i="13"/>
  <c r="I583" i="13"/>
  <c r="J583" i="13"/>
  <c r="K583" i="13"/>
  <c r="G584" i="13"/>
  <c r="H584" i="13"/>
  <c r="I584" i="13"/>
  <c r="J584" i="13"/>
  <c r="K584" i="13"/>
  <c r="G585" i="13"/>
  <c r="H585" i="13"/>
  <c r="I585" i="13"/>
  <c r="J585" i="13"/>
  <c r="K585" i="13"/>
  <c r="G586" i="13"/>
  <c r="H586" i="13"/>
  <c r="I586" i="13"/>
  <c r="J586" i="13"/>
  <c r="K586" i="13"/>
  <c r="G587" i="13"/>
  <c r="H587" i="13"/>
  <c r="I587" i="13"/>
  <c r="J587" i="13"/>
  <c r="K587" i="13"/>
  <c r="G588" i="13"/>
  <c r="H588" i="13"/>
  <c r="I588" i="13"/>
  <c r="J588" i="13"/>
  <c r="K588" i="13"/>
  <c r="G589" i="13"/>
  <c r="H589" i="13"/>
  <c r="I589" i="13"/>
  <c r="J589" i="13"/>
  <c r="K589" i="13"/>
  <c r="G590" i="13"/>
  <c r="H590" i="13"/>
  <c r="I590" i="13"/>
  <c r="J590" i="13"/>
  <c r="K590" i="13"/>
  <c r="G591" i="13"/>
  <c r="H591" i="13"/>
  <c r="I591" i="13"/>
  <c r="J591" i="13"/>
  <c r="K591" i="13"/>
  <c r="G592" i="13"/>
  <c r="H592" i="13"/>
  <c r="I592" i="13"/>
  <c r="J592" i="13"/>
  <c r="K592" i="13"/>
  <c r="G593" i="13"/>
  <c r="H593" i="13"/>
  <c r="I593" i="13"/>
  <c r="J593" i="13"/>
  <c r="K593" i="13"/>
  <c r="G594" i="13"/>
  <c r="H594" i="13"/>
  <c r="I594" i="13"/>
  <c r="J594" i="13"/>
  <c r="K594" i="13"/>
  <c r="G595" i="13"/>
  <c r="H595" i="13"/>
  <c r="I595" i="13"/>
  <c r="J595" i="13"/>
  <c r="K595" i="13"/>
  <c r="G596" i="13"/>
  <c r="H596" i="13"/>
  <c r="I596" i="13"/>
  <c r="J596" i="13"/>
  <c r="K596" i="13"/>
  <c r="G597" i="13"/>
  <c r="H597" i="13"/>
  <c r="I597" i="13"/>
  <c r="J597" i="13"/>
  <c r="K597" i="13"/>
  <c r="G598" i="13"/>
  <c r="H598" i="13"/>
  <c r="I598" i="13"/>
  <c r="J598" i="13"/>
  <c r="K598" i="13"/>
  <c r="G599" i="13"/>
  <c r="H599" i="13"/>
  <c r="I599" i="13"/>
  <c r="J599" i="13"/>
  <c r="K599" i="13"/>
  <c r="G600" i="13"/>
  <c r="H600" i="13"/>
  <c r="I600" i="13"/>
  <c r="J600" i="13"/>
  <c r="K600" i="13"/>
  <c r="G601" i="13"/>
  <c r="H601" i="13"/>
  <c r="I601" i="13"/>
  <c r="J601" i="13"/>
  <c r="K601" i="13"/>
  <c r="G602" i="13"/>
  <c r="H602" i="13"/>
  <c r="I602" i="13"/>
  <c r="J602" i="13"/>
  <c r="K602" i="13"/>
  <c r="G603" i="13"/>
  <c r="H603" i="13"/>
  <c r="I603" i="13"/>
  <c r="J603" i="13"/>
  <c r="K603" i="13"/>
  <c r="G604" i="13"/>
  <c r="H604" i="13"/>
  <c r="I604" i="13"/>
  <c r="J604" i="13"/>
  <c r="K604" i="13"/>
  <c r="G605" i="13"/>
  <c r="H605" i="13"/>
  <c r="I605" i="13"/>
  <c r="J605" i="13"/>
  <c r="K605" i="13"/>
  <c r="G355" i="13"/>
  <c r="H355" i="13"/>
  <c r="I355" i="13"/>
  <c r="J355" i="13"/>
  <c r="K355" i="13"/>
  <c r="G607" i="13"/>
  <c r="H607" i="13"/>
  <c r="I607" i="13"/>
  <c r="J607" i="13"/>
  <c r="K607" i="13"/>
  <c r="G608" i="13"/>
  <c r="H608" i="13"/>
  <c r="I608" i="13"/>
  <c r="J608" i="13"/>
  <c r="K608" i="13"/>
  <c r="G609" i="13"/>
  <c r="H609" i="13"/>
  <c r="I609" i="13"/>
  <c r="J609" i="13"/>
  <c r="K609" i="13"/>
  <c r="G610" i="13"/>
  <c r="H610" i="13"/>
  <c r="I610" i="13"/>
  <c r="J610" i="13"/>
  <c r="K610" i="13"/>
  <c r="G611" i="13"/>
  <c r="H611" i="13"/>
  <c r="I611" i="13"/>
  <c r="J611" i="13"/>
  <c r="K611" i="13"/>
  <c r="G612" i="13"/>
  <c r="H612" i="13"/>
  <c r="I612" i="13"/>
  <c r="J612" i="13"/>
  <c r="K612" i="13"/>
  <c r="G613" i="13"/>
  <c r="H613" i="13"/>
  <c r="I613" i="13"/>
  <c r="J613" i="13"/>
  <c r="K613" i="13"/>
  <c r="G614" i="13"/>
  <c r="H614" i="13"/>
  <c r="I614" i="13"/>
  <c r="J614" i="13"/>
  <c r="K614" i="13"/>
  <c r="G615" i="13"/>
  <c r="H615" i="13"/>
  <c r="I615" i="13"/>
  <c r="J615" i="13"/>
  <c r="K615" i="13"/>
  <c r="G616" i="13"/>
  <c r="H616" i="13"/>
  <c r="I616" i="13"/>
  <c r="J616" i="13"/>
  <c r="K616" i="13"/>
  <c r="G617" i="13"/>
  <c r="H617" i="13"/>
  <c r="I617" i="13"/>
  <c r="J617" i="13"/>
  <c r="K617" i="13"/>
  <c r="G212" i="13"/>
  <c r="H212" i="13"/>
  <c r="I212" i="13"/>
  <c r="J212" i="13"/>
  <c r="K212" i="13"/>
  <c r="G1192" i="13"/>
  <c r="H1192" i="13"/>
  <c r="I1192" i="13"/>
  <c r="J1192" i="13"/>
  <c r="K1192" i="13"/>
  <c r="G620" i="13"/>
  <c r="H620" i="13"/>
  <c r="I620" i="13"/>
  <c r="J620" i="13"/>
  <c r="K620" i="13"/>
  <c r="G621" i="13"/>
  <c r="H621" i="13"/>
  <c r="I621" i="13"/>
  <c r="J621" i="13"/>
  <c r="K621" i="13"/>
  <c r="G622" i="13"/>
  <c r="H622" i="13"/>
  <c r="I622" i="13"/>
  <c r="J622" i="13"/>
  <c r="K622" i="13"/>
  <c r="G623" i="13"/>
  <c r="H623" i="13"/>
  <c r="I623" i="13"/>
  <c r="J623" i="13"/>
  <c r="K623" i="13"/>
  <c r="G624" i="13"/>
  <c r="H624" i="13"/>
  <c r="I624" i="13"/>
  <c r="J624" i="13"/>
  <c r="K624" i="13"/>
  <c r="G625" i="13"/>
  <c r="H625" i="13"/>
  <c r="I625" i="13"/>
  <c r="J625" i="13"/>
  <c r="K625" i="13"/>
  <c r="G626" i="13"/>
  <c r="H626" i="13"/>
  <c r="I626" i="13"/>
  <c r="J626" i="13"/>
  <c r="K626" i="13"/>
  <c r="G627" i="13"/>
  <c r="H627" i="13"/>
  <c r="I627" i="13"/>
  <c r="J627" i="13"/>
  <c r="K627" i="13"/>
  <c r="G628" i="13"/>
  <c r="H628" i="13"/>
  <c r="I628" i="13"/>
  <c r="J628" i="13"/>
  <c r="K628" i="13"/>
  <c r="G629" i="13"/>
  <c r="H629" i="13"/>
  <c r="I629" i="13"/>
  <c r="J629" i="13"/>
  <c r="K629" i="13"/>
  <c r="G630" i="13"/>
  <c r="H630" i="13"/>
  <c r="I630" i="13"/>
  <c r="J630" i="13"/>
  <c r="K630" i="13"/>
  <c r="G631" i="13"/>
  <c r="H631" i="13"/>
  <c r="I631" i="13"/>
  <c r="J631" i="13"/>
  <c r="K631" i="13"/>
  <c r="G632" i="13"/>
  <c r="H632" i="13"/>
  <c r="I632" i="13"/>
  <c r="J632" i="13"/>
  <c r="K632" i="13"/>
  <c r="G633" i="13"/>
  <c r="H633" i="13"/>
  <c r="I633" i="13"/>
  <c r="J633" i="13"/>
  <c r="K633" i="13"/>
  <c r="G634" i="13"/>
  <c r="H634" i="13"/>
  <c r="I634" i="13"/>
  <c r="J634" i="13"/>
  <c r="K634" i="13"/>
  <c r="G635" i="13"/>
  <c r="H635" i="13"/>
  <c r="I635" i="13"/>
  <c r="J635" i="13"/>
  <c r="K635" i="13"/>
  <c r="G636" i="13"/>
  <c r="H636" i="13"/>
  <c r="I636" i="13"/>
  <c r="J636" i="13"/>
  <c r="K636" i="13"/>
  <c r="G637" i="13"/>
  <c r="H637" i="13"/>
  <c r="I637" i="13"/>
  <c r="J637" i="13"/>
  <c r="K637" i="13"/>
  <c r="G638" i="13"/>
  <c r="H638" i="13"/>
  <c r="I638" i="13"/>
  <c r="J638" i="13"/>
  <c r="K638" i="13"/>
  <c r="G639" i="13"/>
  <c r="H639" i="13"/>
  <c r="I639" i="13"/>
  <c r="J639" i="13"/>
  <c r="K639" i="13"/>
  <c r="G640" i="13"/>
  <c r="H640" i="13"/>
  <c r="I640" i="13"/>
  <c r="J640" i="13"/>
  <c r="K640" i="13"/>
  <c r="G641" i="13"/>
  <c r="H641" i="13"/>
  <c r="I641" i="13"/>
  <c r="J641" i="13"/>
  <c r="K641" i="13"/>
  <c r="G642" i="13"/>
  <c r="H642" i="13"/>
  <c r="I642" i="13"/>
  <c r="J642" i="13"/>
  <c r="K642" i="13"/>
  <c r="G643" i="13"/>
  <c r="H643" i="13"/>
  <c r="I643" i="13"/>
  <c r="J643" i="13"/>
  <c r="K643" i="13"/>
  <c r="G644" i="13"/>
  <c r="H644" i="13"/>
  <c r="I644" i="13"/>
  <c r="J644" i="13"/>
  <c r="K644" i="13"/>
  <c r="G645" i="13"/>
  <c r="H645" i="13"/>
  <c r="I645" i="13"/>
  <c r="J645" i="13"/>
  <c r="K645" i="13"/>
  <c r="G646" i="13"/>
  <c r="H646" i="13"/>
  <c r="I646" i="13"/>
  <c r="J646" i="13"/>
  <c r="K646" i="13"/>
  <c r="G647" i="13"/>
  <c r="H647" i="13"/>
  <c r="I647" i="13"/>
  <c r="J647" i="13"/>
  <c r="K647" i="13"/>
  <c r="G648" i="13"/>
  <c r="H648" i="13"/>
  <c r="I648" i="13"/>
  <c r="J648" i="13"/>
  <c r="K648" i="13"/>
  <c r="G649" i="13"/>
  <c r="H649" i="13"/>
  <c r="I649" i="13"/>
  <c r="J649" i="13"/>
  <c r="K649" i="13"/>
  <c r="G650" i="13"/>
  <c r="H650" i="13"/>
  <c r="I650" i="13"/>
  <c r="J650" i="13"/>
  <c r="K650" i="13"/>
  <c r="G651" i="13"/>
  <c r="H651" i="13"/>
  <c r="I651" i="13"/>
  <c r="J651" i="13"/>
  <c r="K651" i="13"/>
  <c r="G652" i="13"/>
  <c r="H652" i="13"/>
  <c r="I652" i="13"/>
  <c r="J652" i="13"/>
  <c r="K652" i="13"/>
  <c r="G653" i="13"/>
  <c r="H653" i="13"/>
  <c r="I653" i="13"/>
  <c r="J653" i="13"/>
  <c r="K653" i="13"/>
  <c r="G654" i="13"/>
  <c r="H654" i="13"/>
  <c r="I654" i="13"/>
  <c r="J654" i="13"/>
  <c r="K654" i="13"/>
  <c r="G655" i="13"/>
  <c r="H655" i="13"/>
  <c r="I655" i="13"/>
  <c r="J655" i="13"/>
  <c r="K655" i="13"/>
  <c r="G656" i="13"/>
  <c r="H656" i="13"/>
  <c r="I656" i="13"/>
  <c r="J656" i="13"/>
  <c r="K656" i="13"/>
  <c r="G657" i="13"/>
  <c r="H657" i="13"/>
  <c r="I657" i="13"/>
  <c r="J657" i="13"/>
  <c r="K657" i="13"/>
  <c r="G658" i="13"/>
  <c r="H658" i="13"/>
  <c r="I658" i="13"/>
  <c r="J658" i="13"/>
  <c r="K658" i="13"/>
  <c r="G659" i="13"/>
  <c r="H659" i="13"/>
  <c r="I659" i="13"/>
  <c r="J659" i="13"/>
  <c r="K659" i="13"/>
  <c r="G660" i="13"/>
  <c r="H660" i="13"/>
  <c r="I660" i="13"/>
  <c r="J660" i="13"/>
  <c r="K660" i="13"/>
  <c r="G661" i="13"/>
  <c r="H661" i="13"/>
  <c r="I661" i="13"/>
  <c r="J661" i="13"/>
  <c r="K661" i="13"/>
  <c r="G662" i="13"/>
  <c r="H662" i="13"/>
  <c r="I662" i="13"/>
  <c r="J662" i="13"/>
  <c r="K662" i="13"/>
  <c r="G663" i="13"/>
  <c r="H663" i="13"/>
  <c r="I663" i="13"/>
  <c r="J663" i="13"/>
  <c r="K663" i="13"/>
  <c r="G664" i="13"/>
  <c r="H664" i="13"/>
  <c r="I664" i="13"/>
  <c r="J664" i="13"/>
  <c r="K664" i="13"/>
  <c r="G665" i="13"/>
  <c r="H665" i="13"/>
  <c r="I665" i="13"/>
  <c r="J665" i="13"/>
  <c r="K665" i="13"/>
  <c r="G666" i="13"/>
  <c r="H666" i="13"/>
  <c r="I666" i="13"/>
  <c r="J666" i="13"/>
  <c r="K666" i="13"/>
  <c r="G667" i="13"/>
  <c r="H667" i="13"/>
  <c r="I667" i="13"/>
  <c r="J667" i="13"/>
  <c r="K667" i="13"/>
  <c r="G668" i="13"/>
  <c r="H668" i="13"/>
  <c r="I668" i="13"/>
  <c r="J668" i="13"/>
  <c r="K668" i="13"/>
  <c r="G669" i="13"/>
  <c r="H669" i="13"/>
  <c r="I669" i="13"/>
  <c r="J669" i="13"/>
  <c r="K669" i="13"/>
  <c r="G670" i="13"/>
  <c r="H670" i="13"/>
  <c r="I670" i="13"/>
  <c r="J670" i="13"/>
  <c r="K670" i="13"/>
  <c r="G671" i="13"/>
  <c r="H671" i="13"/>
  <c r="I671" i="13"/>
  <c r="J671" i="13"/>
  <c r="K671" i="13"/>
  <c r="G672" i="13"/>
  <c r="H672" i="13"/>
  <c r="I672" i="13"/>
  <c r="J672" i="13"/>
  <c r="K672" i="13"/>
  <c r="G673" i="13"/>
  <c r="H673" i="13"/>
  <c r="I673" i="13"/>
  <c r="J673" i="13"/>
  <c r="K673" i="13"/>
  <c r="G674" i="13"/>
  <c r="H674" i="13"/>
  <c r="I674" i="13"/>
  <c r="J674" i="13"/>
  <c r="K674" i="13"/>
  <c r="G675" i="13"/>
  <c r="H675" i="13"/>
  <c r="I675" i="13"/>
  <c r="J675" i="13"/>
  <c r="K675" i="13"/>
  <c r="G676" i="13"/>
  <c r="H676" i="13"/>
  <c r="I676" i="13"/>
  <c r="J676" i="13"/>
  <c r="K676" i="13"/>
  <c r="G677" i="13"/>
  <c r="H677" i="13"/>
  <c r="I677" i="13"/>
  <c r="J677" i="13"/>
  <c r="K677" i="13"/>
  <c r="G678" i="13"/>
  <c r="H678" i="13"/>
  <c r="I678" i="13"/>
  <c r="J678" i="13"/>
  <c r="K678" i="13"/>
  <c r="G679" i="13"/>
  <c r="H679" i="13"/>
  <c r="I679" i="13"/>
  <c r="J679" i="13"/>
  <c r="K679" i="13"/>
  <c r="G680" i="13"/>
  <c r="H680" i="13"/>
  <c r="I680" i="13"/>
  <c r="J680" i="13"/>
  <c r="K680" i="13"/>
  <c r="G681" i="13"/>
  <c r="H681" i="13"/>
  <c r="I681" i="13"/>
  <c r="J681" i="13"/>
  <c r="K681" i="13"/>
  <c r="G682" i="13"/>
  <c r="H682" i="13"/>
  <c r="I682" i="13"/>
  <c r="J682" i="13"/>
  <c r="K682" i="13"/>
  <c r="G683" i="13"/>
  <c r="H683" i="13"/>
  <c r="I683" i="13"/>
  <c r="J683" i="13"/>
  <c r="K683" i="13"/>
  <c r="G684" i="13"/>
  <c r="H684" i="13"/>
  <c r="I684" i="13"/>
  <c r="J684" i="13"/>
  <c r="K684" i="13"/>
  <c r="G685" i="13"/>
  <c r="H685" i="13"/>
  <c r="I685" i="13"/>
  <c r="J685" i="13"/>
  <c r="K685" i="13"/>
  <c r="G686" i="13"/>
  <c r="H686" i="13"/>
  <c r="I686" i="13"/>
  <c r="J686" i="13"/>
  <c r="K686" i="13"/>
  <c r="G687" i="13"/>
  <c r="H687" i="13"/>
  <c r="I687" i="13"/>
  <c r="J687" i="13"/>
  <c r="K687" i="13"/>
  <c r="G688" i="13"/>
  <c r="H688" i="13"/>
  <c r="I688" i="13"/>
  <c r="J688" i="13"/>
  <c r="K688" i="13"/>
  <c r="G689" i="13"/>
  <c r="H689" i="13"/>
  <c r="I689" i="13"/>
  <c r="J689" i="13"/>
  <c r="K689" i="13"/>
  <c r="G690" i="13"/>
  <c r="H690" i="13"/>
  <c r="I690" i="13"/>
  <c r="J690" i="13"/>
  <c r="K690" i="13"/>
  <c r="G691" i="13"/>
  <c r="H691" i="13"/>
  <c r="I691" i="13"/>
  <c r="J691" i="13"/>
  <c r="K691" i="13"/>
  <c r="G692" i="13"/>
  <c r="H692" i="13"/>
  <c r="I692" i="13"/>
  <c r="J692" i="13"/>
  <c r="K692" i="13"/>
  <c r="G693" i="13"/>
  <c r="H693" i="13"/>
  <c r="I693" i="13"/>
  <c r="J693" i="13"/>
  <c r="K693" i="13"/>
  <c r="G694" i="13"/>
  <c r="H694" i="13"/>
  <c r="I694" i="13"/>
  <c r="J694" i="13"/>
  <c r="K694" i="13"/>
  <c r="G695" i="13"/>
  <c r="H695" i="13"/>
  <c r="I695" i="13"/>
  <c r="J695" i="13"/>
  <c r="K695" i="13"/>
  <c r="G696" i="13"/>
  <c r="H696" i="13"/>
  <c r="I696" i="13"/>
  <c r="J696" i="13"/>
  <c r="K696" i="13"/>
  <c r="G697" i="13"/>
  <c r="H697" i="13"/>
  <c r="I697" i="13"/>
  <c r="J697" i="13"/>
  <c r="K697" i="13"/>
  <c r="G698" i="13"/>
  <c r="H698" i="13"/>
  <c r="I698" i="13"/>
  <c r="J698" i="13"/>
  <c r="K698" i="13"/>
  <c r="G699" i="13"/>
  <c r="H699" i="13"/>
  <c r="I699" i="13"/>
  <c r="J699" i="13"/>
  <c r="K699" i="13"/>
  <c r="G700" i="13"/>
  <c r="H700" i="13"/>
  <c r="I700" i="13"/>
  <c r="J700" i="13"/>
  <c r="K700" i="13"/>
  <c r="G701" i="13"/>
  <c r="H701" i="13"/>
  <c r="I701" i="13"/>
  <c r="J701" i="13"/>
  <c r="K701" i="13"/>
  <c r="G702" i="13"/>
  <c r="H702" i="13"/>
  <c r="I702" i="13"/>
  <c r="J702" i="13"/>
  <c r="K702" i="13"/>
  <c r="G703" i="13"/>
  <c r="H703" i="13"/>
  <c r="I703" i="13"/>
  <c r="J703" i="13"/>
  <c r="K703" i="13"/>
  <c r="G704" i="13"/>
  <c r="H704" i="13"/>
  <c r="I704" i="13"/>
  <c r="J704" i="13"/>
  <c r="K704" i="13"/>
  <c r="G123" i="13"/>
  <c r="H123" i="13"/>
  <c r="I123" i="13"/>
  <c r="J123" i="13"/>
  <c r="K123" i="13"/>
  <c r="G706" i="13"/>
  <c r="H706" i="13"/>
  <c r="I706" i="13"/>
  <c r="J706" i="13"/>
  <c r="K706" i="13"/>
  <c r="G707" i="13"/>
  <c r="H707" i="13"/>
  <c r="I707" i="13"/>
  <c r="J707" i="13"/>
  <c r="K707" i="13"/>
  <c r="G708" i="13"/>
  <c r="H708" i="13"/>
  <c r="I708" i="13"/>
  <c r="J708" i="13"/>
  <c r="K708" i="13"/>
  <c r="G709" i="13"/>
  <c r="H709" i="13"/>
  <c r="I709" i="13"/>
  <c r="J709" i="13"/>
  <c r="K709" i="13"/>
  <c r="G710" i="13"/>
  <c r="H710" i="13"/>
  <c r="I710" i="13"/>
  <c r="J710" i="13"/>
  <c r="K710" i="13"/>
  <c r="G711" i="13"/>
  <c r="H711" i="13"/>
  <c r="I711" i="13"/>
  <c r="J711" i="13"/>
  <c r="K711" i="13"/>
  <c r="G712" i="13"/>
  <c r="H712" i="13"/>
  <c r="I712" i="13"/>
  <c r="J712" i="13"/>
  <c r="K712" i="13"/>
  <c r="G713" i="13"/>
  <c r="H713" i="13"/>
  <c r="I713" i="13"/>
  <c r="J713" i="13"/>
  <c r="K713" i="13"/>
  <c r="G714" i="13"/>
  <c r="H714" i="13"/>
  <c r="I714" i="13"/>
  <c r="J714" i="13"/>
  <c r="K714" i="13"/>
  <c r="G715" i="13"/>
  <c r="H715" i="13"/>
  <c r="I715" i="13"/>
  <c r="J715" i="13"/>
  <c r="K715" i="13"/>
  <c r="G716" i="13"/>
  <c r="H716" i="13"/>
  <c r="I716" i="13"/>
  <c r="J716" i="13"/>
  <c r="K716" i="13"/>
  <c r="G717" i="13"/>
  <c r="H717" i="13"/>
  <c r="I717" i="13"/>
  <c r="J717" i="13"/>
  <c r="K717" i="13"/>
  <c r="G718" i="13"/>
  <c r="H718" i="13"/>
  <c r="I718" i="13"/>
  <c r="J718" i="13"/>
  <c r="K718" i="13"/>
  <c r="G719" i="13"/>
  <c r="H719" i="13"/>
  <c r="I719" i="13"/>
  <c r="J719" i="13"/>
  <c r="K719" i="13"/>
  <c r="G720" i="13"/>
  <c r="H720" i="13"/>
  <c r="I720" i="13"/>
  <c r="J720" i="13"/>
  <c r="K720" i="13"/>
  <c r="G721" i="13"/>
  <c r="H721" i="13"/>
  <c r="I721" i="13"/>
  <c r="J721" i="13"/>
  <c r="K721" i="13"/>
  <c r="G722" i="13"/>
  <c r="H722" i="13"/>
  <c r="I722" i="13"/>
  <c r="J722" i="13"/>
  <c r="K722" i="13"/>
  <c r="G723" i="13"/>
  <c r="H723" i="13"/>
  <c r="I723" i="13"/>
  <c r="J723" i="13"/>
  <c r="K723" i="13"/>
  <c r="G724" i="13"/>
  <c r="H724" i="13"/>
  <c r="I724" i="13"/>
  <c r="J724" i="13"/>
  <c r="K724" i="13"/>
  <c r="G725" i="13"/>
  <c r="H725" i="13"/>
  <c r="I725" i="13"/>
  <c r="J725" i="13"/>
  <c r="K725" i="13"/>
  <c r="G726" i="13"/>
  <c r="H726" i="13"/>
  <c r="I726" i="13"/>
  <c r="J726" i="13"/>
  <c r="K726" i="13"/>
  <c r="G727" i="13"/>
  <c r="H727" i="13"/>
  <c r="I727" i="13"/>
  <c r="J727" i="13"/>
  <c r="K727" i="13"/>
  <c r="G728" i="13"/>
  <c r="H728" i="13"/>
  <c r="I728" i="13"/>
  <c r="J728" i="13"/>
  <c r="K728" i="13"/>
  <c r="G729" i="13"/>
  <c r="H729" i="13"/>
  <c r="I729" i="13"/>
  <c r="J729" i="13"/>
  <c r="K729" i="13"/>
  <c r="G730" i="13"/>
  <c r="H730" i="13"/>
  <c r="I730" i="13"/>
  <c r="J730" i="13"/>
  <c r="K730" i="13"/>
  <c r="G731" i="13"/>
  <c r="H731" i="13"/>
  <c r="I731" i="13"/>
  <c r="J731" i="13"/>
  <c r="K731" i="13"/>
  <c r="G732" i="13"/>
  <c r="H732" i="13"/>
  <c r="I732" i="13"/>
  <c r="J732" i="13"/>
  <c r="K732" i="13"/>
  <c r="G733" i="13"/>
  <c r="H733" i="13"/>
  <c r="I733" i="13"/>
  <c r="J733" i="13"/>
  <c r="K733" i="13"/>
  <c r="G734" i="13"/>
  <c r="H734" i="13"/>
  <c r="I734" i="13"/>
  <c r="J734" i="13"/>
  <c r="K734" i="13"/>
  <c r="G735" i="13"/>
  <c r="H735" i="13"/>
  <c r="I735" i="13"/>
  <c r="J735" i="13"/>
  <c r="K735" i="13"/>
  <c r="G736" i="13"/>
  <c r="H736" i="13"/>
  <c r="I736" i="13"/>
  <c r="J736" i="13"/>
  <c r="K736" i="13"/>
  <c r="G737" i="13"/>
  <c r="H737" i="13"/>
  <c r="I737" i="13"/>
  <c r="J737" i="13"/>
  <c r="K737" i="13"/>
  <c r="G738" i="13"/>
  <c r="H738" i="13"/>
  <c r="I738" i="13"/>
  <c r="J738" i="13"/>
  <c r="K738" i="13"/>
  <c r="G739" i="13"/>
  <c r="H739" i="13"/>
  <c r="I739" i="13"/>
  <c r="J739" i="13"/>
  <c r="K739" i="13"/>
  <c r="G740" i="13"/>
  <c r="H740" i="13"/>
  <c r="I740" i="13"/>
  <c r="J740" i="13"/>
  <c r="K740" i="13"/>
  <c r="G741" i="13"/>
  <c r="H741" i="13"/>
  <c r="I741" i="13"/>
  <c r="J741" i="13"/>
  <c r="K741" i="13"/>
  <c r="G742" i="13"/>
  <c r="H742" i="13"/>
  <c r="I742" i="13"/>
  <c r="J742" i="13"/>
  <c r="K742" i="13"/>
  <c r="G743" i="13"/>
  <c r="H743" i="13"/>
  <c r="I743" i="13"/>
  <c r="J743" i="13"/>
  <c r="K743" i="13"/>
  <c r="G744" i="13"/>
  <c r="H744" i="13"/>
  <c r="I744" i="13"/>
  <c r="J744" i="13"/>
  <c r="K744" i="13"/>
  <c r="G745" i="13"/>
  <c r="H745" i="13"/>
  <c r="I745" i="13"/>
  <c r="J745" i="13"/>
  <c r="K745" i="13"/>
  <c r="G746" i="13"/>
  <c r="H746" i="13"/>
  <c r="I746" i="13"/>
  <c r="J746" i="13"/>
  <c r="K746" i="13"/>
  <c r="G747" i="13"/>
  <c r="H747" i="13"/>
  <c r="I747" i="13"/>
  <c r="J747" i="13"/>
  <c r="K747" i="13"/>
  <c r="G748" i="13"/>
  <c r="H748" i="13"/>
  <c r="I748" i="13"/>
  <c r="J748" i="13"/>
  <c r="K748" i="13"/>
  <c r="G749" i="13"/>
  <c r="H749" i="13"/>
  <c r="I749" i="13"/>
  <c r="J749" i="13"/>
  <c r="K749" i="13"/>
  <c r="G750" i="13"/>
  <c r="H750" i="13"/>
  <c r="I750" i="13"/>
  <c r="J750" i="13"/>
  <c r="K750" i="13"/>
  <c r="G751" i="13"/>
  <c r="H751" i="13"/>
  <c r="I751" i="13"/>
  <c r="J751" i="13"/>
  <c r="K751" i="13"/>
  <c r="G752" i="13"/>
  <c r="H752" i="13"/>
  <c r="I752" i="13"/>
  <c r="J752" i="13"/>
  <c r="K752" i="13"/>
  <c r="G753" i="13"/>
  <c r="H753" i="13"/>
  <c r="I753" i="13"/>
  <c r="J753" i="13"/>
  <c r="K753" i="13"/>
  <c r="G754" i="13"/>
  <c r="H754" i="13"/>
  <c r="I754" i="13"/>
  <c r="J754" i="13"/>
  <c r="K754" i="13"/>
  <c r="G755" i="13"/>
  <c r="H755" i="13"/>
  <c r="I755" i="13"/>
  <c r="J755" i="13"/>
  <c r="K755" i="13"/>
  <c r="G756" i="13"/>
  <c r="H756" i="13"/>
  <c r="I756" i="13"/>
  <c r="J756" i="13"/>
  <c r="K756" i="13"/>
  <c r="G757" i="13"/>
  <c r="H757" i="13"/>
  <c r="I757" i="13"/>
  <c r="J757" i="13"/>
  <c r="K757" i="13"/>
  <c r="G758" i="13"/>
  <c r="H758" i="13"/>
  <c r="I758" i="13"/>
  <c r="J758" i="13"/>
  <c r="K758" i="13"/>
  <c r="G759" i="13"/>
  <c r="H759" i="13"/>
  <c r="I759" i="13"/>
  <c r="J759" i="13"/>
  <c r="K759" i="13"/>
  <c r="G760" i="13"/>
  <c r="H760" i="13"/>
  <c r="I760" i="13"/>
  <c r="J760" i="13"/>
  <c r="K760" i="13"/>
  <c r="G761" i="13"/>
  <c r="H761" i="13"/>
  <c r="I761" i="13"/>
  <c r="J761" i="13"/>
  <c r="K761" i="13"/>
  <c r="G762" i="13"/>
  <c r="H762" i="13"/>
  <c r="I762" i="13"/>
  <c r="J762" i="13"/>
  <c r="K762" i="13"/>
  <c r="G763" i="13"/>
  <c r="H763" i="13"/>
  <c r="I763" i="13"/>
  <c r="J763" i="13"/>
  <c r="K763" i="13"/>
  <c r="G764" i="13"/>
  <c r="H764" i="13"/>
  <c r="I764" i="13"/>
  <c r="J764" i="13"/>
  <c r="K764" i="13"/>
  <c r="G765" i="13"/>
  <c r="H765" i="13"/>
  <c r="I765" i="13"/>
  <c r="J765" i="13"/>
  <c r="K765" i="13"/>
  <c r="G766" i="13"/>
  <c r="H766" i="13"/>
  <c r="I766" i="13"/>
  <c r="J766" i="13"/>
  <c r="K766" i="13"/>
  <c r="G767" i="13"/>
  <c r="H767" i="13"/>
  <c r="I767" i="13"/>
  <c r="J767" i="13"/>
  <c r="K767" i="13"/>
  <c r="G768" i="13"/>
  <c r="H768" i="13"/>
  <c r="I768" i="13"/>
  <c r="J768" i="13"/>
  <c r="K768" i="13"/>
  <c r="G769" i="13"/>
  <c r="H769" i="13"/>
  <c r="I769" i="13"/>
  <c r="J769" i="13"/>
  <c r="K769" i="13"/>
  <c r="G770" i="13"/>
  <c r="H770" i="13"/>
  <c r="I770" i="13"/>
  <c r="J770" i="13"/>
  <c r="K770" i="13"/>
  <c r="G771" i="13"/>
  <c r="H771" i="13"/>
  <c r="I771" i="13"/>
  <c r="J771" i="13"/>
  <c r="K771" i="13"/>
  <c r="G772" i="13"/>
  <c r="H772" i="13"/>
  <c r="I772" i="13"/>
  <c r="J772" i="13"/>
  <c r="K772" i="13"/>
  <c r="G773" i="13"/>
  <c r="H773" i="13"/>
  <c r="I773" i="13"/>
  <c r="J773" i="13"/>
  <c r="K773" i="13"/>
  <c r="G774" i="13"/>
  <c r="H774" i="13"/>
  <c r="I774" i="13"/>
  <c r="J774" i="13"/>
  <c r="K774" i="13"/>
  <c r="G775" i="13"/>
  <c r="H775" i="13"/>
  <c r="I775" i="13"/>
  <c r="J775" i="13"/>
  <c r="K775" i="13"/>
  <c r="G776" i="13"/>
  <c r="H776" i="13"/>
  <c r="I776" i="13"/>
  <c r="J776" i="13"/>
  <c r="K776" i="13"/>
  <c r="G777" i="13"/>
  <c r="H777" i="13"/>
  <c r="I777" i="13"/>
  <c r="J777" i="13"/>
  <c r="K777" i="13"/>
  <c r="G778" i="13"/>
  <c r="H778" i="13"/>
  <c r="I778" i="13"/>
  <c r="J778" i="13"/>
  <c r="K778" i="13"/>
  <c r="G779" i="13"/>
  <c r="H779" i="13"/>
  <c r="I779" i="13"/>
  <c r="J779" i="13"/>
  <c r="K779" i="13"/>
  <c r="G780" i="13"/>
  <c r="H780" i="13"/>
  <c r="I780" i="13"/>
  <c r="J780" i="13"/>
  <c r="K780" i="13"/>
  <c r="G781" i="13"/>
  <c r="H781" i="13"/>
  <c r="I781" i="13"/>
  <c r="J781" i="13"/>
  <c r="K781" i="13"/>
  <c r="G782" i="13"/>
  <c r="H782" i="13"/>
  <c r="I782" i="13"/>
  <c r="J782" i="13"/>
  <c r="K782" i="13"/>
  <c r="G783" i="13"/>
  <c r="H783" i="13"/>
  <c r="I783" i="13"/>
  <c r="J783" i="13"/>
  <c r="K783" i="13"/>
  <c r="G784" i="13"/>
  <c r="H784" i="13"/>
  <c r="I784" i="13"/>
  <c r="J784" i="13"/>
  <c r="K784" i="13"/>
  <c r="G785" i="13"/>
  <c r="H785" i="13"/>
  <c r="I785" i="13"/>
  <c r="J785" i="13"/>
  <c r="K785" i="13"/>
  <c r="G786" i="13"/>
  <c r="H786" i="13"/>
  <c r="I786" i="13"/>
  <c r="J786" i="13"/>
  <c r="K786" i="13"/>
  <c r="G787" i="13"/>
  <c r="H787" i="13"/>
  <c r="I787" i="13"/>
  <c r="J787" i="13"/>
  <c r="K787" i="13"/>
  <c r="G788" i="13"/>
  <c r="H788" i="13"/>
  <c r="I788" i="13"/>
  <c r="J788" i="13"/>
  <c r="K788" i="13"/>
  <c r="G789" i="13"/>
  <c r="H789" i="13"/>
  <c r="I789" i="13"/>
  <c r="J789" i="13"/>
  <c r="K789" i="13"/>
  <c r="G790" i="13"/>
  <c r="H790" i="13"/>
  <c r="I790" i="13"/>
  <c r="J790" i="13"/>
  <c r="K790" i="13"/>
  <c r="G791" i="13"/>
  <c r="H791" i="13"/>
  <c r="I791" i="13"/>
  <c r="J791" i="13"/>
  <c r="K791" i="13"/>
  <c r="G792" i="13"/>
  <c r="H792" i="13"/>
  <c r="I792" i="13"/>
  <c r="J792" i="13"/>
  <c r="K792" i="13"/>
  <c r="G793" i="13"/>
  <c r="H793" i="13"/>
  <c r="I793" i="13"/>
  <c r="J793" i="13"/>
  <c r="K793" i="13"/>
  <c r="G794" i="13"/>
  <c r="H794" i="13"/>
  <c r="I794" i="13"/>
  <c r="J794" i="13"/>
  <c r="K794" i="13"/>
  <c r="G795" i="13"/>
  <c r="H795" i="13"/>
  <c r="I795" i="13"/>
  <c r="J795" i="13"/>
  <c r="K795" i="13"/>
  <c r="G796" i="13"/>
  <c r="H796" i="13"/>
  <c r="I796" i="13"/>
  <c r="J796" i="13"/>
  <c r="K796" i="13"/>
  <c r="G797" i="13"/>
  <c r="H797" i="13"/>
  <c r="I797" i="13"/>
  <c r="J797" i="13"/>
  <c r="K797" i="13"/>
  <c r="G798" i="13"/>
  <c r="H798" i="13"/>
  <c r="I798" i="13"/>
  <c r="J798" i="13"/>
  <c r="K798" i="13"/>
  <c r="G799" i="13"/>
  <c r="H799" i="13"/>
  <c r="I799" i="13"/>
  <c r="J799" i="13"/>
  <c r="K799" i="13"/>
  <c r="G800" i="13"/>
  <c r="H800" i="13"/>
  <c r="I800" i="13"/>
  <c r="J800" i="13"/>
  <c r="K800" i="13"/>
  <c r="G801" i="13"/>
  <c r="H801" i="13"/>
  <c r="I801" i="13"/>
  <c r="J801" i="13"/>
  <c r="K801" i="13"/>
  <c r="G802" i="13"/>
  <c r="H802" i="13"/>
  <c r="I802" i="13"/>
  <c r="J802" i="13"/>
  <c r="K802" i="13"/>
  <c r="G803" i="13"/>
  <c r="H803" i="13"/>
  <c r="I803" i="13"/>
  <c r="J803" i="13"/>
  <c r="K803" i="13"/>
  <c r="G804" i="13"/>
  <c r="H804" i="13"/>
  <c r="I804" i="13"/>
  <c r="J804" i="13"/>
  <c r="K804" i="13"/>
  <c r="G805" i="13"/>
  <c r="H805" i="13"/>
  <c r="I805" i="13"/>
  <c r="J805" i="13"/>
  <c r="K805" i="13"/>
  <c r="G806" i="13"/>
  <c r="H806" i="13"/>
  <c r="I806" i="13"/>
  <c r="J806" i="13"/>
  <c r="K806" i="13"/>
  <c r="G807" i="13"/>
  <c r="H807" i="13"/>
  <c r="I807" i="13"/>
  <c r="J807" i="13"/>
  <c r="K807" i="13"/>
  <c r="G808" i="13"/>
  <c r="H808" i="13"/>
  <c r="I808" i="13"/>
  <c r="J808" i="13"/>
  <c r="K808" i="13"/>
  <c r="G809" i="13"/>
  <c r="H809" i="13"/>
  <c r="I809" i="13"/>
  <c r="J809" i="13"/>
  <c r="K809" i="13"/>
  <c r="G810" i="13"/>
  <c r="H810" i="13"/>
  <c r="I810" i="13"/>
  <c r="J810" i="13"/>
  <c r="K810" i="13"/>
  <c r="G811" i="13"/>
  <c r="H811" i="13"/>
  <c r="I811" i="13"/>
  <c r="J811" i="13"/>
  <c r="K811" i="13"/>
  <c r="G812" i="13"/>
  <c r="H812" i="13"/>
  <c r="I812" i="13"/>
  <c r="J812" i="13"/>
  <c r="K812" i="13"/>
  <c r="G813" i="13"/>
  <c r="H813" i="13"/>
  <c r="I813" i="13"/>
  <c r="J813" i="13"/>
  <c r="K813" i="13"/>
  <c r="G814" i="13"/>
  <c r="H814" i="13"/>
  <c r="I814" i="13"/>
  <c r="J814" i="13"/>
  <c r="K814" i="13"/>
  <c r="G815" i="13"/>
  <c r="H815" i="13"/>
  <c r="I815" i="13"/>
  <c r="J815" i="13"/>
  <c r="K815" i="13"/>
  <c r="G816" i="13"/>
  <c r="H816" i="13"/>
  <c r="I816" i="13"/>
  <c r="J816" i="13"/>
  <c r="K816" i="13"/>
  <c r="G817" i="13"/>
  <c r="H817" i="13"/>
  <c r="I817" i="13"/>
  <c r="J817" i="13"/>
  <c r="K817" i="13"/>
  <c r="G818" i="13"/>
  <c r="H818" i="13"/>
  <c r="I818" i="13"/>
  <c r="J818" i="13"/>
  <c r="K818" i="13"/>
  <c r="G819" i="13"/>
  <c r="H819" i="13"/>
  <c r="I819" i="13"/>
  <c r="J819" i="13"/>
  <c r="K819" i="13"/>
  <c r="G820" i="13"/>
  <c r="H820" i="13"/>
  <c r="I820" i="13"/>
  <c r="J820" i="13"/>
  <c r="K820" i="13"/>
  <c r="G821" i="13"/>
  <c r="H821" i="13"/>
  <c r="I821" i="13"/>
  <c r="J821" i="13"/>
  <c r="K821" i="13"/>
  <c r="G822" i="13"/>
  <c r="H822" i="13"/>
  <c r="I822" i="13"/>
  <c r="J822" i="13"/>
  <c r="K822" i="13"/>
  <c r="G823" i="13"/>
  <c r="H823" i="13"/>
  <c r="I823" i="13"/>
  <c r="J823" i="13"/>
  <c r="K823" i="13"/>
  <c r="G824" i="13"/>
  <c r="H824" i="13"/>
  <c r="I824" i="13"/>
  <c r="J824" i="13"/>
  <c r="K824" i="13"/>
  <c r="G825" i="13"/>
  <c r="H825" i="13"/>
  <c r="I825" i="13"/>
  <c r="J825" i="13"/>
  <c r="K825" i="13"/>
  <c r="G826" i="13"/>
  <c r="H826" i="13"/>
  <c r="I826" i="13"/>
  <c r="J826" i="13"/>
  <c r="K826" i="13"/>
  <c r="G827" i="13"/>
  <c r="H827" i="13"/>
  <c r="I827" i="13"/>
  <c r="J827" i="13"/>
  <c r="K827" i="13"/>
  <c r="G828" i="13"/>
  <c r="H828" i="13"/>
  <c r="I828" i="13"/>
  <c r="J828" i="13"/>
  <c r="K828" i="13"/>
  <c r="G829" i="13"/>
  <c r="H829" i="13"/>
  <c r="I829" i="13"/>
  <c r="J829" i="13"/>
  <c r="K829" i="13"/>
  <c r="G830" i="13"/>
  <c r="H830" i="13"/>
  <c r="I830" i="13"/>
  <c r="J830" i="13"/>
  <c r="K830" i="13"/>
  <c r="G831" i="13"/>
  <c r="H831" i="13"/>
  <c r="I831" i="13"/>
  <c r="J831" i="13"/>
  <c r="K831" i="13"/>
  <c r="G832" i="13"/>
  <c r="H832" i="13"/>
  <c r="I832" i="13"/>
  <c r="J832" i="13"/>
  <c r="K832" i="13"/>
  <c r="G833" i="13"/>
  <c r="H833" i="13"/>
  <c r="I833" i="13"/>
  <c r="J833" i="13"/>
  <c r="K833" i="13"/>
  <c r="G834" i="13"/>
  <c r="H834" i="13"/>
  <c r="I834" i="13"/>
  <c r="J834" i="13"/>
  <c r="K834" i="13"/>
  <c r="G835" i="13"/>
  <c r="H835" i="13"/>
  <c r="I835" i="13"/>
  <c r="J835" i="13"/>
  <c r="K835" i="13"/>
  <c r="G836" i="13"/>
  <c r="H836" i="13"/>
  <c r="I836" i="13"/>
  <c r="J836" i="13"/>
  <c r="K836" i="13"/>
  <c r="G837" i="13"/>
  <c r="H837" i="13"/>
  <c r="I837" i="13"/>
  <c r="J837" i="13"/>
  <c r="K837" i="13"/>
  <c r="G838" i="13"/>
  <c r="H838" i="13"/>
  <c r="I838" i="13"/>
  <c r="J838" i="13"/>
  <c r="K838" i="13"/>
  <c r="G839" i="13"/>
  <c r="H839" i="13"/>
  <c r="I839" i="13"/>
  <c r="J839" i="13"/>
  <c r="K839" i="13"/>
  <c r="G840" i="13"/>
  <c r="H840" i="13"/>
  <c r="I840" i="13"/>
  <c r="J840" i="13"/>
  <c r="K840" i="13"/>
  <c r="G841" i="13"/>
  <c r="H841" i="13"/>
  <c r="I841" i="13"/>
  <c r="J841" i="13"/>
  <c r="K841" i="13"/>
  <c r="G842" i="13"/>
  <c r="H842" i="13"/>
  <c r="I842" i="13"/>
  <c r="J842" i="13"/>
  <c r="K842" i="13"/>
  <c r="G843" i="13"/>
  <c r="H843" i="13"/>
  <c r="I843" i="13"/>
  <c r="J843" i="13"/>
  <c r="K843" i="13"/>
  <c r="G844" i="13"/>
  <c r="H844" i="13"/>
  <c r="I844" i="13"/>
  <c r="J844" i="13"/>
  <c r="K844" i="13"/>
  <c r="G845" i="13"/>
  <c r="H845" i="13"/>
  <c r="I845" i="13"/>
  <c r="J845" i="13"/>
  <c r="K845" i="13"/>
  <c r="G846" i="13"/>
  <c r="H846" i="13"/>
  <c r="I846" i="13"/>
  <c r="J846" i="13"/>
  <c r="K846" i="13"/>
  <c r="G847" i="13"/>
  <c r="H847" i="13"/>
  <c r="I847" i="13"/>
  <c r="J847" i="13"/>
  <c r="K847" i="13"/>
  <c r="G848" i="13"/>
  <c r="H848" i="13"/>
  <c r="I848" i="13"/>
  <c r="J848" i="13"/>
  <c r="K848" i="13"/>
  <c r="G849" i="13"/>
  <c r="H849" i="13"/>
  <c r="I849" i="13"/>
  <c r="J849" i="13"/>
  <c r="K849" i="13"/>
  <c r="G850" i="13"/>
  <c r="H850" i="13"/>
  <c r="I850" i="13"/>
  <c r="J850" i="13"/>
  <c r="K850" i="13"/>
  <c r="G76" i="13"/>
  <c r="H76" i="13"/>
  <c r="I76" i="13"/>
  <c r="J76" i="13"/>
  <c r="K76" i="13"/>
  <c r="G1012" i="13"/>
  <c r="H1012" i="13"/>
  <c r="I1012" i="13"/>
  <c r="J1012" i="13"/>
  <c r="K1012" i="13"/>
  <c r="G49" i="13"/>
  <c r="H49" i="13"/>
  <c r="I49" i="13"/>
  <c r="J49" i="13"/>
  <c r="K49" i="13"/>
  <c r="G119" i="13"/>
  <c r="H119" i="13"/>
  <c r="I119" i="13"/>
  <c r="J119" i="13"/>
  <c r="K119" i="13"/>
  <c r="G61" i="13"/>
  <c r="H61" i="13"/>
  <c r="I61" i="13"/>
  <c r="J61" i="13"/>
  <c r="K61" i="13"/>
  <c r="G20" i="13"/>
  <c r="H20" i="13"/>
  <c r="I20" i="13"/>
  <c r="J20" i="13"/>
  <c r="K20" i="13"/>
  <c r="G114" i="13"/>
  <c r="H114" i="13"/>
  <c r="I114" i="13"/>
  <c r="J114" i="13"/>
  <c r="K114" i="13"/>
  <c r="G858" i="13"/>
  <c r="H858" i="13"/>
  <c r="I858" i="13"/>
  <c r="J858" i="13"/>
  <c r="K858" i="13"/>
  <c r="G859" i="13"/>
  <c r="H859" i="13"/>
  <c r="I859" i="13"/>
  <c r="J859" i="13"/>
  <c r="K859" i="13"/>
  <c r="G860" i="13"/>
  <c r="H860" i="13"/>
  <c r="I860" i="13"/>
  <c r="J860" i="13"/>
  <c r="K860" i="13"/>
  <c r="G861" i="13"/>
  <c r="H861" i="13"/>
  <c r="I861" i="13"/>
  <c r="J861" i="13"/>
  <c r="K861" i="13"/>
  <c r="G862" i="13"/>
  <c r="H862" i="13"/>
  <c r="I862" i="13"/>
  <c r="J862" i="13"/>
  <c r="K862" i="13"/>
  <c r="G863" i="13"/>
  <c r="H863" i="13"/>
  <c r="I863" i="13"/>
  <c r="J863" i="13"/>
  <c r="K863" i="13"/>
  <c r="G864" i="13"/>
  <c r="H864" i="13"/>
  <c r="I864" i="13"/>
  <c r="J864" i="13"/>
  <c r="K864" i="13"/>
  <c r="G865" i="13"/>
  <c r="H865" i="13"/>
  <c r="I865" i="13"/>
  <c r="J865" i="13"/>
  <c r="K865" i="13"/>
  <c r="G866" i="13"/>
  <c r="H866" i="13"/>
  <c r="I866" i="13"/>
  <c r="J866" i="13"/>
  <c r="K866" i="13"/>
  <c r="G867" i="13"/>
  <c r="H867" i="13"/>
  <c r="I867" i="13"/>
  <c r="J867" i="13"/>
  <c r="K867" i="13"/>
  <c r="G868" i="13"/>
  <c r="H868" i="13"/>
  <c r="I868" i="13"/>
  <c r="J868" i="13"/>
  <c r="K868" i="13"/>
  <c r="G869" i="13"/>
  <c r="H869" i="13"/>
  <c r="I869" i="13"/>
  <c r="J869" i="13"/>
  <c r="K869" i="13"/>
  <c r="G870" i="13"/>
  <c r="H870" i="13"/>
  <c r="I870" i="13"/>
  <c r="J870" i="13"/>
  <c r="K870" i="13"/>
  <c r="G871" i="13"/>
  <c r="H871" i="13"/>
  <c r="I871" i="13"/>
  <c r="J871" i="13"/>
  <c r="K871" i="13"/>
  <c r="G872" i="13"/>
  <c r="H872" i="13"/>
  <c r="I872" i="13"/>
  <c r="J872" i="13"/>
  <c r="K872" i="13"/>
  <c r="G873" i="13"/>
  <c r="H873" i="13"/>
  <c r="I873" i="13"/>
  <c r="J873" i="13"/>
  <c r="K873" i="13"/>
  <c r="G874" i="13"/>
  <c r="H874" i="13"/>
  <c r="I874" i="13"/>
  <c r="J874" i="13"/>
  <c r="K874" i="13"/>
  <c r="G875" i="13"/>
  <c r="H875" i="13"/>
  <c r="I875" i="13"/>
  <c r="J875" i="13"/>
  <c r="K875" i="13"/>
  <c r="G876" i="13"/>
  <c r="H876" i="13"/>
  <c r="I876" i="13"/>
  <c r="J876" i="13"/>
  <c r="K876" i="13"/>
  <c r="G877" i="13"/>
  <c r="H877" i="13"/>
  <c r="I877" i="13"/>
  <c r="J877" i="13"/>
  <c r="K877" i="13"/>
  <c r="G878" i="13"/>
  <c r="H878" i="13"/>
  <c r="I878" i="13"/>
  <c r="J878" i="13"/>
  <c r="K878" i="13"/>
  <c r="G879" i="13"/>
  <c r="H879" i="13"/>
  <c r="I879" i="13"/>
  <c r="J879" i="13"/>
  <c r="K879" i="13"/>
  <c r="G880" i="13"/>
  <c r="H880" i="13"/>
  <c r="I880" i="13"/>
  <c r="J880" i="13"/>
  <c r="K880" i="13"/>
  <c r="G881" i="13"/>
  <c r="H881" i="13"/>
  <c r="I881" i="13"/>
  <c r="J881" i="13"/>
  <c r="K881" i="13"/>
  <c r="G882" i="13"/>
  <c r="H882" i="13"/>
  <c r="I882" i="13"/>
  <c r="J882" i="13"/>
  <c r="K882" i="13"/>
  <c r="G883" i="13"/>
  <c r="H883" i="13"/>
  <c r="I883" i="13"/>
  <c r="J883" i="13"/>
  <c r="K883" i="13"/>
  <c r="G884" i="13"/>
  <c r="H884" i="13"/>
  <c r="I884" i="13"/>
  <c r="J884" i="13"/>
  <c r="K884" i="13"/>
  <c r="G885" i="13"/>
  <c r="H885" i="13"/>
  <c r="I885" i="13"/>
  <c r="J885" i="13"/>
  <c r="K885" i="13"/>
  <c r="G886" i="13"/>
  <c r="H886" i="13"/>
  <c r="I886" i="13"/>
  <c r="J886" i="13"/>
  <c r="K886" i="13"/>
  <c r="G887" i="13"/>
  <c r="H887" i="13"/>
  <c r="I887" i="13"/>
  <c r="J887" i="13"/>
  <c r="K887" i="13"/>
  <c r="G888" i="13"/>
  <c r="H888" i="13"/>
  <c r="I888" i="13"/>
  <c r="J888" i="13"/>
  <c r="K888" i="13"/>
  <c r="G889" i="13"/>
  <c r="H889" i="13"/>
  <c r="I889" i="13"/>
  <c r="J889" i="13"/>
  <c r="K889" i="13"/>
  <c r="G890" i="13"/>
  <c r="H890" i="13"/>
  <c r="I890" i="13"/>
  <c r="J890" i="13"/>
  <c r="K890" i="13"/>
  <c r="G891" i="13"/>
  <c r="H891" i="13"/>
  <c r="I891" i="13"/>
  <c r="J891" i="13"/>
  <c r="K891" i="13"/>
  <c r="G892" i="13"/>
  <c r="H892" i="13"/>
  <c r="I892" i="13"/>
  <c r="J892" i="13"/>
  <c r="K892" i="13"/>
  <c r="G893" i="13"/>
  <c r="H893" i="13"/>
  <c r="I893" i="13"/>
  <c r="J893" i="13"/>
  <c r="K893" i="13"/>
  <c r="G894" i="13"/>
  <c r="H894" i="13"/>
  <c r="I894" i="13"/>
  <c r="J894" i="13"/>
  <c r="K894" i="13"/>
  <c r="G895" i="13"/>
  <c r="H895" i="13"/>
  <c r="I895" i="13"/>
  <c r="J895" i="13"/>
  <c r="K895" i="13"/>
  <c r="G896" i="13"/>
  <c r="H896" i="13"/>
  <c r="I896" i="13"/>
  <c r="J896" i="13"/>
  <c r="K896" i="13"/>
  <c r="G897" i="13"/>
  <c r="H897" i="13"/>
  <c r="I897" i="13"/>
  <c r="J897" i="13"/>
  <c r="K897" i="13"/>
  <c r="G898" i="13"/>
  <c r="H898" i="13"/>
  <c r="I898" i="13"/>
  <c r="J898" i="13"/>
  <c r="K898" i="13"/>
  <c r="G899" i="13"/>
  <c r="H899" i="13"/>
  <c r="I899" i="13"/>
  <c r="J899" i="13"/>
  <c r="K899" i="13"/>
  <c r="G900" i="13"/>
  <c r="H900" i="13"/>
  <c r="I900" i="13"/>
  <c r="J900" i="13"/>
  <c r="K900" i="13"/>
  <c r="G901" i="13"/>
  <c r="H901" i="13"/>
  <c r="I901" i="13"/>
  <c r="J901" i="13"/>
  <c r="K901" i="13"/>
  <c r="G902" i="13"/>
  <c r="H902" i="13"/>
  <c r="I902" i="13"/>
  <c r="J902" i="13"/>
  <c r="K902" i="13"/>
  <c r="G903" i="13"/>
  <c r="H903" i="13"/>
  <c r="I903" i="13"/>
  <c r="J903" i="13"/>
  <c r="K903" i="13"/>
  <c r="G904" i="13"/>
  <c r="H904" i="13"/>
  <c r="I904" i="13"/>
  <c r="J904" i="13"/>
  <c r="K904" i="13"/>
  <c r="G905" i="13"/>
  <c r="H905" i="13"/>
  <c r="I905" i="13"/>
  <c r="J905" i="13"/>
  <c r="K905" i="13"/>
  <c r="G906" i="13"/>
  <c r="H906" i="13"/>
  <c r="I906" i="13"/>
  <c r="J906" i="13"/>
  <c r="K906" i="13"/>
  <c r="G907" i="13"/>
  <c r="H907" i="13"/>
  <c r="I907" i="13"/>
  <c r="J907" i="13"/>
  <c r="K907" i="13"/>
  <c r="G908" i="13"/>
  <c r="H908" i="13"/>
  <c r="I908" i="13"/>
  <c r="J908" i="13"/>
  <c r="K908" i="13"/>
  <c r="G909" i="13"/>
  <c r="H909" i="13"/>
  <c r="I909" i="13"/>
  <c r="J909" i="13"/>
  <c r="K909" i="13"/>
  <c r="G910" i="13"/>
  <c r="H910" i="13"/>
  <c r="I910" i="13"/>
  <c r="J910" i="13"/>
  <c r="K910" i="13"/>
  <c r="G911" i="13"/>
  <c r="H911" i="13"/>
  <c r="I911" i="13"/>
  <c r="J911" i="13"/>
  <c r="K911" i="13"/>
  <c r="G912" i="13"/>
  <c r="H912" i="13"/>
  <c r="I912" i="13"/>
  <c r="J912" i="13"/>
  <c r="K912" i="13"/>
  <c r="G913" i="13"/>
  <c r="H913" i="13"/>
  <c r="I913" i="13"/>
  <c r="J913" i="13"/>
  <c r="K913" i="13"/>
  <c r="G914" i="13"/>
  <c r="H914" i="13"/>
  <c r="I914" i="13"/>
  <c r="J914" i="13"/>
  <c r="K914" i="13"/>
  <c r="G915" i="13"/>
  <c r="H915" i="13"/>
  <c r="I915" i="13"/>
  <c r="J915" i="13"/>
  <c r="K915" i="13"/>
  <c r="G916" i="13"/>
  <c r="H916" i="13"/>
  <c r="I916" i="13"/>
  <c r="J916" i="13"/>
  <c r="K916" i="13"/>
  <c r="G917" i="13"/>
  <c r="H917" i="13"/>
  <c r="I917" i="13"/>
  <c r="J917" i="13"/>
  <c r="K917" i="13"/>
  <c r="G918" i="13"/>
  <c r="H918" i="13"/>
  <c r="I918" i="13"/>
  <c r="J918" i="13"/>
  <c r="K918" i="13"/>
  <c r="G919" i="13"/>
  <c r="H919" i="13"/>
  <c r="I919" i="13"/>
  <c r="J919" i="13"/>
  <c r="K919" i="13"/>
  <c r="G920" i="13"/>
  <c r="H920" i="13"/>
  <c r="I920" i="13"/>
  <c r="J920" i="13"/>
  <c r="K920" i="13"/>
  <c r="G921" i="13"/>
  <c r="H921" i="13"/>
  <c r="I921" i="13"/>
  <c r="J921" i="13"/>
  <c r="K921" i="13"/>
  <c r="G922" i="13"/>
  <c r="H922" i="13"/>
  <c r="I922" i="13"/>
  <c r="J922" i="13"/>
  <c r="K922" i="13"/>
  <c r="G923" i="13"/>
  <c r="H923" i="13"/>
  <c r="I923" i="13"/>
  <c r="J923" i="13"/>
  <c r="K923" i="13"/>
  <c r="G924" i="13"/>
  <c r="H924" i="13"/>
  <c r="I924" i="13"/>
  <c r="J924" i="13"/>
  <c r="K924" i="13"/>
  <c r="G925" i="13"/>
  <c r="H925" i="13"/>
  <c r="I925" i="13"/>
  <c r="J925" i="13"/>
  <c r="K925" i="13"/>
  <c r="G926" i="13"/>
  <c r="H926" i="13"/>
  <c r="I926" i="13"/>
  <c r="J926" i="13"/>
  <c r="K926" i="13"/>
  <c r="G927" i="13"/>
  <c r="H927" i="13"/>
  <c r="I927" i="13"/>
  <c r="J927" i="13"/>
  <c r="K927" i="13"/>
  <c r="G928" i="13"/>
  <c r="H928" i="13"/>
  <c r="I928" i="13"/>
  <c r="J928" i="13"/>
  <c r="K928" i="13"/>
  <c r="G929" i="13"/>
  <c r="H929" i="13"/>
  <c r="I929" i="13"/>
  <c r="J929" i="13"/>
  <c r="K929" i="13"/>
  <c r="G930" i="13"/>
  <c r="H930" i="13"/>
  <c r="I930" i="13"/>
  <c r="J930" i="13"/>
  <c r="K930" i="13"/>
  <c r="G931" i="13"/>
  <c r="H931" i="13"/>
  <c r="I931" i="13"/>
  <c r="J931" i="13"/>
  <c r="K931" i="13"/>
  <c r="G932" i="13"/>
  <c r="H932" i="13"/>
  <c r="I932" i="13"/>
  <c r="J932" i="13"/>
  <c r="K932" i="13"/>
  <c r="G933" i="13"/>
  <c r="H933" i="13"/>
  <c r="I933" i="13"/>
  <c r="J933" i="13"/>
  <c r="K933" i="13"/>
  <c r="G934" i="13"/>
  <c r="H934" i="13"/>
  <c r="I934" i="13"/>
  <c r="J934" i="13"/>
  <c r="K934" i="13"/>
  <c r="G935" i="13"/>
  <c r="H935" i="13"/>
  <c r="I935" i="13"/>
  <c r="J935" i="13"/>
  <c r="K935" i="13"/>
  <c r="G936" i="13"/>
  <c r="H936" i="13"/>
  <c r="I936" i="13"/>
  <c r="J936" i="13"/>
  <c r="K936" i="13"/>
  <c r="G937" i="13"/>
  <c r="H937" i="13"/>
  <c r="I937" i="13"/>
  <c r="J937" i="13"/>
  <c r="K937" i="13"/>
  <c r="G938" i="13"/>
  <c r="H938" i="13"/>
  <c r="I938" i="13"/>
  <c r="J938" i="13"/>
  <c r="K938" i="13"/>
  <c r="G939" i="13"/>
  <c r="H939" i="13"/>
  <c r="I939" i="13"/>
  <c r="J939" i="13"/>
  <c r="K939" i="13"/>
  <c r="G940" i="13"/>
  <c r="H940" i="13"/>
  <c r="I940" i="13"/>
  <c r="J940" i="13"/>
  <c r="K940" i="13"/>
  <c r="G941" i="13"/>
  <c r="H941" i="13"/>
  <c r="I941" i="13"/>
  <c r="J941" i="13"/>
  <c r="K941" i="13"/>
  <c r="G942" i="13"/>
  <c r="H942" i="13"/>
  <c r="I942" i="13"/>
  <c r="J942" i="13"/>
  <c r="K942" i="13"/>
  <c r="G943" i="13"/>
  <c r="H943" i="13"/>
  <c r="I943" i="13"/>
  <c r="J943" i="13"/>
  <c r="K943" i="13"/>
  <c r="G205" i="13"/>
  <c r="H205" i="13"/>
  <c r="I205" i="13"/>
  <c r="J205" i="13"/>
  <c r="K205" i="13"/>
  <c r="G1217" i="13"/>
  <c r="H1217" i="13"/>
  <c r="I1217" i="13"/>
  <c r="J1217" i="13"/>
  <c r="K1217" i="13"/>
  <c r="G946" i="13"/>
  <c r="H946" i="13"/>
  <c r="I946" i="13"/>
  <c r="J946" i="13"/>
  <c r="K946" i="13"/>
  <c r="G22" i="13"/>
  <c r="H22" i="13"/>
  <c r="I22" i="13"/>
  <c r="J22" i="13"/>
  <c r="K22" i="13"/>
  <c r="G948" i="13"/>
  <c r="H948" i="13"/>
  <c r="I948" i="13"/>
  <c r="J948" i="13"/>
  <c r="K948" i="13"/>
  <c r="G949" i="13"/>
  <c r="H949" i="13"/>
  <c r="I949" i="13"/>
  <c r="J949" i="13"/>
  <c r="K949" i="13"/>
  <c r="G950" i="13"/>
  <c r="H950" i="13"/>
  <c r="I950" i="13"/>
  <c r="J950" i="13"/>
  <c r="K950" i="13"/>
  <c r="G951" i="13"/>
  <c r="H951" i="13"/>
  <c r="I951" i="13"/>
  <c r="J951" i="13"/>
  <c r="K951" i="13"/>
  <c r="G952" i="13"/>
  <c r="H952" i="13"/>
  <c r="I952" i="13"/>
  <c r="J952" i="13"/>
  <c r="K952" i="13"/>
  <c r="G953" i="13"/>
  <c r="H953" i="13"/>
  <c r="I953" i="13"/>
  <c r="J953" i="13"/>
  <c r="K953" i="13"/>
  <c r="G195" i="13"/>
  <c r="H195" i="13"/>
  <c r="I195" i="13"/>
  <c r="J195" i="13"/>
  <c r="K195" i="13"/>
  <c r="G955" i="13"/>
  <c r="H955" i="13"/>
  <c r="I955" i="13"/>
  <c r="J955" i="13"/>
  <c r="K955" i="13"/>
  <c r="G852" i="13"/>
  <c r="H852" i="13"/>
  <c r="I852" i="13"/>
  <c r="J852" i="13"/>
  <c r="K852" i="13"/>
  <c r="G64" i="13"/>
  <c r="H64" i="13"/>
  <c r="I64" i="13"/>
  <c r="J64" i="13"/>
  <c r="K64" i="13"/>
  <c r="G214" i="13"/>
  <c r="H214" i="13"/>
  <c r="I214" i="13"/>
  <c r="J214" i="13"/>
  <c r="K214" i="13"/>
  <c r="G67" i="13"/>
  <c r="H67" i="13"/>
  <c r="I67" i="13"/>
  <c r="J67" i="13"/>
  <c r="K67" i="13"/>
  <c r="G75" i="13"/>
  <c r="H75" i="13"/>
  <c r="I75" i="13"/>
  <c r="J75" i="13"/>
  <c r="K75" i="13"/>
  <c r="G19" i="13"/>
  <c r="H19" i="13"/>
  <c r="I19" i="13"/>
  <c r="J19" i="13"/>
  <c r="K19" i="13"/>
  <c r="G2" i="13"/>
  <c r="H2" i="13"/>
  <c r="I2" i="13"/>
  <c r="J2" i="13"/>
  <c r="K2" i="13"/>
  <c r="G113" i="13"/>
  <c r="H113" i="13"/>
  <c r="I113" i="13"/>
  <c r="J113" i="13"/>
  <c r="K113" i="13"/>
  <c r="G243" i="13"/>
  <c r="H243" i="13"/>
  <c r="I243" i="13"/>
  <c r="J243" i="13"/>
  <c r="K243" i="13"/>
  <c r="G77" i="13"/>
  <c r="H77" i="13"/>
  <c r="I77" i="13"/>
  <c r="J77" i="13"/>
  <c r="K77" i="13"/>
  <c r="G168" i="13"/>
  <c r="H168" i="13"/>
  <c r="I168" i="13"/>
  <c r="J168" i="13"/>
  <c r="K168" i="13"/>
  <c r="G165" i="13"/>
  <c r="H165" i="13"/>
  <c r="I165" i="13"/>
  <c r="J165" i="13"/>
  <c r="K165" i="13"/>
  <c r="G188" i="13"/>
  <c r="H188" i="13"/>
  <c r="I188" i="13"/>
  <c r="J188" i="13"/>
  <c r="K188" i="13"/>
  <c r="G78" i="13"/>
  <c r="H78" i="13"/>
  <c r="I78" i="13"/>
  <c r="J78" i="13"/>
  <c r="K78" i="13"/>
  <c r="G970" i="13"/>
  <c r="H970" i="13"/>
  <c r="I970" i="13"/>
  <c r="J970" i="13"/>
  <c r="K970" i="13"/>
  <c r="G971" i="13"/>
  <c r="H971" i="13"/>
  <c r="I971" i="13"/>
  <c r="J971" i="13"/>
  <c r="K971" i="13"/>
  <c r="G972" i="13"/>
  <c r="H972" i="13"/>
  <c r="I972" i="13"/>
  <c r="J972" i="13"/>
  <c r="K972" i="13"/>
  <c r="G973" i="13"/>
  <c r="H973" i="13"/>
  <c r="I973" i="13"/>
  <c r="J973" i="13"/>
  <c r="K973" i="13"/>
  <c r="G974" i="13"/>
  <c r="H974" i="13"/>
  <c r="I974" i="13"/>
  <c r="J974" i="13"/>
  <c r="K974" i="13"/>
  <c r="G975" i="13"/>
  <c r="H975" i="13"/>
  <c r="I975" i="13"/>
  <c r="J975" i="13"/>
  <c r="K975" i="13"/>
  <c r="G976" i="13"/>
  <c r="H976" i="13"/>
  <c r="I976" i="13"/>
  <c r="J976" i="13"/>
  <c r="K976" i="13"/>
  <c r="G977" i="13"/>
  <c r="H977" i="13"/>
  <c r="I977" i="13"/>
  <c r="J977" i="13"/>
  <c r="K977" i="13"/>
  <c r="G978" i="13"/>
  <c r="H978" i="13"/>
  <c r="I978" i="13"/>
  <c r="J978" i="13"/>
  <c r="K978" i="13"/>
  <c r="G979" i="13"/>
  <c r="H979" i="13"/>
  <c r="I979" i="13"/>
  <c r="J979" i="13"/>
  <c r="K979" i="13"/>
  <c r="G980" i="13"/>
  <c r="H980" i="13"/>
  <c r="I980" i="13"/>
  <c r="J980" i="13"/>
  <c r="K980" i="13"/>
  <c r="G981" i="13"/>
  <c r="H981" i="13"/>
  <c r="I981" i="13"/>
  <c r="J981" i="13"/>
  <c r="K981" i="13"/>
  <c r="G982" i="13"/>
  <c r="H982" i="13"/>
  <c r="I982" i="13"/>
  <c r="J982" i="13"/>
  <c r="K982" i="13"/>
  <c r="G983" i="13"/>
  <c r="H983" i="13"/>
  <c r="I983" i="13"/>
  <c r="J983" i="13"/>
  <c r="K983" i="13"/>
  <c r="G984" i="13"/>
  <c r="H984" i="13"/>
  <c r="I984" i="13"/>
  <c r="J984" i="13"/>
  <c r="K984" i="13"/>
  <c r="G985" i="13"/>
  <c r="H985" i="13"/>
  <c r="I985" i="13"/>
  <c r="J985" i="13"/>
  <c r="K985" i="13"/>
  <c r="G986" i="13"/>
  <c r="H986" i="13"/>
  <c r="I986" i="13"/>
  <c r="J986" i="13"/>
  <c r="K986" i="13"/>
  <c r="G987" i="13"/>
  <c r="H987" i="13"/>
  <c r="I987" i="13"/>
  <c r="J987" i="13"/>
  <c r="K987" i="13"/>
  <c r="G988" i="13"/>
  <c r="H988" i="13"/>
  <c r="I988" i="13"/>
  <c r="J988" i="13"/>
  <c r="K988" i="13"/>
  <c r="G989" i="13"/>
  <c r="H989" i="13"/>
  <c r="I989" i="13"/>
  <c r="J989" i="13"/>
  <c r="K989" i="13"/>
  <c r="G990" i="13"/>
  <c r="H990" i="13"/>
  <c r="I990" i="13"/>
  <c r="J990" i="13"/>
  <c r="K990" i="13"/>
  <c r="G991" i="13"/>
  <c r="H991" i="13"/>
  <c r="I991" i="13"/>
  <c r="J991" i="13"/>
  <c r="K991" i="13"/>
  <c r="G992" i="13"/>
  <c r="H992" i="13"/>
  <c r="I992" i="13"/>
  <c r="J992" i="13"/>
  <c r="K992" i="13"/>
  <c r="G993" i="13"/>
  <c r="H993" i="13"/>
  <c r="I993" i="13"/>
  <c r="J993" i="13"/>
  <c r="K993" i="13"/>
  <c r="G994" i="13"/>
  <c r="H994" i="13"/>
  <c r="I994" i="13"/>
  <c r="J994" i="13"/>
  <c r="K994" i="13"/>
  <c r="G995" i="13"/>
  <c r="H995" i="13"/>
  <c r="I995" i="13"/>
  <c r="J995" i="13"/>
  <c r="K995" i="13"/>
  <c r="G996" i="13"/>
  <c r="H996" i="13"/>
  <c r="I996" i="13"/>
  <c r="J996" i="13"/>
  <c r="K996" i="13"/>
  <c r="G997" i="13"/>
  <c r="H997" i="13"/>
  <c r="I997" i="13"/>
  <c r="J997" i="13"/>
  <c r="K997" i="13"/>
  <c r="G998" i="13"/>
  <c r="H998" i="13"/>
  <c r="I998" i="13"/>
  <c r="J998" i="13"/>
  <c r="K998" i="13"/>
  <c r="G999" i="13"/>
  <c r="H999" i="13"/>
  <c r="I999" i="13"/>
  <c r="J999" i="13"/>
  <c r="K999" i="13"/>
  <c r="G1000" i="13"/>
  <c r="H1000" i="13"/>
  <c r="I1000" i="13"/>
  <c r="J1000" i="13"/>
  <c r="K1000" i="13"/>
  <c r="G1001" i="13"/>
  <c r="H1001" i="13"/>
  <c r="I1001" i="13"/>
  <c r="J1001" i="13"/>
  <c r="K1001" i="13"/>
  <c r="G1002" i="13"/>
  <c r="H1002" i="13"/>
  <c r="I1002" i="13"/>
  <c r="J1002" i="13"/>
  <c r="K1002" i="13"/>
  <c r="G1003" i="13"/>
  <c r="H1003" i="13"/>
  <c r="I1003" i="13"/>
  <c r="J1003" i="13"/>
  <c r="K1003" i="13"/>
  <c r="G1004" i="13"/>
  <c r="H1004" i="13"/>
  <c r="I1004" i="13"/>
  <c r="J1004" i="13"/>
  <c r="K1004" i="13"/>
  <c r="G1005" i="13"/>
  <c r="H1005" i="13"/>
  <c r="I1005" i="13"/>
  <c r="J1005" i="13"/>
  <c r="K1005" i="13"/>
  <c r="G1006" i="13"/>
  <c r="H1006" i="13"/>
  <c r="I1006" i="13"/>
  <c r="J1006" i="13"/>
  <c r="K1006" i="13"/>
  <c r="G1007" i="13"/>
  <c r="H1007" i="13"/>
  <c r="I1007" i="13"/>
  <c r="J1007" i="13"/>
  <c r="K1007" i="13"/>
  <c r="G1008" i="13"/>
  <c r="H1008" i="13"/>
  <c r="I1008" i="13"/>
  <c r="J1008" i="13"/>
  <c r="K1008" i="13"/>
  <c r="G174" i="13"/>
  <c r="H174" i="13"/>
  <c r="I174" i="13"/>
  <c r="J174" i="13"/>
  <c r="K174" i="13"/>
  <c r="G115" i="13"/>
  <c r="H115" i="13"/>
  <c r="I115" i="13"/>
  <c r="J115" i="13"/>
  <c r="K115" i="13"/>
  <c r="G152" i="13"/>
  <c r="H152" i="13"/>
  <c r="I152" i="13"/>
  <c r="J152" i="13"/>
  <c r="K152" i="13"/>
  <c r="G108" i="13"/>
  <c r="H108" i="13"/>
  <c r="I108" i="13"/>
  <c r="J108" i="13"/>
  <c r="K108" i="13"/>
  <c r="G149" i="13"/>
  <c r="H149" i="13"/>
  <c r="I149" i="13"/>
  <c r="J149" i="13"/>
  <c r="K149" i="13"/>
  <c r="G42" i="13"/>
  <c r="H42" i="13"/>
  <c r="I42" i="13"/>
  <c r="J42" i="13"/>
  <c r="K42" i="13"/>
  <c r="G116" i="13"/>
  <c r="H116" i="13"/>
  <c r="I116" i="13"/>
  <c r="J116" i="13"/>
  <c r="K116" i="13"/>
  <c r="G193" i="13"/>
  <c r="H193" i="13"/>
  <c r="I193" i="13"/>
  <c r="J193" i="13"/>
  <c r="K193" i="13"/>
  <c r="G66" i="13"/>
  <c r="H66" i="13"/>
  <c r="I66" i="13"/>
  <c r="J66" i="13"/>
  <c r="K66" i="13"/>
  <c r="G1018" i="13"/>
  <c r="H1018" i="13"/>
  <c r="I1018" i="13"/>
  <c r="J1018" i="13"/>
  <c r="K1018" i="13"/>
  <c r="G1019" i="13"/>
  <c r="H1019" i="13"/>
  <c r="I1019" i="13"/>
  <c r="J1019" i="13"/>
  <c r="K1019" i="13"/>
  <c r="G1020" i="13"/>
  <c r="H1020" i="13"/>
  <c r="I1020" i="13"/>
  <c r="J1020" i="13"/>
  <c r="K1020" i="13"/>
  <c r="G1021" i="13"/>
  <c r="H1021" i="13"/>
  <c r="I1021" i="13"/>
  <c r="J1021" i="13"/>
  <c r="K1021" i="13"/>
  <c r="G474" i="13"/>
  <c r="H474" i="13"/>
  <c r="I474" i="13"/>
  <c r="J474" i="13"/>
  <c r="K474" i="13"/>
  <c r="G1101" i="13"/>
  <c r="H1101" i="13"/>
  <c r="I1101" i="13"/>
  <c r="J1101" i="13"/>
  <c r="K1101" i="13"/>
  <c r="G399" i="13"/>
  <c r="H399" i="13"/>
  <c r="I399" i="13"/>
  <c r="J399" i="13"/>
  <c r="K399" i="13"/>
  <c r="G1025" i="13"/>
  <c r="H1025" i="13"/>
  <c r="I1025" i="13"/>
  <c r="J1025" i="13"/>
  <c r="K1025" i="13"/>
  <c r="G112" i="13"/>
  <c r="H112" i="13"/>
  <c r="I112" i="13"/>
  <c r="J112" i="13"/>
  <c r="K112" i="13"/>
  <c r="G162" i="13"/>
  <c r="H162" i="13"/>
  <c r="I162" i="13"/>
  <c r="J162" i="13"/>
  <c r="K162" i="13"/>
  <c r="G963" i="13"/>
  <c r="H963" i="13"/>
  <c r="I963" i="13"/>
  <c r="J963" i="13"/>
  <c r="K963" i="13"/>
  <c r="G230" i="13"/>
  <c r="H230" i="13"/>
  <c r="I230" i="13"/>
  <c r="J230" i="13"/>
  <c r="K230" i="13"/>
  <c r="G54" i="13"/>
  <c r="H54" i="13"/>
  <c r="I54" i="13"/>
  <c r="J54" i="13"/>
  <c r="K54" i="13"/>
  <c r="G1031" i="13"/>
  <c r="H1031" i="13"/>
  <c r="I1031" i="13"/>
  <c r="J1031" i="13"/>
  <c r="K1031" i="13"/>
  <c r="G1032" i="13"/>
  <c r="H1032" i="13"/>
  <c r="I1032" i="13"/>
  <c r="J1032" i="13"/>
  <c r="K1032" i="13"/>
  <c r="G1033" i="13"/>
  <c r="H1033" i="13"/>
  <c r="I1033" i="13"/>
  <c r="J1033" i="13"/>
  <c r="K1033" i="13"/>
  <c r="G110" i="13"/>
  <c r="H110" i="13"/>
  <c r="I110" i="13"/>
  <c r="J110" i="13"/>
  <c r="K110" i="13"/>
  <c r="G237" i="13"/>
  <c r="H237" i="13"/>
  <c r="I237" i="13"/>
  <c r="J237" i="13"/>
  <c r="K237" i="13"/>
  <c r="G111" i="13"/>
  <c r="H111" i="13"/>
  <c r="I111" i="13"/>
  <c r="J111" i="13"/>
  <c r="K111" i="13"/>
  <c r="G73" i="13"/>
  <c r="H73" i="13"/>
  <c r="I73" i="13"/>
  <c r="J73" i="13"/>
  <c r="K73" i="13"/>
  <c r="G484" i="13"/>
  <c r="H484" i="13"/>
  <c r="I484" i="13"/>
  <c r="J484" i="13"/>
  <c r="K484" i="13"/>
  <c r="G69" i="13"/>
  <c r="H69" i="13"/>
  <c r="I69" i="13"/>
  <c r="J69" i="13"/>
  <c r="K69" i="13"/>
  <c r="G227" i="13"/>
  <c r="H227" i="13"/>
  <c r="I227" i="13"/>
  <c r="J227" i="13"/>
  <c r="K227" i="13"/>
  <c r="G217" i="13"/>
  <c r="H217" i="13"/>
  <c r="I217" i="13"/>
  <c r="J217" i="13"/>
  <c r="K217" i="13"/>
  <c r="G187" i="13"/>
  <c r="H187" i="13"/>
  <c r="I187" i="13"/>
  <c r="J187" i="13"/>
  <c r="K187" i="13"/>
  <c r="G1215" i="13"/>
  <c r="H1215" i="13"/>
  <c r="I1215" i="13"/>
  <c r="J1215" i="13"/>
  <c r="K1215" i="13"/>
  <c r="G200" i="13"/>
  <c r="H200" i="13"/>
  <c r="I200" i="13"/>
  <c r="J200" i="13"/>
  <c r="K200" i="13"/>
  <c r="G210" i="13"/>
  <c r="H210" i="13"/>
  <c r="I210" i="13"/>
  <c r="J210" i="13"/>
  <c r="K210" i="13"/>
  <c r="G1014" i="13"/>
  <c r="H1014" i="13"/>
  <c r="I1014" i="13"/>
  <c r="J1014" i="13"/>
  <c r="K1014" i="13"/>
  <c r="G62" i="13"/>
  <c r="H62" i="13"/>
  <c r="I62" i="13"/>
  <c r="J62" i="13"/>
  <c r="K62" i="13"/>
  <c r="G960" i="13"/>
  <c r="H960" i="13"/>
  <c r="I960" i="13"/>
  <c r="J960" i="13"/>
  <c r="K960" i="13"/>
  <c r="G1390" i="13"/>
  <c r="H1390" i="13"/>
  <c r="I1390" i="13"/>
  <c r="J1390" i="13"/>
  <c r="K1390" i="13"/>
  <c r="G1050" i="13"/>
  <c r="H1050" i="13"/>
  <c r="I1050" i="13"/>
  <c r="J1050" i="13"/>
  <c r="K1050" i="13"/>
  <c r="G1051" i="13"/>
  <c r="H1051" i="13"/>
  <c r="I1051" i="13"/>
  <c r="J1051" i="13"/>
  <c r="K1051" i="13"/>
  <c r="G1052" i="13"/>
  <c r="H1052" i="13"/>
  <c r="I1052" i="13"/>
  <c r="J1052" i="13"/>
  <c r="K1052" i="13"/>
  <c r="G1053" i="13"/>
  <c r="H1053" i="13"/>
  <c r="I1053" i="13"/>
  <c r="J1053" i="13"/>
  <c r="K1053" i="13"/>
  <c r="G1054" i="13"/>
  <c r="H1054" i="13"/>
  <c r="I1054" i="13"/>
  <c r="J1054" i="13"/>
  <c r="K1054" i="13"/>
  <c r="G1055" i="13"/>
  <c r="H1055" i="13"/>
  <c r="I1055" i="13"/>
  <c r="J1055" i="13"/>
  <c r="K1055" i="13"/>
  <c r="G1056" i="13"/>
  <c r="H1056" i="13"/>
  <c r="I1056" i="13"/>
  <c r="J1056" i="13"/>
  <c r="K1056" i="13"/>
  <c r="G1057" i="13"/>
  <c r="H1057" i="13"/>
  <c r="I1057" i="13"/>
  <c r="J1057" i="13"/>
  <c r="K1057" i="13"/>
  <c r="G1058" i="13"/>
  <c r="H1058" i="13"/>
  <c r="I1058" i="13"/>
  <c r="J1058" i="13"/>
  <c r="K1058" i="13"/>
  <c r="G1059" i="13"/>
  <c r="H1059" i="13"/>
  <c r="I1059" i="13"/>
  <c r="J1059" i="13"/>
  <c r="K1059" i="13"/>
  <c r="G1060" i="13"/>
  <c r="H1060" i="13"/>
  <c r="I1060" i="13"/>
  <c r="J1060" i="13"/>
  <c r="K1060" i="13"/>
  <c r="G1061" i="13"/>
  <c r="H1061" i="13"/>
  <c r="I1061" i="13"/>
  <c r="J1061" i="13"/>
  <c r="K1061" i="13"/>
  <c r="G855" i="13"/>
  <c r="H855" i="13"/>
  <c r="I855" i="13"/>
  <c r="J855" i="13"/>
  <c r="K855" i="13"/>
  <c r="G1102" i="13"/>
  <c r="H1102" i="13"/>
  <c r="I1102" i="13"/>
  <c r="J1102" i="13"/>
  <c r="K1102" i="13"/>
  <c r="G961" i="13"/>
  <c r="H961" i="13"/>
  <c r="I961" i="13"/>
  <c r="J961" i="13"/>
  <c r="K961" i="13"/>
  <c r="G63" i="13"/>
  <c r="H63" i="13"/>
  <c r="I63" i="13"/>
  <c r="J63" i="13"/>
  <c r="K63" i="13"/>
  <c r="G194" i="13"/>
  <c r="H194" i="13"/>
  <c r="I194" i="13"/>
  <c r="J194" i="13"/>
  <c r="K194" i="13"/>
  <c r="G969" i="13"/>
  <c r="H969" i="13"/>
  <c r="I969" i="13"/>
  <c r="J969" i="13"/>
  <c r="K969" i="13"/>
  <c r="G197" i="13"/>
  <c r="H197" i="13"/>
  <c r="I197" i="13"/>
  <c r="J197" i="13"/>
  <c r="K197" i="13"/>
  <c r="G1069" i="13"/>
  <c r="H1069" i="13"/>
  <c r="I1069" i="13"/>
  <c r="J1069" i="13"/>
  <c r="K1069" i="13"/>
  <c r="G1100" i="13"/>
  <c r="H1100" i="13"/>
  <c r="I1100" i="13"/>
  <c r="J1100" i="13"/>
  <c r="K1100" i="13"/>
  <c r="G478" i="13"/>
  <c r="H478" i="13"/>
  <c r="I478" i="13"/>
  <c r="J478" i="13"/>
  <c r="K478" i="13"/>
  <c r="G1072" i="13"/>
  <c r="H1072" i="13"/>
  <c r="I1072" i="13"/>
  <c r="J1072" i="13"/>
  <c r="K1072" i="13"/>
  <c r="G1073" i="13"/>
  <c r="H1073" i="13"/>
  <c r="I1073" i="13"/>
  <c r="J1073" i="13"/>
  <c r="K1073" i="13"/>
  <c r="G1074" i="13"/>
  <c r="H1074" i="13"/>
  <c r="I1074" i="13"/>
  <c r="J1074" i="13"/>
  <c r="K1074" i="13"/>
  <c r="G1075" i="13"/>
  <c r="H1075" i="13"/>
  <c r="I1075" i="13"/>
  <c r="J1075" i="13"/>
  <c r="K1075" i="13"/>
  <c r="G1076" i="13"/>
  <c r="H1076" i="13"/>
  <c r="I1076" i="13"/>
  <c r="J1076" i="13"/>
  <c r="K1076" i="13"/>
  <c r="G1209" i="13"/>
  <c r="H1209" i="13"/>
  <c r="I1209" i="13"/>
  <c r="J1209" i="13"/>
  <c r="K1209" i="13"/>
  <c r="G1211" i="13"/>
  <c r="H1211" i="13"/>
  <c r="I1211" i="13"/>
  <c r="J1211" i="13"/>
  <c r="K1211" i="13"/>
  <c r="G1079" i="13"/>
  <c r="H1079" i="13"/>
  <c r="I1079" i="13"/>
  <c r="J1079" i="13"/>
  <c r="K1079" i="13"/>
  <c r="G207" i="13"/>
  <c r="H207" i="13"/>
  <c r="I207" i="13"/>
  <c r="J207" i="13"/>
  <c r="K207" i="13"/>
  <c r="G1189" i="13"/>
  <c r="H1189" i="13"/>
  <c r="I1189" i="13"/>
  <c r="J1189" i="13"/>
  <c r="K1189" i="13"/>
  <c r="G1013" i="13"/>
  <c r="H1013" i="13"/>
  <c r="I1013" i="13"/>
  <c r="J1013" i="13"/>
  <c r="K1013" i="13"/>
  <c r="G219" i="13"/>
  <c r="H219" i="13"/>
  <c r="I219" i="13"/>
  <c r="J219" i="13"/>
  <c r="K219" i="13"/>
  <c r="G959" i="13"/>
  <c r="H959" i="13"/>
  <c r="I959" i="13"/>
  <c r="J959" i="13"/>
  <c r="K959" i="13"/>
  <c r="G398" i="13"/>
  <c r="H398" i="13"/>
  <c r="I398" i="13"/>
  <c r="J398" i="13"/>
  <c r="K398" i="13"/>
  <c r="G379" i="13"/>
  <c r="H379" i="13"/>
  <c r="I379" i="13"/>
  <c r="J379" i="13"/>
  <c r="K379" i="13"/>
  <c r="G967" i="13"/>
  <c r="H967" i="13"/>
  <c r="I967" i="13"/>
  <c r="J967" i="13"/>
  <c r="K967" i="13"/>
  <c r="G1088" i="13"/>
  <c r="H1088" i="13"/>
  <c r="I1088" i="13"/>
  <c r="J1088" i="13"/>
  <c r="K1088" i="13"/>
  <c r="G1089" i="13"/>
  <c r="H1089" i="13"/>
  <c r="I1089" i="13"/>
  <c r="J1089" i="13"/>
  <c r="K1089" i="13"/>
  <c r="G124" i="13"/>
  <c r="H124" i="13"/>
  <c r="I124" i="13"/>
  <c r="J124" i="13"/>
  <c r="K124" i="13"/>
  <c r="G201" i="13"/>
  <c r="H201" i="13"/>
  <c r="I201" i="13"/>
  <c r="J201" i="13"/>
  <c r="K201" i="13"/>
  <c r="G1193" i="13"/>
  <c r="H1193" i="13"/>
  <c r="I1193" i="13"/>
  <c r="J1193" i="13"/>
  <c r="K1193" i="13"/>
  <c r="G964" i="13"/>
  <c r="H964" i="13"/>
  <c r="I964" i="13"/>
  <c r="J964" i="13"/>
  <c r="K964" i="13"/>
  <c r="G240" i="13"/>
  <c r="H240" i="13"/>
  <c r="I240" i="13"/>
  <c r="J240" i="13"/>
  <c r="K240" i="13"/>
  <c r="G220" i="13"/>
  <c r="H220" i="13"/>
  <c r="I220" i="13"/>
  <c r="J220" i="13"/>
  <c r="K220" i="13"/>
  <c r="G463" i="13"/>
  <c r="H463" i="13"/>
  <c r="I463" i="13"/>
  <c r="J463" i="13"/>
  <c r="K463" i="13"/>
  <c r="G1009" i="13"/>
  <c r="H1009" i="13"/>
  <c r="I1009" i="13"/>
  <c r="J1009" i="13"/>
  <c r="K1009" i="13"/>
  <c r="G1190" i="13"/>
  <c r="H1190" i="13"/>
  <c r="I1190" i="13"/>
  <c r="J1190" i="13"/>
  <c r="K1190" i="13"/>
  <c r="G1210" i="13"/>
  <c r="H1210" i="13"/>
  <c r="I1210" i="13"/>
  <c r="J1210" i="13"/>
  <c r="K1210" i="13"/>
  <c r="G470" i="13"/>
  <c r="H470" i="13"/>
  <c r="I470" i="13"/>
  <c r="J470" i="13"/>
  <c r="K470" i="13"/>
  <c r="G856" i="13"/>
  <c r="H856" i="13"/>
  <c r="I856" i="13"/>
  <c r="J856" i="13"/>
  <c r="K856" i="13"/>
  <c r="G1191" i="13"/>
  <c r="H1191" i="13"/>
  <c r="I1191" i="13"/>
  <c r="J1191" i="13"/>
  <c r="K1191" i="13"/>
  <c r="G1214" i="13"/>
  <c r="H1214" i="13"/>
  <c r="I1214" i="13"/>
  <c r="J1214" i="13"/>
  <c r="K1214" i="13"/>
  <c r="G1104" i="13"/>
  <c r="H1104" i="13"/>
  <c r="I1104" i="13"/>
  <c r="J1104" i="13"/>
  <c r="K1104" i="13"/>
  <c r="G1105" i="13"/>
  <c r="H1105" i="13"/>
  <c r="I1105" i="13"/>
  <c r="J1105" i="13"/>
  <c r="K1105" i="13"/>
  <c r="G1106" i="13"/>
  <c r="H1106" i="13"/>
  <c r="I1106" i="13"/>
  <c r="J1106" i="13"/>
  <c r="K1106" i="13"/>
  <c r="G1107" i="13"/>
  <c r="H1107" i="13"/>
  <c r="I1107" i="13"/>
  <c r="J1107" i="13"/>
  <c r="K1107" i="13"/>
  <c r="G1108" i="13"/>
  <c r="H1108" i="13"/>
  <c r="I1108" i="13"/>
  <c r="J1108" i="13"/>
  <c r="K1108" i="13"/>
  <c r="G1109" i="13"/>
  <c r="H1109" i="13"/>
  <c r="I1109" i="13"/>
  <c r="J1109" i="13"/>
  <c r="K1109" i="13"/>
  <c r="G1110" i="13"/>
  <c r="H1110" i="13"/>
  <c r="I1110" i="13"/>
  <c r="J1110" i="13"/>
  <c r="K1110" i="13"/>
  <c r="G1111" i="13"/>
  <c r="H1111" i="13"/>
  <c r="I1111" i="13"/>
  <c r="J1111" i="13"/>
  <c r="K1111" i="13"/>
  <c r="G1112" i="13"/>
  <c r="H1112" i="13"/>
  <c r="I1112" i="13"/>
  <c r="J1112" i="13"/>
  <c r="K1112" i="13"/>
  <c r="G1113" i="13"/>
  <c r="H1113" i="13"/>
  <c r="I1113" i="13"/>
  <c r="J1113" i="13"/>
  <c r="K1113" i="13"/>
  <c r="G1114" i="13"/>
  <c r="H1114" i="13"/>
  <c r="I1114" i="13"/>
  <c r="J1114" i="13"/>
  <c r="K1114" i="13"/>
  <c r="G1115" i="13"/>
  <c r="H1115" i="13"/>
  <c r="I1115" i="13"/>
  <c r="J1115" i="13"/>
  <c r="K1115" i="13"/>
  <c r="G1116" i="13"/>
  <c r="H1116" i="13"/>
  <c r="I1116" i="13"/>
  <c r="J1116" i="13"/>
  <c r="K1116" i="13"/>
  <c r="G1117" i="13"/>
  <c r="H1117" i="13"/>
  <c r="I1117" i="13"/>
  <c r="J1117" i="13"/>
  <c r="K1117" i="13"/>
  <c r="G1118" i="13"/>
  <c r="H1118" i="13"/>
  <c r="I1118" i="13"/>
  <c r="J1118" i="13"/>
  <c r="K1118" i="13"/>
  <c r="G1119" i="13"/>
  <c r="H1119" i="13"/>
  <c r="I1119" i="13"/>
  <c r="J1119" i="13"/>
  <c r="K1119" i="13"/>
  <c r="G1120" i="13"/>
  <c r="H1120" i="13"/>
  <c r="I1120" i="13"/>
  <c r="J1120" i="13"/>
  <c r="K1120" i="13"/>
  <c r="G1121" i="13"/>
  <c r="H1121" i="13"/>
  <c r="I1121" i="13"/>
  <c r="J1121" i="13"/>
  <c r="K1121" i="13"/>
  <c r="G1122" i="13"/>
  <c r="H1122" i="13"/>
  <c r="I1122" i="13"/>
  <c r="J1122" i="13"/>
  <c r="K1122" i="13"/>
  <c r="G1123" i="13"/>
  <c r="H1123" i="13"/>
  <c r="I1123" i="13"/>
  <c r="J1123" i="13"/>
  <c r="K1123" i="13"/>
  <c r="G1124" i="13"/>
  <c r="H1124" i="13"/>
  <c r="I1124" i="13"/>
  <c r="J1124" i="13"/>
  <c r="K1124" i="13"/>
  <c r="G1125" i="13"/>
  <c r="H1125" i="13"/>
  <c r="I1125" i="13"/>
  <c r="J1125" i="13"/>
  <c r="K1125" i="13"/>
  <c r="G1126" i="13"/>
  <c r="H1126" i="13"/>
  <c r="I1126" i="13"/>
  <c r="J1126" i="13"/>
  <c r="K1126" i="13"/>
  <c r="G1127" i="13"/>
  <c r="H1127" i="13"/>
  <c r="I1127" i="13"/>
  <c r="J1127" i="13"/>
  <c r="K1127" i="13"/>
  <c r="G1128" i="13"/>
  <c r="H1128" i="13"/>
  <c r="I1128" i="13"/>
  <c r="J1128" i="13"/>
  <c r="K1128" i="13"/>
  <c r="G1129" i="13"/>
  <c r="H1129" i="13"/>
  <c r="I1129" i="13"/>
  <c r="J1129" i="13"/>
  <c r="K1129" i="13"/>
  <c r="G1130" i="13"/>
  <c r="H1130" i="13"/>
  <c r="I1130" i="13"/>
  <c r="J1130" i="13"/>
  <c r="K1130" i="13"/>
  <c r="G1131" i="13"/>
  <c r="H1131" i="13"/>
  <c r="I1131" i="13"/>
  <c r="J1131" i="13"/>
  <c r="K1131" i="13"/>
  <c r="G1132" i="13"/>
  <c r="H1132" i="13"/>
  <c r="I1132" i="13"/>
  <c r="J1132" i="13"/>
  <c r="K1132" i="13"/>
  <c r="G1476" i="13"/>
  <c r="H1476" i="13"/>
  <c r="I1476" i="13"/>
  <c r="J1476" i="13"/>
  <c r="K1476" i="13"/>
  <c r="G1134" i="13"/>
  <c r="H1134" i="13"/>
  <c r="I1134" i="13"/>
  <c r="J1134" i="13"/>
  <c r="K1134" i="13"/>
  <c r="G1135" i="13"/>
  <c r="H1135" i="13"/>
  <c r="I1135" i="13"/>
  <c r="J1135" i="13"/>
  <c r="K1135" i="13"/>
  <c r="G1136" i="13"/>
  <c r="H1136" i="13"/>
  <c r="I1136" i="13"/>
  <c r="J1136" i="13"/>
  <c r="K1136" i="13"/>
  <c r="G1137" i="13"/>
  <c r="H1137" i="13"/>
  <c r="I1137" i="13"/>
  <c r="J1137" i="13"/>
  <c r="K1137" i="13"/>
  <c r="G1138" i="13"/>
  <c r="H1138" i="13"/>
  <c r="I1138" i="13"/>
  <c r="J1138" i="13"/>
  <c r="K1138" i="13"/>
  <c r="G1139" i="13"/>
  <c r="H1139" i="13"/>
  <c r="I1139" i="13"/>
  <c r="J1139" i="13"/>
  <c r="K1139" i="13"/>
  <c r="G1140" i="13"/>
  <c r="H1140" i="13"/>
  <c r="I1140" i="13"/>
  <c r="J1140" i="13"/>
  <c r="K1140" i="13"/>
  <c r="G1141" i="13"/>
  <c r="H1141" i="13"/>
  <c r="I1141" i="13"/>
  <c r="J1141" i="13"/>
  <c r="K1141" i="13"/>
  <c r="G1142" i="13"/>
  <c r="H1142" i="13"/>
  <c r="I1142" i="13"/>
  <c r="J1142" i="13"/>
  <c r="K1142" i="13"/>
  <c r="G1143" i="13"/>
  <c r="H1143" i="13"/>
  <c r="I1143" i="13"/>
  <c r="J1143" i="13"/>
  <c r="K1143" i="13"/>
  <c r="G1144" i="13"/>
  <c r="H1144" i="13"/>
  <c r="I1144" i="13"/>
  <c r="J1144" i="13"/>
  <c r="K1144" i="13"/>
  <c r="G1145" i="13"/>
  <c r="H1145" i="13"/>
  <c r="I1145" i="13"/>
  <c r="J1145" i="13"/>
  <c r="K1145" i="13"/>
  <c r="G1146" i="13"/>
  <c r="H1146" i="13"/>
  <c r="I1146" i="13"/>
  <c r="J1146" i="13"/>
  <c r="K1146" i="13"/>
  <c r="G1147" i="13"/>
  <c r="H1147" i="13"/>
  <c r="I1147" i="13"/>
  <c r="J1147" i="13"/>
  <c r="K1147" i="13"/>
  <c r="G1148" i="13"/>
  <c r="H1148" i="13"/>
  <c r="I1148" i="13"/>
  <c r="J1148" i="13"/>
  <c r="K1148" i="13"/>
  <c r="G1149" i="13"/>
  <c r="H1149" i="13"/>
  <c r="I1149" i="13"/>
  <c r="J1149" i="13"/>
  <c r="K1149" i="13"/>
  <c r="G1150" i="13"/>
  <c r="H1150" i="13"/>
  <c r="I1150" i="13"/>
  <c r="J1150" i="13"/>
  <c r="K1150" i="13"/>
  <c r="G1151" i="13"/>
  <c r="H1151" i="13"/>
  <c r="I1151" i="13"/>
  <c r="J1151" i="13"/>
  <c r="K1151" i="13"/>
  <c r="G1152" i="13"/>
  <c r="H1152" i="13"/>
  <c r="I1152" i="13"/>
  <c r="J1152" i="13"/>
  <c r="K1152" i="13"/>
  <c r="G1153" i="13"/>
  <c r="H1153" i="13"/>
  <c r="I1153" i="13"/>
  <c r="J1153" i="13"/>
  <c r="K1153" i="13"/>
  <c r="G1154" i="13"/>
  <c r="H1154" i="13"/>
  <c r="I1154" i="13"/>
  <c r="J1154" i="13"/>
  <c r="K1154" i="13"/>
  <c r="G1155" i="13"/>
  <c r="H1155" i="13"/>
  <c r="I1155" i="13"/>
  <c r="J1155" i="13"/>
  <c r="K1155" i="13"/>
  <c r="G1156" i="13"/>
  <c r="H1156" i="13"/>
  <c r="I1156" i="13"/>
  <c r="J1156" i="13"/>
  <c r="K1156" i="13"/>
  <c r="G1157" i="13"/>
  <c r="H1157" i="13"/>
  <c r="I1157" i="13"/>
  <c r="J1157" i="13"/>
  <c r="K1157" i="13"/>
  <c r="G1158" i="13"/>
  <c r="H1158" i="13"/>
  <c r="I1158" i="13"/>
  <c r="J1158" i="13"/>
  <c r="K1158" i="13"/>
  <c r="G1159" i="13"/>
  <c r="H1159" i="13"/>
  <c r="I1159" i="13"/>
  <c r="J1159" i="13"/>
  <c r="K1159" i="13"/>
  <c r="G1160" i="13"/>
  <c r="H1160" i="13"/>
  <c r="I1160" i="13"/>
  <c r="J1160" i="13"/>
  <c r="K1160" i="13"/>
  <c r="G1161" i="13"/>
  <c r="H1161" i="13"/>
  <c r="I1161" i="13"/>
  <c r="J1161" i="13"/>
  <c r="K1161" i="13"/>
  <c r="G1162" i="13"/>
  <c r="H1162" i="13"/>
  <c r="I1162" i="13"/>
  <c r="J1162" i="13"/>
  <c r="K1162" i="13"/>
  <c r="G1163" i="13"/>
  <c r="H1163" i="13"/>
  <c r="I1163" i="13"/>
  <c r="J1163" i="13"/>
  <c r="K1163" i="13"/>
  <c r="G1164" i="13"/>
  <c r="H1164" i="13"/>
  <c r="I1164" i="13"/>
  <c r="J1164" i="13"/>
  <c r="K1164" i="13"/>
  <c r="G1165" i="13"/>
  <c r="H1165" i="13"/>
  <c r="I1165" i="13"/>
  <c r="J1165" i="13"/>
  <c r="K1165" i="13"/>
  <c r="G1166" i="13"/>
  <c r="H1166" i="13"/>
  <c r="I1166" i="13"/>
  <c r="J1166" i="13"/>
  <c r="K1166" i="13"/>
  <c r="G1167" i="13"/>
  <c r="H1167" i="13"/>
  <c r="I1167" i="13"/>
  <c r="J1167" i="13"/>
  <c r="K1167" i="13"/>
  <c r="G1168" i="13"/>
  <c r="H1168" i="13"/>
  <c r="I1168" i="13"/>
  <c r="J1168" i="13"/>
  <c r="K1168" i="13"/>
  <c r="G1169" i="13"/>
  <c r="H1169" i="13"/>
  <c r="I1169" i="13"/>
  <c r="J1169" i="13"/>
  <c r="K1169" i="13"/>
  <c r="G1170" i="13"/>
  <c r="H1170" i="13"/>
  <c r="I1170" i="13"/>
  <c r="J1170" i="13"/>
  <c r="K1170" i="13"/>
  <c r="G1171" i="13"/>
  <c r="H1171" i="13"/>
  <c r="I1171" i="13"/>
  <c r="J1171" i="13"/>
  <c r="K1171" i="13"/>
  <c r="G1172" i="13"/>
  <c r="H1172" i="13"/>
  <c r="I1172" i="13"/>
  <c r="J1172" i="13"/>
  <c r="K1172" i="13"/>
  <c r="G1173" i="13"/>
  <c r="H1173" i="13"/>
  <c r="I1173" i="13"/>
  <c r="J1173" i="13"/>
  <c r="K1173" i="13"/>
  <c r="G1174" i="13"/>
  <c r="H1174" i="13"/>
  <c r="I1174" i="13"/>
  <c r="J1174" i="13"/>
  <c r="K1174" i="13"/>
  <c r="G1175" i="13"/>
  <c r="H1175" i="13"/>
  <c r="I1175" i="13"/>
  <c r="J1175" i="13"/>
  <c r="K1175" i="13"/>
  <c r="G1176" i="13"/>
  <c r="H1176" i="13"/>
  <c r="I1176" i="13"/>
  <c r="J1176" i="13"/>
  <c r="K1176" i="13"/>
  <c r="G1177" i="13"/>
  <c r="H1177" i="13"/>
  <c r="I1177" i="13"/>
  <c r="J1177" i="13"/>
  <c r="K1177" i="13"/>
  <c r="G1178" i="13"/>
  <c r="H1178" i="13"/>
  <c r="I1178" i="13"/>
  <c r="J1178" i="13"/>
  <c r="K1178" i="13"/>
  <c r="G1179" i="13"/>
  <c r="H1179" i="13"/>
  <c r="I1179" i="13"/>
  <c r="J1179" i="13"/>
  <c r="K1179" i="13"/>
  <c r="G1077" i="13"/>
  <c r="H1077" i="13"/>
  <c r="I1077" i="13"/>
  <c r="J1077" i="13"/>
  <c r="K1077" i="13"/>
  <c r="G1078" i="13"/>
  <c r="H1078" i="13"/>
  <c r="I1078" i="13"/>
  <c r="J1078" i="13"/>
  <c r="K1078" i="13"/>
  <c r="G1063" i="13"/>
  <c r="H1063" i="13"/>
  <c r="I1063" i="13"/>
  <c r="J1063" i="13"/>
  <c r="K1063" i="13"/>
  <c r="G1068" i="13"/>
  <c r="H1068" i="13"/>
  <c r="I1068" i="13"/>
  <c r="J1068" i="13"/>
  <c r="K1068" i="13"/>
  <c r="G1067" i="13"/>
  <c r="H1067" i="13"/>
  <c r="I1067" i="13"/>
  <c r="J1067" i="13"/>
  <c r="K1067" i="13"/>
  <c r="G1066" i="13"/>
  <c r="H1066" i="13"/>
  <c r="I1066" i="13"/>
  <c r="J1066" i="13"/>
  <c r="K1066" i="13"/>
  <c r="G1070" i="13"/>
  <c r="H1070" i="13"/>
  <c r="I1070" i="13"/>
  <c r="J1070" i="13"/>
  <c r="K1070" i="13"/>
  <c r="G1064" i="13"/>
  <c r="H1064" i="13"/>
  <c r="I1064" i="13"/>
  <c r="J1064" i="13"/>
  <c r="K1064" i="13"/>
  <c r="G1023" i="13"/>
  <c r="H1023" i="13"/>
  <c r="I1023" i="13"/>
  <c r="J1023" i="13"/>
  <c r="K1023" i="13"/>
  <c r="G1030" i="13"/>
  <c r="H1030" i="13"/>
  <c r="I1030" i="13"/>
  <c r="J1030" i="13"/>
  <c r="K1030" i="13"/>
  <c r="G1047" i="13"/>
  <c r="H1047" i="13"/>
  <c r="I1047" i="13"/>
  <c r="J1047" i="13"/>
  <c r="K1047" i="13"/>
  <c r="G1045" i="13"/>
  <c r="H1045" i="13"/>
  <c r="I1045" i="13"/>
  <c r="J1045" i="13"/>
  <c r="K1045" i="13"/>
  <c r="G1044" i="13"/>
  <c r="H1044" i="13"/>
  <c r="I1044" i="13"/>
  <c r="J1044" i="13"/>
  <c r="K1044" i="13"/>
  <c r="G1065" i="13"/>
  <c r="H1065" i="13"/>
  <c r="I1065" i="13"/>
  <c r="J1065" i="13"/>
  <c r="K1065" i="13"/>
  <c r="G1036" i="13"/>
  <c r="H1036" i="13"/>
  <c r="I1036" i="13"/>
  <c r="J1036" i="13"/>
  <c r="K1036" i="13"/>
  <c r="G1049" i="13"/>
  <c r="H1049" i="13"/>
  <c r="I1049" i="13"/>
  <c r="J1049" i="13"/>
  <c r="K1049" i="13"/>
  <c r="G1028" i="13"/>
  <c r="H1028" i="13"/>
  <c r="I1028" i="13"/>
  <c r="J1028" i="13"/>
  <c r="K1028" i="13"/>
  <c r="G1043" i="13"/>
  <c r="H1043" i="13"/>
  <c r="I1043" i="13"/>
  <c r="J1043" i="13"/>
  <c r="K1043" i="13"/>
  <c r="G1027" i="13"/>
  <c r="H1027" i="13"/>
  <c r="I1027" i="13"/>
  <c r="J1027" i="13"/>
  <c r="K1027" i="13"/>
  <c r="G1034" i="13"/>
  <c r="H1034" i="13"/>
  <c r="I1034" i="13"/>
  <c r="J1034" i="13"/>
  <c r="K1034" i="13"/>
  <c r="G1035" i="13"/>
  <c r="H1035" i="13"/>
  <c r="I1035" i="13"/>
  <c r="J1035" i="13"/>
  <c r="K1035" i="13"/>
  <c r="G1039" i="13"/>
  <c r="H1039" i="13"/>
  <c r="I1039" i="13"/>
  <c r="J1039" i="13"/>
  <c r="K1039" i="13"/>
  <c r="G1029" i="13"/>
  <c r="H1029" i="13"/>
  <c r="I1029" i="13"/>
  <c r="J1029" i="13"/>
  <c r="K1029" i="13"/>
  <c r="G1203" i="13"/>
  <c r="H1203" i="13"/>
  <c r="I1203" i="13"/>
  <c r="J1203" i="13"/>
  <c r="K1203" i="13"/>
  <c r="G1204" i="13"/>
  <c r="H1204" i="13"/>
  <c r="I1204" i="13"/>
  <c r="J1204" i="13"/>
  <c r="K1204" i="13"/>
  <c r="G1071" i="13"/>
  <c r="H1071" i="13"/>
  <c r="I1071" i="13"/>
  <c r="J1071" i="13"/>
  <c r="K1071" i="13"/>
  <c r="G1048" i="13"/>
  <c r="H1048" i="13"/>
  <c r="I1048" i="13"/>
  <c r="J1048" i="13"/>
  <c r="K1048" i="13"/>
  <c r="G1038" i="13"/>
  <c r="H1038" i="13"/>
  <c r="I1038" i="13"/>
  <c r="J1038" i="13"/>
  <c r="K1038" i="13"/>
  <c r="G1062" i="13"/>
  <c r="H1062" i="13"/>
  <c r="I1062" i="13"/>
  <c r="J1062" i="13"/>
  <c r="K1062" i="13"/>
  <c r="G1046" i="13"/>
  <c r="H1046" i="13"/>
  <c r="I1046" i="13"/>
  <c r="J1046" i="13"/>
  <c r="K1046" i="13"/>
  <c r="G1041" i="13"/>
  <c r="H1041" i="13"/>
  <c r="I1041" i="13"/>
  <c r="J1041" i="13"/>
  <c r="K1041" i="13"/>
  <c r="G1037" i="13"/>
  <c r="H1037" i="13"/>
  <c r="I1037" i="13"/>
  <c r="J1037" i="13"/>
  <c r="K1037" i="13"/>
  <c r="G1042" i="13"/>
  <c r="H1042" i="13"/>
  <c r="I1042" i="13"/>
  <c r="J1042" i="13"/>
  <c r="K1042" i="13"/>
  <c r="G1040" i="13"/>
  <c r="H1040" i="13"/>
  <c r="I1040" i="13"/>
  <c r="J1040" i="13"/>
  <c r="K1040" i="13"/>
  <c r="G1024" i="13"/>
  <c r="H1024" i="13"/>
  <c r="I1024" i="13"/>
  <c r="J1024" i="13"/>
  <c r="K1024" i="13"/>
  <c r="G1026" i="13"/>
  <c r="H1026" i="13"/>
  <c r="I1026" i="13"/>
  <c r="J1026" i="13"/>
  <c r="K1026" i="13"/>
  <c r="G1216" i="13"/>
  <c r="H1216" i="13"/>
  <c r="I1216" i="13"/>
  <c r="J1216" i="13"/>
  <c r="K1216" i="13"/>
  <c r="G1099" i="13"/>
  <c r="H1099" i="13"/>
  <c r="I1099" i="13"/>
  <c r="J1099" i="13"/>
  <c r="K1099" i="13"/>
  <c r="G1098" i="13"/>
  <c r="H1098" i="13"/>
  <c r="I1098" i="13"/>
  <c r="J1098" i="13"/>
  <c r="K1098" i="13"/>
  <c r="G1097" i="13"/>
  <c r="H1097" i="13"/>
  <c r="I1097" i="13"/>
  <c r="J1097" i="13"/>
  <c r="K1097" i="13"/>
  <c r="G1096" i="13"/>
  <c r="H1096" i="13"/>
  <c r="I1096" i="13"/>
  <c r="J1096" i="13"/>
  <c r="K1096" i="13"/>
  <c r="G1095" i="13"/>
  <c r="H1095" i="13"/>
  <c r="I1095" i="13"/>
  <c r="J1095" i="13"/>
  <c r="K1095" i="13"/>
  <c r="G1094" i="13"/>
  <c r="H1094" i="13"/>
  <c r="I1094" i="13"/>
  <c r="J1094" i="13"/>
  <c r="K1094" i="13"/>
  <c r="G1223" i="13"/>
  <c r="H1223" i="13"/>
  <c r="I1223" i="13"/>
  <c r="J1223" i="13"/>
  <c r="K1223" i="13"/>
  <c r="G1224" i="13"/>
  <c r="H1224" i="13"/>
  <c r="I1224" i="13"/>
  <c r="J1224" i="13"/>
  <c r="K1224" i="13"/>
  <c r="G1225" i="13"/>
  <c r="H1225" i="13"/>
  <c r="I1225" i="13"/>
  <c r="J1225" i="13"/>
  <c r="K1225" i="13"/>
  <c r="G1226" i="13"/>
  <c r="H1226" i="13"/>
  <c r="I1226" i="13"/>
  <c r="J1226" i="13"/>
  <c r="K1226" i="13"/>
  <c r="G1227" i="13"/>
  <c r="H1227" i="13"/>
  <c r="I1227" i="13"/>
  <c r="J1227" i="13"/>
  <c r="K1227" i="13"/>
  <c r="G1228" i="13"/>
  <c r="H1228" i="13"/>
  <c r="I1228" i="13"/>
  <c r="J1228" i="13"/>
  <c r="K1228" i="13"/>
  <c r="G1092" i="13"/>
  <c r="H1092" i="13"/>
  <c r="I1092" i="13"/>
  <c r="J1092" i="13"/>
  <c r="K1092" i="13"/>
  <c r="G1093" i="13"/>
  <c r="H1093" i="13"/>
  <c r="I1093" i="13"/>
  <c r="J1093" i="13"/>
  <c r="K1093" i="13"/>
  <c r="G1231" i="13"/>
  <c r="H1231" i="13"/>
  <c r="I1231" i="13"/>
  <c r="J1231" i="13"/>
  <c r="K1231" i="13"/>
  <c r="G1232" i="13"/>
  <c r="H1232" i="13"/>
  <c r="I1232" i="13"/>
  <c r="J1232" i="13"/>
  <c r="K1232" i="13"/>
  <c r="G1233" i="13"/>
  <c r="H1233" i="13"/>
  <c r="I1233" i="13"/>
  <c r="J1233" i="13"/>
  <c r="K1233" i="13"/>
  <c r="G1234" i="13"/>
  <c r="H1234" i="13"/>
  <c r="I1234" i="13"/>
  <c r="J1234" i="13"/>
  <c r="K1234" i="13"/>
  <c r="G1235" i="13"/>
  <c r="H1235" i="13"/>
  <c r="I1235" i="13"/>
  <c r="J1235" i="13"/>
  <c r="K1235" i="13"/>
  <c r="G1236" i="13"/>
  <c r="H1236" i="13"/>
  <c r="I1236" i="13"/>
  <c r="J1236" i="13"/>
  <c r="K1236" i="13"/>
  <c r="G1237" i="13"/>
  <c r="H1237" i="13"/>
  <c r="I1237" i="13"/>
  <c r="J1237" i="13"/>
  <c r="K1237" i="13"/>
  <c r="G1238" i="13"/>
  <c r="H1238" i="13"/>
  <c r="I1238" i="13"/>
  <c r="J1238" i="13"/>
  <c r="K1238" i="13"/>
  <c r="G1239" i="13"/>
  <c r="H1239" i="13"/>
  <c r="I1239" i="13"/>
  <c r="J1239" i="13"/>
  <c r="K1239" i="13"/>
  <c r="G1240" i="13"/>
  <c r="H1240" i="13"/>
  <c r="I1240" i="13"/>
  <c r="J1240" i="13"/>
  <c r="K1240" i="13"/>
  <c r="G1241" i="13"/>
  <c r="H1241" i="13"/>
  <c r="I1241" i="13"/>
  <c r="J1241" i="13"/>
  <c r="K1241" i="13"/>
  <c r="G1242" i="13"/>
  <c r="H1242" i="13"/>
  <c r="I1242" i="13"/>
  <c r="J1242" i="13"/>
  <c r="K1242" i="13"/>
  <c r="G1243" i="13"/>
  <c r="H1243" i="13"/>
  <c r="I1243" i="13"/>
  <c r="J1243" i="13"/>
  <c r="K1243" i="13"/>
  <c r="G1244" i="13"/>
  <c r="H1244" i="13"/>
  <c r="I1244" i="13"/>
  <c r="J1244" i="13"/>
  <c r="K1244" i="13"/>
  <c r="G159" i="13"/>
  <c r="H159" i="13"/>
  <c r="I159" i="13"/>
  <c r="J159" i="13"/>
  <c r="K159" i="13"/>
  <c r="G50" i="13"/>
  <c r="H50" i="13"/>
  <c r="I50" i="13"/>
  <c r="J50" i="13"/>
  <c r="K50" i="13"/>
  <c r="G122" i="13"/>
  <c r="H122" i="13"/>
  <c r="I122" i="13"/>
  <c r="J122" i="13"/>
  <c r="K122" i="13"/>
  <c r="G239" i="13"/>
  <c r="H239" i="13"/>
  <c r="I239" i="13"/>
  <c r="J239" i="13"/>
  <c r="K239" i="13"/>
  <c r="G121" i="13"/>
  <c r="H121" i="13"/>
  <c r="I121" i="13"/>
  <c r="J121" i="13"/>
  <c r="K121" i="13"/>
  <c r="G944" i="13"/>
  <c r="H944" i="13"/>
  <c r="I944" i="13"/>
  <c r="J944" i="13"/>
  <c r="K944" i="13"/>
  <c r="G160" i="13"/>
  <c r="H160" i="13"/>
  <c r="I160" i="13"/>
  <c r="J160" i="13"/>
  <c r="K160" i="13"/>
  <c r="G186" i="13"/>
  <c r="H186" i="13"/>
  <c r="I186" i="13"/>
  <c r="J186" i="13"/>
  <c r="K186" i="13"/>
  <c r="G196" i="13"/>
  <c r="H196" i="13"/>
  <c r="I196" i="13"/>
  <c r="J196" i="13"/>
  <c r="K196" i="13"/>
  <c r="G118" i="13"/>
  <c r="H118" i="13"/>
  <c r="I118" i="13"/>
  <c r="J118" i="13"/>
  <c r="K118" i="13"/>
  <c r="G467" i="13"/>
  <c r="H467" i="13"/>
  <c r="I467" i="13"/>
  <c r="J467" i="13"/>
  <c r="K467" i="13"/>
  <c r="G232" i="13"/>
  <c r="H232" i="13"/>
  <c r="I232" i="13"/>
  <c r="J232" i="13"/>
  <c r="K232" i="13"/>
  <c r="G211" i="13"/>
  <c r="H211" i="13"/>
  <c r="I211" i="13"/>
  <c r="J211" i="13"/>
  <c r="K211" i="13"/>
  <c r="G178" i="13"/>
  <c r="H178" i="13"/>
  <c r="I178" i="13"/>
  <c r="J178" i="13"/>
  <c r="K178" i="13"/>
  <c r="G218" i="13"/>
  <c r="H218" i="13"/>
  <c r="I218" i="13"/>
  <c r="J218" i="13"/>
  <c r="K218" i="13"/>
  <c r="G523" i="13"/>
  <c r="H523" i="13"/>
  <c r="I523" i="13"/>
  <c r="J523" i="13"/>
  <c r="K523" i="13"/>
  <c r="G241" i="13"/>
  <c r="H241" i="13"/>
  <c r="I241" i="13"/>
  <c r="J241" i="13"/>
  <c r="K241" i="13"/>
  <c r="G485" i="13"/>
  <c r="H485" i="13"/>
  <c r="I485" i="13"/>
  <c r="J485" i="13"/>
  <c r="K485" i="13"/>
  <c r="G462" i="13"/>
  <c r="H462" i="13"/>
  <c r="I462" i="13"/>
  <c r="J462" i="13"/>
  <c r="K462" i="13"/>
  <c r="G228" i="13"/>
  <c r="H228" i="13"/>
  <c r="I228" i="13"/>
  <c r="J228" i="13"/>
  <c r="K228" i="13"/>
  <c r="G962" i="13"/>
  <c r="H962" i="13"/>
  <c r="I962" i="13"/>
  <c r="J962" i="13"/>
  <c r="K962" i="13"/>
  <c r="G167" i="13"/>
  <c r="H167" i="13"/>
  <c r="I167" i="13"/>
  <c r="J167" i="13"/>
  <c r="K167" i="13"/>
  <c r="G1267" i="13"/>
  <c r="H1267" i="13"/>
  <c r="I1267" i="13"/>
  <c r="J1267" i="13"/>
  <c r="K1267" i="13"/>
  <c r="G235" i="13"/>
  <c r="H235" i="13"/>
  <c r="I235" i="13"/>
  <c r="J235" i="13"/>
  <c r="K235" i="13"/>
  <c r="G236" i="13"/>
  <c r="H236" i="13"/>
  <c r="I236" i="13"/>
  <c r="J236" i="13"/>
  <c r="K236" i="13"/>
  <c r="G1103" i="13"/>
  <c r="H1103" i="13"/>
  <c r="I1103" i="13"/>
  <c r="J1103" i="13"/>
  <c r="K1103" i="13"/>
  <c r="G209" i="13"/>
  <c r="H209" i="13"/>
  <c r="I209" i="13"/>
  <c r="J209" i="13"/>
  <c r="K209" i="13"/>
  <c r="G221" i="13"/>
  <c r="H221" i="13"/>
  <c r="I221" i="13"/>
  <c r="J221" i="13"/>
  <c r="K221" i="13"/>
  <c r="G471" i="13"/>
  <c r="H471" i="13"/>
  <c r="I471" i="13"/>
  <c r="J471" i="13"/>
  <c r="K471" i="13"/>
  <c r="G1274" i="13"/>
  <c r="H1274" i="13"/>
  <c r="I1274" i="13"/>
  <c r="J1274" i="13"/>
  <c r="K1274" i="13"/>
  <c r="G1308" i="13"/>
  <c r="H1308" i="13"/>
  <c r="I1308" i="13"/>
  <c r="J1308" i="13"/>
  <c r="K1308" i="13"/>
  <c r="G1307" i="13"/>
  <c r="H1307" i="13"/>
  <c r="I1307" i="13"/>
  <c r="J1307" i="13"/>
  <c r="K1307" i="13"/>
  <c r="G1296" i="13"/>
  <c r="H1296" i="13"/>
  <c r="I1296" i="13"/>
  <c r="J1296" i="13"/>
  <c r="K1296" i="13"/>
  <c r="G1286" i="13"/>
  <c r="H1286" i="13"/>
  <c r="I1286" i="13"/>
  <c r="J1286" i="13"/>
  <c r="K1286" i="13"/>
  <c r="G1264" i="13"/>
  <c r="H1264" i="13"/>
  <c r="I1264" i="13"/>
  <c r="J1264" i="13"/>
  <c r="K1264" i="13"/>
  <c r="G1253" i="13"/>
  <c r="H1253" i="13"/>
  <c r="I1253" i="13"/>
  <c r="J1253" i="13"/>
  <c r="K1253" i="13"/>
  <c r="G1281" i="13"/>
  <c r="H1281" i="13"/>
  <c r="I1281" i="13"/>
  <c r="J1281" i="13"/>
  <c r="K1281" i="13"/>
  <c r="G1282" i="13"/>
  <c r="H1282" i="13"/>
  <c r="I1282" i="13"/>
  <c r="J1282" i="13"/>
  <c r="K1282" i="13"/>
  <c r="G1283" i="13"/>
  <c r="H1283" i="13"/>
  <c r="I1283" i="13"/>
  <c r="J1283" i="13"/>
  <c r="K1283" i="13"/>
  <c r="G1304" i="13"/>
  <c r="H1304" i="13"/>
  <c r="I1304" i="13"/>
  <c r="J1304" i="13"/>
  <c r="K1304" i="13"/>
  <c r="G1302" i="13"/>
  <c r="H1302" i="13"/>
  <c r="I1302" i="13"/>
  <c r="J1302" i="13"/>
  <c r="K1302" i="13"/>
  <c r="G1306" i="13"/>
  <c r="H1306" i="13"/>
  <c r="I1306" i="13"/>
  <c r="J1306" i="13"/>
  <c r="K1306" i="13"/>
  <c r="G1305" i="13"/>
  <c r="H1305" i="13"/>
  <c r="I1305" i="13"/>
  <c r="J1305" i="13"/>
  <c r="K1305" i="13"/>
  <c r="G1303" i="13"/>
  <c r="H1303" i="13"/>
  <c r="I1303" i="13"/>
  <c r="J1303" i="13"/>
  <c r="K1303" i="13"/>
  <c r="G1280" i="13"/>
  <c r="H1280" i="13"/>
  <c r="I1280" i="13"/>
  <c r="J1280" i="13"/>
  <c r="K1280" i="13"/>
  <c r="G1297" i="13"/>
  <c r="H1297" i="13"/>
  <c r="I1297" i="13"/>
  <c r="J1297" i="13"/>
  <c r="K1297" i="13"/>
  <c r="G1300" i="13"/>
  <c r="H1300" i="13"/>
  <c r="I1300" i="13"/>
  <c r="J1300" i="13"/>
  <c r="K1300" i="13"/>
  <c r="G1299" i="13"/>
  <c r="H1299" i="13"/>
  <c r="I1299" i="13"/>
  <c r="J1299" i="13"/>
  <c r="K1299" i="13"/>
  <c r="G1301" i="13"/>
  <c r="H1301" i="13"/>
  <c r="I1301" i="13"/>
  <c r="J1301" i="13"/>
  <c r="K1301" i="13"/>
  <c r="G1279" i="13"/>
  <c r="H1279" i="13"/>
  <c r="I1279" i="13"/>
  <c r="J1279" i="13"/>
  <c r="K1279" i="13"/>
  <c r="G1278" i="13"/>
  <c r="H1278" i="13"/>
  <c r="I1278" i="13"/>
  <c r="J1278" i="13"/>
  <c r="K1278" i="13"/>
  <c r="G1288" i="13"/>
  <c r="H1288" i="13"/>
  <c r="I1288" i="13"/>
  <c r="J1288" i="13"/>
  <c r="K1288" i="13"/>
  <c r="G1258" i="13"/>
  <c r="H1258" i="13"/>
  <c r="I1258" i="13"/>
  <c r="J1258" i="13"/>
  <c r="K1258" i="13"/>
  <c r="G1266" i="13"/>
  <c r="H1266" i="13"/>
  <c r="I1266" i="13"/>
  <c r="J1266" i="13"/>
  <c r="K1266" i="13"/>
  <c r="G1293" i="13"/>
  <c r="H1293" i="13"/>
  <c r="I1293" i="13"/>
  <c r="J1293" i="13"/>
  <c r="K1293" i="13"/>
  <c r="G1298" i="13"/>
  <c r="H1298" i="13"/>
  <c r="I1298" i="13"/>
  <c r="J1298" i="13"/>
  <c r="K1298" i="13"/>
  <c r="G1294" i="13"/>
  <c r="H1294" i="13"/>
  <c r="I1294" i="13"/>
  <c r="J1294" i="13"/>
  <c r="K1294" i="13"/>
  <c r="G1291" i="13"/>
  <c r="H1291" i="13"/>
  <c r="I1291" i="13"/>
  <c r="J1291" i="13"/>
  <c r="K1291" i="13"/>
  <c r="G1289" i="13"/>
  <c r="H1289" i="13"/>
  <c r="I1289" i="13"/>
  <c r="J1289" i="13"/>
  <c r="K1289" i="13"/>
  <c r="G1284" i="13"/>
  <c r="H1284" i="13"/>
  <c r="I1284" i="13"/>
  <c r="J1284" i="13"/>
  <c r="K1284" i="13"/>
  <c r="G1285" i="13"/>
  <c r="H1285" i="13"/>
  <c r="I1285" i="13"/>
  <c r="J1285" i="13"/>
  <c r="K1285" i="13"/>
  <c r="G1290" i="13"/>
  <c r="H1290" i="13"/>
  <c r="I1290" i="13"/>
  <c r="J1290" i="13"/>
  <c r="K1290" i="13"/>
  <c r="G1287" i="13"/>
  <c r="H1287" i="13"/>
  <c r="I1287" i="13"/>
  <c r="J1287" i="13"/>
  <c r="K1287" i="13"/>
  <c r="G1268" i="13"/>
  <c r="H1268" i="13"/>
  <c r="I1268" i="13"/>
  <c r="J1268" i="13"/>
  <c r="K1268" i="13"/>
  <c r="G1277" i="13"/>
  <c r="H1277" i="13"/>
  <c r="I1277" i="13"/>
  <c r="J1277" i="13"/>
  <c r="K1277" i="13"/>
  <c r="G1271" i="13"/>
  <c r="H1271" i="13"/>
  <c r="I1271" i="13"/>
  <c r="J1271" i="13"/>
  <c r="K1271" i="13"/>
  <c r="G1260" i="13"/>
  <c r="H1260" i="13"/>
  <c r="I1260" i="13"/>
  <c r="J1260" i="13"/>
  <c r="K1260" i="13"/>
  <c r="G1292" i="13"/>
  <c r="H1292" i="13"/>
  <c r="I1292" i="13"/>
  <c r="J1292" i="13"/>
  <c r="K1292" i="13"/>
  <c r="G1295" i="13"/>
  <c r="H1295" i="13"/>
  <c r="I1295" i="13"/>
  <c r="J1295" i="13"/>
  <c r="K1295" i="13"/>
  <c r="G1270" i="13"/>
  <c r="H1270" i="13"/>
  <c r="I1270" i="13"/>
  <c r="J1270" i="13"/>
  <c r="K1270" i="13"/>
  <c r="G1275" i="13"/>
  <c r="H1275" i="13"/>
  <c r="I1275" i="13"/>
  <c r="J1275" i="13"/>
  <c r="K1275" i="13"/>
  <c r="G1263" i="13"/>
  <c r="H1263" i="13"/>
  <c r="I1263" i="13"/>
  <c r="J1263" i="13"/>
  <c r="K1263" i="13"/>
  <c r="G1269" i="13"/>
  <c r="H1269" i="13"/>
  <c r="I1269" i="13"/>
  <c r="J1269" i="13"/>
  <c r="K1269" i="13"/>
  <c r="G1262" i="13"/>
  <c r="H1262" i="13"/>
  <c r="I1262" i="13"/>
  <c r="J1262" i="13"/>
  <c r="K1262" i="13"/>
  <c r="G1265" i="13"/>
  <c r="H1265" i="13"/>
  <c r="I1265" i="13"/>
  <c r="J1265" i="13"/>
  <c r="K1265" i="13"/>
  <c r="G1276" i="13"/>
  <c r="H1276" i="13"/>
  <c r="I1276" i="13"/>
  <c r="J1276" i="13"/>
  <c r="K1276" i="13"/>
  <c r="G1273" i="13"/>
  <c r="H1273" i="13"/>
  <c r="I1273" i="13"/>
  <c r="J1273" i="13"/>
  <c r="K1273" i="13"/>
  <c r="G1272" i="13"/>
  <c r="H1272" i="13"/>
  <c r="I1272" i="13"/>
  <c r="J1272" i="13"/>
  <c r="K1272" i="13"/>
  <c r="G1261" i="13"/>
  <c r="H1261" i="13"/>
  <c r="I1261" i="13"/>
  <c r="J1261" i="13"/>
  <c r="K1261" i="13"/>
  <c r="G1259" i="13"/>
  <c r="H1259" i="13"/>
  <c r="I1259" i="13"/>
  <c r="J1259" i="13"/>
  <c r="K1259" i="13"/>
  <c r="G1256" i="13"/>
  <c r="H1256" i="13"/>
  <c r="I1256" i="13"/>
  <c r="J1256" i="13"/>
  <c r="K1256" i="13"/>
  <c r="G1254" i="13"/>
  <c r="H1254" i="13"/>
  <c r="I1254" i="13"/>
  <c r="J1254" i="13"/>
  <c r="K1254" i="13"/>
  <c r="G1252" i="13"/>
  <c r="H1252" i="13"/>
  <c r="I1252" i="13"/>
  <c r="J1252" i="13"/>
  <c r="K1252" i="13"/>
  <c r="G1255" i="13"/>
  <c r="H1255" i="13"/>
  <c r="I1255" i="13"/>
  <c r="J1255" i="13"/>
  <c r="K1255" i="13"/>
  <c r="G1250" i="13"/>
  <c r="H1250" i="13"/>
  <c r="I1250" i="13"/>
  <c r="J1250" i="13"/>
  <c r="K1250" i="13"/>
  <c r="G1257" i="13"/>
  <c r="H1257" i="13"/>
  <c r="I1257" i="13"/>
  <c r="J1257" i="13"/>
  <c r="K1257" i="13"/>
  <c r="G1249" i="13"/>
  <c r="H1249" i="13"/>
  <c r="I1249" i="13"/>
  <c r="J1249" i="13"/>
  <c r="K1249" i="13"/>
  <c r="G1251" i="13"/>
  <c r="H1251" i="13"/>
  <c r="I1251" i="13"/>
  <c r="J1251" i="13"/>
  <c r="K1251" i="13"/>
  <c r="G1248" i="13"/>
  <c r="H1248" i="13"/>
  <c r="I1248" i="13"/>
  <c r="J1248" i="13"/>
  <c r="K1248" i="13"/>
  <c r="G1334" i="13"/>
  <c r="H1334" i="13"/>
  <c r="I1334" i="13"/>
  <c r="J1334" i="13"/>
  <c r="K1334" i="13"/>
  <c r="G1335" i="13"/>
  <c r="H1335" i="13"/>
  <c r="I1335" i="13"/>
  <c r="J1335" i="13"/>
  <c r="K1335" i="13"/>
  <c r="G1336" i="13"/>
  <c r="H1336" i="13"/>
  <c r="I1336" i="13"/>
  <c r="J1336" i="13"/>
  <c r="K1336" i="13"/>
  <c r="G1337" i="13"/>
  <c r="H1337" i="13"/>
  <c r="I1337" i="13"/>
  <c r="J1337" i="13"/>
  <c r="K1337" i="13"/>
  <c r="G1338" i="13"/>
  <c r="H1338" i="13"/>
  <c r="I1338" i="13"/>
  <c r="J1338" i="13"/>
  <c r="K1338" i="13"/>
  <c r="G1339" i="13"/>
  <c r="H1339" i="13"/>
  <c r="I1339" i="13"/>
  <c r="J1339" i="13"/>
  <c r="K1339" i="13"/>
  <c r="G1340" i="13"/>
  <c r="H1340" i="13"/>
  <c r="I1340" i="13"/>
  <c r="J1340" i="13"/>
  <c r="K1340" i="13"/>
  <c r="G1341" i="13"/>
  <c r="H1341" i="13"/>
  <c r="I1341" i="13"/>
  <c r="J1341" i="13"/>
  <c r="K1341" i="13"/>
  <c r="G1342" i="13"/>
  <c r="H1342" i="13"/>
  <c r="I1342" i="13"/>
  <c r="J1342" i="13"/>
  <c r="K1342" i="13"/>
  <c r="G1343" i="13"/>
  <c r="H1343" i="13"/>
  <c r="I1343" i="13"/>
  <c r="J1343" i="13"/>
  <c r="K1343" i="13"/>
  <c r="G1344" i="13"/>
  <c r="H1344" i="13"/>
  <c r="I1344" i="13"/>
  <c r="J1344" i="13"/>
  <c r="K1344" i="13"/>
  <c r="G1383" i="13"/>
  <c r="H1383" i="13"/>
  <c r="I1383" i="13"/>
  <c r="J1383" i="13"/>
  <c r="K1383" i="13"/>
  <c r="G1373" i="13"/>
  <c r="H1373" i="13"/>
  <c r="I1373" i="13"/>
  <c r="J1373" i="13"/>
  <c r="K1373" i="13"/>
  <c r="G1381" i="13"/>
  <c r="H1381" i="13"/>
  <c r="I1381" i="13"/>
  <c r="J1381" i="13"/>
  <c r="K1381" i="13"/>
  <c r="G1382" i="13"/>
  <c r="H1382" i="13"/>
  <c r="I1382" i="13"/>
  <c r="J1382" i="13"/>
  <c r="K1382" i="13"/>
  <c r="G1363" i="13"/>
  <c r="H1363" i="13"/>
  <c r="I1363" i="13"/>
  <c r="J1363" i="13"/>
  <c r="K1363" i="13"/>
  <c r="G1370" i="13"/>
  <c r="H1370" i="13"/>
  <c r="I1370" i="13"/>
  <c r="J1370" i="13"/>
  <c r="K1370" i="13"/>
  <c r="G1380" i="13"/>
  <c r="H1380" i="13"/>
  <c r="I1380" i="13"/>
  <c r="J1380" i="13"/>
  <c r="K1380" i="13"/>
  <c r="G1366" i="13"/>
  <c r="H1366" i="13"/>
  <c r="I1366" i="13"/>
  <c r="J1366" i="13"/>
  <c r="K1366" i="13"/>
  <c r="G1377" i="13"/>
  <c r="H1377" i="13"/>
  <c r="I1377" i="13"/>
  <c r="J1377" i="13"/>
  <c r="K1377" i="13"/>
  <c r="G1352" i="13"/>
  <c r="H1352" i="13"/>
  <c r="I1352" i="13"/>
  <c r="J1352" i="13"/>
  <c r="K1352" i="13"/>
  <c r="G1361" i="13"/>
  <c r="H1361" i="13"/>
  <c r="I1361" i="13"/>
  <c r="J1361" i="13"/>
  <c r="K1361" i="13"/>
  <c r="G1354" i="13"/>
  <c r="H1354" i="13"/>
  <c r="I1354" i="13"/>
  <c r="J1354" i="13"/>
  <c r="K1354" i="13"/>
  <c r="G1357" i="13"/>
  <c r="H1357" i="13"/>
  <c r="I1357" i="13"/>
  <c r="J1357" i="13"/>
  <c r="K1357" i="13"/>
  <c r="G1355" i="13"/>
  <c r="H1355" i="13"/>
  <c r="I1355" i="13"/>
  <c r="J1355" i="13"/>
  <c r="K1355" i="13"/>
  <c r="G1365" i="13"/>
  <c r="H1365" i="13"/>
  <c r="I1365" i="13"/>
  <c r="J1365" i="13"/>
  <c r="K1365" i="13"/>
  <c r="G1348" i="13"/>
  <c r="H1348" i="13"/>
  <c r="I1348" i="13"/>
  <c r="J1348" i="13"/>
  <c r="K1348" i="13"/>
  <c r="G1367" i="13"/>
  <c r="H1367" i="13"/>
  <c r="I1367" i="13"/>
  <c r="J1367" i="13"/>
  <c r="K1367" i="13"/>
  <c r="G1330" i="13"/>
  <c r="H1330" i="13"/>
  <c r="I1330" i="13"/>
  <c r="J1330" i="13"/>
  <c r="K1330" i="13"/>
  <c r="G1356" i="13"/>
  <c r="H1356" i="13"/>
  <c r="I1356" i="13"/>
  <c r="J1356" i="13"/>
  <c r="K1356" i="13"/>
  <c r="G1364" i="13"/>
  <c r="H1364" i="13"/>
  <c r="I1364" i="13"/>
  <c r="J1364" i="13"/>
  <c r="K1364" i="13"/>
  <c r="G1384" i="13"/>
  <c r="H1384" i="13"/>
  <c r="I1384" i="13"/>
  <c r="J1384" i="13"/>
  <c r="K1384" i="13"/>
  <c r="G1372" i="13"/>
  <c r="H1372" i="13"/>
  <c r="I1372" i="13"/>
  <c r="J1372" i="13"/>
  <c r="K1372" i="13"/>
  <c r="G1379" i="13"/>
  <c r="H1379" i="13"/>
  <c r="I1379" i="13"/>
  <c r="J1379" i="13"/>
  <c r="K1379" i="13"/>
  <c r="G1362" i="13"/>
  <c r="H1362" i="13"/>
  <c r="I1362" i="13"/>
  <c r="J1362" i="13"/>
  <c r="K1362" i="13"/>
  <c r="G1376" i="13"/>
  <c r="H1376" i="13"/>
  <c r="I1376" i="13"/>
  <c r="J1376" i="13"/>
  <c r="K1376" i="13"/>
  <c r="G1368" i="13"/>
  <c r="H1368" i="13"/>
  <c r="I1368" i="13"/>
  <c r="J1368" i="13"/>
  <c r="K1368" i="13"/>
  <c r="G1369" i="13"/>
  <c r="H1369" i="13"/>
  <c r="I1369" i="13"/>
  <c r="J1369" i="13"/>
  <c r="K1369" i="13"/>
  <c r="G1375" i="13"/>
  <c r="H1375" i="13"/>
  <c r="I1375" i="13"/>
  <c r="J1375" i="13"/>
  <c r="K1375" i="13"/>
  <c r="G1359" i="13"/>
  <c r="H1359" i="13"/>
  <c r="I1359" i="13"/>
  <c r="J1359" i="13"/>
  <c r="K1359" i="13"/>
  <c r="G1374" i="13"/>
  <c r="H1374" i="13"/>
  <c r="I1374" i="13"/>
  <c r="J1374" i="13"/>
  <c r="K1374" i="13"/>
  <c r="G1360" i="13"/>
  <c r="H1360" i="13"/>
  <c r="I1360" i="13"/>
  <c r="J1360" i="13"/>
  <c r="K1360" i="13"/>
  <c r="G1378" i="13"/>
  <c r="H1378" i="13"/>
  <c r="I1378" i="13"/>
  <c r="J1378" i="13"/>
  <c r="K1378" i="13"/>
  <c r="G1345" i="13"/>
  <c r="H1345" i="13"/>
  <c r="I1345" i="13"/>
  <c r="J1345" i="13"/>
  <c r="K1345" i="13"/>
  <c r="G1371" i="13"/>
  <c r="H1371" i="13"/>
  <c r="I1371" i="13"/>
  <c r="J1371" i="13"/>
  <c r="K1371" i="13"/>
  <c r="G1353" i="13"/>
  <c r="H1353" i="13"/>
  <c r="I1353" i="13"/>
  <c r="J1353" i="13"/>
  <c r="K1353" i="13"/>
  <c r="G1346" i="13"/>
  <c r="H1346" i="13"/>
  <c r="I1346" i="13"/>
  <c r="J1346" i="13"/>
  <c r="K1346" i="13"/>
  <c r="G1347" i="13"/>
  <c r="H1347" i="13"/>
  <c r="I1347" i="13"/>
  <c r="J1347" i="13"/>
  <c r="K1347" i="13"/>
  <c r="G1332" i="13"/>
  <c r="H1332" i="13"/>
  <c r="I1332" i="13"/>
  <c r="J1332" i="13"/>
  <c r="K1332" i="13"/>
  <c r="G1358" i="13"/>
  <c r="H1358" i="13"/>
  <c r="I1358" i="13"/>
  <c r="J1358" i="13"/>
  <c r="K1358" i="13"/>
  <c r="G1349" i="13"/>
  <c r="H1349" i="13"/>
  <c r="I1349" i="13"/>
  <c r="J1349" i="13"/>
  <c r="K1349" i="13"/>
  <c r="G1351" i="13"/>
  <c r="H1351" i="13"/>
  <c r="I1351" i="13"/>
  <c r="J1351" i="13"/>
  <c r="K1351" i="13"/>
  <c r="G1350" i="13"/>
  <c r="H1350" i="13"/>
  <c r="I1350" i="13"/>
  <c r="J1350" i="13"/>
  <c r="K1350" i="13"/>
  <c r="G1333" i="13"/>
  <c r="H1333" i="13"/>
  <c r="I1333" i="13"/>
  <c r="J1333" i="13"/>
  <c r="K1333" i="13"/>
  <c r="G1328" i="13"/>
  <c r="H1328" i="13"/>
  <c r="I1328" i="13"/>
  <c r="J1328" i="13"/>
  <c r="K1328" i="13"/>
  <c r="G1329" i="13"/>
  <c r="H1329" i="13"/>
  <c r="I1329" i="13"/>
  <c r="J1329" i="13"/>
  <c r="K1329" i="13"/>
  <c r="G1331" i="13"/>
  <c r="H1331" i="13"/>
  <c r="I1331" i="13"/>
  <c r="J1331" i="13"/>
  <c r="K1331" i="13"/>
  <c r="G1327" i="13"/>
  <c r="H1327" i="13"/>
  <c r="I1327" i="13"/>
  <c r="J1327" i="13"/>
  <c r="K1327" i="13"/>
  <c r="G1326" i="13"/>
  <c r="H1326" i="13"/>
  <c r="I1326" i="13"/>
  <c r="J1326" i="13"/>
  <c r="K1326" i="13"/>
  <c r="G1393" i="13"/>
  <c r="H1393" i="13"/>
  <c r="I1393" i="13"/>
  <c r="J1393" i="13"/>
  <c r="K1393" i="13"/>
  <c r="G1394" i="13"/>
  <c r="H1394" i="13"/>
  <c r="I1394" i="13"/>
  <c r="J1394" i="13"/>
  <c r="K1394" i="13"/>
  <c r="G1402" i="13"/>
  <c r="H1402" i="13"/>
  <c r="I1402" i="13"/>
  <c r="J1402" i="13"/>
  <c r="K1402" i="13"/>
  <c r="G1395" i="13"/>
  <c r="H1395" i="13"/>
  <c r="I1395" i="13"/>
  <c r="J1395" i="13"/>
  <c r="K1395" i="13"/>
  <c r="G1397" i="13"/>
  <c r="H1397" i="13"/>
  <c r="I1397" i="13"/>
  <c r="J1397" i="13"/>
  <c r="K1397" i="13"/>
  <c r="G1392" i="13"/>
  <c r="H1392" i="13"/>
  <c r="I1392" i="13"/>
  <c r="J1392" i="13"/>
  <c r="K1392" i="13"/>
  <c r="G1399" i="13"/>
  <c r="H1399" i="13"/>
  <c r="I1399" i="13"/>
  <c r="J1399" i="13"/>
  <c r="K1399" i="13"/>
  <c r="G1400" i="13"/>
  <c r="H1400" i="13"/>
  <c r="I1400" i="13"/>
  <c r="J1400" i="13"/>
  <c r="K1400" i="13"/>
  <c r="G1405" i="13"/>
  <c r="H1405" i="13"/>
  <c r="I1405" i="13"/>
  <c r="J1405" i="13"/>
  <c r="K1405" i="13"/>
  <c r="G1404" i="13"/>
  <c r="H1404" i="13"/>
  <c r="I1404" i="13"/>
  <c r="J1404" i="13"/>
  <c r="K1404" i="13"/>
  <c r="G1403" i="13"/>
  <c r="H1403" i="13"/>
  <c r="I1403" i="13"/>
  <c r="J1403" i="13"/>
  <c r="K1403" i="13"/>
  <c r="G1398" i="13"/>
  <c r="H1398" i="13"/>
  <c r="I1398" i="13"/>
  <c r="J1398" i="13"/>
  <c r="K1398" i="13"/>
  <c r="G1401" i="13"/>
  <c r="H1401" i="13"/>
  <c r="I1401" i="13"/>
  <c r="J1401" i="13"/>
  <c r="K1401" i="13"/>
  <c r="G1396" i="13"/>
  <c r="H1396" i="13"/>
  <c r="I1396" i="13"/>
  <c r="J1396" i="13"/>
  <c r="K1396" i="13"/>
  <c r="G1407" i="13"/>
  <c r="H1407" i="13"/>
  <c r="I1407" i="13"/>
  <c r="J1407" i="13"/>
  <c r="K1407" i="13"/>
  <c r="G1408" i="13"/>
  <c r="H1408" i="13"/>
  <c r="I1408" i="13"/>
  <c r="J1408" i="13"/>
  <c r="K1408" i="13"/>
  <c r="G1409" i="13"/>
  <c r="H1409" i="13"/>
  <c r="I1409" i="13"/>
  <c r="J1409" i="13"/>
  <c r="K1409" i="13"/>
  <c r="G1410" i="13"/>
  <c r="H1410" i="13"/>
  <c r="I1410" i="13"/>
  <c r="J1410" i="13"/>
  <c r="K1410" i="13"/>
  <c r="G1411" i="13"/>
  <c r="H1411" i="13"/>
  <c r="I1411" i="13"/>
  <c r="J1411" i="13"/>
  <c r="K1411" i="13"/>
  <c r="G1412" i="13"/>
  <c r="H1412" i="13"/>
  <c r="I1412" i="13"/>
  <c r="J1412" i="13"/>
  <c r="K1412" i="13"/>
  <c r="G1413" i="13"/>
  <c r="H1413" i="13"/>
  <c r="I1413" i="13"/>
  <c r="J1413" i="13"/>
  <c r="K1413" i="13"/>
  <c r="G23" i="13"/>
  <c r="H23" i="13"/>
  <c r="I23" i="13"/>
  <c r="J23" i="13"/>
  <c r="K23" i="13"/>
  <c r="G1415" i="13"/>
  <c r="H1415" i="13"/>
  <c r="I1415" i="13"/>
  <c r="J1415" i="13"/>
  <c r="K1415" i="13"/>
  <c r="G1416" i="13"/>
  <c r="H1416" i="13"/>
  <c r="I1416" i="13"/>
  <c r="J1416" i="13"/>
  <c r="K1416" i="13"/>
  <c r="G1417" i="13"/>
  <c r="H1417" i="13"/>
  <c r="I1417" i="13"/>
  <c r="J1417" i="13"/>
  <c r="K1417" i="13"/>
  <c r="G1418" i="13"/>
  <c r="H1418" i="13"/>
  <c r="I1418" i="13"/>
  <c r="J1418" i="13"/>
  <c r="K1418" i="13"/>
  <c r="G1419" i="13"/>
  <c r="H1419" i="13"/>
  <c r="I1419" i="13"/>
  <c r="J1419" i="13"/>
  <c r="K1419" i="13"/>
  <c r="G1420" i="13"/>
  <c r="H1420" i="13"/>
  <c r="I1420" i="13"/>
  <c r="J1420" i="13"/>
  <c r="K1420" i="13"/>
  <c r="G1421" i="13"/>
  <c r="H1421" i="13"/>
  <c r="I1421" i="13"/>
  <c r="J1421" i="13"/>
  <c r="K1421" i="13"/>
  <c r="G1422" i="13"/>
  <c r="H1422" i="13"/>
  <c r="I1422" i="13"/>
  <c r="J1422" i="13"/>
  <c r="K1422" i="13"/>
  <c r="G1423" i="13"/>
  <c r="H1423" i="13"/>
  <c r="I1423" i="13"/>
  <c r="J1423" i="13"/>
  <c r="K1423" i="13"/>
  <c r="G1424" i="13"/>
  <c r="H1424" i="13"/>
  <c r="I1424" i="13"/>
  <c r="J1424" i="13"/>
  <c r="K1424" i="13"/>
  <c r="G1425" i="13"/>
  <c r="H1425" i="13"/>
  <c r="I1425" i="13"/>
  <c r="J1425" i="13"/>
  <c r="K1425" i="13"/>
  <c r="G1426" i="13"/>
  <c r="H1426" i="13"/>
  <c r="I1426" i="13"/>
  <c r="J1426" i="13"/>
  <c r="K1426" i="13"/>
  <c r="G1427" i="13"/>
  <c r="H1427" i="13"/>
  <c r="I1427" i="13"/>
  <c r="J1427" i="13"/>
  <c r="K1427" i="13"/>
  <c r="G1428" i="13"/>
  <c r="H1428" i="13"/>
  <c r="I1428" i="13"/>
  <c r="J1428" i="13"/>
  <c r="K1428" i="13"/>
  <c r="G1429" i="13"/>
  <c r="H1429" i="13"/>
  <c r="I1429" i="13"/>
  <c r="J1429" i="13"/>
  <c r="K1429" i="13"/>
  <c r="G1430" i="13"/>
  <c r="H1430" i="13"/>
  <c r="I1430" i="13"/>
  <c r="J1430" i="13"/>
  <c r="K1430" i="13"/>
  <c r="G1431" i="13"/>
  <c r="H1431" i="13"/>
  <c r="I1431" i="13"/>
  <c r="J1431" i="13"/>
  <c r="K1431" i="13"/>
  <c r="G1432" i="13"/>
  <c r="H1432" i="13"/>
  <c r="I1432" i="13"/>
  <c r="J1432" i="13"/>
  <c r="K1432" i="13"/>
  <c r="G1433" i="13"/>
  <c r="H1433" i="13"/>
  <c r="I1433" i="13"/>
  <c r="J1433" i="13"/>
  <c r="K1433" i="13"/>
  <c r="G1434" i="13"/>
  <c r="H1434" i="13"/>
  <c r="I1434" i="13"/>
  <c r="J1434" i="13"/>
  <c r="K1434" i="13"/>
  <c r="G1435" i="13"/>
  <c r="H1435" i="13"/>
  <c r="I1435" i="13"/>
  <c r="J1435" i="13"/>
  <c r="K1435" i="13"/>
  <c r="G1436" i="13"/>
  <c r="H1436" i="13"/>
  <c r="I1436" i="13"/>
  <c r="J1436" i="13"/>
  <c r="K1436" i="13"/>
  <c r="G1437" i="13"/>
  <c r="H1437" i="13"/>
  <c r="I1437" i="13"/>
  <c r="J1437" i="13"/>
  <c r="K1437" i="13"/>
  <c r="G1438" i="13"/>
  <c r="H1438" i="13"/>
  <c r="I1438" i="13"/>
  <c r="J1438" i="13"/>
  <c r="K1438" i="13"/>
  <c r="G1439" i="13"/>
  <c r="H1439" i="13"/>
  <c r="I1439" i="13"/>
  <c r="J1439" i="13"/>
  <c r="K1439" i="13"/>
  <c r="G1440" i="13"/>
  <c r="H1440" i="13"/>
  <c r="I1440" i="13"/>
  <c r="J1440" i="13"/>
  <c r="K1440" i="13"/>
  <c r="G1441" i="13"/>
  <c r="H1441" i="13"/>
  <c r="I1441" i="13"/>
  <c r="J1441" i="13"/>
  <c r="K1441" i="13"/>
  <c r="G1442" i="13"/>
  <c r="H1442" i="13"/>
  <c r="I1442" i="13"/>
  <c r="J1442" i="13"/>
  <c r="K1442" i="13"/>
  <c r="G1443" i="13"/>
  <c r="H1443" i="13"/>
  <c r="I1443" i="13"/>
  <c r="J1443" i="13"/>
  <c r="K1443" i="13"/>
  <c r="G1444" i="13"/>
  <c r="H1444" i="13"/>
  <c r="I1444" i="13"/>
  <c r="J1444" i="13"/>
  <c r="K1444" i="13"/>
  <c r="G1445" i="13"/>
  <c r="H1445" i="13"/>
  <c r="I1445" i="13"/>
  <c r="J1445" i="13"/>
  <c r="K1445" i="13"/>
  <c r="G1446" i="13"/>
  <c r="H1446" i="13"/>
  <c r="I1446" i="13"/>
  <c r="J1446" i="13"/>
  <c r="K1446" i="13"/>
  <c r="G1447" i="13"/>
  <c r="H1447" i="13"/>
  <c r="I1447" i="13"/>
  <c r="J1447" i="13"/>
  <c r="K1447" i="13"/>
  <c r="G74" i="13"/>
  <c r="H74" i="13"/>
  <c r="I74" i="13"/>
  <c r="J74" i="13"/>
  <c r="K74" i="13"/>
  <c r="G229" i="13"/>
  <c r="H229" i="13"/>
  <c r="I229" i="13"/>
  <c r="J229" i="13"/>
  <c r="K229" i="13"/>
  <c r="G231" i="13"/>
  <c r="H231" i="13"/>
  <c r="I231" i="13"/>
  <c r="J231" i="13"/>
  <c r="K231" i="13"/>
  <c r="G125" i="13"/>
  <c r="H125" i="13"/>
  <c r="I125" i="13"/>
  <c r="J125" i="13"/>
  <c r="K125" i="13"/>
  <c r="G318" i="13"/>
  <c r="H318" i="13"/>
  <c r="I318" i="13"/>
  <c r="J318" i="13"/>
  <c r="K318" i="13"/>
  <c r="G1323" i="13"/>
  <c r="H1323" i="13"/>
  <c r="I1323" i="13"/>
  <c r="J1323" i="13"/>
  <c r="K1323" i="13"/>
  <c r="G387" i="13"/>
  <c r="H387" i="13"/>
  <c r="I387" i="13"/>
  <c r="J387" i="13"/>
  <c r="K387" i="13"/>
  <c r="G857" i="13"/>
  <c r="H857" i="13"/>
  <c r="I857" i="13"/>
  <c r="J857" i="13"/>
  <c r="K857" i="13"/>
  <c r="G179" i="13"/>
  <c r="H179" i="13"/>
  <c r="I179" i="13"/>
  <c r="J179" i="13"/>
  <c r="K179" i="13"/>
  <c r="G380" i="13"/>
  <c r="H380" i="13"/>
  <c r="I380" i="13"/>
  <c r="J380" i="13"/>
  <c r="K380" i="13"/>
  <c r="G1474" i="13"/>
  <c r="H1474" i="13"/>
  <c r="I1474" i="13"/>
  <c r="J1474" i="13"/>
  <c r="K1474" i="13"/>
  <c r="G1459" i="13"/>
  <c r="H1459" i="13"/>
  <c r="I1459" i="13"/>
  <c r="J1459" i="13"/>
  <c r="K1459" i="13"/>
  <c r="G1460" i="13"/>
  <c r="H1460" i="13"/>
  <c r="I1460" i="13"/>
  <c r="J1460" i="13"/>
  <c r="K1460" i="13"/>
  <c r="G483" i="13"/>
  <c r="H483" i="13"/>
  <c r="I483" i="13"/>
  <c r="J483" i="13"/>
  <c r="K483" i="13"/>
  <c r="G1462" i="13"/>
  <c r="H1462" i="13"/>
  <c r="I1462" i="13"/>
  <c r="J1462" i="13"/>
  <c r="K1462" i="13"/>
  <c r="G1463" i="13"/>
  <c r="H1463" i="13"/>
  <c r="I1463" i="13"/>
  <c r="J1463" i="13"/>
  <c r="K1463" i="13"/>
  <c r="G1464" i="13"/>
  <c r="H1464" i="13"/>
  <c r="I1464" i="13"/>
  <c r="J1464" i="13"/>
  <c r="K1464" i="13"/>
  <c r="G1465" i="13"/>
  <c r="H1465" i="13"/>
  <c r="I1465" i="13"/>
  <c r="J1465" i="13"/>
  <c r="K1465" i="13"/>
  <c r="G1466" i="13"/>
  <c r="H1466" i="13"/>
  <c r="I1466" i="13"/>
  <c r="J1466" i="13"/>
  <c r="K1466" i="13"/>
  <c r="G1467" i="13"/>
  <c r="H1467" i="13"/>
  <c r="I1467" i="13"/>
  <c r="J1467" i="13"/>
  <c r="K1467" i="13"/>
  <c r="G1468" i="13"/>
  <c r="H1468" i="13"/>
  <c r="I1468" i="13"/>
  <c r="J1468" i="13"/>
  <c r="K1468" i="13"/>
  <c r="G1469" i="13"/>
  <c r="H1469" i="13"/>
  <c r="I1469" i="13"/>
  <c r="J1469" i="13"/>
  <c r="K1469" i="13"/>
  <c r="G381" i="13"/>
  <c r="H381" i="13"/>
  <c r="I381" i="13"/>
  <c r="J381" i="13"/>
  <c r="K381" i="13"/>
  <c r="G487" i="13"/>
  <c r="H487" i="13"/>
  <c r="I487" i="13"/>
  <c r="J487" i="13"/>
  <c r="K487" i="13"/>
  <c r="G1472" i="13"/>
  <c r="H1472" i="13"/>
  <c r="I1472" i="13"/>
  <c r="J1472" i="13"/>
  <c r="K1472" i="13"/>
  <c r="G1473" i="13"/>
  <c r="H1473" i="13"/>
  <c r="I1473" i="13"/>
  <c r="J1473" i="13"/>
  <c r="K1473" i="13"/>
  <c r="G384" i="13"/>
  <c r="H384" i="13"/>
  <c r="I384" i="13"/>
  <c r="J384" i="13"/>
  <c r="K384" i="13"/>
  <c r="G1091" i="13"/>
  <c r="H1091" i="13"/>
  <c r="I1091" i="13"/>
  <c r="J1091" i="13"/>
  <c r="K1091" i="13"/>
  <c r="G1212" i="13"/>
  <c r="H1212" i="13"/>
  <c r="I1212" i="13"/>
  <c r="J1212" i="13"/>
  <c r="K1212" i="13"/>
  <c r="G68" i="13"/>
  <c r="H68" i="13"/>
  <c r="I68" i="13"/>
  <c r="J68" i="13"/>
  <c r="K68" i="13"/>
  <c r="G1478" i="13"/>
  <c r="H1478" i="13"/>
  <c r="I1478" i="13"/>
  <c r="J1478" i="13"/>
  <c r="K1478" i="13"/>
  <c r="G1479" i="13"/>
  <c r="H1479" i="13"/>
  <c r="I1479" i="13"/>
  <c r="J1479" i="13"/>
  <c r="K1479" i="13"/>
  <c r="G1480" i="13"/>
  <c r="H1480" i="13"/>
  <c r="I1480" i="13"/>
  <c r="J1480" i="13"/>
  <c r="K1480" i="13"/>
  <c r="G1481" i="13"/>
  <c r="H1481" i="13"/>
  <c r="I1481" i="13"/>
  <c r="J1481" i="13"/>
  <c r="K1481" i="13"/>
  <c r="G1482" i="13"/>
  <c r="H1482" i="13"/>
  <c r="I1482" i="13"/>
  <c r="J1482" i="13"/>
  <c r="K1482" i="13"/>
  <c r="G1483" i="13"/>
  <c r="H1483" i="13"/>
  <c r="I1483" i="13"/>
  <c r="J1483" i="13"/>
  <c r="K1483" i="13"/>
  <c r="G1484" i="13"/>
  <c r="H1484" i="13"/>
  <c r="I1484" i="13"/>
  <c r="J1484" i="13"/>
  <c r="K1484" i="13"/>
  <c r="G1485" i="13"/>
  <c r="H1485" i="13"/>
  <c r="I1485" i="13"/>
  <c r="J1485" i="13"/>
  <c r="K1485" i="13"/>
  <c r="G1486" i="13"/>
  <c r="H1486" i="13"/>
  <c r="I1486" i="13"/>
  <c r="J1486" i="13"/>
  <c r="K1486" i="13"/>
  <c r="G1487" i="13"/>
  <c r="H1487" i="13"/>
  <c r="I1487" i="13"/>
  <c r="J1487" i="13"/>
  <c r="K1487" i="13"/>
  <c r="G1488" i="13"/>
  <c r="H1488" i="13"/>
  <c r="I1488" i="13"/>
  <c r="J1488" i="13"/>
  <c r="K1488" i="13"/>
  <c r="G1489" i="13"/>
  <c r="H1489" i="13"/>
  <c r="I1489" i="13"/>
  <c r="J1489" i="13"/>
  <c r="K1489" i="13"/>
  <c r="G1490" i="13"/>
  <c r="H1490" i="13"/>
  <c r="I1490" i="13"/>
  <c r="J1490" i="13"/>
  <c r="K1490" i="13"/>
  <c r="G1491" i="13"/>
  <c r="H1491" i="13"/>
  <c r="I1491" i="13"/>
  <c r="J1491" i="13"/>
  <c r="K1491" i="13"/>
  <c r="G1492" i="13"/>
  <c r="H1492" i="13"/>
  <c r="I1492" i="13"/>
  <c r="J1492" i="13"/>
  <c r="K1492" i="13"/>
  <c r="H1493" i="13"/>
  <c r="I1493" i="13"/>
  <c r="J1493" i="13"/>
  <c r="K1493" i="13"/>
  <c r="G1494" i="13"/>
  <c r="H1494" i="13"/>
  <c r="I1494" i="13"/>
  <c r="J1494" i="13"/>
  <c r="K1494" i="13"/>
  <c r="G1495" i="13"/>
  <c r="H1495" i="13"/>
  <c r="I1495" i="13"/>
  <c r="J1495" i="13"/>
  <c r="K1495" i="13"/>
  <c r="G1496" i="13"/>
  <c r="H1496" i="13"/>
  <c r="I1496" i="13"/>
  <c r="J1496" i="13"/>
  <c r="K1496" i="13"/>
  <c r="G1497" i="13"/>
  <c r="H1497" i="13"/>
  <c r="I1497" i="13"/>
  <c r="J1497" i="13"/>
  <c r="K1497" i="13"/>
  <c r="G1498" i="13"/>
  <c r="H1498" i="13"/>
  <c r="I1498" i="13"/>
  <c r="J1498" i="13"/>
  <c r="K1498" i="13"/>
  <c r="G1499" i="13"/>
  <c r="H1499" i="13"/>
  <c r="I1499" i="13"/>
  <c r="J1499" i="13"/>
  <c r="K1499" i="13"/>
  <c r="G1500" i="13"/>
  <c r="H1500" i="13"/>
  <c r="I1500" i="13"/>
  <c r="J1500" i="13"/>
  <c r="K1500" i="13"/>
  <c r="G1501" i="13"/>
  <c r="H1501" i="13"/>
  <c r="I1501" i="13"/>
  <c r="J1501" i="13"/>
  <c r="K1501" i="13"/>
  <c r="K1017" i="13"/>
  <c r="J1017" i="13"/>
  <c r="I1017" i="13"/>
  <c r="H1017" i="13"/>
  <c r="B74" i="13"/>
  <c r="B1447" i="13"/>
  <c r="B1446" i="13"/>
  <c r="B1442" i="13"/>
  <c r="B1443" i="13"/>
  <c r="B1444" i="13"/>
  <c r="B1445" i="13"/>
  <c r="B1441" i="13"/>
  <c r="B1440" i="13"/>
  <c r="B1439" i="13"/>
  <c r="B1436" i="13"/>
  <c r="B1437" i="13"/>
  <c r="B1438" i="13"/>
  <c r="N1437" i="13"/>
  <c r="B6" i="16"/>
  <c r="B1431" i="13"/>
  <c r="B1432" i="13"/>
  <c r="B1433" i="13"/>
  <c r="B1434" i="13"/>
  <c r="B1435" i="13"/>
  <c r="B1430" i="13"/>
  <c r="B1429" i="13"/>
  <c r="N1423" i="13"/>
  <c r="N1422" i="13"/>
  <c r="B1427" i="13"/>
  <c r="B1428" i="13"/>
  <c r="B5" i="16"/>
  <c r="B4" i="16"/>
  <c r="B1424" i="13"/>
  <c r="B1425" i="13"/>
  <c r="B1426" i="13"/>
  <c r="B1423" i="13"/>
  <c r="B1422" i="13"/>
  <c r="B1421" i="13"/>
  <c r="B1420" i="13"/>
  <c r="N1416" i="13"/>
  <c r="N1417" i="13"/>
  <c r="N1419" i="13"/>
  <c r="N1418" i="13"/>
  <c r="B1416" i="13"/>
  <c r="B1417" i="13"/>
  <c r="B1418" i="13"/>
  <c r="B1419" i="13"/>
  <c r="B1415" i="13"/>
  <c r="B23" i="13"/>
  <c r="N1413" i="13"/>
  <c r="N1412" i="13"/>
  <c r="N1410" i="13"/>
  <c r="B1413" i="13"/>
  <c r="B1412" i="13"/>
  <c r="B1411" i="13"/>
  <c r="B2" i="16"/>
  <c r="B1410" i="13"/>
  <c r="B1409" i="13"/>
  <c r="N1399" i="13" l="1"/>
  <c r="N1408" i="13"/>
  <c r="S1407" i="13"/>
  <c r="T1407" i="13" s="1"/>
  <c r="B107" i="16"/>
  <c r="B1404" i="13"/>
  <c r="B1403" i="13"/>
  <c r="B1398" i="13"/>
  <c r="B1401" i="13"/>
  <c r="B1396" i="13"/>
  <c r="B1407" i="13"/>
  <c r="B1408" i="13"/>
  <c r="B1405" i="13"/>
  <c r="B1400" i="13"/>
  <c r="B1397" i="13"/>
  <c r="B1392" i="13"/>
  <c r="B1399" i="13"/>
  <c r="B1395" i="13"/>
  <c r="B1402" i="13"/>
  <c r="B1327" i="13"/>
  <c r="B1326" i="13"/>
  <c r="B1393" i="13"/>
  <c r="B1394" i="13"/>
  <c r="B104" i="16"/>
  <c r="B1350" i="13"/>
  <c r="B1333" i="13"/>
  <c r="B1328" i="13"/>
  <c r="B1329" i="13"/>
  <c r="B1331" i="13"/>
  <c r="B1360" i="13"/>
  <c r="B1378" i="13"/>
  <c r="B1345" i="13"/>
  <c r="B1371" i="13"/>
  <c r="B1353" i="13"/>
  <c r="B1346" i="13"/>
  <c r="B1347" i="13"/>
  <c r="B1332" i="13"/>
  <c r="B1358" i="13"/>
  <c r="B1349" i="13"/>
  <c r="B1351" i="13"/>
  <c r="B1384" i="13"/>
  <c r="B1372" i="13"/>
  <c r="B1379" i="13"/>
  <c r="B1362" i="13"/>
  <c r="B1376" i="13"/>
  <c r="B1368" i="13"/>
  <c r="B1369" i="13"/>
  <c r="B1375" i="13"/>
  <c r="B1359" i="13"/>
  <c r="B1374" i="13"/>
  <c r="B1367" i="13"/>
  <c r="B1330" i="13"/>
  <c r="B1356" i="13"/>
  <c r="B1364" i="13"/>
  <c r="B1357" i="13"/>
  <c r="B1355" i="13"/>
  <c r="B1365" i="13"/>
  <c r="B1348" i="13"/>
  <c r="B1381" i="13"/>
  <c r="B1382" i="13"/>
  <c r="B1363" i="13"/>
  <c r="B1370" i="13"/>
  <c r="B1380" i="13"/>
  <c r="B1366" i="13"/>
  <c r="B1377" i="13"/>
  <c r="B1352" i="13"/>
  <c r="B1361" i="13"/>
  <c r="B1354" i="13"/>
  <c r="B1373" i="13"/>
  <c r="B1383" i="13"/>
  <c r="T1342" i="13"/>
  <c r="B1342" i="13"/>
  <c r="N1342" i="13"/>
  <c r="N1338" i="13"/>
  <c r="N1344" i="13"/>
  <c r="N1343" i="13"/>
  <c r="N1341" i="13"/>
  <c r="N1340" i="13"/>
  <c r="N1339" i="13"/>
  <c r="S1344" i="13"/>
  <c r="T1344" i="13" s="1"/>
  <c r="B1339" i="13"/>
  <c r="B1340" i="13"/>
  <c r="B1341" i="13"/>
  <c r="B1343" i="13"/>
  <c r="B1344" i="13"/>
  <c r="B1338" i="13"/>
  <c r="B1337" i="13"/>
  <c r="B1336" i="13"/>
  <c r="B1260" i="13"/>
  <c r="B1292" i="13"/>
  <c r="B1295" i="13"/>
  <c r="B1270" i="13"/>
  <c r="B1275" i="13"/>
  <c r="B1263" i="13"/>
  <c r="B1269" i="13"/>
  <c r="B1262" i="13"/>
  <c r="B1265" i="13"/>
  <c r="B1276" i="13"/>
  <c r="B1273" i="13"/>
  <c r="B1272" i="13"/>
  <c r="B1261" i="13"/>
  <c r="B1259" i="13"/>
  <c r="B1256" i="13"/>
  <c r="B1254" i="13"/>
  <c r="B1252" i="13"/>
  <c r="B1255" i="13"/>
  <c r="B1250" i="13"/>
  <c r="B1257" i="13"/>
  <c r="B1249" i="13"/>
  <c r="B1251" i="13"/>
  <c r="B1248" i="13"/>
  <c r="B1334" i="13"/>
  <c r="B1335" i="13"/>
  <c r="B99" i="16"/>
  <c r="B98" i="16"/>
  <c r="B1296" i="13"/>
  <c r="B1286" i="13"/>
  <c r="B1264" i="13"/>
  <c r="B1253" i="13"/>
  <c r="B1281" i="13"/>
  <c r="B1282" i="13"/>
  <c r="B1283" i="13"/>
  <c r="B1304" i="13"/>
  <c r="B1302" i="13"/>
  <c r="B1306" i="13"/>
  <c r="B1305" i="13"/>
  <c r="B1303" i="13"/>
  <c r="B1280" i="13"/>
  <c r="B1297" i="13"/>
  <c r="B1300" i="13"/>
  <c r="B1299" i="13"/>
  <c r="B1301" i="13"/>
  <c r="B1279" i="13"/>
  <c r="B1278" i="13"/>
  <c r="B1288" i="13"/>
  <c r="B1258" i="13"/>
  <c r="B1266" i="13"/>
  <c r="B1293" i="13"/>
  <c r="B1298" i="13"/>
  <c r="B1294" i="13"/>
  <c r="B1291" i="13"/>
  <c r="B1289" i="13"/>
  <c r="B1284" i="13"/>
  <c r="B1285" i="13"/>
  <c r="B1290" i="13"/>
  <c r="B1287" i="13"/>
  <c r="B1268" i="13"/>
  <c r="B1277" i="13"/>
  <c r="B1271" i="13"/>
  <c r="B1307" i="13"/>
  <c r="B1308" i="13"/>
  <c r="B471" i="13"/>
  <c r="B1274" i="13"/>
  <c r="N1274" i="13"/>
  <c r="B122" i="13"/>
  <c r="B239" i="13"/>
  <c r="B121" i="13"/>
  <c r="B944" i="13"/>
  <c r="B160" i="13"/>
  <c r="B186" i="13"/>
  <c r="B196" i="13"/>
  <c r="B118" i="13"/>
  <c r="B467" i="13"/>
  <c r="B232" i="13"/>
  <c r="B211" i="13"/>
  <c r="B178" i="13"/>
  <c r="B218" i="13"/>
  <c r="B523" i="13"/>
  <c r="B241" i="13"/>
  <c r="B485" i="13"/>
  <c r="B462" i="13"/>
  <c r="B228" i="13"/>
  <c r="B962" i="13"/>
  <c r="B167" i="13"/>
  <c r="B1267" i="13"/>
  <c r="B235" i="13"/>
  <c r="B236" i="13"/>
  <c r="B1103" i="13"/>
  <c r="B209" i="13"/>
  <c r="B221" i="13"/>
  <c r="B50" i="13"/>
  <c r="B94" i="16"/>
  <c r="B159" i="13"/>
  <c r="B93" i="16"/>
  <c r="B92" i="16"/>
  <c r="N1244" i="13"/>
  <c r="N1243" i="13"/>
  <c r="N1242" i="13"/>
  <c r="N1241" i="13"/>
  <c r="N1240" i="13"/>
  <c r="N1239" i="13"/>
  <c r="N1238" i="13"/>
  <c r="N1237" i="13"/>
  <c r="N1236" i="13"/>
  <c r="N1235" i="13"/>
  <c r="N1234" i="13"/>
  <c r="B1236" i="13"/>
  <c r="B1237" i="13"/>
  <c r="B1238" i="13"/>
  <c r="B1239" i="13"/>
  <c r="B1240" i="13"/>
  <c r="B1241" i="13"/>
  <c r="B1242" i="13"/>
  <c r="B1243" i="13"/>
  <c r="B1244" i="13"/>
  <c r="B1235" i="13"/>
  <c r="B1234" i="13"/>
  <c r="N1233" i="13"/>
  <c r="N1232" i="13"/>
  <c r="B1231" i="13"/>
  <c r="B1232" i="13"/>
  <c r="B1233" i="13"/>
  <c r="N1092" i="13"/>
  <c r="N1224" i="13"/>
  <c r="B91" i="16"/>
  <c r="B1097" i="13"/>
  <c r="B1096" i="13"/>
  <c r="B1095" i="13"/>
  <c r="B1094" i="13"/>
  <c r="B1223" i="13"/>
  <c r="B1224" i="13"/>
  <c r="B1225" i="13"/>
  <c r="B1226" i="13"/>
  <c r="B1227" i="13"/>
  <c r="B1228" i="13"/>
  <c r="B1092" i="13"/>
  <c r="B1093" i="13"/>
  <c r="B1098" i="13"/>
  <c r="B1099" i="13"/>
  <c r="N1216" i="13"/>
  <c r="B1024" i="13"/>
  <c r="B1026" i="13"/>
  <c r="B1216" i="13"/>
  <c r="B97" i="16"/>
  <c r="B100" i="16"/>
  <c r="B101" i="16"/>
  <c r="B106" i="16"/>
  <c r="B108" i="16"/>
  <c r="B72" i="16"/>
  <c r="B73" i="16"/>
  <c r="B74" i="16"/>
  <c r="B75" i="16"/>
  <c r="B76" i="16"/>
  <c r="B77" i="16"/>
  <c r="B78" i="16"/>
  <c r="B79" i="16"/>
  <c r="B80" i="16"/>
  <c r="B81" i="16"/>
  <c r="B82" i="16"/>
  <c r="B83" i="16"/>
  <c r="B84" i="16"/>
  <c r="B85" i="16"/>
  <c r="B86"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17" i="16"/>
  <c r="B18" i="16"/>
  <c r="B20" i="16"/>
  <c r="B21" i="16"/>
  <c r="B22" i="16"/>
  <c r="B23" i="16"/>
  <c r="B24" i="16"/>
  <c r="B25" i="16"/>
  <c r="B26" i="16"/>
  <c r="B27" i="16"/>
  <c r="B28" i="16"/>
  <c r="B29" i="16"/>
  <c r="B30" i="16"/>
  <c r="B31" i="16"/>
  <c r="B96" i="16"/>
  <c r="B88" i="16"/>
  <c r="N1204" i="13"/>
  <c r="N1203" i="13"/>
  <c r="B1046" i="13"/>
  <c r="B1041" i="13"/>
  <c r="B1037" i="13"/>
  <c r="B1042" i="13"/>
  <c r="B1040" i="13"/>
  <c r="B1063" i="13"/>
  <c r="B1068" i="13"/>
  <c r="B1067" i="13"/>
  <c r="B1066" i="13"/>
  <c r="B1070" i="13"/>
  <c r="B1064" i="13"/>
  <c r="B1023" i="13"/>
  <c r="B1030" i="13"/>
  <c r="B1047" i="13"/>
  <c r="B1045" i="13"/>
  <c r="B1044" i="13"/>
  <c r="B1065" i="13"/>
  <c r="B1036" i="13"/>
  <c r="B1049" i="13"/>
  <c r="B1028" i="13"/>
  <c r="B1043" i="13"/>
  <c r="B1027" i="13"/>
  <c r="B1034" i="13"/>
  <c r="B1035" i="13"/>
  <c r="B1039" i="13"/>
  <c r="B1029" i="13"/>
  <c r="B1203" i="13"/>
  <c r="B1204" i="13"/>
  <c r="B1071" i="13"/>
  <c r="B1048" i="13"/>
  <c r="B1038" i="13"/>
  <c r="B1062" i="13"/>
  <c r="B1078" i="13"/>
  <c r="B1077" i="13"/>
  <c r="B1711" i="12"/>
  <c r="B1715" i="12"/>
  <c r="B1714" i="12"/>
  <c r="B2010" i="12"/>
  <c r="B2009" i="12"/>
  <c r="B2008" i="12"/>
  <c r="B2007" i="12"/>
  <c r="B2006" i="12"/>
  <c r="B2005" i="12"/>
  <c r="B2004" i="12"/>
  <c r="B2003" i="12"/>
  <c r="B2002" i="12"/>
  <c r="B2001" i="12"/>
  <c r="B2000" i="12"/>
  <c r="B1999" i="12"/>
  <c r="B1998" i="12"/>
  <c r="B1997" i="12"/>
  <c r="B1996" i="12"/>
  <c r="B1995" i="12"/>
  <c r="B1994" i="12"/>
  <c r="B1993" i="12"/>
  <c r="B1992" i="12"/>
  <c r="B1991" i="12"/>
  <c r="B1990" i="12"/>
  <c r="B1989" i="12"/>
  <c r="B1988" i="12"/>
  <c r="B1987" i="12"/>
  <c r="B1986" i="12"/>
  <c r="B1985" i="12"/>
  <c r="B1984" i="12"/>
  <c r="F1983" i="12"/>
  <c r="B1983" i="12"/>
  <c r="B1982" i="12"/>
  <c r="B1981" i="12"/>
  <c r="B1980" i="12"/>
  <c r="B1979" i="12"/>
  <c r="B1946" i="12"/>
  <c r="B1945" i="12"/>
  <c r="B1944" i="12"/>
  <c r="B1943" i="12"/>
  <c r="B1942" i="12"/>
  <c r="B1941" i="12"/>
  <c r="B1940" i="12"/>
  <c r="B1939" i="12"/>
  <c r="B1938" i="12"/>
  <c r="B1937" i="12"/>
  <c r="B1936" i="12"/>
  <c r="B1935" i="12"/>
  <c r="B1934" i="12"/>
  <c r="B1933" i="12"/>
  <c r="B1932" i="12"/>
  <c r="B1931" i="12"/>
  <c r="B1930" i="12"/>
  <c r="B1929" i="12"/>
  <c r="B1928" i="12"/>
  <c r="B1927" i="12"/>
  <c r="B1926" i="12"/>
  <c r="B1925" i="12"/>
  <c r="B1924" i="12"/>
  <c r="B1923" i="12"/>
  <c r="B1922" i="12"/>
  <c r="B1921" i="12"/>
  <c r="B1920" i="12"/>
  <c r="B1919" i="12"/>
  <c r="B1918" i="12"/>
  <c r="B1917" i="12"/>
  <c r="F1916" i="12"/>
  <c r="B1916" i="12"/>
  <c r="B1915" i="12"/>
  <c r="B1914" i="12"/>
  <c r="B1913" i="12"/>
  <c r="B1912"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F1852" i="12"/>
  <c r="B1852" i="12"/>
  <c r="B1851" i="12"/>
  <c r="B1850" i="12"/>
  <c r="B1849" i="12"/>
  <c r="B1848" i="12"/>
  <c r="B1719" i="12"/>
  <c r="B1718" i="12"/>
  <c r="B1717" i="12"/>
  <c r="B1716" i="12"/>
  <c r="B1713" i="12"/>
  <c r="B1712"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F1689" i="12"/>
  <c r="B1689" i="12"/>
  <c r="B1688" i="12"/>
  <c r="B1687" i="12"/>
  <c r="B1686" i="12"/>
  <c r="B1685" i="12"/>
  <c r="B1720" i="12"/>
  <c r="B1721" i="12"/>
  <c r="B1722" i="12"/>
  <c r="B1723" i="12"/>
  <c r="B1724" i="12"/>
  <c r="F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F1756" i="12"/>
  <c r="B1757" i="12"/>
  <c r="B1758" i="12"/>
  <c r="B1759"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F1593" i="12"/>
  <c r="B1593" i="12"/>
  <c r="B1592" i="12"/>
  <c r="B1591" i="12"/>
  <c r="B1590" i="12"/>
  <c r="B1589" i="12"/>
  <c r="B2104" i="12"/>
  <c r="B2106" i="12"/>
  <c r="B2105" i="12"/>
  <c r="B2084" i="12"/>
  <c r="B2083" i="12"/>
  <c r="B2082" i="12"/>
  <c r="B2081" i="12"/>
  <c r="B2086" i="12"/>
  <c r="B2085" i="12"/>
  <c r="B2076" i="12"/>
  <c r="B2077" i="12"/>
  <c r="B2078" i="12"/>
  <c r="B2079" i="12"/>
  <c r="B2080" i="12"/>
  <c r="B2087" i="12"/>
  <c r="B2088" i="12"/>
  <c r="B2089" i="12"/>
  <c r="B2090" i="12"/>
  <c r="B2091" i="12"/>
  <c r="B2092" i="12"/>
  <c r="B2093" i="12"/>
  <c r="B2094" i="12"/>
  <c r="B2095" i="12"/>
  <c r="B2096" i="12"/>
  <c r="B2097" i="12"/>
  <c r="B2098" i="12"/>
  <c r="B2099" i="12"/>
  <c r="B2100" i="12"/>
  <c r="B2101" i="12"/>
  <c r="B2102" i="12"/>
  <c r="B2103" i="12"/>
  <c r="B2107" i="12"/>
  <c r="B2108" i="12"/>
  <c r="B2109" i="12"/>
  <c r="B2110" i="12"/>
  <c r="B2111" i="12"/>
  <c r="B2112" i="12"/>
  <c r="B2113" i="12"/>
  <c r="B2114" i="12"/>
  <c r="B2075" i="12"/>
  <c r="F2079"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 i="12"/>
  <c r="B1218" i="13"/>
  <c r="B4" i="13"/>
  <c r="B5" i="13"/>
  <c r="B6" i="13"/>
  <c r="B7" i="13"/>
  <c r="B385" i="13"/>
  <c r="B1194" i="13"/>
  <c r="B1016" i="13"/>
  <c r="B573" i="13"/>
  <c r="B1195" i="13"/>
  <c r="B1196" i="13"/>
  <c r="B14" i="13"/>
  <c r="B1318" i="13"/>
  <c r="B16" i="13"/>
  <c r="B17" i="13"/>
  <c r="B24" i="13"/>
  <c r="B242" i="13"/>
  <c r="B1245" i="13"/>
  <c r="B1183" i="13"/>
  <c r="B1022" i="13"/>
  <c r="B1197" i="13"/>
  <c r="B1200" i="13"/>
  <c r="B25" i="13"/>
  <c r="B26" i="13"/>
  <c r="B27" i="13"/>
  <c r="B28" i="13"/>
  <c r="B29" i="13"/>
  <c r="B30" i="13"/>
  <c r="B31" i="13"/>
  <c r="B32" i="13"/>
  <c r="B33" i="13"/>
  <c r="B34" i="13"/>
  <c r="B35" i="13"/>
  <c r="B36" i="13"/>
  <c r="B37" i="13"/>
  <c r="B38" i="13"/>
  <c r="B39" i="13"/>
  <c r="B40" i="13"/>
  <c r="B45" i="13"/>
  <c r="B59" i="13"/>
  <c r="B43" i="13"/>
  <c r="B44" i="13"/>
  <c r="B1477" i="13"/>
  <c r="B46" i="13"/>
  <c r="B47" i="13"/>
  <c r="B48" i="13"/>
  <c r="B18" i="13"/>
  <c r="B164" i="13"/>
  <c r="B51" i="13"/>
  <c r="B52" i="13"/>
  <c r="B53" i="13"/>
  <c r="B55" i="13"/>
  <c r="B189" i="13"/>
  <c r="B528" i="13"/>
  <c r="B58" i="13"/>
  <c r="B15" i="13"/>
  <c r="B945" i="13"/>
  <c r="B1182" i="13"/>
  <c r="B158" i="13"/>
  <c r="B147" i="13"/>
  <c r="B41" i="13"/>
  <c r="B156" i="13"/>
  <c r="B65" i="13"/>
  <c r="B224" i="13"/>
  <c r="B1221" i="13"/>
  <c r="B480" i="13"/>
  <c r="B117" i="13"/>
  <c r="B70" i="13"/>
  <c r="B71" i="13"/>
  <c r="B72" i="13"/>
  <c r="B57" i="13"/>
  <c r="B606" i="13"/>
  <c r="B144" i="13"/>
  <c r="B618" i="13"/>
  <c r="B619" i="13"/>
  <c r="B475"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0" i="13"/>
  <c r="B1185" i="13"/>
  <c r="B954" i="13"/>
  <c r="B1206" i="13"/>
  <c r="B13" i="13"/>
  <c r="B1081" i="13"/>
  <c r="B1186" i="13"/>
  <c r="B1133" i="13"/>
  <c r="B1180" i="13"/>
  <c r="B1184" i="13"/>
  <c r="B947" i="13"/>
  <c r="B1385" i="13"/>
  <c r="B120" i="13"/>
  <c r="B1470" i="13"/>
  <c r="B476" i="13"/>
  <c r="B1202" i="13"/>
  <c r="B1386" i="13"/>
  <c r="B1198" i="13"/>
  <c r="B126" i="13"/>
  <c r="B127" i="13"/>
  <c r="B128" i="13"/>
  <c r="B129" i="13"/>
  <c r="B130" i="13"/>
  <c r="B131" i="13"/>
  <c r="B132" i="13"/>
  <c r="B133" i="13"/>
  <c r="B134" i="13"/>
  <c r="B135" i="13"/>
  <c r="B136" i="13"/>
  <c r="B137" i="13"/>
  <c r="B138" i="13"/>
  <c r="B139" i="13"/>
  <c r="B140" i="13"/>
  <c r="B141" i="13"/>
  <c r="B142" i="13"/>
  <c r="B143" i="13"/>
  <c r="B21" i="13"/>
  <c r="B145" i="13"/>
  <c r="B11" i="13"/>
  <c r="B109" i="13"/>
  <c r="B225" i="13"/>
  <c r="B56" i="13"/>
  <c r="B1222" i="13"/>
  <c r="B151" i="13"/>
  <c r="B206" i="13"/>
  <c r="B153" i="13"/>
  <c r="B154" i="13"/>
  <c r="B146" i="13"/>
  <c r="B525" i="13"/>
  <c r="B245" i="13"/>
  <c r="B150" i="13"/>
  <c r="B204" i="13"/>
  <c r="B213" i="13"/>
  <c r="B1229" i="13"/>
  <c r="B1220" i="13"/>
  <c r="B705" i="13"/>
  <c r="B1230" i="13"/>
  <c r="B851" i="13"/>
  <c r="B166" i="13"/>
  <c r="B1205" i="13"/>
  <c r="B1219" i="13"/>
  <c r="B169" i="13"/>
  <c r="B170" i="13"/>
  <c r="B171" i="13"/>
  <c r="B172" i="13"/>
  <c r="B173" i="13"/>
  <c r="B190" i="13"/>
  <c r="B202" i="13"/>
  <c r="B148" i="13"/>
  <c r="B1015" i="13"/>
  <c r="B1201" i="13"/>
  <c r="B1455" i="13"/>
  <c r="B180" i="13"/>
  <c r="B181" i="13"/>
  <c r="B182" i="13"/>
  <c r="B183" i="13"/>
  <c r="B184" i="13"/>
  <c r="B175" i="13"/>
  <c r="B233" i="13"/>
  <c r="B481" i="13"/>
  <c r="B215" i="13"/>
  <c r="B246" i="13"/>
  <c r="B958" i="13"/>
  <c r="B191" i="13"/>
  <c r="B192" i="13"/>
  <c r="B291" i="13"/>
  <c r="B226" i="13"/>
  <c r="B1083" i="13"/>
  <c r="B1246" i="13"/>
  <c r="B1187" i="13"/>
  <c r="B198" i="13"/>
  <c r="B199" i="13"/>
  <c r="B60" i="13"/>
  <c r="B1082" i="13"/>
  <c r="B956" i="13"/>
  <c r="B1207" i="13"/>
  <c r="B957" i="13"/>
  <c r="B3" i="13"/>
  <c r="B9" i="13"/>
  <c r="B163" i="13"/>
  <c r="B177" i="13"/>
  <c r="B472" i="13"/>
  <c r="B1213" i="13"/>
  <c r="B1312" i="13"/>
  <c r="B234" i="13"/>
  <c r="B378" i="13"/>
  <c r="B1011" i="13"/>
  <c r="B1086" i="13"/>
  <c r="B1087" i="13"/>
  <c r="B1188" i="13"/>
  <c r="B1010" i="13"/>
  <c r="B1311" i="13"/>
  <c r="B524" i="13"/>
  <c r="B223" i="13"/>
  <c r="B222" i="13"/>
  <c r="B1448" i="13"/>
  <c r="B1324" i="13"/>
  <c r="B1456" i="13"/>
  <c r="B1208" i="13"/>
  <c r="B382" i="13"/>
  <c r="B238" i="13"/>
  <c r="B1317" i="13"/>
  <c r="B1475" i="13"/>
  <c r="B1316" i="13"/>
  <c r="B1406" i="13"/>
  <c r="B1090" i="13"/>
  <c r="B1457" i="13"/>
  <c r="B1325" i="13"/>
  <c r="B1313" i="13"/>
  <c r="B1314" i="13"/>
  <c r="B965" i="13"/>
  <c r="B1453" i="13"/>
  <c r="B1461" i="13"/>
  <c r="B1458" i="13"/>
  <c r="B1454" i="13"/>
  <c r="B1389" i="13"/>
  <c r="B244" i="13"/>
  <c r="B1471" i="13"/>
  <c r="B1414"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1315" i="13"/>
  <c r="B132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1084" i="13"/>
  <c r="B356" i="13"/>
  <c r="B357" i="13"/>
  <c r="B358" i="13"/>
  <c r="B359" i="13"/>
  <c r="B360" i="13"/>
  <c r="B361" i="13"/>
  <c r="B362" i="13"/>
  <c r="B363" i="13"/>
  <c r="B364" i="13"/>
  <c r="B365" i="13"/>
  <c r="B366" i="13"/>
  <c r="B367" i="13"/>
  <c r="B368" i="13"/>
  <c r="B369" i="13"/>
  <c r="B370" i="13"/>
  <c r="B371" i="13"/>
  <c r="B372" i="13"/>
  <c r="B373" i="13"/>
  <c r="B374" i="13"/>
  <c r="B375" i="13"/>
  <c r="B376" i="13"/>
  <c r="B377" i="13"/>
  <c r="B12" i="13"/>
  <c r="B203" i="13"/>
  <c r="B155" i="13"/>
  <c r="B479" i="13"/>
  <c r="B1199" i="13"/>
  <c r="B383" i="13"/>
  <c r="B1391" i="13"/>
  <c r="B1452" i="13"/>
  <c r="B386" i="13"/>
  <c r="B1247" i="13"/>
  <c r="B388" i="13"/>
  <c r="B389" i="13"/>
  <c r="B390" i="13"/>
  <c r="B391" i="13"/>
  <c r="B392" i="13"/>
  <c r="B393" i="13"/>
  <c r="B394" i="13"/>
  <c r="B395" i="13"/>
  <c r="B396" i="13"/>
  <c r="B397" i="13"/>
  <c r="B10" i="13"/>
  <c r="B966"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216" i="13"/>
  <c r="B482" i="13"/>
  <c r="B464" i="13"/>
  <c r="B465" i="13"/>
  <c r="B466" i="13"/>
  <c r="B853" i="13"/>
  <c r="B468" i="13"/>
  <c r="B469" i="13"/>
  <c r="B176" i="13"/>
  <c r="B157" i="13"/>
  <c r="B1309" i="13"/>
  <c r="B473" i="13"/>
  <c r="B161" i="13"/>
  <c r="B208" i="13"/>
  <c r="B1321" i="13"/>
  <c r="B477" i="13"/>
  <c r="B292" i="13"/>
  <c r="B1310" i="13"/>
  <c r="B1387" i="13"/>
  <c r="B1085" i="13"/>
  <c r="B854" i="13"/>
  <c r="B1319" i="13"/>
  <c r="B1388" i="13"/>
  <c r="B1320" i="13"/>
  <c r="B486" i="13"/>
  <c r="B1181"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1451" i="13"/>
  <c r="B1450" i="13"/>
  <c r="B1449" i="13"/>
  <c r="B526" i="13"/>
  <c r="B527" i="13"/>
  <c r="B185"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968"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355" i="13"/>
  <c r="B607" i="13"/>
  <c r="B608" i="13"/>
  <c r="B609" i="13"/>
  <c r="B610" i="13"/>
  <c r="B611" i="13"/>
  <c r="B612" i="13"/>
  <c r="B613" i="13"/>
  <c r="B614" i="13"/>
  <c r="B615" i="13"/>
  <c r="B616" i="13"/>
  <c r="B617" i="13"/>
  <c r="B212" i="13"/>
  <c r="B1192"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123"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76" i="13"/>
  <c r="B1012" i="13"/>
  <c r="B49" i="13"/>
  <c r="B119" i="13"/>
  <c r="B61" i="13"/>
  <c r="B20" i="13"/>
  <c r="B114"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205" i="13"/>
  <c r="B1217" i="13"/>
  <c r="B946" i="13"/>
  <c r="B22" i="13"/>
  <c r="B948" i="13"/>
  <c r="B949" i="13"/>
  <c r="B950" i="13"/>
  <c r="B951" i="13"/>
  <c r="B952" i="13"/>
  <c r="B953" i="13"/>
  <c r="B195" i="13"/>
  <c r="B955" i="13"/>
  <c r="B852" i="13"/>
  <c r="B64" i="13"/>
  <c r="B214" i="13"/>
  <c r="B67" i="13"/>
  <c r="B75" i="13"/>
  <c r="B19" i="13"/>
  <c r="B2" i="13"/>
  <c r="B113" i="13"/>
  <c r="B243" i="13"/>
  <c r="B77" i="13"/>
  <c r="B168" i="13"/>
  <c r="B165" i="13"/>
  <c r="B188" i="13"/>
  <c r="B78"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74" i="13"/>
  <c r="B115" i="13"/>
  <c r="B152" i="13"/>
  <c r="B108" i="13"/>
  <c r="B149" i="13"/>
  <c r="B42" i="13"/>
  <c r="B116" i="13"/>
  <c r="B193" i="13"/>
  <c r="B66" i="13"/>
  <c r="B1018" i="13"/>
  <c r="B1019" i="13"/>
  <c r="B1020" i="13"/>
  <c r="B1021" i="13"/>
  <c r="B474" i="13"/>
  <c r="B1101" i="13"/>
  <c r="B399" i="13"/>
  <c r="B1025" i="13"/>
  <c r="B112" i="13"/>
  <c r="B162" i="13"/>
  <c r="B963" i="13"/>
  <c r="B230" i="13"/>
  <c r="B54" i="13"/>
  <c r="B1031" i="13"/>
  <c r="B1032" i="13"/>
  <c r="B1033" i="13"/>
  <c r="B110" i="13"/>
  <c r="B237" i="13"/>
  <c r="B111" i="13"/>
  <c r="B73" i="13"/>
  <c r="B484" i="13"/>
  <c r="B69" i="13"/>
  <c r="B227" i="13"/>
  <c r="B217" i="13"/>
  <c r="B187" i="13"/>
  <c r="B1215" i="13"/>
  <c r="B200" i="13"/>
  <c r="B210" i="13"/>
  <c r="B1014" i="13"/>
  <c r="B62" i="13"/>
  <c r="B960" i="13"/>
  <c r="B1390" i="13"/>
  <c r="B1050" i="13"/>
  <c r="B1051" i="13"/>
  <c r="B1052" i="13"/>
  <c r="B1053" i="13"/>
  <c r="B1054" i="13"/>
  <c r="B1055" i="13"/>
  <c r="B1056" i="13"/>
  <c r="B1057" i="13"/>
  <c r="B1058" i="13"/>
  <c r="B1059" i="13"/>
  <c r="B1060" i="13"/>
  <c r="B1061" i="13"/>
  <c r="B855" i="13"/>
  <c r="B1102" i="13"/>
  <c r="B961" i="13"/>
  <c r="B63" i="13"/>
  <c r="B194" i="13"/>
  <c r="B969" i="13"/>
  <c r="B197" i="13"/>
  <c r="B1069" i="13"/>
  <c r="B1100" i="13"/>
  <c r="B478" i="13"/>
  <c r="B1072" i="13"/>
  <c r="B1073" i="13"/>
  <c r="B1074" i="13"/>
  <c r="B1075" i="13"/>
  <c r="B1076" i="13"/>
  <c r="B1209" i="13"/>
  <c r="B1211" i="13"/>
  <c r="B1079" i="13"/>
  <c r="B207" i="13"/>
  <c r="B1189" i="13"/>
  <c r="B1013" i="13"/>
  <c r="B219" i="13"/>
  <c r="B959" i="13"/>
  <c r="B398" i="13"/>
  <c r="B379" i="13"/>
  <c r="B967" i="13"/>
  <c r="B1088" i="13"/>
  <c r="B1089" i="13"/>
  <c r="B124" i="13"/>
  <c r="B201" i="13"/>
  <c r="B1193" i="13"/>
  <c r="B964" i="13"/>
  <c r="B240" i="13"/>
  <c r="B220" i="13"/>
  <c r="B463" i="13"/>
  <c r="B1009" i="13"/>
  <c r="B1190" i="13"/>
  <c r="B1210" i="13"/>
  <c r="B470" i="13"/>
  <c r="B856" i="13"/>
  <c r="B1191" i="13"/>
  <c r="B1214"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476"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017" i="13"/>
  <c r="AD66" i="11"/>
  <c r="V66" i="11"/>
  <c r="U66" i="11"/>
  <c r="AD63" i="11"/>
  <c r="V63" i="11"/>
  <c r="U63" i="11"/>
  <c r="AD61" i="11"/>
  <c r="V61" i="11"/>
  <c r="U61" i="11"/>
  <c r="AD59" i="11"/>
  <c r="V59" i="11"/>
  <c r="U59" i="11"/>
  <c r="AD54" i="11"/>
  <c r="V54" i="11"/>
  <c r="U54" i="11"/>
  <c r="AD51" i="11"/>
  <c r="V51" i="11"/>
  <c r="U51" i="11"/>
  <c r="S1176" i="13"/>
  <c r="T1176" i="13" s="1"/>
  <c r="N1176" i="13"/>
  <c r="N1171" i="13"/>
  <c r="N1172" i="13"/>
  <c r="N1140" i="13"/>
  <c r="N1139" i="13"/>
  <c r="T1145" i="13"/>
  <c r="T1146" i="13"/>
  <c r="T1147" i="13"/>
  <c r="T1148" i="13"/>
  <c r="T1149" i="13"/>
  <c r="T1150" i="13"/>
  <c r="T1151" i="13"/>
  <c r="T1152" i="13"/>
  <c r="T1153" i="13"/>
  <c r="T1154" i="13"/>
  <c r="T1155" i="13"/>
  <c r="T1156" i="13"/>
  <c r="T1157" i="13"/>
  <c r="T1158" i="13"/>
  <c r="T1159" i="13"/>
  <c r="T1160" i="13"/>
  <c r="T1161" i="13"/>
  <c r="T1162" i="13"/>
  <c r="T1163" i="13"/>
  <c r="T1164" i="13"/>
  <c r="T1165" i="13"/>
  <c r="T1166" i="13"/>
  <c r="T1167" i="13"/>
  <c r="T1168" i="13"/>
  <c r="T1169" i="13"/>
  <c r="T1170" i="13"/>
  <c r="T1171" i="13"/>
  <c r="T1172" i="13"/>
  <c r="T1173" i="13"/>
  <c r="T1174" i="13"/>
  <c r="T1175" i="13"/>
  <c r="T1177" i="13"/>
  <c r="T1178" i="13"/>
  <c r="T1179" i="13"/>
  <c r="T1077" i="13"/>
  <c r="T1078" i="13"/>
  <c r="T1063" i="13"/>
  <c r="T1068" i="13"/>
  <c r="T1067" i="13"/>
  <c r="T1066" i="13"/>
  <c r="T1070" i="13"/>
  <c r="T1064" i="13"/>
  <c r="T1023" i="13"/>
  <c r="T1030" i="13"/>
  <c r="T1047" i="13"/>
  <c r="T1045" i="13"/>
  <c r="T1044" i="13"/>
  <c r="T1065" i="13"/>
  <c r="T1036" i="13"/>
  <c r="T1049" i="13"/>
  <c r="T1028" i="13"/>
  <c r="T1043" i="13"/>
  <c r="T1027" i="13"/>
  <c r="T1034" i="13"/>
  <c r="T1035" i="13"/>
  <c r="T1039" i="13"/>
  <c r="T1029" i="13"/>
  <c r="T1203" i="13"/>
  <c r="T1204" i="13"/>
  <c r="T1071" i="13"/>
  <c r="T1048" i="13"/>
  <c r="T1038" i="13"/>
  <c r="T1062" i="13"/>
  <c r="T1046" i="13"/>
  <c r="T1041" i="13"/>
  <c r="T1037" i="13"/>
  <c r="T1042" i="13"/>
  <c r="T1040" i="13"/>
  <c r="T1024" i="13"/>
  <c r="T1026" i="13"/>
  <c r="T1216" i="13"/>
  <c r="T1099" i="13"/>
  <c r="T1098" i="13"/>
  <c r="T1097" i="13"/>
  <c r="T1096" i="13"/>
  <c r="T1095" i="13"/>
  <c r="T1094" i="13"/>
  <c r="T1223" i="13"/>
  <c r="T1224" i="13"/>
  <c r="T1225" i="13"/>
  <c r="T1226" i="13"/>
  <c r="T1227" i="13"/>
  <c r="T1228" i="13"/>
  <c r="T1092" i="13"/>
  <c r="T1093" i="13"/>
  <c r="T1231" i="13"/>
  <c r="T1232" i="13"/>
  <c r="T1233" i="13"/>
  <c r="T1234" i="13"/>
  <c r="T1235" i="13"/>
  <c r="T1236" i="13"/>
  <c r="T1237" i="13"/>
  <c r="T1238" i="13"/>
  <c r="T1239" i="13"/>
  <c r="T1240" i="13"/>
  <c r="T1241" i="13"/>
  <c r="T1242" i="13"/>
  <c r="T1243" i="13"/>
  <c r="T1244" i="13"/>
  <c r="T159" i="13"/>
  <c r="T50" i="13"/>
  <c r="T122" i="13"/>
  <c r="T239" i="13"/>
  <c r="T121" i="13"/>
  <c r="T944" i="13"/>
  <c r="T160" i="13"/>
  <c r="T186" i="13"/>
  <c r="T196" i="13"/>
  <c r="T118" i="13"/>
  <c r="T467" i="13"/>
  <c r="T232" i="13"/>
  <c r="T211" i="13"/>
  <c r="T178" i="13"/>
  <c r="T218" i="13"/>
  <c r="T523" i="13"/>
  <c r="T241" i="13"/>
  <c r="T485" i="13"/>
  <c r="T462" i="13"/>
  <c r="T228" i="13"/>
  <c r="T962" i="13"/>
  <c r="T167" i="13"/>
  <c r="T1267" i="13"/>
  <c r="T235" i="13"/>
  <c r="T236" i="13"/>
  <c r="T1103" i="13"/>
  <c r="T209" i="13"/>
  <c r="T221" i="13"/>
  <c r="T471" i="13"/>
  <c r="T1274" i="13"/>
  <c r="T1308" i="13"/>
  <c r="T1307" i="13"/>
  <c r="T1296" i="13"/>
  <c r="T1286" i="13"/>
  <c r="T1264" i="13"/>
  <c r="T1253" i="13"/>
  <c r="T1281" i="13"/>
  <c r="T1282" i="13"/>
  <c r="T1283" i="13"/>
  <c r="T1304" i="13"/>
  <c r="T1302" i="13"/>
  <c r="T1306" i="13"/>
  <c r="T1305" i="13"/>
  <c r="T1303" i="13"/>
  <c r="T1280" i="13"/>
  <c r="T1297" i="13"/>
  <c r="T1300" i="13"/>
  <c r="T1299" i="13"/>
  <c r="T1301" i="13"/>
  <c r="T1279" i="13"/>
  <c r="T1278" i="13"/>
  <c r="T1288" i="13"/>
  <c r="T1258" i="13"/>
  <c r="T1266" i="13"/>
  <c r="T1293" i="13"/>
  <c r="T1298" i="13"/>
  <c r="T1294" i="13"/>
  <c r="T1291" i="13"/>
  <c r="T1289" i="13"/>
  <c r="T1284" i="13"/>
  <c r="T1285" i="13"/>
  <c r="T1290" i="13"/>
  <c r="T1287" i="13"/>
  <c r="T1268" i="13"/>
  <c r="T1277" i="13"/>
  <c r="T1271" i="13"/>
  <c r="T1260" i="13"/>
  <c r="T1292" i="13"/>
  <c r="T1295" i="13"/>
  <c r="T1270" i="13"/>
  <c r="T1275" i="13"/>
  <c r="T1263" i="13"/>
  <c r="T1269" i="13"/>
  <c r="T1262" i="13"/>
  <c r="T1265" i="13"/>
  <c r="T1276" i="13"/>
  <c r="T1273" i="13"/>
  <c r="T1272" i="13"/>
  <c r="T1261" i="13"/>
  <c r="T1259" i="13"/>
  <c r="T1256" i="13"/>
  <c r="T1254" i="13"/>
  <c r="T1252" i="13"/>
  <c r="T1255" i="13"/>
  <c r="T1250" i="13"/>
  <c r="T1257" i="13"/>
  <c r="T1249" i="13"/>
  <c r="T1251" i="13"/>
  <c r="T1248" i="13"/>
  <c r="T1334" i="13"/>
  <c r="T1335" i="13"/>
  <c r="T1336" i="13"/>
  <c r="T1337" i="13"/>
  <c r="T1338" i="13"/>
  <c r="T1339" i="13"/>
  <c r="T1340" i="13"/>
  <c r="T1341" i="13"/>
  <c r="T1343" i="13"/>
  <c r="T1383" i="13"/>
  <c r="T1373" i="13"/>
  <c r="T1381" i="13"/>
  <c r="T1382" i="13"/>
  <c r="T1363" i="13"/>
  <c r="T1370" i="13"/>
  <c r="T1380" i="13"/>
  <c r="T1366" i="13"/>
  <c r="T1377" i="13"/>
  <c r="T1352" i="13"/>
  <c r="T1361" i="13"/>
  <c r="T1354" i="13"/>
  <c r="T1357" i="13"/>
  <c r="T1355" i="13"/>
  <c r="T1365" i="13"/>
  <c r="T1348" i="13"/>
  <c r="T1367" i="13"/>
  <c r="T1330" i="13"/>
  <c r="T1356" i="13"/>
  <c r="T1364" i="13"/>
  <c r="T1384" i="13"/>
  <c r="T1372" i="13"/>
  <c r="T1379" i="13"/>
  <c r="T1362" i="13"/>
  <c r="T1376" i="13"/>
  <c r="T1368" i="13"/>
  <c r="T1369" i="13"/>
  <c r="T1375" i="13"/>
  <c r="T1359" i="13"/>
  <c r="T1374" i="13"/>
  <c r="T1360" i="13"/>
  <c r="T1378" i="13"/>
  <c r="T1345" i="13"/>
  <c r="T1371" i="13"/>
  <c r="T1353" i="13"/>
  <c r="T1346" i="13"/>
  <c r="T1347" i="13"/>
  <c r="T1332" i="13"/>
  <c r="T1358" i="13"/>
  <c r="T1349" i="13"/>
  <c r="T1351" i="13"/>
  <c r="T1350" i="13"/>
  <c r="T1333" i="13"/>
  <c r="T1328" i="13"/>
  <c r="T1329" i="13"/>
  <c r="T1331" i="13"/>
  <c r="T1327" i="13"/>
  <c r="T1326" i="13"/>
  <c r="T1393" i="13"/>
  <c r="T1394" i="13"/>
  <c r="T1402" i="13"/>
  <c r="T1395" i="13"/>
  <c r="T1397" i="13"/>
  <c r="T1392" i="13"/>
  <c r="T1399" i="13"/>
  <c r="T1400" i="13"/>
  <c r="T1405" i="13"/>
  <c r="T1404" i="13"/>
  <c r="T1403" i="13"/>
  <c r="T1398" i="13"/>
  <c r="T1401" i="13"/>
  <c r="T1396" i="13"/>
  <c r="T1408" i="13"/>
  <c r="T1409" i="13"/>
  <c r="T1410" i="13"/>
  <c r="T1411" i="13"/>
  <c r="T1412" i="13"/>
  <c r="T1413" i="13"/>
  <c r="T23" i="13"/>
  <c r="T1415" i="13"/>
  <c r="T1416" i="13"/>
  <c r="T1417" i="13"/>
  <c r="T1418" i="13"/>
  <c r="T1419" i="13"/>
  <c r="T1420" i="13"/>
  <c r="T1421" i="13"/>
  <c r="T1422" i="13"/>
  <c r="T1423" i="13"/>
  <c r="T1424" i="13"/>
  <c r="T1425" i="13"/>
  <c r="T1426" i="13"/>
  <c r="T1427" i="13"/>
  <c r="T1428" i="13"/>
  <c r="T1429" i="13"/>
  <c r="T1430" i="13"/>
  <c r="T1431" i="13"/>
  <c r="T1432" i="13"/>
  <c r="T1433" i="13"/>
  <c r="T1434" i="13"/>
  <c r="T1435" i="13"/>
  <c r="T1436" i="13"/>
  <c r="T1437" i="13"/>
  <c r="T1438" i="13"/>
  <c r="T1439" i="13"/>
  <c r="T1440" i="13"/>
  <c r="T1441" i="13"/>
  <c r="T1442" i="13"/>
  <c r="T1443" i="13"/>
  <c r="T1444" i="13"/>
  <c r="T1445" i="13"/>
  <c r="T1446" i="13"/>
  <c r="T1447" i="13"/>
  <c r="T74" i="13"/>
  <c r="T229" i="13"/>
  <c r="T231" i="13"/>
  <c r="T125" i="13"/>
  <c r="T318" i="13"/>
  <c r="T1323" i="13"/>
  <c r="T387" i="13"/>
  <c r="T857" i="13"/>
  <c r="T179" i="13"/>
  <c r="T380" i="13"/>
  <c r="T1474" i="13"/>
  <c r="T1459" i="13"/>
  <c r="T1460" i="13"/>
  <c r="T483" i="13"/>
  <c r="T1462" i="13"/>
  <c r="T1463" i="13"/>
  <c r="T1464" i="13"/>
  <c r="T1465" i="13"/>
  <c r="T1466" i="13"/>
  <c r="T1467" i="13"/>
  <c r="T1468" i="13"/>
  <c r="T1469" i="13"/>
  <c r="T381" i="13"/>
  <c r="T487" i="13"/>
  <c r="T1472" i="13"/>
  <c r="T1473" i="13"/>
  <c r="T384" i="13"/>
  <c r="T1091" i="13"/>
  <c r="T1212" i="13"/>
  <c r="T68" i="13"/>
  <c r="T1478" i="13"/>
  <c r="T1479" i="13"/>
  <c r="T1480" i="13"/>
  <c r="T1481" i="13"/>
  <c r="T1482" i="13"/>
  <c r="T1483" i="13"/>
  <c r="T1484" i="13"/>
  <c r="T1485" i="13"/>
  <c r="T1486" i="13"/>
  <c r="T1487" i="13"/>
  <c r="T1488" i="13"/>
  <c r="T1489" i="13"/>
  <c r="T1490" i="13"/>
  <c r="T1491" i="13"/>
  <c r="T1492" i="13"/>
  <c r="T1493" i="13"/>
  <c r="T1494" i="13"/>
  <c r="T1495" i="13"/>
  <c r="T1496" i="13"/>
  <c r="T1497" i="13"/>
  <c r="T1498" i="13"/>
  <c r="T1499" i="13"/>
  <c r="T1500" i="13"/>
  <c r="T1501" i="13"/>
  <c r="S1134" i="13"/>
  <c r="T1134" i="13" s="1"/>
  <c r="N1128" i="13"/>
  <c r="N1127" i="13"/>
  <c r="N1118" i="13"/>
  <c r="N1117" i="13"/>
  <c r="N1116" i="13"/>
  <c r="S1118" i="13"/>
  <c r="T1118" i="13" s="1"/>
  <c r="N1110" i="13"/>
  <c r="N1107" i="13"/>
  <c r="N1108" i="13"/>
  <c r="N1106" i="13"/>
  <c r="N1105" i="13"/>
  <c r="N1058" i="13"/>
  <c r="N1053" i="13"/>
  <c r="N1059" i="13"/>
  <c r="N1052" i="13"/>
  <c r="N1033" i="13"/>
  <c r="N1025" i="13"/>
  <c r="F550" i="12"/>
  <c r="F404" i="12"/>
  <c r="F358" i="12"/>
  <c r="F326" i="12"/>
  <c r="F294" i="12"/>
  <c r="F262" i="12"/>
  <c r="F230" i="12"/>
  <c r="F198" i="12"/>
  <c r="F166" i="12"/>
  <c r="F134" i="12"/>
  <c r="F102" i="12"/>
  <c r="F70" i="12"/>
  <c r="F38" i="12"/>
  <c r="F6" i="12"/>
  <c r="F518" i="12"/>
  <c r="F486" i="12"/>
  <c r="F454" i="12"/>
  <c r="F422" i="12"/>
  <c r="F390" i="12"/>
  <c r="F582" i="12"/>
  <c r="F614" i="12"/>
  <c r="F649" i="12"/>
  <c r="F681" i="12"/>
  <c r="F713" i="12"/>
  <c r="F745" i="12"/>
  <c r="N1021" i="13"/>
  <c r="N1020" i="13"/>
  <c r="N1018" i="13"/>
  <c r="N955" i="13"/>
  <c r="N953" i="13"/>
  <c r="N948" i="13"/>
  <c r="N943" i="13"/>
  <c r="N926" i="13"/>
  <c r="N905" i="13"/>
  <c r="N850" i="13"/>
  <c r="N849" i="13"/>
  <c r="N848" i="13"/>
  <c r="N845" i="13"/>
  <c r="N844" i="13"/>
  <c r="N843" i="13"/>
  <c r="N839" i="13"/>
  <c r="N794" i="13"/>
  <c r="N756" i="13"/>
  <c r="N755" i="13"/>
  <c r="T1218" i="13"/>
  <c r="T4" i="13"/>
  <c r="T5" i="13"/>
  <c r="T6" i="13"/>
  <c r="T7" i="13"/>
  <c r="T385" i="13"/>
  <c r="T1194" i="13"/>
  <c r="T1016" i="13"/>
  <c r="T573" i="13"/>
  <c r="T1195" i="13"/>
  <c r="T1196" i="13"/>
  <c r="T14" i="13"/>
  <c r="T1318" i="13"/>
  <c r="T16" i="13"/>
  <c r="T17" i="13"/>
  <c r="T24" i="13"/>
  <c r="T242" i="13"/>
  <c r="T1245" i="13"/>
  <c r="T1183" i="13"/>
  <c r="T1022" i="13"/>
  <c r="T1197" i="13"/>
  <c r="T1200" i="13"/>
  <c r="T25" i="13"/>
  <c r="T26" i="13"/>
  <c r="T27" i="13"/>
  <c r="T28" i="13"/>
  <c r="T29" i="13"/>
  <c r="T30" i="13"/>
  <c r="T31" i="13"/>
  <c r="T32" i="13"/>
  <c r="T33" i="13"/>
  <c r="T34" i="13"/>
  <c r="T35" i="13"/>
  <c r="T36" i="13"/>
  <c r="T37" i="13"/>
  <c r="T38" i="13"/>
  <c r="T39" i="13"/>
  <c r="T40" i="13"/>
  <c r="T45" i="13"/>
  <c r="T59" i="13"/>
  <c r="T43" i="13"/>
  <c r="T44" i="13"/>
  <c r="T1477" i="13"/>
  <c r="T46" i="13"/>
  <c r="T47" i="13"/>
  <c r="T48" i="13"/>
  <c r="T18" i="13"/>
  <c r="T164" i="13"/>
  <c r="T51" i="13"/>
  <c r="T52" i="13"/>
  <c r="T53" i="13"/>
  <c r="T55" i="13"/>
  <c r="T189" i="13"/>
  <c r="T528" i="13"/>
  <c r="T58" i="13"/>
  <c r="T15" i="13"/>
  <c r="T945" i="13"/>
  <c r="T1182" i="13"/>
  <c r="T158" i="13"/>
  <c r="T147" i="13"/>
  <c r="T41" i="13"/>
  <c r="T156" i="13"/>
  <c r="T65" i="13"/>
  <c r="T224" i="13"/>
  <c r="T1221" i="13"/>
  <c r="T480" i="13"/>
  <c r="T117" i="13"/>
  <c r="T70" i="13"/>
  <c r="T71" i="13"/>
  <c r="T72" i="13"/>
  <c r="T57" i="13"/>
  <c r="T606" i="13"/>
  <c r="T144" i="13"/>
  <c r="T618" i="13"/>
  <c r="T619" i="13"/>
  <c r="T475"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0" i="13"/>
  <c r="T1185" i="13"/>
  <c r="T954" i="13"/>
  <c r="T1206" i="13"/>
  <c r="T13" i="13"/>
  <c r="T1081" i="13"/>
  <c r="T1186" i="13"/>
  <c r="T1133" i="13"/>
  <c r="T1180" i="13"/>
  <c r="T1184" i="13"/>
  <c r="T947" i="13"/>
  <c r="T1385" i="13"/>
  <c r="T120" i="13"/>
  <c r="T1470" i="13"/>
  <c r="T476" i="13"/>
  <c r="T1202" i="13"/>
  <c r="T1386" i="13"/>
  <c r="T1198" i="13"/>
  <c r="T126" i="13"/>
  <c r="T127" i="13"/>
  <c r="T128" i="13"/>
  <c r="T129" i="13"/>
  <c r="T130" i="13"/>
  <c r="T131" i="13"/>
  <c r="T132" i="13"/>
  <c r="T133" i="13"/>
  <c r="T134" i="13"/>
  <c r="T135" i="13"/>
  <c r="T136" i="13"/>
  <c r="T137" i="13"/>
  <c r="T138" i="13"/>
  <c r="T139" i="13"/>
  <c r="T140" i="13"/>
  <c r="T141" i="13"/>
  <c r="T142" i="13"/>
  <c r="T143" i="13"/>
  <c r="T21" i="13"/>
  <c r="T145" i="13"/>
  <c r="T11" i="13"/>
  <c r="T109" i="13"/>
  <c r="T225" i="13"/>
  <c r="T56" i="13"/>
  <c r="T1222" i="13"/>
  <c r="T151" i="13"/>
  <c r="T206" i="13"/>
  <c r="T153" i="13"/>
  <c r="T154" i="13"/>
  <c r="T146" i="13"/>
  <c r="T525" i="13"/>
  <c r="T245" i="13"/>
  <c r="T150" i="13"/>
  <c r="T204" i="13"/>
  <c r="T213" i="13"/>
  <c r="T1229" i="13"/>
  <c r="T1220" i="13"/>
  <c r="T705" i="13"/>
  <c r="T1230" i="13"/>
  <c r="T851" i="13"/>
  <c r="T166" i="13"/>
  <c r="T1205" i="13"/>
  <c r="T1219" i="13"/>
  <c r="T169" i="13"/>
  <c r="T170" i="13"/>
  <c r="T171" i="13"/>
  <c r="T172" i="13"/>
  <c r="T173" i="13"/>
  <c r="T190" i="13"/>
  <c r="T202" i="13"/>
  <c r="T148" i="13"/>
  <c r="T1015" i="13"/>
  <c r="T1201" i="13"/>
  <c r="T1455" i="13"/>
  <c r="T180" i="13"/>
  <c r="T181" i="13"/>
  <c r="T182" i="13"/>
  <c r="T183" i="13"/>
  <c r="T184" i="13"/>
  <c r="T175" i="13"/>
  <c r="T233" i="13"/>
  <c r="T481" i="13"/>
  <c r="T215" i="13"/>
  <c r="T246" i="13"/>
  <c r="T958" i="13"/>
  <c r="T191" i="13"/>
  <c r="T192" i="13"/>
  <c r="T291" i="13"/>
  <c r="T226" i="13"/>
  <c r="T1083" i="13"/>
  <c r="T1246" i="13"/>
  <c r="T1187" i="13"/>
  <c r="T198" i="13"/>
  <c r="T199" i="13"/>
  <c r="T60" i="13"/>
  <c r="T1082" i="13"/>
  <c r="T956" i="13"/>
  <c r="T1207" i="13"/>
  <c r="T957" i="13"/>
  <c r="T3" i="13"/>
  <c r="T9" i="13"/>
  <c r="T163" i="13"/>
  <c r="T177" i="13"/>
  <c r="T472" i="13"/>
  <c r="T1213" i="13"/>
  <c r="T1312" i="13"/>
  <c r="T234" i="13"/>
  <c r="T378" i="13"/>
  <c r="T1011" i="13"/>
  <c r="T1086" i="13"/>
  <c r="T1087" i="13"/>
  <c r="T1188" i="13"/>
  <c r="T1010" i="13"/>
  <c r="T1311" i="13"/>
  <c r="T524" i="13"/>
  <c r="T223" i="13"/>
  <c r="T222" i="13"/>
  <c r="T1448" i="13"/>
  <c r="T1324" i="13"/>
  <c r="T1456" i="13"/>
  <c r="T1208" i="13"/>
  <c r="T382" i="13"/>
  <c r="T238" i="13"/>
  <c r="T1317" i="13"/>
  <c r="T1475" i="13"/>
  <c r="T1316" i="13"/>
  <c r="T1406" i="13"/>
  <c r="T1090" i="13"/>
  <c r="T1457" i="13"/>
  <c r="T1325" i="13"/>
  <c r="T1313" i="13"/>
  <c r="T1314" i="13"/>
  <c r="T965" i="13"/>
  <c r="T1453" i="13"/>
  <c r="T1461" i="13"/>
  <c r="T1458" i="13"/>
  <c r="T1454" i="13"/>
  <c r="T1389" i="13"/>
  <c r="T244" i="13"/>
  <c r="T1471" i="13"/>
  <c r="T1414"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1315" i="13"/>
  <c r="T132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1084" i="13"/>
  <c r="T356" i="13"/>
  <c r="T357" i="13"/>
  <c r="T358" i="13"/>
  <c r="T359" i="13"/>
  <c r="T360" i="13"/>
  <c r="T361" i="13"/>
  <c r="T362" i="13"/>
  <c r="T363" i="13"/>
  <c r="T364" i="13"/>
  <c r="T365" i="13"/>
  <c r="T366" i="13"/>
  <c r="T367" i="13"/>
  <c r="T368" i="13"/>
  <c r="T369" i="13"/>
  <c r="T370" i="13"/>
  <c r="T371" i="13"/>
  <c r="T372" i="13"/>
  <c r="T373" i="13"/>
  <c r="T374" i="13"/>
  <c r="T375" i="13"/>
  <c r="T376" i="13"/>
  <c r="T377" i="13"/>
  <c r="T12" i="13"/>
  <c r="T203" i="13"/>
  <c r="T155" i="13"/>
  <c r="T479" i="13"/>
  <c r="T1199" i="13"/>
  <c r="T383" i="13"/>
  <c r="T1391" i="13"/>
  <c r="T1452" i="13"/>
  <c r="T386" i="13"/>
  <c r="T1247" i="13"/>
  <c r="T388" i="13"/>
  <c r="T389" i="13"/>
  <c r="T390" i="13"/>
  <c r="T391" i="13"/>
  <c r="T392" i="13"/>
  <c r="T393" i="13"/>
  <c r="T394" i="13"/>
  <c r="T395" i="13"/>
  <c r="T396" i="13"/>
  <c r="T397" i="13"/>
  <c r="T10" i="13"/>
  <c r="T966"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216" i="13"/>
  <c r="T482" i="13"/>
  <c r="T464" i="13"/>
  <c r="T465" i="13"/>
  <c r="T466" i="13"/>
  <c r="T853" i="13"/>
  <c r="T468" i="13"/>
  <c r="T469" i="13"/>
  <c r="T176" i="13"/>
  <c r="T157" i="13"/>
  <c r="T1309" i="13"/>
  <c r="T473" i="13"/>
  <c r="T161" i="13"/>
  <c r="T208" i="13"/>
  <c r="T1321" i="13"/>
  <c r="T477" i="13"/>
  <c r="T292" i="13"/>
  <c r="T1310" i="13"/>
  <c r="T1387" i="13"/>
  <c r="T1085" i="13"/>
  <c r="T854" i="13"/>
  <c r="T1319" i="13"/>
  <c r="T1388" i="13"/>
  <c r="T1320" i="13"/>
  <c r="T486" i="13"/>
  <c r="T1181" i="13"/>
  <c r="T488" i="13"/>
  <c r="T489" i="13"/>
  <c r="T490" i="13"/>
  <c r="T491" i="13"/>
  <c r="T492"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1451" i="13"/>
  <c r="T1450" i="13"/>
  <c r="T1449" i="13"/>
  <c r="T526" i="13"/>
  <c r="T527" i="13"/>
  <c r="T185"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968"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355" i="13"/>
  <c r="T607" i="13"/>
  <c r="T608" i="13"/>
  <c r="T609" i="13"/>
  <c r="T610" i="13"/>
  <c r="T611" i="13"/>
  <c r="T612" i="13"/>
  <c r="T613" i="13"/>
  <c r="T614" i="13"/>
  <c r="T615" i="13"/>
  <c r="T616" i="13"/>
  <c r="T617" i="13"/>
  <c r="T212" i="13"/>
  <c r="T1192" i="13"/>
  <c r="T620" i="13"/>
  <c r="T621" i="13"/>
  <c r="T622" i="13"/>
  <c r="T623" i="13"/>
  <c r="T624" i="13"/>
  <c r="T625" i="13"/>
  <c r="T626" i="13"/>
  <c r="T627" i="13"/>
  <c r="T628" i="13"/>
  <c r="T629" i="13"/>
  <c r="T630" i="13"/>
  <c r="T631" i="13"/>
  <c r="T632" i="13"/>
  <c r="T633" i="13"/>
  <c r="T634" i="13"/>
  <c r="T635" i="13"/>
  <c r="T636" i="13"/>
  <c r="T637" i="13"/>
  <c r="T638" i="13"/>
  <c r="T639" i="13"/>
  <c r="T640" i="13"/>
  <c r="T641" i="13"/>
  <c r="T642" i="13"/>
  <c r="T643" i="13"/>
  <c r="T644" i="13"/>
  <c r="T645" i="13"/>
  <c r="T646" i="13"/>
  <c r="T647" i="13"/>
  <c r="T648" i="13"/>
  <c r="T649" i="13"/>
  <c r="T650" i="13"/>
  <c r="T651" i="13"/>
  <c r="T652" i="13"/>
  <c r="T653" i="13"/>
  <c r="T654" i="13"/>
  <c r="T655" i="13"/>
  <c r="T656" i="13"/>
  <c r="T657" i="13"/>
  <c r="T658" i="13"/>
  <c r="T659" i="13"/>
  <c r="T660" i="13"/>
  <c r="T661" i="13"/>
  <c r="T662" i="13"/>
  <c r="T663" i="13"/>
  <c r="T664" i="13"/>
  <c r="T665" i="13"/>
  <c r="T666" i="13"/>
  <c r="T667" i="13"/>
  <c r="T668" i="13"/>
  <c r="T669" i="13"/>
  <c r="T670" i="13"/>
  <c r="T671" i="13"/>
  <c r="T672" i="13"/>
  <c r="T673" i="13"/>
  <c r="T674" i="13"/>
  <c r="T675" i="13"/>
  <c r="T676" i="13"/>
  <c r="T677" i="13"/>
  <c r="T678" i="13"/>
  <c r="T679" i="13"/>
  <c r="T680" i="13"/>
  <c r="T681" i="13"/>
  <c r="T682" i="13"/>
  <c r="T683" i="13"/>
  <c r="T684" i="13"/>
  <c r="T685" i="13"/>
  <c r="T686" i="13"/>
  <c r="T687" i="13"/>
  <c r="T688" i="13"/>
  <c r="T689" i="13"/>
  <c r="T690" i="13"/>
  <c r="T691" i="13"/>
  <c r="T692" i="13"/>
  <c r="T693" i="13"/>
  <c r="T694" i="13"/>
  <c r="T695" i="13"/>
  <c r="T696" i="13"/>
  <c r="T697" i="13"/>
  <c r="T698" i="13"/>
  <c r="T699" i="13"/>
  <c r="T700" i="13"/>
  <c r="T701" i="13"/>
  <c r="T702" i="13"/>
  <c r="T703" i="13"/>
  <c r="T704" i="13"/>
  <c r="T123" i="13"/>
  <c r="T706" i="13"/>
  <c r="T707" i="13"/>
  <c r="T708" i="13"/>
  <c r="T709" i="13"/>
  <c r="T710" i="13"/>
  <c r="T711" i="13"/>
  <c r="T712" i="13"/>
  <c r="T713" i="13"/>
  <c r="T714" i="13"/>
  <c r="T715" i="13"/>
  <c r="T716" i="13"/>
  <c r="T717" i="13"/>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1" i="13"/>
  <c r="T842" i="13"/>
  <c r="T843" i="13"/>
  <c r="T844" i="13"/>
  <c r="T845" i="13"/>
  <c r="T846" i="13"/>
  <c r="T847" i="13"/>
  <c r="T848" i="13"/>
  <c r="T849" i="13"/>
  <c r="T850" i="13"/>
  <c r="T76" i="13"/>
  <c r="T1012" i="13"/>
  <c r="T49" i="13"/>
  <c r="T119" i="13"/>
  <c r="T61" i="13"/>
  <c r="T20" i="13"/>
  <c r="T114"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205" i="13"/>
  <c r="T1217" i="13"/>
  <c r="T946" i="13"/>
  <c r="T22" i="13"/>
  <c r="T948" i="13"/>
  <c r="T949" i="13"/>
  <c r="T950" i="13"/>
  <c r="T951" i="13"/>
  <c r="T952" i="13"/>
  <c r="T953" i="13"/>
  <c r="T195" i="13"/>
  <c r="T955" i="13"/>
  <c r="T852" i="13"/>
  <c r="T64" i="13"/>
  <c r="T214" i="13"/>
  <c r="T67" i="13"/>
  <c r="T75" i="13"/>
  <c r="T19" i="13"/>
  <c r="T2" i="13"/>
  <c r="T113" i="13"/>
  <c r="T243" i="13"/>
  <c r="T77" i="13"/>
  <c r="T168" i="13"/>
  <c r="T165" i="13"/>
  <c r="T188" i="13"/>
  <c r="T78"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T1002" i="13"/>
  <c r="T1003" i="13"/>
  <c r="T1004" i="13"/>
  <c r="T1005" i="13"/>
  <c r="T1006" i="13"/>
  <c r="T1007" i="13"/>
  <c r="T1008" i="13"/>
  <c r="T174" i="13"/>
  <c r="T115" i="13"/>
  <c r="T152" i="13"/>
  <c r="T108" i="13"/>
  <c r="T149" i="13"/>
  <c r="T42" i="13"/>
  <c r="T116" i="13"/>
  <c r="T193" i="13"/>
  <c r="T66" i="13"/>
  <c r="T1018" i="13"/>
  <c r="T1019" i="13"/>
  <c r="T1020" i="13"/>
  <c r="T1021" i="13"/>
  <c r="T474" i="13"/>
  <c r="T1101" i="13"/>
  <c r="T399" i="13"/>
  <c r="T1025" i="13"/>
  <c r="T112" i="13"/>
  <c r="T162" i="13"/>
  <c r="T963" i="13"/>
  <c r="T230" i="13"/>
  <c r="T54" i="13"/>
  <c r="T1031" i="13"/>
  <c r="T1032" i="13"/>
  <c r="T1033" i="13"/>
  <c r="T110" i="13"/>
  <c r="T237" i="13"/>
  <c r="T111" i="13"/>
  <c r="T73" i="13"/>
  <c r="T484" i="13"/>
  <c r="T69" i="13"/>
  <c r="T227" i="13"/>
  <c r="T217" i="13"/>
  <c r="T187" i="13"/>
  <c r="T1215" i="13"/>
  <c r="T200" i="13"/>
  <c r="T210" i="13"/>
  <c r="T1014" i="13"/>
  <c r="T62" i="13"/>
  <c r="T960" i="13"/>
  <c r="T1390" i="13"/>
  <c r="T1050" i="13"/>
  <c r="T1051" i="13"/>
  <c r="T1052" i="13"/>
  <c r="T1053" i="13"/>
  <c r="T1054" i="13"/>
  <c r="T1055" i="13"/>
  <c r="T1056" i="13"/>
  <c r="T1057" i="13"/>
  <c r="T1058" i="13"/>
  <c r="T1059" i="13"/>
  <c r="T1060" i="13"/>
  <c r="T1061" i="13"/>
  <c r="T855" i="13"/>
  <c r="T1102" i="13"/>
  <c r="T961" i="13"/>
  <c r="T63" i="13"/>
  <c r="T194" i="13"/>
  <c r="T969" i="13"/>
  <c r="T197" i="13"/>
  <c r="T1069" i="13"/>
  <c r="T1100" i="13"/>
  <c r="T478" i="13"/>
  <c r="T1072" i="13"/>
  <c r="T1073" i="13"/>
  <c r="T1074" i="13"/>
  <c r="T1075" i="13"/>
  <c r="T1076" i="13"/>
  <c r="T1209" i="13"/>
  <c r="T1211" i="13"/>
  <c r="T1079" i="13"/>
  <c r="T207" i="13"/>
  <c r="T1189" i="13"/>
  <c r="T1013" i="13"/>
  <c r="T219" i="13"/>
  <c r="T959" i="13"/>
  <c r="T398" i="13"/>
  <c r="T379" i="13"/>
  <c r="T967" i="13"/>
  <c r="T1088" i="13"/>
  <c r="T1089" i="13"/>
  <c r="T124" i="13"/>
  <c r="T201" i="13"/>
  <c r="T1193" i="13"/>
  <c r="T964" i="13"/>
  <c r="T240" i="13"/>
  <c r="T220" i="13"/>
  <c r="T463" i="13"/>
  <c r="T1009" i="13"/>
  <c r="T1190" i="13"/>
  <c r="T1210" i="13"/>
  <c r="T470" i="13"/>
  <c r="T856" i="13"/>
  <c r="T1191" i="13"/>
  <c r="T1214" i="13"/>
  <c r="T1104" i="13"/>
  <c r="T1105" i="13"/>
  <c r="T1106" i="13"/>
  <c r="T1107" i="13"/>
  <c r="T1108" i="13"/>
  <c r="T1109" i="13"/>
  <c r="T1110" i="13"/>
  <c r="T1111" i="13"/>
  <c r="T1112" i="13"/>
  <c r="T1113" i="13"/>
  <c r="T1114" i="13"/>
  <c r="T1115" i="13"/>
  <c r="T1116" i="13"/>
  <c r="T1117" i="13"/>
  <c r="T1119" i="13"/>
  <c r="T1120" i="13"/>
  <c r="T1121" i="13"/>
  <c r="T1122" i="13"/>
  <c r="T1123" i="13"/>
  <c r="T1124" i="13"/>
  <c r="T1125" i="13"/>
  <c r="T1126" i="13"/>
  <c r="T1127" i="13"/>
  <c r="T1128" i="13"/>
  <c r="T1129" i="13"/>
  <c r="T1130" i="13"/>
  <c r="T1131" i="13"/>
  <c r="T1132" i="13"/>
  <c r="T1476" i="13"/>
  <c r="T1135" i="13"/>
  <c r="T1136" i="13"/>
  <c r="T1137" i="13"/>
  <c r="T1138" i="13"/>
  <c r="T1139" i="13"/>
  <c r="T1140" i="13"/>
  <c r="T1141" i="13"/>
  <c r="T1142" i="13"/>
  <c r="T1143" i="13"/>
  <c r="T1144" i="13"/>
  <c r="T1017" i="13"/>
  <c r="N294" i="13"/>
  <c r="N295" i="13"/>
  <c r="N296" i="13"/>
  <c r="N297" i="13"/>
  <c r="N298" i="13"/>
  <c r="N299" i="13"/>
  <c r="N300" i="13"/>
  <c r="N301" i="13"/>
  <c r="N302" i="13"/>
  <c r="N293" i="13"/>
  <c r="N303" i="13"/>
  <c r="H40" i="16"/>
  <c r="N675"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20" i="13"/>
  <c r="N611" i="13"/>
  <c r="N612" i="13"/>
  <c r="N613" i="13"/>
  <c r="N614" i="13"/>
  <c r="N610" i="13"/>
  <c r="F1046" i="12"/>
  <c r="F945" i="12"/>
  <c r="F777" i="12" l="1"/>
  <c r="F809" i="12"/>
  <c r="F844" i="12"/>
  <c r="F876" i="12"/>
  <c r="F908" i="12"/>
  <c r="F982" i="12"/>
  <c r="F1014" i="12"/>
  <c r="F1081" i="12"/>
  <c r="F1113" i="12"/>
  <c r="F1145" i="12"/>
  <c r="U53" i="11"/>
  <c r="V53" i="11"/>
  <c r="AD53" i="11"/>
  <c r="U55" i="11"/>
  <c r="V55" i="11"/>
  <c r="AD55" i="11"/>
  <c r="U56" i="11"/>
  <c r="V56" i="11"/>
  <c r="AD56" i="11"/>
  <c r="U57" i="11"/>
  <c r="V57" i="11"/>
  <c r="AD57" i="11"/>
  <c r="U58" i="11"/>
  <c r="V58" i="11"/>
  <c r="AD58" i="11"/>
  <c r="U60" i="11"/>
  <c r="V60" i="11"/>
  <c r="AD60" i="11"/>
  <c r="U62" i="11"/>
  <c r="V62" i="11"/>
  <c r="AD62" i="11"/>
  <c r="U64" i="11"/>
  <c r="V64" i="11"/>
  <c r="AD64" i="11"/>
  <c r="U65" i="11"/>
  <c r="V65" i="11"/>
  <c r="AD65" i="11"/>
  <c r="U67" i="11"/>
  <c r="V67" i="11"/>
  <c r="AD67" i="11"/>
  <c r="AD52" i="11"/>
  <c r="V52" i="11"/>
  <c r="U52" i="11"/>
  <c r="U40" i="11"/>
  <c r="V40" i="11"/>
  <c r="AD40" i="11"/>
  <c r="U41" i="11"/>
  <c r="V41" i="11"/>
  <c r="AD41" i="11"/>
  <c r="U42" i="11"/>
  <c r="V42" i="11"/>
  <c r="AD42" i="11"/>
  <c r="U43" i="11"/>
  <c r="V43" i="11"/>
  <c r="AD43" i="11"/>
  <c r="U44" i="11"/>
  <c r="V44" i="11"/>
  <c r="AD44" i="11"/>
  <c r="U45" i="11"/>
  <c r="V45" i="11"/>
  <c r="AD45" i="11"/>
  <c r="U46" i="11"/>
  <c r="V46" i="11"/>
  <c r="AD46" i="11"/>
  <c r="U47" i="11"/>
  <c r="V47" i="11"/>
  <c r="AD47" i="11"/>
  <c r="U48" i="11"/>
  <c r="V48" i="11"/>
  <c r="AD48" i="11"/>
  <c r="U49" i="11"/>
  <c r="V49" i="11"/>
  <c r="AD49" i="11"/>
  <c r="AD39" i="11"/>
  <c r="V39" i="11"/>
  <c r="U39" i="11"/>
  <c r="U28" i="11"/>
  <c r="V28" i="11"/>
  <c r="AD28" i="11"/>
  <c r="U29" i="11"/>
  <c r="V29" i="11"/>
  <c r="AD29" i="11"/>
  <c r="U30" i="11"/>
  <c r="V30" i="11"/>
  <c r="AD30" i="11"/>
  <c r="U31" i="11"/>
  <c r="V31" i="11"/>
  <c r="AD31" i="11"/>
  <c r="U32" i="11"/>
  <c r="V32" i="11"/>
  <c r="AD32" i="11"/>
  <c r="U33" i="11"/>
  <c r="V33" i="11"/>
  <c r="AD33" i="11"/>
  <c r="U34" i="11"/>
  <c r="V34" i="11"/>
  <c r="AD34" i="11"/>
  <c r="U35" i="11"/>
  <c r="V35" i="11"/>
  <c r="AD35" i="11"/>
  <c r="U36" i="11"/>
  <c r="V36" i="11"/>
  <c r="AD36" i="11"/>
  <c r="U37" i="11"/>
  <c r="V37" i="11"/>
  <c r="AD37" i="11"/>
  <c r="AD27" i="11"/>
  <c r="V27" i="11"/>
  <c r="U27" i="11"/>
  <c r="U16" i="11"/>
  <c r="V16" i="11"/>
  <c r="AD16" i="11"/>
  <c r="U17" i="11"/>
  <c r="V17" i="11"/>
  <c r="AD17" i="11"/>
  <c r="U18" i="11"/>
  <c r="V18" i="11"/>
  <c r="AD18" i="11"/>
  <c r="U19" i="11"/>
  <c r="V19" i="11"/>
  <c r="AD19" i="11"/>
  <c r="U20" i="11"/>
  <c r="V20" i="11"/>
  <c r="AD20" i="11"/>
  <c r="U21" i="11"/>
  <c r="V21" i="11"/>
  <c r="AD21" i="11"/>
  <c r="U22" i="11"/>
  <c r="V22" i="11"/>
  <c r="AD22" i="11"/>
  <c r="U23" i="11"/>
  <c r="V23" i="11"/>
  <c r="AD23" i="11"/>
  <c r="U24" i="11"/>
  <c r="V24" i="11"/>
  <c r="AD24" i="11"/>
  <c r="U25" i="11"/>
  <c r="V25" i="11"/>
  <c r="AD25" i="11"/>
  <c r="AD15" i="11"/>
  <c r="V15" i="11"/>
  <c r="U15" i="11"/>
  <c r="U4" i="11"/>
  <c r="V4" i="11"/>
  <c r="AD4" i="11"/>
  <c r="U5" i="11"/>
  <c r="V5" i="11"/>
  <c r="AD5" i="11"/>
  <c r="U6" i="11"/>
  <c r="V6" i="11"/>
  <c r="AD6" i="11"/>
  <c r="U7" i="11"/>
  <c r="V7" i="11"/>
  <c r="AD7" i="11"/>
  <c r="U8" i="11"/>
  <c r="V8" i="11"/>
  <c r="AD8" i="11"/>
  <c r="U9" i="11"/>
  <c r="V9" i="11"/>
  <c r="AD9" i="11"/>
  <c r="U10" i="11"/>
  <c r="V10" i="11"/>
  <c r="AD10" i="11"/>
  <c r="U11" i="11"/>
  <c r="V11" i="11"/>
  <c r="AD11" i="11"/>
  <c r="U12" i="11"/>
  <c r="V12" i="11"/>
  <c r="AD12" i="11"/>
  <c r="U13" i="11"/>
  <c r="V13" i="11"/>
  <c r="AD13" i="11"/>
  <c r="AD3" i="11"/>
  <c r="V3" i="11"/>
  <c r="U3" i="11"/>
  <c r="AD50" i="11"/>
  <c r="V50" i="11"/>
  <c r="U50" i="11"/>
  <c r="AD38" i="11"/>
  <c r="V38" i="11"/>
  <c r="U38" i="11"/>
  <c r="AD26" i="11"/>
  <c r="V26" i="11"/>
  <c r="U26" i="11"/>
  <c r="AD14" i="11"/>
  <c r="V14" i="11"/>
  <c r="U14" i="11"/>
  <c r="AD2" i="11"/>
  <c r="V2" i="11"/>
  <c r="U2" i="11"/>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563" i="13"/>
  <c r="N564" i="13"/>
  <c r="N565" i="13"/>
  <c r="N566" i="13"/>
  <c r="N567" i="13"/>
  <c r="N568" i="13"/>
  <c r="N569" i="13"/>
  <c r="N570" i="13"/>
  <c r="N562" i="13"/>
  <c r="N561" i="13"/>
  <c r="N461" i="13"/>
  <c r="N451" i="13"/>
  <c r="N426" i="13"/>
  <c r="N427" i="13"/>
  <c r="N428" i="13"/>
  <c r="N429" i="13"/>
  <c r="N430" i="13"/>
  <c r="N431" i="13"/>
  <c r="N432" i="13"/>
  <c r="N433" i="13"/>
  <c r="N434" i="13"/>
  <c r="N435" i="13"/>
  <c r="N436" i="13"/>
  <c r="N437" i="13"/>
  <c r="N438" i="13"/>
  <c r="N439" i="13"/>
  <c r="N440" i="13"/>
  <c r="N441" i="13"/>
  <c r="N442" i="13"/>
  <c r="N443" i="13"/>
  <c r="N444" i="13"/>
  <c r="N445" i="13"/>
  <c r="N404" i="13"/>
  <c r="N405" i="13"/>
  <c r="N406" i="13"/>
  <c r="N407" i="13"/>
  <c r="N408" i="13"/>
  <c r="N409" i="13"/>
  <c r="N410" i="13"/>
  <c r="N411" i="13"/>
  <c r="N412" i="13"/>
  <c r="N413" i="13"/>
  <c r="N414" i="13"/>
  <c r="N415" i="13"/>
  <c r="N416" i="13"/>
  <c r="N417" i="13"/>
  <c r="N418" i="13"/>
  <c r="N419" i="13"/>
  <c r="N420" i="13"/>
  <c r="N421" i="13"/>
  <c r="N422" i="13"/>
  <c r="N423" i="13"/>
  <c r="N424" i="13"/>
  <c r="N389" i="13"/>
  <c r="N390" i="13"/>
  <c r="N391" i="13"/>
  <c r="N392" i="13"/>
  <c r="N393" i="13"/>
  <c r="N394" i="13"/>
  <c r="N395" i="13"/>
  <c r="N396" i="13"/>
  <c r="N397"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s="1"/>
  <c r="N320" i="13"/>
  <c r="N321" i="13"/>
  <c r="N322" i="13"/>
  <c r="N323" i="13"/>
  <c r="N324" i="13"/>
  <c r="N325" i="13"/>
  <c r="N326" i="13"/>
  <c r="N327" i="13"/>
  <c r="N328" i="13"/>
  <c r="N319"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F1209" i="12"/>
  <c r="F1241" i="12"/>
  <c r="F1177" i="12"/>
  <c r="F1337" i="12"/>
  <c r="F1305" i="12"/>
  <c r="F1273" i="12"/>
  <c r="F1433" i="12"/>
  <c r="F1401" i="12"/>
  <c r="F1369" i="12"/>
  <c r="F1529" i="12"/>
  <c r="F1497" i="12"/>
  <c r="F1465" i="12"/>
  <c r="F1561" i="12"/>
  <c r="F2119" i="12"/>
  <c r="F2047" i="12"/>
  <c r="F2015" i="12"/>
  <c r="F1951" i="12"/>
  <c r="F1884" i="12"/>
  <c r="F1820" i="12"/>
  <c r="F1788" i="12"/>
  <c r="F1657" i="12"/>
  <c r="F1625" i="12"/>
  <c r="B3"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AG3" i="15"/>
  <c r="AH3" i="15"/>
  <c r="AI3" i="15"/>
  <c r="AJ3" i="15"/>
  <c r="AK3" i="15"/>
  <c r="B4"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AG4" i="15"/>
  <c r="AH4" i="15"/>
  <c r="AI4" i="15"/>
  <c r="AJ4" i="15"/>
  <c r="AK4" i="15"/>
  <c r="B5"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AG5" i="15"/>
  <c r="AH5" i="15"/>
  <c r="AI5" i="15"/>
  <c r="AJ5" i="15"/>
  <c r="AK5" i="15"/>
  <c r="G16" i="9"/>
  <c r="H16" i="9"/>
  <c r="I16" i="9"/>
  <c r="J16" i="9"/>
  <c r="K16" i="9"/>
  <c r="L16" i="9"/>
  <c r="G17" i="9"/>
  <c r="H17" i="9"/>
  <c r="I17" i="9"/>
  <c r="J17" i="9"/>
  <c r="K17" i="9"/>
  <c r="L17" i="9"/>
  <c r="G18" i="9"/>
  <c r="H18" i="9"/>
  <c r="I18" i="9"/>
  <c r="J18" i="9"/>
  <c r="K18" i="9"/>
  <c r="L18" i="9"/>
  <c r="G19" i="9"/>
  <c r="H19" i="9"/>
  <c r="I19" i="9"/>
  <c r="J19" i="9"/>
  <c r="K19" i="9"/>
  <c r="L19" i="9"/>
  <c r="G20" i="9"/>
  <c r="H20" i="9"/>
  <c r="I20" i="9"/>
  <c r="J20" i="9"/>
  <c r="K20" i="9"/>
  <c r="L20" i="9"/>
  <c r="F20" i="9"/>
  <c r="F19" i="9"/>
  <c r="F18" i="9"/>
  <c r="F17" i="9"/>
  <c r="F16" i="9"/>
  <c r="G9" i="9"/>
  <c r="H9" i="9"/>
  <c r="I9" i="9"/>
  <c r="J9" i="9"/>
  <c r="K9" i="9"/>
  <c r="L9" i="9"/>
  <c r="M9" i="9"/>
  <c r="F9" i="9"/>
  <c r="G10" i="9"/>
  <c r="H10" i="9"/>
  <c r="I10" i="9"/>
  <c r="J10" i="9"/>
  <c r="K10" i="9"/>
  <c r="L10" i="9"/>
  <c r="M10" i="9"/>
  <c r="F10" i="9"/>
  <c r="G11" i="9"/>
  <c r="H11" i="9"/>
  <c r="I11" i="9"/>
  <c r="J11" i="9"/>
  <c r="K11" i="9"/>
  <c r="L11" i="9"/>
  <c r="M11" i="9"/>
  <c r="F11" i="9"/>
  <c r="F12" i="9"/>
  <c r="F13" i="9"/>
  <c r="G12" i="9"/>
  <c r="H12" i="9"/>
  <c r="I12" i="9"/>
  <c r="J12" i="9"/>
  <c r="K12" i="9"/>
  <c r="L12" i="9"/>
  <c r="M12" i="9"/>
  <c r="M13" i="9"/>
  <c r="G13" i="9"/>
  <c r="H13" i="9"/>
  <c r="I13" i="9"/>
  <c r="J13" i="9"/>
  <c r="K13" i="9"/>
  <c r="L13" i="9"/>
  <c r="M2" i="9"/>
  <c r="N2" i="9"/>
  <c r="M3" i="9"/>
  <c r="N3" i="9"/>
  <c r="P3" i="9"/>
  <c r="M4" i="9"/>
  <c r="N4" i="9"/>
  <c r="P4" i="9"/>
  <c r="M5" i="9"/>
  <c r="N5" i="9"/>
  <c r="P5" i="9"/>
  <c r="M6" i="9"/>
  <c r="N6" i="9"/>
  <c r="P6" i="9"/>
  <c r="K35" i="11" l="1"/>
  <c r="K26" i="11"/>
  <c r="K31" i="11"/>
  <c r="K30" i="11"/>
  <c r="K33" i="11"/>
  <c r="K36" i="11"/>
  <c r="K32" i="11"/>
  <c r="K29" i="11"/>
  <c r="K3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tc={7022847C-56CE-483A-8960-501FC2BFF802}</author>
    <author>tc={5345BEC8-9AB6-4006-A36A-9278B043879F}</author>
  </authors>
  <commentList>
    <comment ref="J3" authorId="0" shapeId="0" xr:uid="{7022847C-56CE-483A-8960-501FC2BFF802}">
      <text>
        <t>[Threaded comment]
Your version of Excel allows you to read this threaded comment; however, any edits to it will get removed if the file is opened in a newer version of Excel. Learn more: https://go.microsoft.com/fwlink/?linkid=870924
Comment:
    To few and not representative</t>
      </text>
    </comment>
    <comment ref="F4" authorId="1" shapeId="0" xr:uid="{5345BEC8-9AB6-4006-A36A-9278B043879F}">
      <text>
        <t>[Threaded comment]
Your version of Excel allows you to read this threaded comment; however, any edits to it will get removed if the file is opened in a newer version of Excel. Learn more: https://go.microsoft.com/fwlink/?linkid=870924
Comment:
    unreachable</t>
      </text>
    </comment>
  </commentList>
</comments>
</file>

<file path=xl/sharedStrings.xml><?xml version="1.0" encoding="utf-8"?>
<sst xmlns="http://schemas.openxmlformats.org/spreadsheetml/2006/main" count="16555" uniqueCount="361">
  <si>
    <t>Site_ID</t>
  </si>
  <si>
    <t>Lake</t>
  </si>
  <si>
    <t>LID</t>
  </si>
  <si>
    <t>Monitoring_ID</t>
  </si>
  <si>
    <t>Lat</t>
  </si>
  <si>
    <t>Lon</t>
  </si>
  <si>
    <t>Site_size</t>
  </si>
  <si>
    <t>DHT</t>
  </si>
  <si>
    <t>Date_Time</t>
  </si>
  <si>
    <t>Weather</t>
  </si>
  <si>
    <t>Sediment_sample</t>
  </si>
  <si>
    <t>Macrophyte_sample</t>
  </si>
  <si>
    <t>Notes</t>
  </si>
  <si>
    <t>Size_m2</t>
  </si>
  <si>
    <t>Perimter_m</t>
  </si>
  <si>
    <t>Size_km2</t>
  </si>
  <si>
    <t>Perimter_km</t>
  </si>
  <si>
    <t>Catchment_size_km2</t>
  </si>
  <si>
    <t>Mean_depth_m</t>
  </si>
  <si>
    <t>Max_depth_m</t>
  </si>
  <si>
    <t>Volume_km3</t>
  </si>
  <si>
    <t>Elevation_m</t>
  </si>
  <si>
    <t>Mixing</t>
  </si>
  <si>
    <t>TLI</t>
  </si>
  <si>
    <t>Trophic_state</t>
  </si>
  <si>
    <t>LakeSPI</t>
  </si>
  <si>
    <t>Rotorua</t>
  </si>
  <si>
    <t>61_0</t>
  </si>
  <si>
    <t>Sandy</t>
  </si>
  <si>
    <t>Polymictic</t>
  </si>
  <si>
    <t>62_0</t>
  </si>
  <si>
    <t>Rocky</t>
  </si>
  <si>
    <t>63_0</t>
  </si>
  <si>
    <t>64_0</t>
  </si>
  <si>
    <t>65_0</t>
  </si>
  <si>
    <t>66_0</t>
  </si>
  <si>
    <t>67_0</t>
  </si>
  <si>
    <t>68_0</t>
  </si>
  <si>
    <t>69_0</t>
  </si>
  <si>
    <t>70_0</t>
  </si>
  <si>
    <t>71_0</t>
  </si>
  <si>
    <t>72_0</t>
  </si>
  <si>
    <t>Rotoiti</t>
  </si>
  <si>
    <t>73_0</t>
  </si>
  <si>
    <t>Cloudy</t>
  </si>
  <si>
    <t>Stratified</t>
  </si>
  <si>
    <t>74_0</t>
  </si>
  <si>
    <t>Rain</t>
  </si>
  <si>
    <t>1 fyke little loose</t>
  </si>
  <si>
    <t>75_0</t>
  </si>
  <si>
    <t>Sunny</t>
  </si>
  <si>
    <t>Badrock and to deep</t>
  </si>
  <si>
    <t>76_0</t>
  </si>
  <si>
    <t>Kakahi a lot</t>
  </si>
  <si>
    <t>77_0</t>
  </si>
  <si>
    <t>Too deep</t>
  </si>
  <si>
    <t>78_0</t>
  </si>
  <si>
    <t>Kakahi</t>
  </si>
  <si>
    <t>79_0</t>
  </si>
  <si>
    <t>Emergent Macrophyte</t>
  </si>
  <si>
    <t>Little Rain</t>
  </si>
  <si>
    <t>Re located a little</t>
  </si>
  <si>
    <t>80_0</t>
  </si>
  <si>
    <t>81_0</t>
  </si>
  <si>
    <t>82_0</t>
  </si>
  <si>
    <t>83_0</t>
  </si>
  <si>
    <t>Little cliff</t>
  </si>
  <si>
    <t>84_0</t>
  </si>
  <si>
    <t>Rotoehu</t>
  </si>
  <si>
    <t>85_0</t>
  </si>
  <si>
    <t>86_0</t>
  </si>
  <si>
    <t>87_0</t>
  </si>
  <si>
    <t>88_0</t>
  </si>
  <si>
    <t>89_0</t>
  </si>
  <si>
    <t>also little sandy</t>
  </si>
  <si>
    <t>90_0</t>
  </si>
  <si>
    <t>91_0</t>
  </si>
  <si>
    <t>92_0</t>
  </si>
  <si>
    <t>93_0</t>
  </si>
  <si>
    <t>94_0</t>
  </si>
  <si>
    <t>95_0</t>
  </si>
  <si>
    <t>96_0</t>
  </si>
  <si>
    <t>relocated son now on beach but in between cliffs with many rocks</t>
  </si>
  <si>
    <t>Rotomā</t>
  </si>
  <si>
    <t>97_0</t>
  </si>
  <si>
    <t>98_0</t>
  </si>
  <si>
    <t>99_0</t>
  </si>
  <si>
    <t>Dead standing trees on beach</t>
  </si>
  <si>
    <t>100_0</t>
  </si>
  <si>
    <t>To deep for sediment or Macro</t>
  </si>
  <si>
    <t>101_0</t>
  </si>
  <si>
    <t>Dead Emergent Macrophyte in deeper part</t>
  </si>
  <si>
    <t>102_0</t>
  </si>
  <si>
    <t>To deep for sediment or Macro big boulders in the site</t>
  </si>
  <si>
    <t>103_0</t>
  </si>
  <si>
    <t>Cloudy+ little windy</t>
  </si>
  <si>
    <t>Close to road construction rocks</t>
  </si>
  <si>
    <t>104_0</t>
  </si>
  <si>
    <t>105_0</t>
  </si>
  <si>
    <t>106_0</t>
  </si>
  <si>
    <t>Weed in deeper part</t>
  </si>
  <si>
    <t>107_0</t>
  </si>
  <si>
    <t>Close to the boat ramp and jetty</t>
  </si>
  <si>
    <t>108_0</t>
  </si>
  <si>
    <t>Concreete wall and close to the boat ramp</t>
  </si>
  <si>
    <t>Ōkāreka</t>
  </si>
  <si>
    <t>109_0</t>
  </si>
  <si>
    <t>Cloudy + windy</t>
  </si>
  <si>
    <t>110_0</t>
  </si>
  <si>
    <t>111_0</t>
  </si>
  <si>
    <t>Sunny + windy</t>
  </si>
  <si>
    <t>112_0</t>
  </si>
  <si>
    <t>Muddy</t>
  </si>
  <si>
    <t>113_0</t>
  </si>
  <si>
    <t>114_0</t>
  </si>
  <si>
    <t>115_0</t>
  </si>
  <si>
    <t>116_0</t>
  </si>
  <si>
    <t>117_0</t>
  </si>
  <si>
    <t>118_0</t>
  </si>
  <si>
    <t>119_0</t>
  </si>
  <si>
    <t>120_0</t>
  </si>
  <si>
    <t>Sunny + cloudy</t>
  </si>
  <si>
    <t>Group</t>
  </si>
  <si>
    <t>Parameter</t>
  </si>
  <si>
    <t>Unit</t>
  </si>
  <si>
    <t>Value</t>
  </si>
  <si>
    <t>Physical</t>
  </si>
  <si>
    <t>Shear_stress</t>
  </si>
  <si>
    <t>m/s, degrees</t>
  </si>
  <si>
    <t>need to be calculated from wind speed and wind direction</t>
  </si>
  <si>
    <t xml:space="preserve">Bottom_visible </t>
  </si>
  <si>
    <t>0/1</t>
  </si>
  <si>
    <t>Water_clarity</t>
  </si>
  <si>
    <t>m</t>
  </si>
  <si>
    <t>Depth_10m</t>
  </si>
  <si>
    <t>Slope</t>
  </si>
  <si>
    <t>degrees</t>
  </si>
  <si>
    <t>Calculated from depth</t>
  </si>
  <si>
    <t>Riparian_vegetation</t>
  </si>
  <si>
    <t>%</t>
  </si>
  <si>
    <t>Riparian_species</t>
  </si>
  <si>
    <t>Overhanging_trees</t>
  </si>
  <si>
    <t>Erosion</t>
  </si>
  <si>
    <t>Sructure</t>
  </si>
  <si>
    <t>Bedrock</t>
  </si>
  <si>
    <t>Boulders</t>
  </si>
  <si>
    <t>Cobble</t>
  </si>
  <si>
    <t>Gravel</t>
  </si>
  <si>
    <t>Sand</t>
  </si>
  <si>
    <t>Mud</t>
  </si>
  <si>
    <t>Organic_matter</t>
  </si>
  <si>
    <t>Turf</t>
  </si>
  <si>
    <t>Rock_size</t>
  </si>
  <si>
    <t>mm</t>
  </si>
  <si>
    <t>Chemical</t>
  </si>
  <si>
    <t>Temperature</t>
  </si>
  <si>
    <t>Degree C</t>
  </si>
  <si>
    <t>DO_mgl</t>
  </si>
  <si>
    <t>mg/l</t>
  </si>
  <si>
    <t>DO_percent</t>
  </si>
  <si>
    <t>Connectivity</t>
  </si>
  <si>
    <t>µS/cm</t>
  </si>
  <si>
    <t>pH</t>
  </si>
  <si>
    <t>Habitat</t>
  </si>
  <si>
    <t>Emergent_weed</t>
  </si>
  <si>
    <t>Emergent_species</t>
  </si>
  <si>
    <t>Submerged_weed</t>
  </si>
  <si>
    <t>Submerged_species</t>
  </si>
  <si>
    <t>Vegetation_nearby</t>
  </si>
  <si>
    <t>Vegetation_species</t>
  </si>
  <si>
    <t>Wood_cover</t>
  </si>
  <si>
    <t>Other</t>
  </si>
  <si>
    <t>Native forest</t>
  </si>
  <si>
    <t>Hornwort</t>
  </si>
  <si>
    <t xml:space="preserve">Glossostigma </t>
  </si>
  <si>
    <t>Secci</t>
  </si>
  <si>
    <t>Bushes</t>
  </si>
  <si>
    <t>Niggerhead sedge</t>
  </si>
  <si>
    <t>Blackberries</t>
  </si>
  <si>
    <t>Jetty</t>
  </si>
  <si>
    <t>Flax</t>
  </si>
  <si>
    <t>Giant spike rush</t>
  </si>
  <si>
    <t xml:space="preserve">Raupō </t>
  </si>
  <si>
    <t>Weeds</t>
  </si>
  <si>
    <t>dead manuka</t>
  </si>
  <si>
    <t>Raupō</t>
  </si>
  <si>
    <t>Grass</t>
  </si>
  <si>
    <t>Three-leaved milfoil</t>
  </si>
  <si>
    <t>Green algea</t>
  </si>
  <si>
    <t>Canadian pondweed (Oxygen Weed)</t>
  </si>
  <si>
    <t>Curly-leaf pondweed</t>
  </si>
  <si>
    <t>Manuka</t>
  </si>
  <si>
    <t>Lagarosiphon (Oxygen Weed)</t>
  </si>
  <si>
    <t>Dead</t>
  </si>
  <si>
    <t>Dead trees</t>
  </si>
  <si>
    <t>vulcanic gravel</t>
  </si>
  <si>
    <t>goes deep very fast</t>
  </si>
  <si>
    <t>2 jetties</t>
  </si>
  <si>
    <t>Giant spike rush, Water lilies</t>
  </si>
  <si>
    <t>Jetty + AR</t>
  </si>
  <si>
    <t>Secci /Black:1.7</t>
  </si>
  <si>
    <t>Boatramp+ boat house+ Jetty</t>
  </si>
  <si>
    <t>Lely field</t>
  </si>
  <si>
    <t>Net_type</t>
  </si>
  <si>
    <t>Amount_nets</t>
  </si>
  <si>
    <t>Species</t>
  </si>
  <si>
    <t>Scientific_name</t>
  </si>
  <si>
    <t>Species_name</t>
  </si>
  <si>
    <t>Maori_name</t>
  </si>
  <si>
    <t>Native/nonnative</t>
  </si>
  <si>
    <t>Taonga</t>
  </si>
  <si>
    <t>Sex</t>
  </si>
  <si>
    <t>Length_mm</t>
  </si>
  <si>
    <t>Weight_g</t>
  </si>
  <si>
    <t>Amount</t>
  </si>
  <si>
    <t>Soft_shelled</t>
  </si>
  <si>
    <t>Berried</t>
  </si>
  <si>
    <t>Youngs</t>
  </si>
  <si>
    <t>Cups</t>
  </si>
  <si>
    <t>mL</t>
  </si>
  <si>
    <t>Comments</t>
  </si>
  <si>
    <t>Fyke</t>
  </si>
  <si>
    <t>Kōura</t>
  </si>
  <si>
    <t>F</t>
  </si>
  <si>
    <t>Paranephrops planifrons</t>
  </si>
  <si>
    <t>Freshwater_crayfish</t>
  </si>
  <si>
    <t>Native</t>
  </si>
  <si>
    <t>Yes</t>
  </si>
  <si>
    <t>M</t>
  </si>
  <si>
    <t>Catfish</t>
  </si>
  <si>
    <t>Ameiurus nebulosus</t>
  </si>
  <si>
    <t>Nonnative</t>
  </si>
  <si>
    <t>No</t>
  </si>
  <si>
    <t>Kōaro</t>
  </si>
  <si>
    <t>Morihana</t>
  </si>
  <si>
    <t>Carassius auratus</t>
  </si>
  <si>
    <t>Goldfish</t>
  </si>
  <si>
    <t>Galaxias brevipinnis</t>
  </si>
  <si>
    <t>Climbing_galaxias</t>
  </si>
  <si>
    <t>Trout</t>
  </si>
  <si>
    <t>Oncorhynchus mykiss</t>
  </si>
  <si>
    <t>Rainbow_trout</t>
  </si>
  <si>
    <t>Bullies</t>
  </si>
  <si>
    <t>Common_smelt</t>
  </si>
  <si>
    <t>Retropinna retropinna</t>
  </si>
  <si>
    <t>Box</t>
  </si>
  <si>
    <t>Gobiomorphus cotidianus</t>
  </si>
  <si>
    <t>Common_bully</t>
  </si>
  <si>
    <t>Toitoi</t>
  </si>
  <si>
    <t>Eel</t>
  </si>
  <si>
    <t>Anguilla dieffenbachii</t>
  </si>
  <si>
    <t>Long_fin_eel</t>
  </si>
  <si>
    <t>Tuna</t>
  </si>
  <si>
    <t>Estimated</t>
  </si>
  <si>
    <t>All in one cup and counted</t>
  </si>
  <si>
    <t>Fyke open end</t>
  </si>
  <si>
    <t>scale broke</t>
  </si>
  <si>
    <t>Blue</t>
  </si>
  <si>
    <t>Very small</t>
  </si>
  <si>
    <t>Orange</t>
  </si>
  <si>
    <t>counted and all small</t>
  </si>
  <si>
    <t>Counted</t>
  </si>
  <si>
    <t>Callipers wet</t>
  </si>
  <si>
    <t>Site_ID:</t>
  </si>
  <si>
    <t>Number</t>
  </si>
  <si>
    <t>Rock_size (cm)</t>
  </si>
  <si>
    <t>green_(ug/cm²)</t>
  </si>
  <si>
    <t>cyanos_(ug/cm²)</t>
  </si>
  <si>
    <t>diatomes_(ug/cm²)</t>
  </si>
  <si>
    <t>mean</t>
  </si>
  <si>
    <t>min</t>
  </si>
  <si>
    <t>max</t>
  </si>
  <si>
    <t>Diving beetle</t>
  </si>
  <si>
    <t>Onychohydrus</t>
  </si>
  <si>
    <t>Damselfly larvae</t>
  </si>
  <si>
    <t>Snails</t>
  </si>
  <si>
    <t>total_length_m</t>
  </si>
  <si>
    <t>Raupo</t>
  </si>
  <si>
    <t>AR</t>
  </si>
  <si>
    <t>Cliff</t>
  </si>
  <si>
    <t>Geo</t>
  </si>
  <si>
    <t>Total _all</t>
  </si>
  <si>
    <t>Total_use</t>
  </si>
  <si>
    <t>total sites</t>
  </si>
  <si>
    <t>Proportion per lake</t>
  </si>
  <si>
    <t>Sites per lake</t>
  </si>
  <si>
    <t>Total sites wanted</t>
  </si>
  <si>
    <t>Date_Time_out</t>
  </si>
  <si>
    <t>Caddishfly</t>
  </si>
  <si>
    <t>109_1</t>
  </si>
  <si>
    <t>111_1</t>
  </si>
  <si>
    <t>115_1</t>
  </si>
  <si>
    <t>116_1</t>
  </si>
  <si>
    <t>117_1</t>
  </si>
  <si>
    <t>119_1</t>
  </si>
  <si>
    <t>Sunny + Little wind</t>
  </si>
  <si>
    <t>Windy</t>
  </si>
  <si>
    <t>Willow</t>
  </si>
  <si>
    <t>Charophytes</t>
  </si>
  <si>
    <t xml:space="preserve">Lilaeopsis </t>
  </si>
  <si>
    <t>Water lilies</t>
  </si>
  <si>
    <t>Lake_water_clarity_m</t>
  </si>
  <si>
    <t>Dragonfly larvae Small</t>
  </si>
  <si>
    <t>Dragonfly larvae Large</t>
  </si>
  <si>
    <t>Close to geotehermal and has cold water spring</t>
  </si>
  <si>
    <t>Big rocks around</t>
  </si>
  <si>
    <t>weeds washed to shore</t>
  </si>
  <si>
    <t>close to river mouth nets a little distance from the shore</t>
  </si>
  <si>
    <t>Solid clay parts</t>
  </si>
  <si>
    <t>Next to rocky habitat</t>
  </si>
  <si>
    <t xml:space="preserve">Elodea </t>
  </si>
  <si>
    <t>Green algae</t>
  </si>
  <si>
    <t xml:space="preserve">Lagarosiphon </t>
  </si>
  <si>
    <t>els</t>
  </si>
  <si>
    <t>Most dead</t>
  </si>
  <si>
    <t>All small</t>
  </si>
  <si>
    <t>Mosquitofish</t>
  </si>
  <si>
    <t>Gambusia affinis</t>
  </si>
  <si>
    <t>Gambusia</t>
  </si>
  <si>
    <t>Lots of algea</t>
  </si>
  <si>
    <t>Distance_deep</t>
  </si>
  <si>
    <t>Weed_Type</t>
  </si>
  <si>
    <t>Native_Status</t>
  </si>
  <si>
    <t>Percentage_Cover</t>
  </si>
  <si>
    <t>Emergent</t>
  </si>
  <si>
    <t>Submerged</t>
  </si>
  <si>
    <t>Eleocharis sphacelata</t>
  </si>
  <si>
    <t>Carex secta</t>
  </si>
  <si>
    <t>Typha orientalis</t>
  </si>
  <si>
    <t>Nymphaea spp.</t>
  </si>
  <si>
    <t>Myriophyllum triphyllum</t>
  </si>
  <si>
    <t>Chara corallina/ Chara globularis</t>
  </si>
  <si>
    <t>Ceratophyllum demersum</t>
  </si>
  <si>
    <t>Egeria densa</t>
  </si>
  <si>
    <t>Lagarosiphon major</t>
  </si>
  <si>
    <t>Elodea canadensis</t>
  </si>
  <si>
    <t>Potamogeton crispus</t>
  </si>
  <si>
    <t>Eelgrass</t>
  </si>
  <si>
    <t>Vallisneria spiralis</t>
  </si>
  <si>
    <t>Ludwigia repens</t>
  </si>
  <si>
    <t>Raupō_(Bulrush)</t>
  </si>
  <si>
    <t>Giant_spike_rush</t>
  </si>
  <si>
    <t>Niggerhead_sedge</t>
  </si>
  <si>
    <t>Water_lilies</t>
  </si>
  <si>
    <t>Three-leaved_milfoil</t>
  </si>
  <si>
    <t xml:space="preserve">Egeria_(Oxygen_Weed) </t>
  </si>
  <si>
    <t>Lagarosiphon_(Oxygen_Weed)</t>
  </si>
  <si>
    <t>Canadian_pondweed_(Oxygen_Weed)</t>
  </si>
  <si>
    <t>Curly-leaf_pondweed</t>
  </si>
  <si>
    <t>Red_luwigia</t>
  </si>
  <si>
    <t>Green_algae</t>
  </si>
  <si>
    <t>Algea</t>
  </si>
  <si>
    <t>Non_Native</t>
  </si>
  <si>
    <t>Calculated_slope</t>
  </si>
  <si>
    <t>Distance_5m</t>
  </si>
  <si>
    <t>Distance_20m</t>
  </si>
  <si>
    <t>Specific_conductivity</t>
  </si>
  <si>
    <t>Conductivity</t>
  </si>
  <si>
    <t>Extreme low due to being in vulcanic zone (3.78) therfor replaced with the value from site 72 (7.19) as most nearby just to check</t>
  </si>
  <si>
    <t>Turf_Gloss</t>
  </si>
  <si>
    <t>Turf_Lilae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</si>
</sst>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9"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1"/>
      <color rgb="FF000000"/>
      <name val="Calibri"/>
      <family val="2"/>
      <scheme val="minor"/>
    </font>
    <font>
      <sz val="10"/>
      <color theme="1"/>
      <name val="Calibri"/>
      <family val="2"/>
      <scheme val="minor"/>
    </font>
    <font>
      <i/>
      <sz val="11"/>
      <color theme="1"/>
      <name val="Calibri"/>
      <family val="2"/>
      <scheme val="minor"/>
    </font>
    <font>
      <sz val="11"/>
      <name val="Calibri"/>
      <family val="2"/>
      <scheme val="minor"/>
    </font>
  </fonts>
  <fills count="2">
    <fill>
      <patternFill patternType="none"/>
    </fill>
    <fill>
      <patternFill patternType="gray125"/>
    </fill>
  </fills>
  <borders count="17">
    <border>
      <left/>
      <right/>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bottom/>
      <diagonal/>
    </border>
    <border>
      <left/>
      <right style="thick">
        <color indexed="64"/>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1">
    <xf numFmtId="0" fontId="0" fillId="0" borderId="0"/>
  </cellStyleXfs>
  <cellXfs count="43">
    <xf numFmtId="0" fontId="0" fillId="0" borderId="0" xfId="0"/>
    <xf numFmtId="0" fontId="1" fillId="0" borderId="0" xfId="0" applyFont="1"/>
    <xf numFmtId="22" fontId="0" fillId="0" borderId="0" xfId="0" applyNumberFormat="1"/>
    <xf numFmtId="16" fontId="0" fillId="0" borderId="0" xfId="0" applyNumberFormat="1"/>
    <xf numFmtId="1" fontId="0" fillId="0" borderId="0" xfId="0" applyNumberFormat="1"/>
    <xf numFmtId="0" fontId="3" fillId="0" borderId="0" xfId="0" applyFont="1"/>
    <xf numFmtId="1" fontId="3" fillId="0" borderId="0" xfId="0" applyNumberFormat="1" applyFont="1"/>
    <xf numFmtId="0" fontId="4" fillId="0" borderId="0" xfId="0" applyFont="1"/>
    <xf numFmtId="2" fontId="0" fillId="0" borderId="0" xfId="0" applyNumberFormat="1"/>
    <xf numFmtId="164" fontId="0" fillId="0" borderId="0" xfId="0" applyNumberFormat="1"/>
    <xf numFmtId="164" fontId="3" fillId="0" borderId="0" xfId="0" applyNumberFormat="1" applyFont="1"/>
    <xf numFmtId="0" fontId="5" fillId="0" borderId="0" xfId="0" applyFont="1"/>
    <xf numFmtId="0" fontId="0" fillId="0" borderId="1" xfId="0" applyBorder="1"/>
    <xf numFmtId="0" fontId="1" fillId="0" borderId="1" xfId="0" applyFont="1" applyBorder="1"/>
    <xf numFmtId="0" fontId="0" fillId="0" borderId="2" xfId="0" applyBorder="1"/>
    <xf numFmtId="0" fontId="1" fillId="0" borderId="3" xfId="0" applyFont="1" applyBorder="1"/>
    <xf numFmtId="0" fontId="0" fillId="0" borderId="4" xfId="0" applyBorder="1"/>
    <xf numFmtId="0" fontId="0" fillId="0" borderId="3" xfId="0"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5" xfId="0" applyBorder="1"/>
    <xf numFmtId="0" fontId="0" fillId="0" borderId="6" xfId="0" applyBorder="1"/>
    <xf numFmtId="0" fontId="1" fillId="0" borderId="2" xfId="0" applyFont="1" applyBorder="1"/>
    <xf numFmtId="0" fontId="0" fillId="0" borderId="12" xfId="0" applyBorder="1"/>
    <xf numFmtId="22" fontId="0" fillId="0" borderId="12" xfId="0" applyNumberFormat="1" applyBorder="1"/>
    <xf numFmtId="0" fontId="0" fillId="0" borderId="14" xfId="0" applyBorder="1"/>
    <xf numFmtId="0" fontId="0" fillId="0" borderId="15" xfId="0" applyBorder="1"/>
    <xf numFmtId="0" fontId="0" fillId="0" borderId="16" xfId="0" applyBorder="1"/>
    <xf numFmtId="0" fontId="6" fillId="0" borderId="0" xfId="0" applyFont="1"/>
    <xf numFmtId="0" fontId="0" fillId="0" borderId="0" xfId="0" applyAlignment="1">
      <alignment vertical="center" wrapText="1"/>
    </xf>
    <xf numFmtId="0" fontId="7" fillId="0" borderId="0" xfId="0" applyFont="1" applyAlignment="1">
      <alignment vertical="center" wrapText="1"/>
    </xf>
    <xf numFmtId="0" fontId="8" fillId="0" borderId="0" xfId="0" applyFont="1"/>
    <xf numFmtId="22" fontId="0" fillId="0" borderId="9" xfId="0" applyNumberFormat="1" applyBorder="1"/>
    <xf numFmtId="22" fontId="0" fillId="0" borderId="10" xfId="0" applyNumberFormat="1" applyBorder="1"/>
    <xf numFmtId="22" fontId="0" fillId="0" borderId="11" xfId="0" applyNumberFormat="1" applyBorder="1"/>
    <xf numFmtId="0" fontId="0" fillId="0" borderId="13" xfId="0" applyBorder="1"/>
    <xf numFmtId="0" fontId="0" fillId="0" borderId="9" xfId="0" applyBorder="1"/>
    <xf numFmtId="0" fontId="0" fillId="0" borderId="10" xfId="0" applyBorder="1"/>
    <xf numFmtId="0" fontId="0" fillId="0" borderId="11" xfId="0" applyBorder="1"/>
    <xf numFmtId="165" fontId="0" fillId="0" borderId="0" xfId="0" applyNumberFormat="1"/>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Raven, Olivier (Student)" id="{D0465A3C-CB9E-4348-8F87-5CCF06222430}" userId="S::or81@students.waikato.ac.nz::e271f6c9-056d-4468-bbaf-9e72d555f80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 dT="2024-06-10T01:53:40.26" personId="{D0465A3C-CB9E-4348-8F87-5CCF06222430}" id="{7022847C-56CE-483A-8960-501FC2BFF802}">
    <text>To few and not representative</text>
  </threadedComment>
  <threadedComment ref="F4" dT="2024-06-10T01:52:11.64" personId="{D0465A3C-CB9E-4348-8F87-5CCF06222430}" id="{5345BEC8-9AB6-4006-A36A-9278B043879F}">
    <text>unreachable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A52A-F2C7-417B-A015-3CB6BE220210}">
  <dimension ref="A1:AE67"/>
  <sheetViews>
    <sheetView zoomScale="70" zoomScaleNormal="70" workbookViewId="0">
      <pane xSplit="2" ySplit="1" topLeftCell="C14" activePane="bottomRight" state="frozen"/>
      <selection pane="topRight" activeCell="D1" sqref="D1"/>
      <selection pane="bottomLeft" activeCell="A2" sqref="A2"/>
      <selection pane="bottomRight" activeCell="B37" sqref="B37"/>
    </sheetView>
  </sheetViews>
  <sheetFormatPr defaultRowHeight="14.4" x14ac:dyDescent="0.55000000000000004"/>
  <cols>
    <col min="1" max="1" width="9.15625" bestFit="1" customWidth="1"/>
    <col min="2" max="2" width="8.734375" bestFit="1" customWidth="1"/>
    <col min="3" max="3" width="6.7890625" bestFit="1" customWidth="1"/>
    <col min="4" max="4" width="16" bestFit="1" customWidth="1"/>
    <col min="5" max="5" width="14.5234375" bestFit="1" customWidth="1"/>
    <col min="6" max="6" width="13.62890625" bestFit="1" customWidth="1"/>
    <col min="7" max="7" width="11.1015625" bestFit="1" customWidth="1"/>
    <col min="8" max="8" width="20.578125" bestFit="1" customWidth="1"/>
    <col min="9" max="9" width="16.62890625" bestFit="1" customWidth="1"/>
    <col min="10" max="10" width="17.578125" bestFit="1" customWidth="1"/>
    <col min="11" max="11" width="24.9453125" bestFit="1" customWidth="1"/>
    <col min="12" max="12" width="20.3125" bestFit="1" customWidth="1"/>
    <col min="13" max="13" width="22.83984375" bestFit="1" customWidth="1"/>
    <col min="14" max="14" width="15.3125" bestFit="1" customWidth="1"/>
    <col min="15" max="15" width="16.62890625" bestFit="1" customWidth="1"/>
    <col min="16" max="16" width="17.578125" bestFit="1" customWidth="1"/>
    <col min="17" max="17" width="17.578125" customWidth="1"/>
    <col min="18" max="18" width="11.734375" customWidth="1"/>
    <col min="19" max="19" width="13.1015625" bestFit="1" customWidth="1"/>
    <col min="20" max="20" width="13.20703125" bestFit="1" customWidth="1"/>
    <col min="21" max="21" width="11.5234375" bestFit="1" customWidth="1"/>
    <col min="22" max="22" width="14.41796875" bestFit="1" customWidth="1"/>
    <col min="23" max="23" width="24.15625" bestFit="1" customWidth="1"/>
    <col min="24" max="24" width="17.68359375" bestFit="1" customWidth="1"/>
    <col min="25" max="25" width="16.26171875" bestFit="1" customWidth="1"/>
    <col min="26" max="26" width="14.68359375" bestFit="1" customWidth="1"/>
    <col min="27" max="27" width="14.15625" bestFit="1" customWidth="1"/>
    <col min="28" max="28" width="10.05078125" bestFit="1" customWidth="1"/>
    <col min="29" max="29" width="4.7890625" bestFit="1" customWidth="1"/>
    <col min="30" max="30" width="16.26171875" customWidth="1"/>
    <col min="31" max="31" width="10.20703125" bestFit="1" customWidth="1"/>
  </cols>
  <sheetData>
    <row r="1" spans="1:31" s="1" customFormat="1" ht="14.65" customHeight="1" x14ac:dyDescent="0.55000000000000004">
      <c r="A1" s="1" t="s">
        <v>0</v>
      </c>
      <c r="B1" s="1" t="s">
        <v>1</v>
      </c>
      <c r="C1" s="1" t="s">
        <v>2</v>
      </c>
      <c r="D1" s="1" t="s">
        <v>3</v>
      </c>
      <c r="E1" s="1" t="s">
        <v>4</v>
      </c>
      <c r="F1" s="1" t="s">
        <v>5</v>
      </c>
      <c r="G1" s="1" t="s">
        <v>6</v>
      </c>
      <c r="H1" s="1" t="s">
        <v>7</v>
      </c>
      <c r="I1" s="1" t="s">
        <v>8</v>
      </c>
      <c r="J1" s="1" t="s">
        <v>9</v>
      </c>
      <c r="K1" s="1" t="s">
        <v>301</v>
      </c>
      <c r="L1" s="1" t="s">
        <v>10</v>
      </c>
      <c r="M1" s="1" t="s">
        <v>11</v>
      </c>
      <c r="N1" s="1" t="s">
        <v>354</v>
      </c>
      <c r="O1" s="1" t="s">
        <v>355</v>
      </c>
      <c r="P1" s="1" t="s">
        <v>320</v>
      </c>
      <c r="Q1" s="1" t="s">
        <v>353</v>
      </c>
      <c r="R1" s="1" t="s">
        <v>12</v>
      </c>
      <c r="S1" s="1" t="s">
        <v>13</v>
      </c>
      <c r="T1" s="1" t="s">
        <v>14</v>
      </c>
      <c r="U1" s="1" t="s">
        <v>15</v>
      </c>
      <c r="V1" s="1" t="s">
        <v>16</v>
      </c>
      <c r="W1" s="1" t="s">
        <v>17</v>
      </c>
      <c r="X1" s="1" t="s">
        <v>18</v>
      </c>
      <c r="Y1" s="1" t="s">
        <v>19</v>
      </c>
      <c r="Z1" s="1" t="s">
        <v>20</v>
      </c>
      <c r="AA1" s="1" t="s">
        <v>21</v>
      </c>
      <c r="AB1" s="1" t="s">
        <v>22</v>
      </c>
      <c r="AC1" s="1" t="s">
        <v>23</v>
      </c>
      <c r="AD1" s="1" t="s">
        <v>24</v>
      </c>
      <c r="AE1" s="1" t="s">
        <v>25</v>
      </c>
    </row>
    <row r="2" spans="1:31" x14ac:dyDescent="0.55000000000000004">
      <c r="A2">
        <v>61</v>
      </c>
      <c r="B2" t="s">
        <v>26</v>
      </c>
      <c r="C2">
        <v>11133</v>
      </c>
      <c r="D2" s="9" t="s">
        <v>27</v>
      </c>
      <c r="E2">
        <v>-38.135120000000001</v>
      </c>
      <c r="F2">
        <v>176.27440000000001</v>
      </c>
      <c r="H2" t="s">
        <v>28</v>
      </c>
      <c r="I2" s="2">
        <v>45708.576388888891</v>
      </c>
      <c r="J2" t="s">
        <v>50</v>
      </c>
      <c r="K2">
        <v>3.4</v>
      </c>
      <c r="L2">
        <v>1</v>
      </c>
      <c r="M2">
        <v>1</v>
      </c>
      <c r="N2">
        <v>675.54446774237795</v>
      </c>
      <c r="O2">
        <v>1005.2774461139099</v>
      </c>
      <c r="P2">
        <v>663.55478361925702</v>
      </c>
      <c r="Q2">
        <f>5/P2</f>
        <v>7.5351728650470615E-3</v>
      </c>
      <c r="R2" t="s">
        <v>304</v>
      </c>
      <c r="S2" s="8">
        <v>80632851.420368105</v>
      </c>
      <c r="T2" s="8">
        <v>45495.965038547198</v>
      </c>
      <c r="U2" s="4">
        <f>S2/1000000</f>
        <v>80.632851420368098</v>
      </c>
      <c r="V2" s="4">
        <f>T2/1000</f>
        <v>45.495965038547197</v>
      </c>
      <c r="W2">
        <v>508</v>
      </c>
      <c r="X2">
        <v>11</v>
      </c>
      <c r="Y2">
        <v>45</v>
      </c>
      <c r="Z2">
        <v>0.80200000000000005</v>
      </c>
      <c r="AA2">
        <v>280</v>
      </c>
      <c r="AB2" t="s">
        <v>29</v>
      </c>
      <c r="AC2">
        <v>4.2</v>
      </c>
      <c r="AD2" t="str">
        <f>IF(ISBLANK(AC2), "", IF(AC2&lt;=2, "Microtrophic", IF(AC2&lt;=3, "Oligotrophic", IF(AC2&lt;=4, "Mesotrophic", IF(AC2&lt;=5, "Eutrophic", "Supertrophic")))))</f>
        <v>Eutrophic</v>
      </c>
      <c r="AE2">
        <v>22.4</v>
      </c>
    </row>
    <row r="3" spans="1:31" x14ac:dyDescent="0.55000000000000004">
      <c r="A3">
        <v>62</v>
      </c>
      <c r="B3" t="s">
        <v>26</v>
      </c>
      <c r="C3">
        <v>11133</v>
      </c>
      <c r="D3" s="9" t="s">
        <v>30</v>
      </c>
      <c r="E3">
        <v>-38.081890000000001</v>
      </c>
      <c r="F3">
        <v>176.27979999999999</v>
      </c>
      <c r="H3" t="s">
        <v>31</v>
      </c>
      <c r="I3" s="2">
        <v>45708.489583333336</v>
      </c>
      <c r="J3" t="s">
        <v>50</v>
      </c>
      <c r="K3">
        <v>3.4</v>
      </c>
      <c r="L3">
        <v>1</v>
      </c>
      <c r="M3">
        <v>0</v>
      </c>
      <c r="N3">
        <v>107.152203579757</v>
      </c>
      <c r="O3">
        <v>407.913942363974</v>
      </c>
      <c r="P3">
        <v>104.98738901975599</v>
      </c>
      <c r="Q3">
        <f t="shared" ref="Q3:Q12" si="0">5/P3</f>
        <v>4.7624767571456846E-2</v>
      </c>
      <c r="S3" s="8">
        <v>80632851.420368105</v>
      </c>
      <c r="T3" s="8">
        <v>45495.965038547198</v>
      </c>
      <c r="U3" s="4">
        <f>S3/1000000</f>
        <v>80.632851420368098</v>
      </c>
      <c r="V3" s="4">
        <f>T3/1000</f>
        <v>45.495965038547197</v>
      </c>
      <c r="W3">
        <v>508</v>
      </c>
      <c r="X3">
        <v>11</v>
      </c>
      <c r="Y3">
        <v>45</v>
      </c>
      <c r="Z3">
        <v>0.80200000000000005</v>
      </c>
      <c r="AA3">
        <v>280</v>
      </c>
      <c r="AB3" t="s">
        <v>29</v>
      </c>
      <c r="AC3">
        <v>4.2</v>
      </c>
      <c r="AD3" t="str">
        <f>IF(ISBLANK(AC3), "", IF(AC3&lt;=2, "Microtrophic", IF(AC3&lt;=3, "Oligotrophic", IF(AC3&lt;=4, "Mesotrophic", IF(AC3&lt;=5, "Eutrophic", "Supertrophic")))))</f>
        <v>Eutrophic</v>
      </c>
      <c r="AE3">
        <v>22.4</v>
      </c>
    </row>
    <row r="4" spans="1:31" x14ac:dyDescent="0.55000000000000004">
      <c r="A4">
        <v>63</v>
      </c>
      <c r="B4" t="s">
        <v>26</v>
      </c>
      <c r="C4">
        <v>11133</v>
      </c>
      <c r="D4" s="9" t="s">
        <v>32</v>
      </c>
      <c r="E4">
        <v>-38.037550000000003</v>
      </c>
      <c r="F4">
        <v>176.30709999999999</v>
      </c>
      <c r="H4" t="s">
        <v>28</v>
      </c>
      <c r="I4" s="2">
        <v>45708.458333333336</v>
      </c>
      <c r="J4" t="s">
        <v>50</v>
      </c>
      <c r="K4">
        <v>3.4</v>
      </c>
      <c r="L4">
        <v>1</v>
      </c>
      <c r="M4">
        <v>1</v>
      </c>
      <c r="N4">
        <v>335.66335494352501</v>
      </c>
      <c r="O4">
        <v>1173.1568641762301</v>
      </c>
      <c r="P4">
        <v>333.12002096304002</v>
      </c>
      <c r="Q4">
        <f t="shared" si="0"/>
        <v>1.5009605203389306E-2</v>
      </c>
      <c r="R4" t="s">
        <v>305</v>
      </c>
      <c r="S4" s="8">
        <v>80632851.420368105</v>
      </c>
      <c r="T4" s="8">
        <v>45495.965038547198</v>
      </c>
      <c r="U4" s="4">
        <f t="shared" ref="U4:U13" si="1">S4/1000000</f>
        <v>80.632851420368098</v>
      </c>
      <c r="V4" s="4">
        <f t="shared" ref="V4:V13" si="2">T4/1000</f>
        <v>45.495965038547197</v>
      </c>
      <c r="W4">
        <v>508</v>
      </c>
      <c r="X4">
        <v>11</v>
      </c>
      <c r="Y4">
        <v>45</v>
      </c>
      <c r="Z4">
        <v>0.80200000000000005</v>
      </c>
      <c r="AA4">
        <v>280</v>
      </c>
      <c r="AB4" t="s">
        <v>29</v>
      </c>
      <c r="AC4">
        <v>4.2</v>
      </c>
      <c r="AD4" t="str">
        <f t="shared" ref="AD4:AD13" si="3">IF(ISBLANK(AC4), "", IF(AC4&lt;=2, "Microtrophic", IF(AC4&lt;=3, "Oligotrophic", IF(AC4&lt;=4, "Mesotrophic", IF(AC4&lt;=5, "Eutrophic", "Supertrophic")))))</f>
        <v>Eutrophic</v>
      </c>
      <c r="AE4">
        <v>22.4</v>
      </c>
    </row>
    <row r="5" spans="1:31" x14ac:dyDescent="0.55000000000000004">
      <c r="A5">
        <v>64</v>
      </c>
      <c r="B5" t="s">
        <v>26</v>
      </c>
      <c r="C5">
        <v>11133</v>
      </c>
      <c r="D5" s="9" t="s">
        <v>33</v>
      </c>
      <c r="E5">
        <v>-38.035209999999999</v>
      </c>
      <c r="F5">
        <v>176.24889999999999</v>
      </c>
      <c r="H5" t="s">
        <v>28</v>
      </c>
      <c r="I5" s="2">
        <v>45708.416666666664</v>
      </c>
      <c r="J5" t="s">
        <v>44</v>
      </c>
      <c r="K5">
        <v>3.4</v>
      </c>
      <c r="L5">
        <v>1</v>
      </c>
      <c r="M5">
        <v>1</v>
      </c>
      <c r="N5">
        <v>881.75585810228597</v>
      </c>
      <c r="O5">
        <v>4169.54573003321</v>
      </c>
      <c r="P5">
        <v>881.75332127198999</v>
      </c>
      <c r="Q5">
        <f t="shared" si="0"/>
        <v>5.6705201776695953E-3</v>
      </c>
      <c r="R5" t="s">
        <v>306</v>
      </c>
      <c r="S5" s="8">
        <v>80632851.420368105</v>
      </c>
      <c r="T5" s="8">
        <v>45495.965038547198</v>
      </c>
      <c r="U5" s="4">
        <f t="shared" si="1"/>
        <v>80.632851420368098</v>
      </c>
      <c r="V5" s="4">
        <f t="shared" si="2"/>
        <v>45.495965038547197</v>
      </c>
      <c r="W5">
        <v>508</v>
      </c>
      <c r="X5">
        <v>11</v>
      </c>
      <c r="Y5">
        <v>45</v>
      </c>
      <c r="Z5">
        <v>0.80200000000000005</v>
      </c>
      <c r="AA5">
        <v>280</v>
      </c>
      <c r="AB5" t="s">
        <v>29</v>
      </c>
      <c r="AC5">
        <v>4.2</v>
      </c>
      <c r="AD5" t="str">
        <f t="shared" si="3"/>
        <v>Eutrophic</v>
      </c>
      <c r="AE5">
        <v>22.4</v>
      </c>
    </row>
    <row r="6" spans="1:31" x14ac:dyDescent="0.55000000000000004">
      <c r="A6">
        <v>65</v>
      </c>
      <c r="B6" t="s">
        <v>26</v>
      </c>
      <c r="C6">
        <v>11133</v>
      </c>
      <c r="D6" s="9" t="s">
        <v>34</v>
      </c>
      <c r="E6">
        <v>-38.109749999999998</v>
      </c>
      <c r="F6">
        <v>176.24010000000001</v>
      </c>
      <c r="H6" t="s">
        <v>28</v>
      </c>
      <c r="I6" s="2">
        <v>45708.597222222219</v>
      </c>
      <c r="J6" t="s">
        <v>50</v>
      </c>
      <c r="K6">
        <v>3.4</v>
      </c>
      <c r="L6">
        <v>1</v>
      </c>
      <c r="M6">
        <v>1</v>
      </c>
      <c r="N6">
        <v>798.40784802085602</v>
      </c>
      <c r="O6">
        <v>2402.91237199327</v>
      </c>
      <c r="P6">
        <v>797.28620327931503</v>
      </c>
      <c r="Q6">
        <f t="shared" si="0"/>
        <v>6.271273702510489E-3</v>
      </c>
      <c r="S6" s="8">
        <v>80632851.420368105</v>
      </c>
      <c r="T6" s="8">
        <v>45495.965038547198</v>
      </c>
      <c r="U6" s="4">
        <f t="shared" si="1"/>
        <v>80.632851420368098</v>
      </c>
      <c r="V6" s="4">
        <f t="shared" si="2"/>
        <v>45.495965038547197</v>
      </c>
      <c r="W6">
        <v>508</v>
      </c>
      <c r="X6">
        <v>11</v>
      </c>
      <c r="Y6">
        <v>45</v>
      </c>
      <c r="Z6">
        <v>0.80200000000000005</v>
      </c>
      <c r="AA6">
        <v>280</v>
      </c>
      <c r="AB6" t="s">
        <v>29</v>
      </c>
      <c r="AC6">
        <v>4.2</v>
      </c>
      <c r="AD6" t="str">
        <f t="shared" si="3"/>
        <v>Eutrophic</v>
      </c>
      <c r="AE6">
        <v>22.4</v>
      </c>
    </row>
    <row r="7" spans="1:31" x14ac:dyDescent="0.55000000000000004">
      <c r="A7">
        <v>66</v>
      </c>
      <c r="B7" t="s">
        <v>26</v>
      </c>
      <c r="C7">
        <v>11133</v>
      </c>
      <c r="D7" s="9" t="s">
        <v>35</v>
      </c>
      <c r="E7">
        <v>-38.081479999999999</v>
      </c>
      <c r="F7">
        <v>176.29560000000001</v>
      </c>
      <c r="H7" t="s">
        <v>31</v>
      </c>
      <c r="I7" s="2">
        <v>45708.510416666664</v>
      </c>
      <c r="J7" t="s">
        <v>50</v>
      </c>
      <c r="K7">
        <v>3.4</v>
      </c>
      <c r="L7">
        <v>1</v>
      </c>
      <c r="M7">
        <v>1</v>
      </c>
      <c r="N7">
        <v>30.902983884382301</v>
      </c>
      <c r="O7">
        <v>1662.5593286098399</v>
      </c>
      <c r="P7">
        <v>30.562399544680598</v>
      </c>
      <c r="Q7">
        <f t="shared" si="0"/>
        <v>0.16359971973700124</v>
      </c>
      <c r="S7" s="8">
        <v>80632851.420368105</v>
      </c>
      <c r="T7" s="8">
        <v>45495.965038547198</v>
      </c>
      <c r="U7" s="4">
        <f t="shared" si="1"/>
        <v>80.632851420368098</v>
      </c>
      <c r="V7" s="4">
        <f t="shared" si="2"/>
        <v>45.495965038547197</v>
      </c>
      <c r="W7">
        <v>508</v>
      </c>
      <c r="X7">
        <v>11</v>
      </c>
      <c r="Y7">
        <v>45</v>
      </c>
      <c r="Z7">
        <v>0.80200000000000005</v>
      </c>
      <c r="AA7">
        <v>280</v>
      </c>
      <c r="AB7" t="s">
        <v>29</v>
      </c>
      <c r="AC7">
        <v>4.2</v>
      </c>
      <c r="AD7" t="str">
        <f t="shared" si="3"/>
        <v>Eutrophic</v>
      </c>
      <c r="AE7">
        <v>22.4</v>
      </c>
    </row>
    <row r="8" spans="1:31" x14ac:dyDescent="0.55000000000000004">
      <c r="A8">
        <v>67</v>
      </c>
      <c r="B8" t="s">
        <v>26</v>
      </c>
      <c r="C8">
        <v>11133</v>
      </c>
      <c r="D8" s="9" t="s">
        <v>36</v>
      </c>
      <c r="E8">
        <v>-38.082880000000003</v>
      </c>
      <c r="F8">
        <v>176.21850000000001</v>
      </c>
      <c r="H8" t="s">
        <v>28</v>
      </c>
      <c r="I8" s="2">
        <v>45708.625</v>
      </c>
      <c r="J8" t="s">
        <v>50</v>
      </c>
      <c r="K8">
        <v>3.4</v>
      </c>
      <c r="L8">
        <v>1</v>
      </c>
      <c r="M8">
        <v>1</v>
      </c>
      <c r="N8">
        <v>529.91299161028701</v>
      </c>
      <c r="O8">
        <v>3907.5672912259502</v>
      </c>
      <c r="P8">
        <v>525.663116324665</v>
      </c>
      <c r="Q8">
        <f t="shared" si="0"/>
        <v>9.5117953775395812E-3</v>
      </c>
      <c r="R8" t="s">
        <v>307</v>
      </c>
      <c r="S8" s="8">
        <v>80632851.420368105</v>
      </c>
      <c r="T8" s="8">
        <v>45495.965038547198</v>
      </c>
      <c r="U8" s="4">
        <f t="shared" si="1"/>
        <v>80.632851420368098</v>
      </c>
      <c r="V8" s="4">
        <f t="shared" si="2"/>
        <v>45.495965038547197</v>
      </c>
      <c r="W8">
        <v>508</v>
      </c>
      <c r="X8">
        <v>11</v>
      </c>
      <c r="Y8">
        <v>45</v>
      </c>
      <c r="Z8">
        <v>0.80200000000000005</v>
      </c>
      <c r="AA8">
        <v>280</v>
      </c>
      <c r="AB8" t="s">
        <v>29</v>
      </c>
      <c r="AC8">
        <v>4.2</v>
      </c>
      <c r="AD8" t="str">
        <f t="shared" si="3"/>
        <v>Eutrophic</v>
      </c>
      <c r="AE8">
        <v>22.4</v>
      </c>
    </row>
    <row r="9" spans="1:31" x14ac:dyDescent="0.55000000000000004">
      <c r="A9">
        <v>68</v>
      </c>
      <c r="B9" t="s">
        <v>26</v>
      </c>
      <c r="C9">
        <v>11133</v>
      </c>
      <c r="D9" s="9" t="s">
        <v>37</v>
      </c>
      <c r="E9">
        <v>-38.121409999999997</v>
      </c>
      <c r="F9">
        <v>176.28919999999999</v>
      </c>
      <c r="H9" t="s">
        <v>31</v>
      </c>
      <c r="I9" s="2">
        <v>45708.541666666664</v>
      </c>
      <c r="J9" t="s">
        <v>50</v>
      </c>
      <c r="K9">
        <v>3.4</v>
      </c>
      <c r="L9">
        <v>1</v>
      </c>
      <c r="M9">
        <v>1</v>
      </c>
      <c r="N9">
        <v>542.81988574003401</v>
      </c>
      <c r="O9">
        <v>1760.1142415987599</v>
      </c>
      <c r="P9">
        <v>540.42430174818503</v>
      </c>
      <c r="Q9">
        <f t="shared" si="0"/>
        <v>9.2519895641735763E-3</v>
      </c>
      <c r="S9" s="8">
        <v>80632851.420368105</v>
      </c>
      <c r="T9" s="8">
        <v>45495.965038547198</v>
      </c>
      <c r="U9" s="4">
        <f t="shared" si="1"/>
        <v>80.632851420368098</v>
      </c>
      <c r="V9" s="4">
        <f t="shared" si="2"/>
        <v>45.495965038547197</v>
      </c>
      <c r="W9">
        <v>508</v>
      </c>
      <c r="X9">
        <v>11</v>
      </c>
      <c r="Y9">
        <v>45</v>
      </c>
      <c r="Z9">
        <v>0.80200000000000005</v>
      </c>
      <c r="AA9">
        <v>280</v>
      </c>
      <c r="AB9" t="s">
        <v>29</v>
      </c>
      <c r="AC9">
        <v>4.2</v>
      </c>
      <c r="AD9" t="str">
        <f t="shared" si="3"/>
        <v>Eutrophic</v>
      </c>
      <c r="AE9">
        <v>22.4</v>
      </c>
    </row>
    <row r="10" spans="1:31" x14ac:dyDescent="0.55000000000000004">
      <c r="A10">
        <v>69</v>
      </c>
      <c r="B10" t="s">
        <v>26</v>
      </c>
      <c r="C10">
        <v>11133</v>
      </c>
      <c r="D10" s="9" t="s">
        <v>38</v>
      </c>
      <c r="E10">
        <v>-38.078180000000003</v>
      </c>
      <c r="F10">
        <v>176.32239999999999</v>
      </c>
      <c r="H10" t="s">
        <v>28</v>
      </c>
      <c r="I10" s="2">
        <v>45708.520833333336</v>
      </c>
      <c r="J10" t="s">
        <v>44</v>
      </c>
      <c r="K10">
        <v>3.4</v>
      </c>
      <c r="L10">
        <v>1</v>
      </c>
      <c r="M10">
        <v>1</v>
      </c>
      <c r="N10">
        <v>612.83158111384205</v>
      </c>
      <c r="O10">
        <v>3408.4211738517902</v>
      </c>
      <c r="P10">
        <v>607.96420551541701</v>
      </c>
      <c r="Q10">
        <f t="shared" si="0"/>
        <v>8.2241683879417278E-3</v>
      </c>
      <c r="R10" t="s">
        <v>308</v>
      </c>
      <c r="S10" s="8">
        <v>80632851.420368105</v>
      </c>
      <c r="T10" s="8">
        <v>45495.965038547198</v>
      </c>
      <c r="U10" s="4">
        <f t="shared" si="1"/>
        <v>80.632851420368098</v>
      </c>
      <c r="V10" s="4">
        <f t="shared" si="2"/>
        <v>45.495965038547197</v>
      </c>
      <c r="W10">
        <v>508</v>
      </c>
      <c r="X10">
        <v>11</v>
      </c>
      <c r="Y10">
        <v>45</v>
      </c>
      <c r="Z10">
        <v>0.80200000000000005</v>
      </c>
      <c r="AA10">
        <v>280</v>
      </c>
      <c r="AB10" t="s">
        <v>29</v>
      </c>
      <c r="AC10">
        <v>4.2</v>
      </c>
      <c r="AD10" t="str">
        <f t="shared" si="3"/>
        <v>Eutrophic</v>
      </c>
      <c r="AE10">
        <v>22.4</v>
      </c>
    </row>
    <row r="11" spans="1:31" x14ac:dyDescent="0.55000000000000004">
      <c r="A11">
        <v>70</v>
      </c>
      <c r="B11" t="s">
        <v>26</v>
      </c>
      <c r="C11">
        <v>11133</v>
      </c>
      <c r="D11" s="9" t="s">
        <v>39</v>
      </c>
      <c r="E11">
        <v>-38.033940000000001</v>
      </c>
      <c r="F11">
        <v>176.27260000000001</v>
      </c>
      <c r="H11" t="s">
        <v>28</v>
      </c>
      <c r="I11" s="2">
        <v>45708.447916666664</v>
      </c>
      <c r="J11" t="s">
        <v>50</v>
      </c>
      <c r="K11">
        <v>3.4</v>
      </c>
      <c r="L11">
        <v>1</v>
      </c>
      <c r="M11">
        <v>1</v>
      </c>
      <c r="N11">
        <v>832.45091094951795</v>
      </c>
      <c r="O11">
        <v>3362.6444853098201</v>
      </c>
      <c r="P11">
        <v>832.39082792504905</v>
      </c>
      <c r="Q11">
        <f t="shared" si="0"/>
        <v>6.006793722684093E-3</v>
      </c>
      <c r="R11" t="s">
        <v>309</v>
      </c>
      <c r="S11" s="8">
        <v>80632851.420368105</v>
      </c>
      <c r="T11" s="8">
        <v>45495.965038547198</v>
      </c>
      <c r="U11" s="4">
        <f t="shared" si="1"/>
        <v>80.632851420368098</v>
      </c>
      <c r="V11" s="4">
        <f t="shared" si="2"/>
        <v>45.495965038547197</v>
      </c>
      <c r="W11">
        <v>508</v>
      </c>
      <c r="X11">
        <v>11</v>
      </c>
      <c r="Y11">
        <v>45</v>
      </c>
      <c r="Z11">
        <v>0.80200000000000005</v>
      </c>
      <c r="AA11">
        <v>280</v>
      </c>
      <c r="AB11" t="s">
        <v>29</v>
      </c>
      <c r="AC11">
        <v>4.2</v>
      </c>
      <c r="AD11" t="str">
        <f t="shared" si="3"/>
        <v>Eutrophic</v>
      </c>
      <c r="AE11">
        <v>22.4</v>
      </c>
    </row>
    <row r="12" spans="1:31" x14ac:dyDescent="0.55000000000000004">
      <c r="A12">
        <v>71</v>
      </c>
      <c r="B12" t="s">
        <v>26</v>
      </c>
      <c r="C12">
        <v>11133</v>
      </c>
      <c r="D12" s="9" t="s">
        <v>40</v>
      </c>
      <c r="E12">
        <v>-38.036949999999997</v>
      </c>
      <c r="F12">
        <v>176.2407</v>
      </c>
      <c r="H12" t="s">
        <v>28</v>
      </c>
      <c r="I12" s="2">
        <v>45708.404166666667</v>
      </c>
      <c r="J12" t="s">
        <v>50</v>
      </c>
      <c r="K12">
        <v>3.4</v>
      </c>
      <c r="L12">
        <v>1</v>
      </c>
      <c r="M12">
        <v>1</v>
      </c>
      <c r="N12">
        <v>700.06925021109396</v>
      </c>
      <c r="O12">
        <v>4451.6258935769401</v>
      </c>
      <c r="P12">
        <v>699.19990193821002</v>
      </c>
      <c r="Q12">
        <f t="shared" si="0"/>
        <v>7.1510307512054859E-3</v>
      </c>
      <c r="S12" s="8">
        <v>80632851.420368105</v>
      </c>
      <c r="T12" s="8">
        <v>45495.965038547198</v>
      </c>
      <c r="U12" s="4">
        <f t="shared" si="1"/>
        <v>80.632851420368098</v>
      </c>
      <c r="V12" s="4">
        <f t="shared" si="2"/>
        <v>45.495965038547197</v>
      </c>
      <c r="W12">
        <v>508</v>
      </c>
      <c r="X12">
        <v>11</v>
      </c>
      <c r="Y12">
        <v>45</v>
      </c>
      <c r="Z12">
        <v>0.80200000000000005</v>
      </c>
      <c r="AA12">
        <v>280</v>
      </c>
      <c r="AB12" t="s">
        <v>29</v>
      </c>
      <c r="AC12">
        <v>4.2</v>
      </c>
      <c r="AD12" t="str">
        <f t="shared" si="3"/>
        <v>Eutrophic</v>
      </c>
      <c r="AE12">
        <v>22.4</v>
      </c>
    </row>
    <row r="13" spans="1:31" x14ac:dyDescent="0.55000000000000004">
      <c r="A13">
        <v>72</v>
      </c>
      <c r="B13" t="s">
        <v>26</v>
      </c>
      <c r="C13">
        <v>11133</v>
      </c>
      <c r="D13" s="9" t="s">
        <v>41</v>
      </c>
      <c r="E13">
        <v>-38.12632</v>
      </c>
      <c r="F13">
        <v>176.28620000000001</v>
      </c>
      <c r="H13" t="s">
        <v>28</v>
      </c>
      <c r="I13" s="2">
        <v>45708.5625</v>
      </c>
      <c r="J13" t="s">
        <v>50</v>
      </c>
      <c r="K13">
        <v>3.4</v>
      </c>
      <c r="L13">
        <v>1</v>
      </c>
      <c r="M13">
        <v>1</v>
      </c>
      <c r="N13">
        <v>555.80665673717897</v>
      </c>
      <c r="O13">
        <v>1510.6833474472701</v>
      </c>
      <c r="P13">
        <v>549.72073006404696</v>
      </c>
      <c r="Q13">
        <f>5/P13</f>
        <v>9.0955274679516973E-3</v>
      </c>
      <c r="S13" s="8">
        <v>80632851.420368105</v>
      </c>
      <c r="T13" s="8">
        <v>45495.965038547198</v>
      </c>
      <c r="U13" s="4">
        <f t="shared" si="1"/>
        <v>80.632851420368098</v>
      </c>
      <c r="V13" s="4">
        <f t="shared" si="2"/>
        <v>45.495965038547197</v>
      </c>
      <c r="W13">
        <v>508</v>
      </c>
      <c r="X13">
        <v>11</v>
      </c>
      <c r="Y13">
        <v>45</v>
      </c>
      <c r="Z13">
        <v>0.80200000000000005</v>
      </c>
      <c r="AA13">
        <v>280</v>
      </c>
      <c r="AB13" t="s">
        <v>29</v>
      </c>
      <c r="AC13">
        <v>4.2</v>
      </c>
      <c r="AD13" t="str">
        <f t="shared" si="3"/>
        <v>Eutrophic</v>
      </c>
      <c r="AE13">
        <v>22.4</v>
      </c>
    </row>
    <row r="14" spans="1:31" x14ac:dyDescent="0.55000000000000004">
      <c r="A14">
        <v>73</v>
      </c>
      <c r="B14" t="s">
        <v>42</v>
      </c>
      <c r="C14">
        <v>54730</v>
      </c>
      <c r="D14" s="9" t="s">
        <v>43</v>
      </c>
      <c r="E14">
        <v>-38.016770000000001</v>
      </c>
      <c r="F14">
        <v>176.42099999999999</v>
      </c>
      <c r="H14" t="s">
        <v>31</v>
      </c>
      <c r="I14" s="2">
        <v>45673.545138888891</v>
      </c>
      <c r="J14" t="s">
        <v>44</v>
      </c>
      <c r="K14">
        <v>3.5</v>
      </c>
      <c r="L14">
        <v>1</v>
      </c>
      <c r="M14">
        <v>1</v>
      </c>
      <c r="N14">
        <v>142.69564315661299</v>
      </c>
      <c r="O14">
        <v>187.90193049333001</v>
      </c>
      <c r="P14">
        <v>187.539175274033</v>
      </c>
      <c r="Q14">
        <f>20/P14</f>
        <v>0.10664438494397728</v>
      </c>
      <c r="S14" s="8">
        <v>33805828.956973203</v>
      </c>
      <c r="T14" s="8">
        <v>60736.7219804458</v>
      </c>
      <c r="U14" s="4">
        <f>S14/1000000</f>
        <v>33.805828956973201</v>
      </c>
      <c r="V14" s="4">
        <f>T14/1000</f>
        <v>60.7367219804458</v>
      </c>
      <c r="W14">
        <v>123.7</v>
      </c>
      <c r="X14">
        <v>31.5</v>
      </c>
      <c r="Y14">
        <v>124</v>
      </c>
      <c r="Z14">
        <v>1.042</v>
      </c>
      <c r="AA14">
        <v>279</v>
      </c>
      <c r="AB14" t="s">
        <v>45</v>
      </c>
      <c r="AC14">
        <v>4.0999999999999996</v>
      </c>
      <c r="AD14" t="str">
        <f t="shared" ref="AD14" si="4">IF(ISBLANK(AC14), "", IF(AC14&lt;=2, "Microtrophic", IF(AC14&lt;=3, "Oligotrophic", IF(AC14&lt;=4, "Mesotrophic", IF(AC14&lt;=5, "Eutrophic", "Supertrophic")))))</f>
        <v>Eutrophic</v>
      </c>
      <c r="AE14">
        <v>24.8</v>
      </c>
    </row>
    <row r="15" spans="1:31" x14ac:dyDescent="0.55000000000000004">
      <c r="A15">
        <v>74</v>
      </c>
      <c r="B15" t="s">
        <v>42</v>
      </c>
      <c r="C15">
        <v>54730</v>
      </c>
      <c r="D15" s="9" t="s">
        <v>46</v>
      </c>
      <c r="E15">
        <v>-38.05556</v>
      </c>
      <c r="F15">
        <v>176.4599</v>
      </c>
      <c r="H15" t="s">
        <v>28</v>
      </c>
      <c r="I15" s="2">
        <v>45673.589583333334</v>
      </c>
      <c r="J15" t="s">
        <v>47</v>
      </c>
      <c r="K15">
        <v>3.5</v>
      </c>
      <c r="L15">
        <v>1</v>
      </c>
      <c r="M15">
        <v>1</v>
      </c>
      <c r="N15">
        <v>42.558564510722498</v>
      </c>
      <c r="O15">
        <v>120.762133732937</v>
      </c>
      <c r="P15">
        <v>120.32866218071899</v>
      </c>
      <c r="Q15">
        <f t="shared" ref="Q15:Q67" si="5">20/P15</f>
        <v>0.16621143821878812</v>
      </c>
      <c r="R15" t="s">
        <v>48</v>
      </c>
      <c r="S15" s="8">
        <v>33805828.956973203</v>
      </c>
      <c r="T15" s="8">
        <v>60736.7219804458</v>
      </c>
      <c r="U15" s="4">
        <f>S15/1000000</f>
        <v>33.805828956973201</v>
      </c>
      <c r="V15" s="4">
        <f>T15/1000</f>
        <v>60.7367219804458</v>
      </c>
      <c r="W15">
        <v>123.7</v>
      </c>
      <c r="X15">
        <v>31.5</v>
      </c>
      <c r="Y15">
        <v>124</v>
      </c>
      <c r="Z15">
        <v>1.042</v>
      </c>
      <c r="AA15">
        <v>279</v>
      </c>
      <c r="AB15" t="s">
        <v>45</v>
      </c>
      <c r="AC15">
        <v>4.0999999999999996</v>
      </c>
      <c r="AD15" t="str">
        <f t="shared" ref="AD15:AD16" si="6">IF(ISBLANK(AC15), "", IF(AC15&lt;=2, "Microtrophic", IF(AC15&lt;=3, "Oligotrophic", IF(AC15&lt;=4, "Mesotrophic", IF(AC15&lt;=5, "Eutrophic", "Supertrophic")))))</f>
        <v>Eutrophic</v>
      </c>
      <c r="AE15">
        <v>24.8</v>
      </c>
    </row>
    <row r="16" spans="1:31" x14ac:dyDescent="0.55000000000000004">
      <c r="A16">
        <v>75</v>
      </c>
      <c r="B16" t="s">
        <v>42</v>
      </c>
      <c r="C16">
        <v>54730</v>
      </c>
      <c r="D16" s="9" t="s">
        <v>49</v>
      </c>
      <c r="E16">
        <v>-38.039389999999997</v>
      </c>
      <c r="F16">
        <v>176.35890000000001</v>
      </c>
      <c r="H16" t="s">
        <v>31</v>
      </c>
      <c r="I16" s="2">
        <v>45672.46875</v>
      </c>
      <c r="J16" t="s">
        <v>50</v>
      </c>
      <c r="K16">
        <v>3.5</v>
      </c>
      <c r="L16">
        <v>0</v>
      </c>
      <c r="M16">
        <v>0</v>
      </c>
      <c r="N16">
        <v>46.767719689293799</v>
      </c>
      <c r="O16">
        <v>127.57476602636299</v>
      </c>
      <c r="P16">
        <v>127.470750970965</v>
      </c>
      <c r="Q16">
        <f t="shared" si="5"/>
        <v>0.15689873831962875</v>
      </c>
      <c r="R16" t="s">
        <v>51</v>
      </c>
      <c r="S16" s="8">
        <v>33805828.956973203</v>
      </c>
      <c r="T16" s="8">
        <v>60736.7219804458</v>
      </c>
      <c r="U16" s="4">
        <f t="shared" ref="U16:U25" si="7">S16/1000000</f>
        <v>33.805828956973201</v>
      </c>
      <c r="V16" s="4">
        <f t="shared" ref="V16:V25" si="8">T16/1000</f>
        <v>60.7367219804458</v>
      </c>
      <c r="W16">
        <v>123.7</v>
      </c>
      <c r="X16">
        <v>31.5</v>
      </c>
      <c r="Y16">
        <v>124</v>
      </c>
      <c r="Z16">
        <v>1.042</v>
      </c>
      <c r="AA16">
        <v>279</v>
      </c>
      <c r="AB16" t="s">
        <v>45</v>
      </c>
      <c r="AC16">
        <v>4.0999999999999996</v>
      </c>
      <c r="AD16" t="str">
        <f t="shared" si="6"/>
        <v>Eutrophic</v>
      </c>
      <c r="AE16">
        <v>24.8</v>
      </c>
    </row>
    <row r="17" spans="1:31" x14ac:dyDescent="0.55000000000000004">
      <c r="A17">
        <v>76</v>
      </c>
      <c r="B17" t="s">
        <v>42</v>
      </c>
      <c r="C17">
        <v>54730</v>
      </c>
      <c r="D17" s="9" t="s">
        <v>52</v>
      </c>
      <c r="E17">
        <v>-38.030970000000003</v>
      </c>
      <c r="F17">
        <v>176.34270000000001</v>
      </c>
      <c r="H17" t="s">
        <v>28</v>
      </c>
      <c r="I17" s="2">
        <v>45672.416666666664</v>
      </c>
      <c r="J17" t="s">
        <v>50</v>
      </c>
      <c r="K17">
        <v>3.5</v>
      </c>
      <c r="L17">
        <v>1</v>
      </c>
      <c r="M17">
        <v>1</v>
      </c>
      <c r="N17">
        <v>76.290721546997602</v>
      </c>
      <c r="O17">
        <v>1089.8783064967899</v>
      </c>
      <c r="P17">
        <v>1089.20462436359</v>
      </c>
      <c r="Q17">
        <f>20/P17</f>
        <v>1.8362022665562749E-2</v>
      </c>
      <c r="R17" t="s">
        <v>53</v>
      </c>
      <c r="S17" s="8">
        <v>33805828.956973203</v>
      </c>
      <c r="T17" s="8">
        <v>60736.7219804458</v>
      </c>
      <c r="U17" s="4">
        <f t="shared" si="7"/>
        <v>33.805828956973201</v>
      </c>
      <c r="V17" s="4">
        <f t="shared" si="8"/>
        <v>60.7367219804458</v>
      </c>
      <c r="W17">
        <v>123.7</v>
      </c>
      <c r="X17">
        <v>31.5</v>
      </c>
      <c r="Y17">
        <v>124</v>
      </c>
      <c r="Z17">
        <v>1.042</v>
      </c>
      <c r="AA17">
        <v>279</v>
      </c>
      <c r="AB17" t="s">
        <v>45</v>
      </c>
      <c r="AC17">
        <v>4.0999999999999996</v>
      </c>
      <c r="AD17" t="str">
        <f t="shared" ref="AD17:AD25" si="9">IF(ISBLANK(AC17), "", IF(AC17&lt;=2, "Microtrophic", IF(AC17&lt;=3, "Oligotrophic", IF(AC17&lt;=4, "Mesotrophic", IF(AC17&lt;=5, "Eutrophic", "Supertrophic")))))</f>
        <v>Eutrophic</v>
      </c>
      <c r="AE17">
        <v>24.8</v>
      </c>
    </row>
    <row r="18" spans="1:31" x14ac:dyDescent="0.55000000000000004">
      <c r="A18">
        <v>77</v>
      </c>
      <c r="B18" t="s">
        <v>42</v>
      </c>
      <c r="C18">
        <v>54730</v>
      </c>
      <c r="D18" s="9" t="s">
        <v>54</v>
      </c>
      <c r="E18">
        <v>-38.025118043545199</v>
      </c>
      <c r="F18">
        <v>176.463774952595</v>
      </c>
      <c r="H18" t="s">
        <v>31</v>
      </c>
      <c r="I18" s="2">
        <v>45673.5625</v>
      </c>
      <c r="J18" t="s">
        <v>47</v>
      </c>
      <c r="K18">
        <v>3.5</v>
      </c>
      <c r="L18">
        <v>0</v>
      </c>
      <c r="M18">
        <v>0</v>
      </c>
      <c r="N18">
        <v>69.875786096660093</v>
      </c>
      <c r="O18">
        <v>108.31147863323601</v>
      </c>
      <c r="P18">
        <v>107.901207823091</v>
      </c>
      <c r="Q18">
        <f t="shared" si="5"/>
        <v>0.1853547370182447</v>
      </c>
      <c r="R18" t="s">
        <v>55</v>
      </c>
      <c r="S18" s="8">
        <v>33805828.956973203</v>
      </c>
      <c r="T18" s="8">
        <v>60736.7219804458</v>
      </c>
      <c r="U18" s="4">
        <f t="shared" si="7"/>
        <v>33.805828956973201</v>
      </c>
      <c r="V18" s="4">
        <f t="shared" si="8"/>
        <v>60.7367219804458</v>
      </c>
      <c r="W18">
        <v>123.7</v>
      </c>
      <c r="X18">
        <v>31.5</v>
      </c>
      <c r="Y18">
        <v>124</v>
      </c>
      <c r="Z18">
        <v>1.042</v>
      </c>
      <c r="AA18">
        <v>279</v>
      </c>
      <c r="AB18" t="s">
        <v>45</v>
      </c>
      <c r="AC18">
        <v>4.0999999999999996</v>
      </c>
      <c r="AD18" t="str">
        <f t="shared" si="9"/>
        <v>Eutrophic</v>
      </c>
      <c r="AE18">
        <v>24.8</v>
      </c>
    </row>
    <row r="19" spans="1:31" x14ac:dyDescent="0.55000000000000004">
      <c r="A19">
        <v>78</v>
      </c>
      <c r="B19" t="s">
        <v>42</v>
      </c>
      <c r="C19">
        <v>54730</v>
      </c>
      <c r="D19" s="9" t="s">
        <v>56</v>
      </c>
      <c r="E19">
        <v>-38.041989999999998</v>
      </c>
      <c r="F19">
        <v>176.37090000000001</v>
      </c>
      <c r="H19" t="s">
        <v>28</v>
      </c>
      <c r="I19" s="2">
        <v>45672.520833333336</v>
      </c>
      <c r="J19" t="s">
        <v>50</v>
      </c>
      <c r="K19">
        <v>3.5</v>
      </c>
      <c r="L19">
        <v>1</v>
      </c>
      <c r="M19">
        <v>1</v>
      </c>
      <c r="N19">
        <v>134.63072999510899</v>
      </c>
      <c r="O19">
        <v>367.646537523441</v>
      </c>
      <c r="P19">
        <v>365.23639776636202</v>
      </c>
      <c r="Q19">
        <f t="shared" si="5"/>
        <v>5.4759055018371403E-2</v>
      </c>
      <c r="R19" t="s">
        <v>57</v>
      </c>
      <c r="S19" s="8">
        <v>33805828.956973203</v>
      </c>
      <c r="T19" s="8">
        <v>60736.7219804458</v>
      </c>
      <c r="U19" s="4">
        <f t="shared" si="7"/>
        <v>33.805828956973201</v>
      </c>
      <c r="V19" s="4">
        <f t="shared" si="8"/>
        <v>60.7367219804458</v>
      </c>
      <c r="W19">
        <v>123.7</v>
      </c>
      <c r="X19">
        <v>31.5</v>
      </c>
      <c r="Y19">
        <v>124</v>
      </c>
      <c r="Z19">
        <v>1.042</v>
      </c>
      <c r="AA19">
        <v>279</v>
      </c>
      <c r="AB19" t="s">
        <v>45</v>
      </c>
      <c r="AC19">
        <v>4.0999999999999996</v>
      </c>
      <c r="AD19" t="str">
        <f t="shared" si="9"/>
        <v>Eutrophic</v>
      </c>
      <c r="AE19">
        <v>24.8</v>
      </c>
    </row>
    <row r="20" spans="1:31" x14ac:dyDescent="0.55000000000000004">
      <c r="A20">
        <v>79</v>
      </c>
      <c r="B20" t="s">
        <v>42</v>
      </c>
      <c r="C20">
        <v>54730</v>
      </c>
      <c r="D20" s="9" t="s">
        <v>58</v>
      </c>
      <c r="E20" s="33">
        <v>-38.012647339011103</v>
      </c>
      <c r="F20" s="33">
        <v>176.36979314152501</v>
      </c>
      <c r="H20" t="s">
        <v>59</v>
      </c>
      <c r="I20" s="2">
        <v>45673.511805555558</v>
      </c>
      <c r="J20" t="s">
        <v>60</v>
      </c>
      <c r="K20">
        <v>3.5</v>
      </c>
      <c r="L20">
        <v>1</v>
      </c>
      <c r="M20">
        <v>1</v>
      </c>
      <c r="N20">
        <v>109.03880237076601</v>
      </c>
      <c r="O20">
        <v>1088.6352620191101</v>
      </c>
      <c r="P20" s="5">
        <v>1087.1160731861</v>
      </c>
      <c r="Q20">
        <f t="shared" si="5"/>
        <v>1.839729950950349E-2</v>
      </c>
      <c r="R20" t="s">
        <v>61</v>
      </c>
      <c r="S20" s="8">
        <v>33805828.956973203</v>
      </c>
      <c r="T20" s="8">
        <v>60736.7219804458</v>
      </c>
      <c r="U20" s="4">
        <f t="shared" si="7"/>
        <v>33.805828956973201</v>
      </c>
      <c r="V20" s="4">
        <f t="shared" si="8"/>
        <v>60.7367219804458</v>
      </c>
      <c r="W20">
        <v>123.7</v>
      </c>
      <c r="X20">
        <v>31.5</v>
      </c>
      <c r="Y20">
        <v>124</v>
      </c>
      <c r="Z20">
        <v>1.042</v>
      </c>
      <c r="AA20">
        <v>279</v>
      </c>
      <c r="AB20" t="s">
        <v>45</v>
      </c>
      <c r="AC20">
        <v>4.0999999999999996</v>
      </c>
      <c r="AD20" t="str">
        <f t="shared" si="9"/>
        <v>Eutrophic</v>
      </c>
      <c r="AE20">
        <v>24.8</v>
      </c>
    </row>
    <row r="21" spans="1:31" x14ac:dyDescent="0.55000000000000004">
      <c r="A21">
        <v>80</v>
      </c>
      <c r="B21" t="s">
        <v>42</v>
      </c>
      <c r="C21">
        <v>54730</v>
      </c>
      <c r="D21" s="9" t="s">
        <v>62</v>
      </c>
      <c r="E21" s="33">
        <v>-38.032895855228503</v>
      </c>
      <c r="F21" s="33">
        <v>176.352020200434</v>
      </c>
      <c r="H21" t="s">
        <v>59</v>
      </c>
      <c r="I21" s="2">
        <v>45672.451388888891</v>
      </c>
      <c r="J21" t="s">
        <v>50</v>
      </c>
      <c r="K21">
        <v>3</v>
      </c>
      <c r="L21">
        <v>1</v>
      </c>
      <c r="M21">
        <v>1</v>
      </c>
      <c r="N21">
        <v>76.262253704070503</v>
      </c>
      <c r="O21">
        <v>473.88155290603203</v>
      </c>
      <c r="P21" s="5">
        <v>471.96207433042099</v>
      </c>
      <c r="Q21">
        <f t="shared" si="5"/>
        <v>4.2376286332697966E-2</v>
      </c>
      <c r="R21" t="s">
        <v>61</v>
      </c>
      <c r="S21" s="8">
        <v>33805828.956973203</v>
      </c>
      <c r="T21" s="8">
        <v>60736.7219804458</v>
      </c>
      <c r="U21" s="4">
        <f t="shared" si="7"/>
        <v>33.805828956973201</v>
      </c>
      <c r="V21" s="4">
        <f t="shared" si="8"/>
        <v>60.7367219804458</v>
      </c>
      <c r="W21">
        <v>123.7</v>
      </c>
      <c r="X21">
        <v>31.5</v>
      </c>
      <c r="Y21">
        <v>124</v>
      </c>
      <c r="Z21">
        <v>1.042</v>
      </c>
      <c r="AA21">
        <v>279</v>
      </c>
      <c r="AB21" t="s">
        <v>45</v>
      </c>
      <c r="AC21">
        <v>4.0999999999999996</v>
      </c>
      <c r="AD21" t="str">
        <f t="shared" si="9"/>
        <v>Eutrophic</v>
      </c>
      <c r="AE21">
        <v>24.8</v>
      </c>
    </row>
    <row r="22" spans="1:31" x14ac:dyDescent="0.55000000000000004">
      <c r="A22">
        <v>81</v>
      </c>
      <c r="B22" t="s">
        <v>42</v>
      </c>
      <c r="C22">
        <v>54730</v>
      </c>
      <c r="D22" s="9" t="s">
        <v>63</v>
      </c>
      <c r="E22">
        <v>-38.050739999999998</v>
      </c>
      <c r="F22">
        <v>176.41810000000001</v>
      </c>
      <c r="H22" t="s">
        <v>28</v>
      </c>
      <c r="I22" s="2">
        <v>45673.619444444441</v>
      </c>
      <c r="J22" t="s">
        <v>47</v>
      </c>
      <c r="K22">
        <v>3.5</v>
      </c>
      <c r="L22">
        <v>1</v>
      </c>
      <c r="M22">
        <v>1</v>
      </c>
      <c r="N22">
        <v>31.726919978436101</v>
      </c>
      <c r="O22">
        <v>201.73650011272699</v>
      </c>
      <c r="P22">
        <v>174.99633854308601</v>
      </c>
      <c r="Q22">
        <f t="shared" si="5"/>
        <v>0.11428810549128021</v>
      </c>
      <c r="R22" t="s">
        <v>57</v>
      </c>
      <c r="S22" s="8">
        <v>33805828.956973203</v>
      </c>
      <c r="T22" s="8">
        <v>60736.7219804458</v>
      </c>
      <c r="U22" s="4">
        <f t="shared" si="7"/>
        <v>33.805828956973201</v>
      </c>
      <c r="V22" s="4">
        <f t="shared" si="8"/>
        <v>60.7367219804458</v>
      </c>
      <c r="W22">
        <v>123.7</v>
      </c>
      <c r="X22">
        <v>31.5</v>
      </c>
      <c r="Y22">
        <v>124</v>
      </c>
      <c r="Z22">
        <v>1.042</v>
      </c>
      <c r="AA22">
        <v>279</v>
      </c>
      <c r="AB22" t="s">
        <v>45</v>
      </c>
      <c r="AC22">
        <v>4.0999999999999996</v>
      </c>
      <c r="AD22" t="str">
        <f t="shared" si="9"/>
        <v>Eutrophic</v>
      </c>
      <c r="AE22">
        <v>24.8</v>
      </c>
    </row>
    <row r="23" spans="1:31" x14ac:dyDescent="0.55000000000000004">
      <c r="A23">
        <v>82</v>
      </c>
      <c r="B23" t="s">
        <v>42</v>
      </c>
      <c r="C23">
        <v>54730</v>
      </c>
      <c r="D23" s="9" t="s">
        <v>64</v>
      </c>
      <c r="E23">
        <v>-38.044710000000002</v>
      </c>
      <c r="F23">
        <v>176.33879999999999</v>
      </c>
      <c r="H23" t="s">
        <v>28</v>
      </c>
      <c r="I23" s="2">
        <v>45672.430555555555</v>
      </c>
      <c r="J23" t="s">
        <v>50</v>
      </c>
      <c r="K23">
        <v>3.5</v>
      </c>
      <c r="L23">
        <v>1</v>
      </c>
      <c r="M23">
        <v>1</v>
      </c>
      <c r="N23">
        <v>81.170443137957406</v>
      </c>
      <c r="O23">
        <v>1367.54466670901</v>
      </c>
      <c r="P23">
        <v>1366.67904264963</v>
      </c>
      <c r="Q23">
        <f t="shared" si="5"/>
        <v>1.4634013821727505E-2</v>
      </c>
      <c r="R23" t="s">
        <v>57</v>
      </c>
      <c r="S23" s="8">
        <v>33805828.956973203</v>
      </c>
      <c r="T23" s="8">
        <v>60736.7219804458</v>
      </c>
      <c r="U23" s="4">
        <f t="shared" si="7"/>
        <v>33.805828956973201</v>
      </c>
      <c r="V23" s="4">
        <f t="shared" si="8"/>
        <v>60.7367219804458</v>
      </c>
      <c r="W23">
        <v>123.7</v>
      </c>
      <c r="X23">
        <v>31.5</v>
      </c>
      <c r="Y23">
        <v>124</v>
      </c>
      <c r="Z23">
        <v>1.042</v>
      </c>
      <c r="AA23">
        <v>279</v>
      </c>
      <c r="AB23" t="s">
        <v>45</v>
      </c>
      <c r="AC23">
        <v>4.0999999999999996</v>
      </c>
      <c r="AD23" t="str">
        <f t="shared" si="9"/>
        <v>Eutrophic</v>
      </c>
      <c r="AE23">
        <v>24.8</v>
      </c>
    </row>
    <row r="24" spans="1:31" x14ac:dyDescent="0.55000000000000004">
      <c r="A24">
        <v>83</v>
      </c>
      <c r="B24" t="s">
        <v>42</v>
      </c>
      <c r="C24">
        <v>54730</v>
      </c>
      <c r="D24" s="9" t="s">
        <v>65</v>
      </c>
      <c r="E24">
        <v>-38.014940000000003</v>
      </c>
      <c r="F24">
        <v>176.38820000000001</v>
      </c>
      <c r="H24" t="s">
        <v>31</v>
      </c>
      <c r="I24" s="2">
        <v>45673.527777777781</v>
      </c>
      <c r="J24" t="s">
        <v>47</v>
      </c>
      <c r="K24">
        <v>3.5</v>
      </c>
      <c r="L24">
        <v>1</v>
      </c>
      <c r="M24">
        <v>1</v>
      </c>
      <c r="N24">
        <v>16.501777248498801</v>
      </c>
      <c r="O24">
        <v>56.672120155514499</v>
      </c>
      <c r="P24">
        <v>56.312002703403998</v>
      </c>
      <c r="Q24">
        <f t="shared" si="5"/>
        <v>0.35516406875706841</v>
      </c>
      <c r="R24" t="s">
        <v>66</v>
      </c>
      <c r="S24" s="8">
        <v>33805828.956973203</v>
      </c>
      <c r="T24" s="8">
        <v>60736.7219804458</v>
      </c>
      <c r="U24" s="4">
        <f t="shared" si="7"/>
        <v>33.805828956973201</v>
      </c>
      <c r="V24" s="4">
        <f t="shared" si="8"/>
        <v>60.7367219804458</v>
      </c>
      <c r="W24">
        <v>123.7</v>
      </c>
      <c r="X24">
        <v>31.5</v>
      </c>
      <c r="Y24">
        <v>124</v>
      </c>
      <c r="Z24">
        <v>1.042</v>
      </c>
      <c r="AA24">
        <v>279</v>
      </c>
      <c r="AB24" t="s">
        <v>45</v>
      </c>
      <c r="AC24">
        <v>4.0999999999999996</v>
      </c>
      <c r="AD24" t="str">
        <f t="shared" si="9"/>
        <v>Eutrophic</v>
      </c>
      <c r="AE24">
        <v>24.8</v>
      </c>
    </row>
    <row r="25" spans="1:31" x14ac:dyDescent="0.55000000000000004">
      <c r="A25">
        <v>84</v>
      </c>
      <c r="B25" t="s">
        <v>42</v>
      </c>
      <c r="C25">
        <v>54730</v>
      </c>
      <c r="D25" s="9" t="s">
        <v>67</v>
      </c>
      <c r="E25">
        <v>-38.028669999999998</v>
      </c>
      <c r="F25">
        <v>176.3724</v>
      </c>
      <c r="H25" t="s">
        <v>28</v>
      </c>
      <c r="I25" s="2">
        <v>45672.497916666667</v>
      </c>
      <c r="J25" t="s">
        <v>50</v>
      </c>
      <c r="K25">
        <v>3.5</v>
      </c>
      <c r="L25">
        <v>1</v>
      </c>
      <c r="M25">
        <v>1</v>
      </c>
      <c r="N25">
        <v>112.232822120845</v>
      </c>
      <c r="O25">
        <v>260.51270199958901</v>
      </c>
      <c r="P25">
        <v>259.78645378930099</v>
      </c>
      <c r="Q25">
        <f t="shared" si="5"/>
        <v>7.698630820920685E-2</v>
      </c>
      <c r="S25" s="8">
        <v>33805828.956973203</v>
      </c>
      <c r="T25" s="8">
        <v>60736.7219804458</v>
      </c>
      <c r="U25" s="4">
        <f t="shared" si="7"/>
        <v>33.805828956973201</v>
      </c>
      <c r="V25" s="4">
        <f t="shared" si="8"/>
        <v>60.7367219804458</v>
      </c>
      <c r="W25">
        <v>123.7</v>
      </c>
      <c r="X25">
        <v>31.5</v>
      </c>
      <c r="Y25">
        <v>124</v>
      </c>
      <c r="Z25">
        <v>1.042</v>
      </c>
      <c r="AA25">
        <v>279</v>
      </c>
      <c r="AB25" t="s">
        <v>45</v>
      </c>
      <c r="AC25">
        <v>4.0999999999999996</v>
      </c>
      <c r="AD25" t="str">
        <f t="shared" si="9"/>
        <v>Eutrophic</v>
      </c>
      <c r="AE25">
        <v>24.8</v>
      </c>
    </row>
    <row r="26" spans="1:31" x14ac:dyDescent="0.55000000000000004">
      <c r="A26">
        <v>85</v>
      </c>
      <c r="B26" t="s">
        <v>68</v>
      </c>
      <c r="C26">
        <v>40188</v>
      </c>
      <c r="D26" s="9" t="s">
        <v>69</v>
      </c>
      <c r="E26">
        <v>-38.015090000000001</v>
      </c>
      <c r="F26">
        <v>176.53790000000001</v>
      </c>
      <c r="H26" t="s">
        <v>28</v>
      </c>
      <c r="I26" s="2">
        <v>45636.447916666664</v>
      </c>
      <c r="J26" t="s">
        <v>50</v>
      </c>
      <c r="K26">
        <f ca="1">AVERAGE($K$27:$K$37)</f>
        <v>3.4</v>
      </c>
      <c r="L26">
        <v>1</v>
      </c>
      <c r="M26">
        <v>1</v>
      </c>
      <c r="N26">
        <v>110.338362712395</v>
      </c>
      <c r="P26" s="33">
        <v>109.762152541457</v>
      </c>
      <c r="Q26">
        <f>5/P26</f>
        <v>4.5553042503530601E-2</v>
      </c>
      <c r="S26" s="8">
        <v>7926889.2859905297</v>
      </c>
      <c r="T26" s="8">
        <v>39745.737553952902</v>
      </c>
      <c r="U26" s="4">
        <f>S26/1000000</f>
        <v>7.92688928599053</v>
      </c>
      <c r="V26" s="4">
        <f>T26/1000</f>
        <v>39.7457375539529</v>
      </c>
      <c r="W26">
        <v>49.2</v>
      </c>
      <c r="X26">
        <v>8</v>
      </c>
      <c r="Y26">
        <v>13.5</v>
      </c>
      <c r="Z26">
        <v>6.0999999999999999E-2</v>
      </c>
      <c r="AA26">
        <v>295</v>
      </c>
      <c r="AB26" t="s">
        <v>29</v>
      </c>
      <c r="AC26">
        <v>4.3</v>
      </c>
      <c r="AD26" t="str">
        <f>IF(ISBLANK(AC26), "", IF(AC26&lt;=2, "Microtrophic", IF(AC26&lt;=3, "Oligotrophic", IF(AC26&lt;=4, "Mesotrophic", IF(AC26&lt;=5, "Eutrophic", "Supertrophic")))))</f>
        <v>Eutrophic</v>
      </c>
      <c r="AE26">
        <v>16.899999999999999</v>
      </c>
    </row>
    <row r="27" spans="1:31" x14ac:dyDescent="0.55000000000000004">
      <c r="A27">
        <v>86</v>
      </c>
      <c r="B27" t="s">
        <v>68</v>
      </c>
      <c r="C27">
        <v>40188</v>
      </c>
      <c r="D27" s="9" t="s">
        <v>70</v>
      </c>
      <c r="E27">
        <v>-38.000630000000001</v>
      </c>
      <c r="F27">
        <v>176.53270000000001</v>
      </c>
      <c r="H27" t="s">
        <v>59</v>
      </c>
      <c r="I27" s="2">
        <v>45636.479166666664</v>
      </c>
      <c r="J27" t="s">
        <v>50</v>
      </c>
      <c r="K27">
        <v>4</v>
      </c>
      <c r="L27">
        <v>1</v>
      </c>
      <c r="M27">
        <v>1</v>
      </c>
      <c r="N27">
        <v>29.7909216149725</v>
      </c>
      <c r="P27" s="33">
        <v>29.608065140076999</v>
      </c>
      <c r="Q27">
        <f t="shared" ref="Q27:Q37" si="10">5/P27</f>
        <v>0.1688729059580486</v>
      </c>
      <c r="S27" s="8">
        <v>7926889.2859905297</v>
      </c>
      <c r="T27" s="8">
        <v>39745.737553952902</v>
      </c>
      <c r="U27" s="4">
        <f>S27/1000000</f>
        <v>7.92688928599053</v>
      </c>
      <c r="V27" s="4">
        <f>T27/1000</f>
        <v>39.7457375539529</v>
      </c>
      <c r="W27">
        <v>49.2</v>
      </c>
      <c r="X27">
        <v>8</v>
      </c>
      <c r="Y27">
        <v>13.5</v>
      </c>
      <c r="Z27">
        <v>6.0999999999999999E-2</v>
      </c>
      <c r="AA27">
        <v>295</v>
      </c>
      <c r="AB27" t="s">
        <v>29</v>
      </c>
      <c r="AC27">
        <v>4.3</v>
      </c>
      <c r="AD27" t="str">
        <f>IF(ISBLANK(AC27), "", IF(AC27&lt;=2, "Microtrophic", IF(AC27&lt;=3, "Oligotrophic", IF(AC27&lt;=4, "Mesotrophic", IF(AC27&lt;=5, "Eutrophic", "Supertrophic")))))</f>
        <v>Eutrophic</v>
      </c>
      <c r="AE27">
        <v>16.899999999999999</v>
      </c>
    </row>
    <row r="28" spans="1:31" x14ac:dyDescent="0.55000000000000004">
      <c r="A28">
        <v>87</v>
      </c>
      <c r="B28" t="s">
        <v>68</v>
      </c>
      <c r="C28">
        <v>40188</v>
      </c>
      <c r="D28" s="9" t="s">
        <v>71</v>
      </c>
      <c r="E28">
        <v>-38.006630000000001</v>
      </c>
      <c r="F28">
        <v>176.52119999999999</v>
      </c>
      <c r="H28" t="s">
        <v>28</v>
      </c>
      <c r="I28" s="2">
        <v>45636.541666666664</v>
      </c>
      <c r="J28" t="s">
        <v>50</v>
      </c>
      <c r="K28">
        <v>3.3</v>
      </c>
      <c r="L28">
        <v>1</v>
      </c>
      <c r="M28">
        <v>1</v>
      </c>
      <c r="N28">
        <v>78.792612831617603</v>
      </c>
      <c r="P28" s="33">
        <v>78.788926805328302</v>
      </c>
      <c r="Q28">
        <f t="shared" si="10"/>
        <v>6.3460694322617195E-2</v>
      </c>
      <c r="S28" s="8">
        <v>7926889.2859905297</v>
      </c>
      <c r="T28" s="8">
        <v>39745.737553952902</v>
      </c>
      <c r="U28" s="4">
        <f t="shared" ref="U28:U37" si="11">S28/1000000</f>
        <v>7.92688928599053</v>
      </c>
      <c r="V28" s="4">
        <f t="shared" ref="V28:V37" si="12">T28/1000</f>
        <v>39.7457375539529</v>
      </c>
      <c r="W28">
        <v>49.2</v>
      </c>
      <c r="X28">
        <v>8</v>
      </c>
      <c r="Y28">
        <v>13.5</v>
      </c>
      <c r="Z28">
        <v>6.0999999999999999E-2</v>
      </c>
      <c r="AA28">
        <v>295</v>
      </c>
      <c r="AB28" t="s">
        <v>29</v>
      </c>
      <c r="AC28">
        <v>4.3</v>
      </c>
      <c r="AD28" t="str">
        <f t="shared" ref="AD28:AD37" si="13">IF(ISBLANK(AC28), "", IF(AC28&lt;=2, "Microtrophic", IF(AC28&lt;=3, "Oligotrophic", IF(AC28&lt;=4, "Mesotrophic", IF(AC28&lt;=5, "Eutrophic", "Supertrophic")))))</f>
        <v>Eutrophic</v>
      </c>
      <c r="AE28">
        <v>16.899999999999999</v>
      </c>
    </row>
    <row r="29" spans="1:31" x14ac:dyDescent="0.55000000000000004">
      <c r="A29">
        <v>88</v>
      </c>
      <c r="B29" t="s">
        <v>68</v>
      </c>
      <c r="C29">
        <v>40188</v>
      </c>
      <c r="D29" s="9" t="s">
        <v>72</v>
      </c>
      <c r="E29">
        <v>-38.033340000000003</v>
      </c>
      <c r="F29">
        <v>176.52610000000001</v>
      </c>
      <c r="H29" t="s">
        <v>28</v>
      </c>
      <c r="I29" s="2">
        <v>45637.729166666664</v>
      </c>
      <c r="J29" t="s">
        <v>50</v>
      </c>
      <c r="K29">
        <f t="shared" ref="K29:K36" ca="1" si="14">AVERAGE($K$27:$K$37)</f>
        <v>3.4</v>
      </c>
      <c r="L29">
        <v>1</v>
      </c>
      <c r="M29">
        <v>1</v>
      </c>
      <c r="N29">
        <v>132.64604470706399</v>
      </c>
      <c r="P29" s="33">
        <v>131.90850290360501</v>
      </c>
      <c r="Q29">
        <f t="shared" si="10"/>
        <v>3.7905062144885822E-2</v>
      </c>
      <c r="S29" s="8">
        <v>7926889.2859905297</v>
      </c>
      <c r="T29" s="8">
        <v>39745.737553952902</v>
      </c>
      <c r="U29" s="4">
        <f t="shared" si="11"/>
        <v>7.92688928599053</v>
      </c>
      <c r="V29" s="4">
        <f t="shared" si="12"/>
        <v>39.7457375539529</v>
      </c>
      <c r="W29">
        <v>49.2</v>
      </c>
      <c r="X29">
        <v>8</v>
      </c>
      <c r="Y29">
        <v>13.5</v>
      </c>
      <c r="Z29">
        <v>6.0999999999999999E-2</v>
      </c>
      <c r="AA29">
        <v>295</v>
      </c>
      <c r="AB29" t="s">
        <v>29</v>
      </c>
      <c r="AC29">
        <v>4.3</v>
      </c>
      <c r="AD29" t="str">
        <f t="shared" si="13"/>
        <v>Eutrophic</v>
      </c>
      <c r="AE29">
        <v>16.899999999999999</v>
      </c>
    </row>
    <row r="30" spans="1:31" x14ac:dyDescent="0.55000000000000004">
      <c r="A30">
        <v>89</v>
      </c>
      <c r="B30" t="s">
        <v>68</v>
      </c>
      <c r="C30">
        <v>40188</v>
      </c>
      <c r="D30" s="9" t="s">
        <v>73</v>
      </c>
      <c r="E30">
        <v>-37.999519999999997</v>
      </c>
      <c r="F30">
        <v>176.53700000000001</v>
      </c>
      <c r="H30" t="s">
        <v>59</v>
      </c>
      <c r="I30" s="2">
        <v>45636.511805555558</v>
      </c>
      <c r="J30" t="s">
        <v>50</v>
      </c>
      <c r="K30">
        <f t="shared" ca="1" si="14"/>
        <v>3.4</v>
      </c>
      <c r="L30">
        <v>1</v>
      </c>
      <c r="M30">
        <v>1</v>
      </c>
      <c r="N30">
        <v>170.468039942681</v>
      </c>
      <c r="P30" s="33">
        <v>170.31269884201899</v>
      </c>
      <c r="Q30">
        <f t="shared" si="10"/>
        <v>2.9357763889573316E-2</v>
      </c>
      <c r="R30" t="s">
        <v>74</v>
      </c>
      <c r="S30" s="8">
        <v>7926889.2859905297</v>
      </c>
      <c r="T30" s="8">
        <v>39745.737553952902</v>
      </c>
      <c r="U30" s="4">
        <f t="shared" si="11"/>
        <v>7.92688928599053</v>
      </c>
      <c r="V30" s="4">
        <f t="shared" si="12"/>
        <v>39.7457375539529</v>
      </c>
      <c r="W30">
        <v>49.2</v>
      </c>
      <c r="X30">
        <v>8</v>
      </c>
      <c r="Y30">
        <v>13.5</v>
      </c>
      <c r="Z30">
        <v>6.0999999999999999E-2</v>
      </c>
      <c r="AA30">
        <v>295</v>
      </c>
      <c r="AB30" t="s">
        <v>29</v>
      </c>
      <c r="AC30">
        <v>4.3</v>
      </c>
      <c r="AD30" t="str">
        <f t="shared" si="13"/>
        <v>Eutrophic</v>
      </c>
      <c r="AE30">
        <v>16.899999999999999</v>
      </c>
    </row>
    <row r="31" spans="1:31" x14ac:dyDescent="0.55000000000000004">
      <c r="A31">
        <v>90</v>
      </c>
      <c r="B31" t="s">
        <v>68</v>
      </c>
      <c r="C31">
        <v>40188</v>
      </c>
      <c r="D31" s="9" t="s">
        <v>75</v>
      </c>
      <c r="E31">
        <v>-37.999859999999998</v>
      </c>
      <c r="F31">
        <v>176.5215</v>
      </c>
      <c r="H31" t="s">
        <v>28</v>
      </c>
      <c r="I31" s="2">
        <v>45636.53125</v>
      </c>
      <c r="J31" t="s">
        <v>50</v>
      </c>
      <c r="K31">
        <f t="shared" ca="1" si="14"/>
        <v>3.4</v>
      </c>
      <c r="L31">
        <v>1</v>
      </c>
      <c r="M31">
        <v>1</v>
      </c>
      <c r="N31">
        <v>85.188175740225901</v>
      </c>
      <c r="P31" s="33">
        <v>84.527911993491998</v>
      </c>
      <c r="Q31">
        <f t="shared" si="10"/>
        <v>5.9152058557710045E-2</v>
      </c>
      <c r="S31" s="8">
        <v>7926889.2859905297</v>
      </c>
      <c r="T31" s="8">
        <v>39745.737553952902</v>
      </c>
      <c r="U31" s="4">
        <f t="shared" si="11"/>
        <v>7.92688928599053</v>
      </c>
      <c r="V31" s="4">
        <f t="shared" si="12"/>
        <v>39.7457375539529</v>
      </c>
      <c r="W31">
        <v>49.2</v>
      </c>
      <c r="X31">
        <v>8</v>
      </c>
      <c r="Y31">
        <v>13.5</v>
      </c>
      <c r="Z31">
        <v>6.0999999999999999E-2</v>
      </c>
      <c r="AA31">
        <v>295</v>
      </c>
      <c r="AB31" t="s">
        <v>29</v>
      </c>
      <c r="AC31">
        <v>4.3</v>
      </c>
      <c r="AD31" t="str">
        <f t="shared" si="13"/>
        <v>Eutrophic</v>
      </c>
      <c r="AE31">
        <v>16.899999999999999</v>
      </c>
    </row>
    <row r="32" spans="1:31" x14ac:dyDescent="0.55000000000000004">
      <c r="A32">
        <v>91</v>
      </c>
      <c r="B32" t="s">
        <v>68</v>
      </c>
      <c r="C32">
        <v>40188</v>
      </c>
      <c r="D32" s="9" t="s">
        <v>76</v>
      </c>
      <c r="E32">
        <v>-38.014299999999999</v>
      </c>
      <c r="F32">
        <v>176.5179</v>
      </c>
      <c r="H32" t="s">
        <v>28</v>
      </c>
      <c r="I32" s="2">
        <v>45637.663194444445</v>
      </c>
      <c r="J32" t="s">
        <v>44</v>
      </c>
      <c r="K32">
        <f t="shared" ca="1" si="14"/>
        <v>3.4</v>
      </c>
      <c r="L32">
        <v>1</v>
      </c>
      <c r="M32">
        <v>1</v>
      </c>
      <c r="N32">
        <v>60.860933958612897</v>
      </c>
      <c r="P32" s="33">
        <v>60.733890334237202</v>
      </c>
      <c r="Q32">
        <f t="shared" si="10"/>
        <v>8.2326358026523064E-2</v>
      </c>
      <c r="S32" s="8">
        <v>7926889.2859905297</v>
      </c>
      <c r="T32" s="8">
        <v>39745.737553952902</v>
      </c>
      <c r="U32" s="4">
        <f t="shared" si="11"/>
        <v>7.92688928599053</v>
      </c>
      <c r="V32" s="4">
        <f t="shared" si="12"/>
        <v>39.7457375539529</v>
      </c>
      <c r="W32">
        <v>49.2</v>
      </c>
      <c r="X32">
        <v>8</v>
      </c>
      <c r="Y32">
        <v>13.5</v>
      </c>
      <c r="Z32">
        <v>6.0999999999999999E-2</v>
      </c>
      <c r="AA32">
        <v>295</v>
      </c>
      <c r="AB32" t="s">
        <v>29</v>
      </c>
      <c r="AC32">
        <v>4.3</v>
      </c>
      <c r="AD32" t="str">
        <f t="shared" si="13"/>
        <v>Eutrophic</v>
      </c>
      <c r="AE32">
        <v>16.899999999999999</v>
      </c>
    </row>
    <row r="33" spans="1:31" x14ac:dyDescent="0.55000000000000004">
      <c r="A33">
        <v>92</v>
      </c>
      <c r="B33" t="s">
        <v>68</v>
      </c>
      <c r="C33">
        <v>40188</v>
      </c>
      <c r="D33" s="9" t="s">
        <v>77</v>
      </c>
      <c r="E33">
        <v>-38.035739999999997</v>
      </c>
      <c r="F33">
        <v>176.51669999999999</v>
      </c>
      <c r="H33" t="s">
        <v>59</v>
      </c>
      <c r="I33" s="2">
        <v>45637.708333333336</v>
      </c>
      <c r="J33" t="s">
        <v>50</v>
      </c>
      <c r="K33">
        <f t="shared" ca="1" si="14"/>
        <v>3.4</v>
      </c>
      <c r="L33">
        <v>1</v>
      </c>
      <c r="M33">
        <v>1</v>
      </c>
      <c r="N33">
        <v>242.351268085741</v>
      </c>
      <c r="P33" s="33">
        <v>241.86196155344999</v>
      </c>
      <c r="Q33">
        <f t="shared" si="10"/>
        <v>2.0672949015569077E-2</v>
      </c>
      <c r="S33" s="8">
        <v>7926889.2859905297</v>
      </c>
      <c r="T33" s="8">
        <v>39745.737553952902</v>
      </c>
      <c r="U33" s="4">
        <f t="shared" si="11"/>
        <v>7.92688928599053</v>
      </c>
      <c r="V33" s="4">
        <f t="shared" si="12"/>
        <v>39.7457375539529</v>
      </c>
      <c r="W33">
        <v>49.2</v>
      </c>
      <c r="X33">
        <v>8</v>
      </c>
      <c r="Y33">
        <v>13.5</v>
      </c>
      <c r="Z33">
        <v>6.0999999999999999E-2</v>
      </c>
      <c r="AA33">
        <v>295</v>
      </c>
      <c r="AB33" t="s">
        <v>29</v>
      </c>
      <c r="AC33">
        <v>4.3</v>
      </c>
      <c r="AD33" t="str">
        <f t="shared" si="13"/>
        <v>Eutrophic</v>
      </c>
      <c r="AE33">
        <v>16.899999999999999</v>
      </c>
    </row>
    <row r="34" spans="1:31" x14ac:dyDescent="0.55000000000000004">
      <c r="A34">
        <v>93</v>
      </c>
      <c r="B34" t="s">
        <v>68</v>
      </c>
      <c r="C34">
        <v>40188</v>
      </c>
      <c r="D34" s="9" t="s">
        <v>78</v>
      </c>
      <c r="E34">
        <v>-38.00562</v>
      </c>
      <c r="F34">
        <v>176.54419999999999</v>
      </c>
      <c r="H34" t="s">
        <v>59</v>
      </c>
      <c r="I34" s="2">
        <v>45636.472222222219</v>
      </c>
      <c r="J34" t="s">
        <v>50</v>
      </c>
      <c r="K34">
        <f t="shared" ca="1" si="14"/>
        <v>3.4</v>
      </c>
      <c r="L34">
        <v>1</v>
      </c>
      <c r="M34">
        <v>1</v>
      </c>
      <c r="N34">
        <v>159.63424648169101</v>
      </c>
      <c r="P34" s="33">
        <v>157.40329340781199</v>
      </c>
      <c r="Q34">
        <f t="shared" si="10"/>
        <v>3.1765536106322968E-2</v>
      </c>
      <c r="S34" s="8">
        <v>7926889.2859905297</v>
      </c>
      <c r="T34" s="8">
        <v>39745.737553952902</v>
      </c>
      <c r="U34" s="4">
        <f t="shared" si="11"/>
        <v>7.92688928599053</v>
      </c>
      <c r="V34" s="4">
        <f t="shared" si="12"/>
        <v>39.7457375539529</v>
      </c>
      <c r="W34">
        <v>49.2</v>
      </c>
      <c r="X34">
        <v>8</v>
      </c>
      <c r="Y34">
        <v>13.5</v>
      </c>
      <c r="Z34">
        <v>6.0999999999999999E-2</v>
      </c>
      <c r="AA34">
        <v>295</v>
      </c>
      <c r="AB34" t="s">
        <v>29</v>
      </c>
      <c r="AC34">
        <v>4.3</v>
      </c>
      <c r="AD34" t="str">
        <f t="shared" si="13"/>
        <v>Eutrophic</v>
      </c>
      <c r="AE34">
        <v>16.899999999999999</v>
      </c>
    </row>
    <row r="35" spans="1:31" x14ac:dyDescent="0.55000000000000004">
      <c r="A35">
        <v>94</v>
      </c>
      <c r="B35" t="s">
        <v>68</v>
      </c>
      <c r="C35">
        <v>40188</v>
      </c>
      <c r="D35" s="9" t="s">
        <v>79</v>
      </c>
      <c r="E35">
        <v>-38.012189999999997</v>
      </c>
      <c r="F35">
        <v>176.51220000000001</v>
      </c>
      <c r="H35" t="s">
        <v>28</v>
      </c>
      <c r="I35" s="2">
        <v>45637.651388888888</v>
      </c>
      <c r="J35" t="s">
        <v>44</v>
      </c>
      <c r="K35">
        <f t="shared" ca="1" si="14"/>
        <v>3.4</v>
      </c>
      <c r="L35">
        <v>1</v>
      </c>
      <c r="M35">
        <v>1</v>
      </c>
      <c r="N35">
        <v>74.219886351167105</v>
      </c>
      <c r="P35" s="33">
        <v>73.8193002366027</v>
      </c>
      <c r="Q35">
        <f t="shared" si="10"/>
        <v>6.7732963926428427E-2</v>
      </c>
      <c r="S35" s="8">
        <v>7926889.2859905297</v>
      </c>
      <c r="T35" s="8">
        <v>39745.737553952902</v>
      </c>
      <c r="U35" s="4">
        <f t="shared" si="11"/>
        <v>7.92688928599053</v>
      </c>
      <c r="V35" s="4">
        <f t="shared" si="12"/>
        <v>39.7457375539529</v>
      </c>
      <c r="W35">
        <v>49.2</v>
      </c>
      <c r="X35">
        <v>8</v>
      </c>
      <c r="Y35">
        <v>13.5</v>
      </c>
      <c r="Z35">
        <v>6.0999999999999999E-2</v>
      </c>
      <c r="AA35">
        <v>295</v>
      </c>
      <c r="AB35" t="s">
        <v>29</v>
      </c>
      <c r="AC35">
        <v>4.3</v>
      </c>
      <c r="AD35" t="str">
        <f t="shared" si="13"/>
        <v>Eutrophic</v>
      </c>
      <c r="AE35">
        <v>16.899999999999999</v>
      </c>
    </row>
    <row r="36" spans="1:31" x14ac:dyDescent="0.55000000000000004">
      <c r="A36">
        <v>95</v>
      </c>
      <c r="B36" t="s">
        <v>68</v>
      </c>
      <c r="C36">
        <v>40188</v>
      </c>
      <c r="D36" s="9" t="s">
        <v>80</v>
      </c>
      <c r="E36">
        <v>-38.023350000000001</v>
      </c>
      <c r="F36">
        <v>176.5232</v>
      </c>
      <c r="H36" t="s">
        <v>31</v>
      </c>
      <c r="I36" s="2">
        <v>45637.676388888889</v>
      </c>
      <c r="J36" t="s">
        <v>50</v>
      </c>
      <c r="K36">
        <f t="shared" ca="1" si="14"/>
        <v>3.4</v>
      </c>
      <c r="L36">
        <v>1</v>
      </c>
      <c r="M36">
        <v>1</v>
      </c>
      <c r="N36">
        <v>18.364874676005002</v>
      </c>
      <c r="P36" s="33">
        <v>18.364874676005002</v>
      </c>
      <c r="Q36">
        <f t="shared" si="10"/>
        <v>0.27225886853085096</v>
      </c>
      <c r="S36" s="8">
        <v>7926889.2859905297</v>
      </c>
      <c r="T36" s="8">
        <v>39745.737553952902</v>
      </c>
      <c r="U36" s="4">
        <f t="shared" si="11"/>
        <v>7.92688928599053</v>
      </c>
      <c r="V36" s="4">
        <f t="shared" si="12"/>
        <v>39.7457375539529</v>
      </c>
      <c r="W36">
        <v>49.2</v>
      </c>
      <c r="X36">
        <v>8</v>
      </c>
      <c r="Y36">
        <v>13.5</v>
      </c>
      <c r="Z36">
        <v>6.0999999999999999E-2</v>
      </c>
      <c r="AA36">
        <v>295</v>
      </c>
      <c r="AB36" t="s">
        <v>29</v>
      </c>
      <c r="AC36">
        <v>4.3</v>
      </c>
      <c r="AD36" t="str">
        <f t="shared" si="13"/>
        <v>Eutrophic</v>
      </c>
      <c r="AE36">
        <v>16.899999999999999</v>
      </c>
    </row>
    <row r="37" spans="1:31" x14ac:dyDescent="0.55000000000000004">
      <c r="A37">
        <v>96</v>
      </c>
      <c r="B37" t="s">
        <v>68</v>
      </c>
      <c r="C37">
        <v>40188</v>
      </c>
      <c r="D37" s="9" t="s">
        <v>81</v>
      </c>
      <c r="E37">
        <v>-38.027986465097698</v>
      </c>
      <c r="F37">
        <v>176.51664366909301</v>
      </c>
      <c r="H37" t="s">
        <v>28</v>
      </c>
      <c r="I37" s="2">
        <v>45637.697222222225</v>
      </c>
      <c r="J37" t="s">
        <v>50</v>
      </c>
      <c r="K37">
        <v>2.9</v>
      </c>
      <c r="L37">
        <v>1</v>
      </c>
      <c r="M37">
        <v>1</v>
      </c>
      <c r="N37">
        <v>80.144900737199706</v>
      </c>
      <c r="O37" s="41"/>
      <c r="P37" s="33">
        <v>75.462950525754096</v>
      </c>
      <c r="Q37">
        <f t="shared" si="10"/>
        <v>6.6257679631723299E-2</v>
      </c>
      <c r="R37" t="s">
        <v>82</v>
      </c>
      <c r="S37" s="8">
        <v>7926889.2859905297</v>
      </c>
      <c r="T37" s="8">
        <v>39745.737553952902</v>
      </c>
      <c r="U37" s="4">
        <f t="shared" si="11"/>
        <v>7.92688928599053</v>
      </c>
      <c r="V37" s="4">
        <f t="shared" si="12"/>
        <v>39.7457375539529</v>
      </c>
      <c r="W37">
        <v>49.2</v>
      </c>
      <c r="X37">
        <v>8</v>
      </c>
      <c r="Y37">
        <v>13.5</v>
      </c>
      <c r="Z37">
        <v>6.0999999999999999E-2</v>
      </c>
      <c r="AA37">
        <v>295</v>
      </c>
      <c r="AB37" t="s">
        <v>29</v>
      </c>
      <c r="AC37">
        <v>4.3</v>
      </c>
      <c r="AD37" t="str">
        <f t="shared" si="13"/>
        <v>Eutrophic</v>
      </c>
      <c r="AE37">
        <v>16.899999999999999</v>
      </c>
    </row>
    <row r="38" spans="1:31" x14ac:dyDescent="0.55000000000000004">
      <c r="A38">
        <v>97</v>
      </c>
      <c r="B38" t="s">
        <v>83</v>
      </c>
      <c r="C38">
        <v>40102</v>
      </c>
      <c r="D38" s="9" t="s">
        <v>84</v>
      </c>
      <c r="E38">
        <v>-38.03192</v>
      </c>
      <c r="F38">
        <v>176.55930000000001</v>
      </c>
      <c r="H38" t="s">
        <v>28</v>
      </c>
      <c r="I38" s="2">
        <v>45602.46875</v>
      </c>
      <c r="J38" t="s">
        <v>44</v>
      </c>
      <c r="K38">
        <v>7.6</v>
      </c>
      <c r="L38">
        <v>1</v>
      </c>
      <c r="M38">
        <v>1</v>
      </c>
      <c r="N38">
        <v>53.217273746613998</v>
      </c>
      <c r="O38">
        <v>127.05873396639601</v>
      </c>
      <c r="P38">
        <v>126.009846508404</v>
      </c>
      <c r="Q38">
        <f t="shared" si="5"/>
        <v>0.15871775543085148</v>
      </c>
      <c r="S38" s="8">
        <v>11137002.6670586</v>
      </c>
      <c r="T38" s="8">
        <v>23686.395632694799</v>
      </c>
      <c r="U38" s="4">
        <f>S38/1000000</f>
        <v>11.137002667058599</v>
      </c>
      <c r="V38" s="4">
        <f>T38/1000</f>
        <v>23.686395632694801</v>
      </c>
      <c r="W38">
        <v>27.8</v>
      </c>
      <c r="X38">
        <v>36.9</v>
      </c>
      <c r="Y38">
        <v>83</v>
      </c>
      <c r="Z38">
        <v>0.45600000000000002</v>
      </c>
      <c r="AA38">
        <v>316</v>
      </c>
      <c r="AB38" t="s">
        <v>45</v>
      </c>
      <c r="AC38">
        <v>2.4</v>
      </c>
      <c r="AD38" t="str">
        <f>IF(ISBLANK(AC38), "", IF(AC38&lt;=2, "Microtrophic", IF(AC38&lt;=3, "Oligotrophic", IF(AC38&lt;=4, "Mesotrophic", IF(AC38&lt;=5, "Eutrophic", "Supertrophic")))))</f>
        <v>Oligotrophic</v>
      </c>
      <c r="AE38">
        <v>51.6</v>
      </c>
    </row>
    <row r="39" spans="1:31" x14ac:dyDescent="0.55000000000000004">
      <c r="A39">
        <v>98</v>
      </c>
      <c r="B39" t="s">
        <v>83</v>
      </c>
      <c r="C39">
        <v>40102</v>
      </c>
      <c r="D39" s="9" t="s">
        <v>85</v>
      </c>
      <c r="E39">
        <v>-38.03942</v>
      </c>
      <c r="F39">
        <v>176.5778</v>
      </c>
      <c r="H39" t="s">
        <v>31</v>
      </c>
      <c r="I39" s="2">
        <v>45602.510416666664</v>
      </c>
      <c r="J39" t="s">
        <v>44</v>
      </c>
      <c r="K39">
        <v>7.6</v>
      </c>
      <c r="L39">
        <v>1</v>
      </c>
      <c r="M39">
        <v>1</v>
      </c>
      <c r="N39">
        <v>22.135885931433201</v>
      </c>
      <c r="O39">
        <v>49.7590474375897</v>
      </c>
      <c r="P39">
        <v>48.713642391596601</v>
      </c>
      <c r="Q39">
        <f t="shared" si="5"/>
        <v>0.41056260665595645</v>
      </c>
      <c r="S39" s="8">
        <v>11137002.6670586</v>
      </c>
      <c r="T39" s="8">
        <v>23686.395632694799</v>
      </c>
      <c r="U39" s="4">
        <f>S39/1000000</f>
        <v>11.137002667058599</v>
      </c>
      <c r="V39" s="4">
        <f>T39/1000</f>
        <v>23.686395632694801</v>
      </c>
      <c r="W39">
        <v>27.8</v>
      </c>
      <c r="X39">
        <v>36.9</v>
      </c>
      <c r="Y39">
        <v>83</v>
      </c>
      <c r="Z39">
        <v>0.45600000000000002</v>
      </c>
      <c r="AA39">
        <v>316</v>
      </c>
      <c r="AB39" t="s">
        <v>45</v>
      </c>
      <c r="AC39">
        <v>2.4</v>
      </c>
      <c r="AD39" t="str">
        <f>IF(ISBLANK(AC39), "", IF(AC39&lt;=2, "Microtrophic", IF(AC39&lt;=3, "Oligotrophic", IF(AC39&lt;=4, "Mesotrophic", IF(AC39&lt;=5, "Eutrophic", "Supertrophic")))))</f>
        <v>Oligotrophic</v>
      </c>
      <c r="AE39">
        <v>51.6</v>
      </c>
    </row>
    <row r="40" spans="1:31" x14ac:dyDescent="0.55000000000000004">
      <c r="A40">
        <v>99</v>
      </c>
      <c r="B40" t="s">
        <v>83</v>
      </c>
      <c r="C40">
        <v>40102</v>
      </c>
      <c r="D40" s="9" t="s">
        <v>86</v>
      </c>
      <c r="E40">
        <v>-38.043390000000002</v>
      </c>
      <c r="F40">
        <v>176.5976</v>
      </c>
      <c r="H40" t="s">
        <v>28</v>
      </c>
      <c r="I40" s="2">
        <v>45602.381944444445</v>
      </c>
      <c r="J40" t="s">
        <v>44</v>
      </c>
      <c r="K40">
        <v>7.6</v>
      </c>
      <c r="L40">
        <v>1</v>
      </c>
      <c r="M40">
        <v>1</v>
      </c>
      <c r="N40">
        <v>78.139119222685807</v>
      </c>
      <c r="O40">
        <v>146.84065794969399</v>
      </c>
      <c r="P40">
        <v>146.78650889130901</v>
      </c>
      <c r="Q40">
        <f t="shared" si="5"/>
        <v>0.13625230377819939</v>
      </c>
      <c r="R40" t="s">
        <v>87</v>
      </c>
      <c r="S40" s="8">
        <v>11137002.6670586</v>
      </c>
      <c r="T40" s="8">
        <v>23686.395632694799</v>
      </c>
      <c r="U40" s="4">
        <f t="shared" ref="U40:U49" si="15">S40/1000000</f>
        <v>11.137002667058599</v>
      </c>
      <c r="V40" s="4">
        <f t="shared" ref="V40:V49" si="16">T40/1000</f>
        <v>23.686395632694801</v>
      </c>
      <c r="W40">
        <v>27.8</v>
      </c>
      <c r="X40">
        <v>36.9</v>
      </c>
      <c r="Y40">
        <v>83</v>
      </c>
      <c r="Z40">
        <v>0.45600000000000002</v>
      </c>
      <c r="AA40">
        <v>316</v>
      </c>
      <c r="AB40" t="s">
        <v>45</v>
      </c>
      <c r="AC40">
        <v>2.4</v>
      </c>
      <c r="AD40" t="str">
        <f t="shared" ref="AD40:AD49" si="17">IF(ISBLANK(AC40), "", IF(AC40&lt;=2, "Microtrophic", IF(AC40&lt;=3, "Oligotrophic", IF(AC40&lt;=4, "Mesotrophic", IF(AC40&lt;=5, "Eutrophic", "Supertrophic")))))</f>
        <v>Oligotrophic</v>
      </c>
      <c r="AE40">
        <v>51.6</v>
      </c>
    </row>
    <row r="41" spans="1:31" x14ac:dyDescent="0.55000000000000004">
      <c r="A41">
        <v>100</v>
      </c>
      <c r="B41" t="s">
        <v>83</v>
      </c>
      <c r="C41">
        <v>40102</v>
      </c>
      <c r="D41" s="9" t="s">
        <v>88</v>
      </c>
      <c r="E41">
        <v>-38.049709999999997</v>
      </c>
      <c r="F41">
        <v>176.56530000000001</v>
      </c>
      <c r="H41" t="s">
        <v>59</v>
      </c>
      <c r="I41" s="2">
        <v>45603.604166666664</v>
      </c>
      <c r="J41" t="s">
        <v>44</v>
      </c>
      <c r="K41">
        <v>7.6</v>
      </c>
      <c r="L41">
        <v>0</v>
      </c>
      <c r="M41">
        <v>0</v>
      </c>
      <c r="N41">
        <v>630.72814824283796</v>
      </c>
      <c r="O41">
        <v>763.80556737725101</v>
      </c>
      <c r="P41">
        <v>763.78828307970105</v>
      </c>
      <c r="Q41">
        <f t="shared" si="5"/>
        <v>2.6185266837764527E-2</v>
      </c>
      <c r="R41" t="s">
        <v>89</v>
      </c>
      <c r="S41" s="8">
        <v>11137002.6670586</v>
      </c>
      <c r="T41" s="8">
        <v>23686.395632694799</v>
      </c>
      <c r="U41" s="4">
        <f t="shared" si="15"/>
        <v>11.137002667058599</v>
      </c>
      <c r="V41" s="4">
        <f t="shared" si="16"/>
        <v>23.686395632694801</v>
      </c>
      <c r="W41">
        <v>27.8</v>
      </c>
      <c r="X41">
        <v>36.9</v>
      </c>
      <c r="Y41">
        <v>83</v>
      </c>
      <c r="Z41">
        <v>0.45600000000000002</v>
      </c>
      <c r="AA41">
        <v>316</v>
      </c>
      <c r="AB41" t="s">
        <v>45</v>
      </c>
      <c r="AC41">
        <v>2.4</v>
      </c>
      <c r="AD41" t="str">
        <f t="shared" si="17"/>
        <v>Oligotrophic</v>
      </c>
      <c r="AE41">
        <v>51.6</v>
      </c>
    </row>
    <row r="42" spans="1:31" x14ac:dyDescent="0.55000000000000004">
      <c r="A42">
        <v>101</v>
      </c>
      <c r="B42" t="s">
        <v>83</v>
      </c>
      <c r="C42">
        <v>40102</v>
      </c>
      <c r="D42" s="9" t="s">
        <v>90</v>
      </c>
      <c r="E42">
        <v>-38.028880000000001</v>
      </c>
      <c r="F42">
        <v>176.5752</v>
      </c>
      <c r="H42" t="s">
        <v>59</v>
      </c>
      <c r="I42" s="2">
        <v>45602.447916666664</v>
      </c>
      <c r="J42" t="s">
        <v>44</v>
      </c>
      <c r="K42">
        <v>7.6</v>
      </c>
      <c r="L42">
        <v>1</v>
      </c>
      <c r="M42">
        <v>1</v>
      </c>
      <c r="N42">
        <v>164.797658924659</v>
      </c>
      <c r="O42">
        <v>199.56875929883299</v>
      </c>
      <c r="P42">
        <v>197.479843716441</v>
      </c>
      <c r="Q42">
        <f t="shared" si="5"/>
        <v>0.10127615873910538</v>
      </c>
      <c r="R42" t="s">
        <v>91</v>
      </c>
      <c r="S42" s="8">
        <v>11137002.6670586</v>
      </c>
      <c r="T42" s="8">
        <v>23686.395632694799</v>
      </c>
      <c r="U42" s="4">
        <f t="shared" si="15"/>
        <v>11.137002667058599</v>
      </c>
      <c r="V42" s="4">
        <f t="shared" si="16"/>
        <v>23.686395632694801</v>
      </c>
      <c r="W42">
        <v>27.8</v>
      </c>
      <c r="X42">
        <v>36.9</v>
      </c>
      <c r="Y42">
        <v>83</v>
      </c>
      <c r="Z42">
        <v>0.45600000000000002</v>
      </c>
      <c r="AA42">
        <v>316</v>
      </c>
      <c r="AB42" t="s">
        <v>45</v>
      </c>
      <c r="AC42">
        <v>2.4</v>
      </c>
      <c r="AD42" t="str">
        <f t="shared" si="17"/>
        <v>Oligotrophic</v>
      </c>
      <c r="AE42">
        <v>51.6</v>
      </c>
    </row>
    <row r="43" spans="1:31" x14ac:dyDescent="0.55000000000000004">
      <c r="A43">
        <v>102</v>
      </c>
      <c r="B43" t="s">
        <v>83</v>
      </c>
      <c r="C43">
        <v>40102</v>
      </c>
      <c r="D43" s="9" t="s">
        <v>92</v>
      </c>
      <c r="E43">
        <v>-38.019799999999996</v>
      </c>
      <c r="F43">
        <v>176.5889</v>
      </c>
      <c r="H43" t="s">
        <v>31</v>
      </c>
      <c r="I43" s="2">
        <v>45602.430555555555</v>
      </c>
      <c r="J43" t="s">
        <v>44</v>
      </c>
      <c r="K43">
        <v>7.6</v>
      </c>
      <c r="L43">
        <v>0</v>
      </c>
      <c r="M43">
        <v>0</v>
      </c>
      <c r="N43">
        <v>32.349275538348799</v>
      </c>
      <c r="O43">
        <v>74.865573586595005</v>
      </c>
      <c r="P43">
        <v>74.721677569694094</v>
      </c>
      <c r="Q43">
        <f t="shared" si="5"/>
        <v>0.26765994354644518</v>
      </c>
      <c r="R43" t="s">
        <v>93</v>
      </c>
      <c r="S43" s="8">
        <v>11137002.6670586</v>
      </c>
      <c r="T43" s="8">
        <v>23686.395632694799</v>
      </c>
      <c r="U43" s="4">
        <f t="shared" si="15"/>
        <v>11.137002667058599</v>
      </c>
      <c r="V43" s="4">
        <f t="shared" si="16"/>
        <v>23.686395632694801</v>
      </c>
      <c r="W43">
        <v>27.8</v>
      </c>
      <c r="X43">
        <v>36.9</v>
      </c>
      <c r="Y43">
        <v>83</v>
      </c>
      <c r="Z43">
        <v>0.45600000000000002</v>
      </c>
      <c r="AA43">
        <v>316</v>
      </c>
      <c r="AB43" t="s">
        <v>45</v>
      </c>
      <c r="AC43">
        <v>2.4</v>
      </c>
      <c r="AD43" t="str">
        <f t="shared" si="17"/>
        <v>Oligotrophic</v>
      </c>
      <c r="AE43">
        <v>51.6</v>
      </c>
    </row>
    <row r="44" spans="1:31" x14ac:dyDescent="0.55000000000000004">
      <c r="A44">
        <v>103</v>
      </c>
      <c r="B44" t="s">
        <v>83</v>
      </c>
      <c r="C44">
        <v>40102</v>
      </c>
      <c r="D44" s="9" t="s">
        <v>94</v>
      </c>
      <c r="E44">
        <v>-38.066650000000003</v>
      </c>
      <c r="F44">
        <v>176.59559999999999</v>
      </c>
      <c r="H44" t="s">
        <v>28</v>
      </c>
      <c r="I44" s="2">
        <v>45603.645833333336</v>
      </c>
      <c r="J44" t="s">
        <v>95</v>
      </c>
      <c r="K44">
        <v>7.6</v>
      </c>
      <c r="L44">
        <v>1</v>
      </c>
      <c r="M44">
        <v>1</v>
      </c>
      <c r="N44">
        <v>55.813177079146101</v>
      </c>
      <c r="O44">
        <v>110.464166232739</v>
      </c>
      <c r="P44">
        <v>109.24163172905899</v>
      </c>
      <c r="Q44">
        <f t="shared" si="5"/>
        <v>0.18308038504591348</v>
      </c>
      <c r="R44" t="s">
        <v>96</v>
      </c>
      <c r="S44" s="8">
        <v>11137002.6670586</v>
      </c>
      <c r="T44" s="8">
        <v>23686.395632694799</v>
      </c>
      <c r="U44" s="4">
        <f t="shared" si="15"/>
        <v>11.137002667058599</v>
      </c>
      <c r="V44" s="4">
        <f t="shared" si="16"/>
        <v>23.686395632694801</v>
      </c>
      <c r="W44">
        <v>27.8</v>
      </c>
      <c r="X44">
        <v>36.9</v>
      </c>
      <c r="Y44">
        <v>83</v>
      </c>
      <c r="Z44">
        <v>0.45600000000000002</v>
      </c>
      <c r="AA44">
        <v>316</v>
      </c>
      <c r="AB44" t="s">
        <v>45</v>
      </c>
      <c r="AC44">
        <v>2.4</v>
      </c>
      <c r="AD44" t="str">
        <f t="shared" si="17"/>
        <v>Oligotrophic</v>
      </c>
      <c r="AE44">
        <v>51.6</v>
      </c>
    </row>
    <row r="45" spans="1:31" x14ac:dyDescent="0.55000000000000004">
      <c r="A45">
        <v>104</v>
      </c>
      <c r="B45" t="s">
        <v>83</v>
      </c>
      <c r="C45">
        <v>40102</v>
      </c>
      <c r="D45" s="9" t="s">
        <v>97</v>
      </c>
      <c r="E45">
        <v>-38.048670000000001</v>
      </c>
      <c r="F45">
        <v>176.5634</v>
      </c>
      <c r="H45" t="s">
        <v>59</v>
      </c>
      <c r="I45" s="2">
        <v>45603.583333333336</v>
      </c>
      <c r="J45" t="s">
        <v>44</v>
      </c>
      <c r="K45">
        <v>7.6</v>
      </c>
      <c r="L45">
        <v>1</v>
      </c>
      <c r="M45">
        <v>1</v>
      </c>
      <c r="N45">
        <v>814.29664372901095</v>
      </c>
      <c r="O45">
        <v>939.05588598935606</v>
      </c>
      <c r="P45">
        <v>938.87721534744696</v>
      </c>
      <c r="Q45">
        <f t="shared" si="5"/>
        <v>2.1302040003813142E-2</v>
      </c>
      <c r="S45" s="8">
        <v>11137002.6670586</v>
      </c>
      <c r="T45" s="8">
        <v>23686.395632694799</v>
      </c>
      <c r="U45" s="4">
        <f t="shared" si="15"/>
        <v>11.137002667058599</v>
      </c>
      <c r="V45" s="4">
        <f t="shared" si="16"/>
        <v>23.686395632694801</v>
      </c>
      <c r="W45">
        <v>27.8</v>
      </c>
      <c r="X45">
        <v>36.9</v>
      </c>
      <c r="Y45">
        <v>83</v>
      </c>
      <c r="Z45">
        <v>0.45600000000000002</v>
      </c>
      <c r="AA45">
        <v>316</v>
      </c>
      <c r="AB45" t="s">
        <v>45</v>
      </c>
      <c r="AC45">
        <v>2.4</v>
      </c>
      <c r="AD45" t="str">
        <f t="shared" si="17"/>
        <v>Oligotrophic</v>
      </c>
      <c r="AE45">
        <v>51.6</v>
      </c>
    </row>
    <row r="46" spans="1:31" x14ac:dyDescent="0.55000000000000004">
      <c r="A46">
        <v>105</v>
      </c>
      <c r="B46" t="s">
        <v>83</v>
      </c>
      <c r="C46">
        <v>40102</v>
      </c>
      <c r="D46" s="9" t="s">
        <v>98</v>
      </c>
      <c r="E46">
        <v>-38.03613</v>
      </c>
      <c r="F46">
        <v>176.56819999999999</v>
      </c>
      <c r="H46" t="s">
        <v>31</v>
      </c>
      <c r="I46" s="2">
        <v>45602.493055555555</v>
      </c>
      <c r="J46" t="s">
        <v>50</v>
      </c>
      <c r="K46">
        <v>7.6</v>
      </c>
      <c r="L46">
        <v>1</v>
      </c>
      <c r="M46">
        <v>1</v>
      </c>
      <c r="N46">
        <v>124.15379503248801</v>
      </c>
      <c r="O46">
        <v>216.99927882944701</v>
      </c>
      <c r="P46">
        <v>214.64598814853599</v>
      </c>
      <c r="Q46">
        <f t="shared" si="5"/>
        <v>9.3176677432982857E-2</v>
      </c>
      <c r="S46" s="8">
        <v>11137002.6670586</v>
      </c>
      <c r="T46" s="8">
        <v>23686.395632694799</v>
      </c>
      <c r="U46" s="4">
        <f t="shared" si="15"/>
        <v>11.137002667058599</v>
      </c>
      <c r="V46" s="4">
        <f t="shared" si="16"/>
        <v>23.686395632694801</v>
      </c>
      <c r="W46">
        <v>27.8</v>
      </c>
      <c r="X46">
        <v>36.9</v>
      </c>
      <c r="Y46">
        <v>83</v>
      </c>
      <c r="Z46">
        <v>0.45600000000000002</v>
      </c>
      <c r="AA46">
        <v>316</v>
      </c>
      <c r="AB46" t="s">
        <v>45</v>
      </c>
      <c r="AC46">
        <v>2.4</v>
      </c>
      <c r="AD46" t="str">
        <f t="shared" si="17"/>
        <v>Oligotrophic</v>
      </c>
      <c r="AE46">
        <v>51.6</v>
      </c>
    </row>
    <row r="47" spans="1:31" x14ac:dyDescent="0.55000000000000004">
      <c r="A47">
        <v>106</v>
      </c>
      <c r="B47" t="s">
        <v>83</v>
      </c>
      <c r="C47">
        <v>40102</v>
      </c>
      <c r="D47" s="9" t="s">
        <v>99</v>
      </c>
      <c r="E47">
        <v>-38.025460000000002</v>
      </c>
      <c r="F47">
        <v>176.59479999999999</v>
      </c>
      <c r="H47" t="s">
        <v>28</v>
      </c>
      <c r="I47" s="2">
        <v>45602.409722222219</v>
      </c>
      <c r="J47" t="s">
        <v>44</v>
      </c>
      <c r="K47">
        <v>7.6</v>
      </c>
      <c r="L47">
        <v>1</v>
      </c>
      <c r="M47">
        <v>1</v>
      </c>
      <c r="N47">
        <v>98.474165805949397</v>
      </c>
      <c r="O47">
        <v>182.056518707555</v>
      </c>
      <c r="P47">
        <v>180.64758878488601</v>
      </c>
      <c r="Q47">
        <f t="shared" si="5"/>
        <v>0.11071279796496963</v>
      </c>
      <c r="R47" t="s">
        <v>100</v>
      </c>
      <c r="S47" s="8">
        <v>11137002.6670586</v>
      </c>
      <c r="T47" s="8">
        <v>23686.395632694799</v>
      </c>
      <c r="U47" s="4">
        <f t="shared" si="15"/>
        <v>11.137002667058599</v>
      </c>
      <c r="V47" s="4">
        <f t="shared" si="16"/>
        <v>23.686395632694801</v>
      </c>
      <c r="W47">
        <v>27.8</v>
      </c>
      <c r="X47">
        <v>36.9</v>
      </c>
      <c r="Y47">
        <v>83</v>
      </c>
      <c r="Z47">
        <v>0.45600000000000002</v>
      </c>
      <c r="AA47">
        <v>316</v>
      </c>
      <c r="AB47" t="s">
        <v>45</v>
      </c>
      <c r="AC47">
        <v>2.4</v>
      </c>
      <c r="AD47" t="str">
        <f t="shared" si="17"/>
        <v>Oligotrophic</v>
      </c>
      <c r="AE47">
        <v>51.6</v>
      </c>
    </row>
    <row r="48" spans="1:31" x14ac:dyDescent="0.55000000000000004">
      <c r="A48">
        <v>107</v>
      </c>
      <c r="B48" t="s">
        <v>83</v>
      </c>
      <c r="C48">
        <v>40102</v>
      </c>
      <c r="D48" s="9" t="s">
        <v>101</v>
      </c>
      <c r="E48">
        <v>-38.064529999999998</v>
      </c>
      <c r="F48">
        <v>176.60169999999999</v>
      </c>
      <c r="H48" t="s">
        <v>28</v>
      </c>
      <c r="I48" s="2">
        <v>45603.657638888886</v>
      </c>
      <c r="J48" t="s">
        <v>95</v>
      </c>
      <c r="K48">
        <v>7.6</v>
      </c>
      <c r="L48">
        <v>1</v>
      </c>
      <c r="M48">
        <v>1</v>
      </c>
      <c r="N48">
        <v>55.529659518396798</v>
      </c>
      <c r="O48">
        <v>214.98785234557101</v>
      </c>
      <c r="P48">
        <v>186.20746832537799</v>
      </c>
      <c r="Q48">
        <f t="shared" si="5"/>
        <v>0.10740707759933721</v>
      </c>
      <c r="R48" t="s">
        <v>102</v>
      </c>
      <c r="S48" s="8">
        <v>11137002.6670586</v>
      </c>
      <c r="T48" s="8">
        <v>23686.395632694799</v>
      </c>
      <c r="U48" s="4">
        <f t="shared" si="15"/>
        <v>11.137002667058599</v>
      </c>
      <c r="V48" s="4">
        <f t="shared" si="16"/>
        <v>23.686395632694801</v>
      </c>
      <c r="W48">
        <v>27.8</v>
      </c>
      <c r="X48">
        <v>36.9</v>
      </c>
      <c r="Y48">
        <v>83</v>
      </c>
      <c r="Z48">
        <v>0.45600000000000002</v>
      </c>
      <c r="AA48">
        <v>316</v>
      </c>
      <c r="AB48" t="s">
        <v>45</v>
      </c>
      <c r="AC48">
        <v>2.4</v>
      </c>
      <c r="AD48" t="str">
        <f t="shared" si="17"/>
        <v>Oligotrophic</v>
      </c>
      <c r="AE48">
        <v>51.6</v>
      </c>
    </row>
    <row r="49" spans="1:31" x14ac:dyDescent="0.55000000000000004">
      <c r="A49">
        <v>108</v>
      </c>
      <c r="B49" t="s">
        <v>83</v>
      </c>
      <c r="C49">
        <v>40102</v>
      </c>
      <c r="D49" s="9" t="s">
        <v>103</v>
      </c>
      <c r="E49">
        <v>-38.052</v>
      </c>
      <c r="F49">
        <v>176.57149999999999</v>
      </c>
      <c r="H49" t="s">
        <v>28</v>
      </c>
      <c r="I49" s="2">
        <v>45603.625</v>
      </c>
      <c r="J49" t="s">
        <v>44</v>
      </c>
      <c r="K49">
        <v>7.6</v>
      </c>
      <c r="L49">
        <v>1</v>
      </c>
      <c r="M49">
        <v>1</v>
      </c>
      <c r="N49">
        <v>149.961670104467</v>
      </c>
      <c r="O49">
        <v>257.67695242447502</v>
      </c>
      <c r="P49">
        <v>255.165057668663</v>
      </c>
      <c r="Q49">
        <f t="shared" si="5"/>
        <v>7.8380637939738623E-2</v>
      </c>
      <c r="R49" t="s">
        <v>104</v>
      </c>
      <c r="S49" s="8">
        <v>11137002.6670586</v>
      </c>
      <c r="T49" s="8">
        <v>23686.395632694799</v>
      </c>
      <c r="U49" s="4">
        <f t="shared" si="15"/>
        <v>11.137002667058599</v>
      </c>
      <c r="V49" s="4">
        <f t="shared" si="16"/>
        <v>23.686395632694801</v>
      </c>
      <c r="W49">
        <v>27.8</v>
      </c>
      <c r="X49">
        <v>36.9</v>
      </c>
      <c r="Y49">
        <v>83</v>
      </c>
      <c r="Z49">
        <v>0.45600000000000002</v>
      </c>
      <c r="AA49">
        <v>316</v>
      </c>
      <c r="AB49" t="s">
        <v>45</v>
      </c>
      <c r="AC49">
        <v>2.4</v>
      </c>
      <c r="AD49" t="str">
        <f t="shared" si="17"/>
        <v>Oligotrophic</v>
      </c>
      <c r="AE49">
        <v>51.6</v>
      </c>
    </row>
    <row r="50" spans="1:31" x14ac:dyDescent="0.55000000000000004">
      <c r="A50">
        <v>109</v>
      </c>
      <c r="B50" t="s">
        <v>105</v>
      </c>
      <c r="C50">
        <v>15325</v>
      </c>
      <c r="D50" s="9" t="s">
        <v>106</v>
      </c>
      <c r="E50">
        <v>-38.172840000000001</v>
      </c>
      <c r="F50">
        <v>176.37309999999999</v>
      </c>
      <c r="H50" t="s">
        <v>31</v>
      </c>
      <c r="I50" s="2">
        <v>45596.506944444445</v>
      </c>
      <c r="J50" t="s">
        <v>107</v>
      </c>
      <c r="K50" s="9">
        <v>6.666666666666667</v>
      </c>
      <c r="L50">
        <v>0</v>
      </c>
      <c r="M50">
        <v>1</v>
      </c>
      <c r="N50">
        <v>34.153824840345003</v>
      </c>
      <c r="O50">
        <v>92.344497911675603</v>
      </c>
      <c r="P50">
        <v>91.428225149316404</v>
      </c>
      <c r="Q50">
        <f t="shared" si="5"/>
        <v>0.2187508285033086</v>
      </c>
      <c r="S50" s="8">
        <v>3434118.08964225</v>
      </c>
      <c r="T50" s="8">
        <v>11094.524703286501</v>
      </c>
      <c r="U50" s="4">
        <f>S50/1000000</f>
        <v>3.4341180896422498</v>
      </c>
      <c r="V50" s="4">
        <f>T50/1000</f>
        <v>11.094524703286501</v>
      </c>
      <c r="W50">
        <v>19.600000000000001</v>
      </c>
      <c r="X50">
        <v>20</v>
      </c>
      <c r="Y50">
        <v>33.5</v>
      </c>
      <c r="Z50">
        <v>6.4000000000000001E-2</v>
      </c>
      <c r="AA50">
        <v>355</v>
      </c>
      <c r="AB50" t="s">
        <v>45</v>
      </c>
      <c r="AC50">
        <v>3.1</v>
      </c>
      <c r="AD50" t="str">
        <f>IF(ISBLANK(AC50), "", IF(AC50&lt;=2, "Microtrophic", IF(AC50&lt;=3, "Oligotrophic", IF(AC50&lt;=4, "Mesotrophic", IF(AC50&lt;=5, "Eutrophic", "Supertrophic")))))</f>
        <v>Mesotrophic</v>
      </c>
      <c r="AE50">
        <v>65.2</v>
      </c>
    </row>
    <row r="51" spans="1:31" x14ac:dyDescent="0.55000000000000004">
      <c r="A51">
        <v>109</v>
      </c>
      <c r="B51" t="s">
        <v>105</v>
      </c>
      <c r="C51">
        <v>15325</v>
      </c>
      <c r="D51" s="9" t="s">
        <v>289</v>
      </c>
      <c r="E51">
        <v>-38.172840000000001</v>
      </c>
      <c r="F51">
        <v>176.37309999999999</v>
      </c>
      <c r="H51" t="s">
        <v>31</v>
      </c>
      <c r="I51" s="2">
        <v>45679.395833333336</v>
      </c>
      <c r="J51" t="s">
        <v>295</v>
      </c>
      <c r="K51" s="9">
        <v>9.1999999999999993</v>
      </c>
      <c r="L51">
        <v>0</v>
      </c>
      <c r="M51">
        <v>0</v>
      </c>
      <c r="N51">
        <v>34.153824840345003</v>
      </c>
      <c r="O51">
        <v>92.344497911675603</v>
      </c>
      <c r="P51">
        <v>91.428225149316404</v>
      </c>
      <c r="Q51">
        <f t="shared" si="5"/>
        <v>0.2187508285033086</v>
      </c>
      <c r="S51" s="8">
        <v>3434118.08964225</v>
      </c>
      <c r="T51" s="8">
        <v>11094.524703286501</v>
      </c>
      <c r="U51" s="4">
        <f>S51/1000000</f>
        <v>3.4341180896422498</v>
      </c>
      <c r="V51" s="4">
        <f>T51/1000</f>
        <v>11.094524703286501</v>
      </c>
      <c r="W51">
        <v>19.600000000000001</v>
      </c>
      <c r="X51">
        <v>20</v>
      </c>
      <c r="Y51">
        <v>33.5</v>
      </c>
      <c r="Z51">
        <v>6.4000000000000001E-2</v>
      </c>
      <c r="AA51">
        <v>355</v>
      </c>
      <c r="AB51" t="s">
        <v>45</v>
      </c>
      <c r="AC51">
        <v>3.1</v>
      </c>
      <c r="AD51" t="str">
        <f>IF(ISBLANK(AC51), "", IF(AC51&lt;=2, "Microtrophic", IF(AC51&lt;=3, "Oligotrophic", IF(AC51&lt;=4, "Mesotrophic", IF(AC51&lt;=5, "Eutrophic", "Supertrophic")))))</f>
        <v>Mesotrophic</v>
      </c>
      <c r="AE51">
        <v>65.2</v>
      </c>
    </row>
    <row r="52" spans="1:31" x14ac:dyDescent="0.55000000000000004">
      <c r="A52">
        <v>110</v>
      </c>
      <c r="B52" t="s">
        <v>105</v>
      </c>
      <c r="C52">
        <v>15325</v>
      </c>
      <c r="D52" s="9" t="s">
        <v>108</v>
      </c>
      <c r="E52">
        <v>-38.162320000000001</v>
      </c>
      <c r="F52">
        <v>176.363</v>
      </c>
      <c r="H52" t="s">
        <v>28</v>
      </c>
      <c r="I52" s="2">
        <v>45596.472222222219</v>
      </c>
      <c r="J52" t="s">
        <v>44</v>
      </c>
      <c r="K52" s="9">
        <v>6.666666666666667</v>
      </c>
      <c r="L52">
        <v>1</v>
      </c>
      <c r="M52">
        <v>1</v>
      </c>
      <c r="N52">
        <v>75.526857577775104</v>
      </c>
      <c r="O52">
        <v>364.852620125138</v>
      </c>
      <c r="P52">
        <v>332.24798662412098</v>
      </c>
      <c r="Q52">
        <f t="shared" si="5"/>
        <v>6.0196000593455555E-2</v>
      </c>
      <c r="S52" s="8">
        <v>3434118.08964225</v>
      </c>
      <c r="T52" s="8">
        <v>11094.524703286501</v>
      </c>
      <c r="U52" s="4">
        <f>S52/1000000</f>
        <v>3.4341180896422498</v>
      </c>
      <c r="V52" s="4">
        <f>T52/1000</f>
        <v>11.094524703286501</v>
      </c>
      <c r="W52">
        <v>19.600000000000001</v>
      </c>
      <c r="X52">
        <v>20</v>
      </c>
      <c r="Y52">
        <v>33.5</v>
      </c>
      <c r="Z52">
        <v>6.4000000000000001E-2</v>
      </c>
      <c r="AA52">
        <v>355</v>
      </c>
      <c r="AB52" t="s">
        <v>45</v>
      </c>
      <c r="AC52">
        <v>3.1</v>
      </c>
      <c r="AD52" t="str">
        <f>IF(ISBLANK(AC52), "", IF(AC52&lt;=2, "Microtrophic", IF(AC52&lt;=3, "Oligotrophic", IF(AC52&lt;=4, "Mesotrophic", IF(AC52&lt;=5, "Eutrophic", "Supertrophic")))))</f>
        <v>Mesotrophic</v>
      </c>
      <c r="AE52">
        <v>65.2</v>
      </c>
    </row>
    <row r="53" spans="1:31" x14ac:dyDescent="0.55000000000000004">
      <c r="A53">
        <v>111</v>
      </c>
      <c r="B53" t="s">
        <v>105</v>
      </c>
      <c r="C53">
        <v>15325</v>
      </c>
      <c r="D53" s="9" t="s">
        <v>109</v>
      </c>
      <c r="E53">
        <v>-38.1738</v>
      </c>
      <c r="F53">
        <v>176.35579999999999</v>
      </c>
      <c r="H53" t="s">
        <v>59</v>
      </c>
      <c r="I53" s="2">
        <v>45596.583333333336</v>
      </c>
      <c r="J53" t="s">
        <v>110</v>
      </c>
      <c r="K53" s="9">
        <v>6.666666666666667</v>
      </c>
      <c r="L53">
        <v>0</v>
      </c>
      <c r="M53">
        <v>1</v>
      </c>
      <c r="N53">
        <v>27.372276107968499</v>
      </c>
      <c r="O53">
        <v>170.50206195491501</v>
      </c>
      <c r="P53">
        <v>170.208329893393</v>
      </c>
      <c r="Q53">
        <f t="shared" si="5"/>
        <v>0.11750306235027774</v>
      </c>
      <c r="S53" s="8">
        <v>3434118.08964225</v>
      </c>
      <c r="T53" s="8">
        <v>11094.524703286501</v>
      </c>
      <c r="U53" s="4">
        <f t="shared" ref="U53:U67" si="18">S53/1000000</f>
        <v>3.4341180896422498</v>
      </c>
      <c r="V53" s="4">
        <f t="shared" ref="V53:V67" si="19">T53/1000</f>
        <v>11.094524703286501</v>
      </c>
      <c r="W53">
        <v>19.600000000000001</v>
      </c>
      <c r="X53">
        <v>20</v>
      </c>
      <c r="Y53">
        <v>33.5</v>
      </c>
      <c r="Z53">
        <v>6.4000000000000001E-2</v>
      </c>
      <c r="AA53">
        <v>355</v>
      </c>
      <c r="AB53" t="s">
        <v>45</v>
      </c>
      <c r="AC53">
        <v>3.1</v>
      </c>
      <c r="AD53" t="str">
        <f t="shared" ref="AD53:AD67" si="20">IF(ISBLANK(AC53), "", IF(AC53&lt;=2, "Microtrophic", IF(AC53&lt;=3, "Oligotrophic", IF(AC53&lt;=4, "Mesotrophic", IF(AC53&lt;=5, "Eutrophic", "Supertrophic")))))</f>
        <v>Mesotrophic</v>
      </c>
      <c r="AE53">
        <v>65.2</v>
      </c>
    </row>
    <row r="54" spans="1:31" x14ac:dyDescent="0.55000000000000004">
      <c r="A54">
        <v>111</v>
      </c>
      <c r="B54" t="s">
        <v>105</v>
      </c>
      <c r="C54">
        <v>15325</v>
      </c>
      <c r="D54" s="9" t="s">
        <v>290</v>
      </c>
      <c r="E54">
        <v>-38.1738</v>
      </c>
      <c r="F54">
        <v>176.35579999999999</v>
      </c>
      <c r="H54" t="s">
        <v>59</v>
      </c>
      <c r="I54" s="2">
        <v>45679.479166666664</v>
      </c>
      <c r="J54" t="s">
        <v>50</v>
      </c>
      <c r="K54" s="9">
        <v>9.1999999999999993</v>
      </c>
      <c r="L54">
        <v>0</v>
      </c>
      <c r="M54">
        <v>0</v>
      </c>
      <c r="N54">
        <v>27.372276107968499</v>
      </c>
      <c r="O54">
        <v>170.50206195491501</v>
      </c>
      <c r="P54">
        <v>170.208329893393</v>
      </c>
      <c r="Q54">
        <f t="shared" si="5"/>
        <v>0.11750306235027774</v>
      </c>
      <c r="S54" s="8">
        <v>3434118.08964225</v>
      </c>
      <c r="T54" s="8">
        <v>11094.524703286501</v>
      </c>
      <c r="U54" s="4">
        <f>S54/1000000</f>
        <v>3.4341180896422498</v>
      </c>
      <c r="V54" s="4">
        <f>T54/1000</f>
        <v>11.094524703286501</v>
      </c>
      <c r="W54">
        <v>19.600000000000001</v>
      </c>
      <c r="X54">
        <v>20</v>
      </c>
      <c r="Y54">
        <v>33.5</v>
      </c>
      <c r="Z54">
        <v>6.4000000000000001E-2</v>
      </c>
      <c r="AA54">
        <v>355</v>
      </c>
      <c r="AB54" t="s">
        <v>45</v>
      </c>
      <c r="AC54">
        <v>3.1</v>
      </c>
      <c r="AD54" t="str">
        <f>IF(ISBLANK(AC54), "", IF(AC54&lt;=2, "Microtrophic", IF(AC54&lt;=3, "Oligotrophic", IF(AC54&lt;=4, "Mesotrophic", IF(AC54&lt;=5, "Eutrophic", "Supertrophic")))))</f>
        <v>Mesotrophic</v>
      </c>
      <c r="AE54">
        <v>65.2</v>
      </c>
    </row>
    <row r="55" spans="1:31" x14ac:dyDescent="0.55000000000000004">
      <c r="A55">
        <v>112</v>
      </c>
      <c r="B55" t="s">
        <v>105</v>
      </c>
      <c r="C55">
        <v>15325</v>
      </c>
      <c r="D55" s="9" t="s">
        <v>111</v>
      </c>
      <c r="E55">
        <v>-38.179720000000003</v>
      </c>
      <c r="F55">
        <v>176.35650000000001</v>
      </c>
      <c r="H55" t="s">
        <v>112</v>
      </c>
      <c r="I55" s="2">
        <v>45679.431250000001</v>
      </c>
      <c r="J55" t="s">
        <v>296</v>
      </c>
      <c r="K55" s="9">
        <v>9.1999999999999993</v>
      </c>
      <c r="L55">
        <v>1</v>
      </c>
      <c r="M55">
        <v>1</v>
      </c>
      <c r="N55">
        <v>408.78857283414698</v>
      </c>
      <c r="O55">
        <v>609.92096969524403</v>
      </c>
      <c r="P55">
        <v>777.17200000000003</v>
      </c>
      <c r="Q55">
        <f t="shared" si="5"/>
        <v>2.5734329080306546E-2</v>
      </c>
      <c r="S55" s="8">
        <v>3434118.08964225</v>
      </c>
      <c r="T55" s="8">
        <v>11094.524703286501</v>
      </c>
      <c r="U55" s="4">
        <f t="shared" si="18"/>
        <v>3.4341180896422498</v>
      </c>
      <c r="V55" s="4">
        <f t="shared" si="19"/>
        <v>11.094524703286501</v>
      </c>
      <c r="W55">
        <v>19.600000000000001</v>
      </c>
      <c r="X55">
        <v>20</v>
      </c>
      <c r="Y55">
        <v>33.5</v>
      </c>
      <c r="Z55">
        <v>6.4000000000000001E-2</v>
      </c>
      <c r="AA55">
        <v>355</v>
      </c>
      <c r="AB55" t="s">
        <v>45</v>
      </c>
      <c r="AC55">
        <v>3.1</v>
      </c>
      <c r="AD55" t="str">
        <f t="shared" si="20"/>
        <v>Mesotrophic</v>
      </c>
      <c r="AE55">
        <v>65.2</v>
      </c>
    </row>
    <row r="56" spans="1:31" x14ac:dyDescent="0.55000000000000004">
      <c r="A56">
        <v>113</v>
      </c>
      <c r="B56" t="s">
        <v>105</v>
      </c>
      <c r="C56">
        <v>15325</v>
      </c>
      <c r="D56" s="9" t="s">
        <v>113</v>
      </c>
      <c r="E56">
        <v>-38.176369999999999</v>
      </c>
      <c r="F56">
        <v>176.37549999999999</v>
      </c>
      <c r="H56" t="s">
        <v>31</v>
      </c>
      <c r="I56" s="2">
        <v>45679.375</v>
      </c>
      <c r="J56" t="s">
        <v>296</v>
      </c>
      <c r="K56" s="9">
        <v>9.1999999999999993</v>
      </c>
      <c r="L56">
        <v>0</v>
      </c>
      <c r="M56">
        <v>1</v>
      </c>
      <c r="N56">
        <v>72.734752459654501</v>
      </c>
      <c r="O56">
        <v>169.449157280751</v>
      </c>
      <c r="P56">
        <v>169.24161762864199</v>
      </c>
      <c r="Q56">
        <f t="shared" si="5"/>
        <v>0.11817424272016208</v>
      </c>
      <c r="S56" s="8">
        <v>3434118.08964225</v>
      </c>
      <c r="T56" s="8">
        <v>11094.524703286501</v>
      </c>
      <c r="U56" s="4">
        <f t="shared" si="18"/>
        <v>3.4341180896422498</v>
      </c>
      <c r="V56" s="4">
        <f t="shared" si="19"/>
        <v>11.094524703286501</v>
      </c>
      <c r="W56">
        <v>19.600000000000001</v>
      </c>
      <c r="X56">
        <v>20</v>
      </c>
      <c r="Y56">
        <v>33.5</v>
      </c>
      <c r="Z56">
        <v>6.4000000000000001E-2</v>
      </c>
      <c r="AA56">
        <v>355</v>
      </c>
      <c r="AB56" t="s">
        <v>45</v>
      </c>
      <c r="AC56">
        <v>3.1</v>
      </c>
      <c r="AD56" t="str">
        <f t="shared" si="20"/>
        <v>Mesotrophic</v>
      </c>
      <c r="AE56">
        <v>65.2</v>
      </c>
    </row>
    <row r="57" spans="1:31" x14ac:dyDescent="0.55000000000000004">
      <c r="A57">
        <v>114</v>
      </c>
      <c r="B57" t="s">
        <v>105</v>
      </c>
      <c r="C57">
        <v>15325</v>
      </c>
      <c r="D57" s="9" t="s">
        <v>114</v>
      </c>
      <c r="E57">
        <v>-38.161760000000001</v>
      </c>
      <c r="F57">
        <v>176.35570000000001</v>
      </c>
      <c r="H57" t="s">
        <v>59</v>
      </c>
      <c r="I57" s="2">
        <v>45596.458333333336</v>
      </c>
      <c r="J57" t="s">
        <v>107</v>
      </c>
      <c r="K57" s="9">
        <v>6.4</v>
      </c>
      <c r="L57">
        <v>0</v>
      </c>
      <c r="M57">
        <v>1</v>
      </c>
      <c r="N57">
        <v>25.298489894854999</v>
      </c>
      <c r="O57">
        <v>286.51248542974099</v>
      </c>
      <c r="P57">
        <v>285.32864189772198</v>
      </c>
      <c r="Q57">
        <f t="shared" si="5"/>
        <v>7.0094610435811555E-2</v>
      </c>
      <c r="S57" s="8">
        <v>3434118.08964225</v>
      </c>
      <c r="T57" s="8">
        <v>11094.524703286501</v>
      </c>
      <c r="U57" s="4">
        <f t="shared" si="18"/>
        <v>3.4341180896422498</v>
      </c>
      <c r="V57" s="4">
        <f t="shared" si="19"/>
        <v>11.094524703286501</v>
      </c>
      <c r="W57">
        <v>19.600000000000001</v>
      </c>
      <c r="X57">
        <v>20</v>
      </c>
      <c r="Y57">
        <v>33.5</v>
      </c>
      <c r="Z57">
        <v>6.4000000000000001E-2</v>
      </c>
      <c r="AA57">
        <v>355</v>
      </c>
      <c r="AB57" t="s">
        <v>45</v>
      </c>
      <c r="AC57">
        <v>3.1</v>
      </c>
      <c r="AD57" t="str">
        <f t="shared" si="20"/>
        <v>Mesotrophic</v>
      </c>
      <c r="AE57">
        <v>65.2</v>
      </c>
    </row>
    <row r="58" spans="1:31" x14ac:dyDescent="0.55000000000000004">
      <c r="A58">
        <v>115</v>
      </c>
      <c r="B58" t="s">
        <v>105</v>
      </c>
      <c r="C58">
        <v>15325</v>
      </c>
      <c r="D58" s="9" t="s">
        <v>115</v>
      </c>
      <c r="E58">
        <v>-38.172029999999999</v>
      </c>
      <c r="F58">
        <v>176.35589999999999</v>
      </c>
      <c r="H58" t="s">
        <v>28</v>
      </c>
      <c r="I58" s="2">
        <v>45596.569444444445</v>
      </c>
      <c r="J58" t="s">
        <v>107</v>
      </c>
      <c r="K58" s="9">
        <v>6.666666666666667</v>
      </c>
      <c r="L58">
        <v>1</v>
      </c>
      <c r="M58">
        <v>1</v>
      </c>
      <c r="N58">
        <v>37.873388767367302</v>
      </c>
      <c r="O58">
        <v>97.7338097506548</v>
      </c>
      <c r="P58">
        <v>92.7157039998513</v>
      </c>
      <c r="Q58">
        <f t="shared" si="5"/>
        <v>0.21571318705655385</v>
      </c>
      <c r="S58" s="8">
        <v>3434118.08964225</v>
      </c>
      <c r="T58" s="8">
        <v>11094.524703286501</v>
      </c>
      <c r="U58" s="4">
        <f t="shared" si="18"/>
        <v>3.4341180896422498</v>
      </c>
      <c r="V58" s="4">
        <f t="shared" si="19"/>
        <v>11.094524703286501</v>
      </c>
      <c r="W58">
        <v>19.600000000000001</v>
      </c>
      <c r="X58">
        <v>20</v>
      </c>
      <c r="Y58">
        <v>33.5</v>
      </c>
      <c r="Z58">
        <v>6.4000000000000001E-2</v>
      </c>
      <c r="AA58">
        <v>355</v>
      </c>
      <c r="AB58" t="s">
        <v>45</v>
      </c>
      <c r="AC58">
        <v>3.1</v>
      </c>
      <c r="AD58" t="str">
        <f t="shared" si="20"/>
        <v>Mesotrophic</v>
      </c>
      <c r="AE58">
        <v>65.2</v>
      </c>
    </row>
    <row r="59" spans="1:31" x14ac:dyDescent="0.55000000000000004">
      <c r="A59">
        <v>115</v>
      </c>
      <c r="B59" t="s">
        <v>105</v>
      </c>
      <c r="C59">
        <v>15325</v>
      </c>
      <c r="D59" s="9" t="s">
        <v>291</v>
      </c>
      <c r="E59">
        <v>-38.172029999999999</v>
      </c>
      <c r="F59">
        <v>176.35589999999999</v>
      </c>
      <c r="H59" t="s">
        <v>28</v>
      </c>
      <c r="I59" s="2">
        <v>45679.458333333336</v>
      </c>
      <c r="J59" t="s">
        <v>295</v>
      </c>
      <c r="K59" s="9">
        <v>9.1999999999999993</v>
      </c>
      <c r="L59">
        <v>0</v>
      </c>
      <c r="M59">
        <v>0</v>
      </c>
      <c r="N59">
        <v>37.873388767367302</v>
      </c>
      <c r="O59">
        <v>97.7338097506548</v>
      </c>
      <c r="P59">
        <v>92.7157039998513</v>
      </c>
      <c r="Q59">
        <f t="shared" si="5"/>
        <v>0.21571318705655385</v>
      </c>
      <c r="S59" s="8">
        <v>3434118.08964225</v>
      </c>
      <c r="T59" s="8">
        <v>11094.524703286501</v>
      </c>
      <c r="U59" s="4">
        <f>S59/1000000</f>
        <v>3.4341180896422498</v>
      </c>
      <c r="V59" s="4">
        <f>T59/1000</f>
        <v>11.094524703286501</v>
      </c>
      <c r="W59">
        <v>19.600000000000001</v>
      </c>
      <c r="X59">
        <v>20</v>
      </c>
      <c r="Y59">
        <v>33.5</v>
      </c>
      <c r="Z59">
        <v>6.4000000000000001E-2</v>
      </c>
      <c r="AA59">
        <v>355</v>
      </c>
      <c r="AB59" t="s">
        <v>45</v>
      </c>
      <c r="AC59">
        <v>3.1</v>
      </c>
      <c r="AD59" t="str">
        <f>IF(ISBLANK(AC59), "", IF(AC59&lt;=2, "Microtrophic", IF(AC59&lt;=3, "Oligotrophic", IF(AC59&lt;=4, "Mesotrophic", IF(AC59&lt;=5, "Eutrophic", "Supertrophic")))))</f>
        <v>Mesotrophic</v>
      </c>
      <c r="AE59">
        <v>65.2</v>
      </c>
    </row>
    <row r="60" spans="1:31" x14ac:dyDescent="0.55000000000000004">
      <c r="A60">
        <v>116</v>
      </c>
      <c r="B60" t="s">
        <v>105</v>
      </c>
      <c r="C60">
        <v>15325</v>
      </c>
      <c r="D60" s="9" t="s">
        <v>116</v>
      </c>
      <c r="E60">
        <v>-38.176789999999997</v>
      </c>
      <c r="F60">
        <v>176.35509999999999</v>
      </c>
      <c r="H60" t="s">
        <v>112</v>
      </c>
      <c r="I60" s="2">
        <v>45596.548611111109</v>
      </c>
      <c r="J60" t="s">
        <v>50</v>
      </c>
      <c r="K60" s="9">
        <v>6.666666666666667</v>
      </c>
      <c r="L60">
        <v>1</v>
      </c>
      <c r="M60">
        <v>1</v>
      </c>
      <c r="N60">
        <v>219.02218041359899</v>
      </c>
      <c r="O60">
        <v>275.98438467745399</v>
      </c>
      <c r="P60">
        <v>466.52600000000001</v>
      </c>
      <c r="Q60">
        <f t="shared" si="5"/>
        <v>4.2870065119628917E-2</v>
      </c>
      <c r="S60" s="8">
        <v>3434118.08964225</v>
      </c>
      <c r="T60" s="8">
        <v>11094.524703286501</v>
      </c>
      <c r="U60" s="4">
        <f t="shared" si="18"/>
        <v>3.4341180896422498</v>
      </c>
      <c r="V60" s="4">
        <f t="shared" si="19"/>
        <v>11.094524703286501</v>
      </c>
      <c r="W60">
        <v>19.600000000000001</v>
      </c>
      <c r="X60">
        <v>20</v>
      </c>
      <c r="Y60">
        <v>33.5</v>
      </c>
      <c r="Z60">
        <v>6.4000000000000001E-2</v>
      </c>
      <c r="AA60">
        <v>355</v>
      </c>
      <c r="AB60" t="s">
        <v>45</v>
      </c>
      <c r="AC60">
        <v>3.1</v>
      </c>
      <c r="AD60" t="str">
        <f t="shared" si="20"/>
        <v>Mesotrophic</v>
      </c>
      <c r="AE60">
        <v>65.2</v>
      </c>
    </row>
    <row r="61" spans="1:31" x14ac:dyDescent="0.55000000000000004">
      <c r="A61">
        <v>116</v>
      </c>
      <c r="B61" t="s">
        <v>105</v>
      </c>
      <c r="C61">
        <v>15325</v>
      </c>
      <c r="D61" s="9" t="s">
        <v>292</v>
      </c>
      <c r="E61">
        <v>-38.176789999999997</v>
      </c>
      <c r="F61">
        <v>176.35509999999999</v>
      </c>
      <c r="H61" t="s">
        <v>112</v>
      </c>
      <c r="I61" s="2">
        <v>45679.4375</v>
      </c>
      <c r="J61" t="s">
        <v>50</v>
      </c>
      <c r="K61" s="9">
        <v>6.666666666666667</v>
      </c>
      <c r="L61">
        <v>0</v>
      </c>
      <c r="M61">
        <v>0</v>
      </c>
      <c r="N61">
        <v>219.02218041359899</v>
      </c>
      <c r="O61">
        <v>275.98438467745399</v>
      </c>
      <c r="P61">
        <v>466.52600000000001</v>
      </c>
      <c r="Q61">
        <f t="shared" si="5"/>
        <v>4.2870065119628917E-2</v>
      </c>
      <c r="S61" s="8">
        <v>3434118.08964225</v>
      </c>
      <c r="T61" s="8">
        <v>11094.524703286501</v>
      </c>
      <c r="U61" s="4">
        <f>S61/1000000</f>
        <v>3.4341180896422498</v>
      </c>
      <c r="V61" s="4">
        <f>T61/1000</f>
        <v>11.094524703286501</v>
      </c>
      <c r="W61">
        <v>19.600000000000001</v>
      </c>
      <c r="X61">
        <v>20</v>
      </c>
      <c r="Y61">
        <v>33.5</v>
      </c>
      <c r="Z61">
        <v>6.4000000000000001E-2</v>
      </c>
      <c r="AA61">
        <v>355</v>
      </c>
      <c r="AB61" t="s">
        <v>45</v>
      </c>
      <c r="AC61">
        <v>3.1</v>
      </c>
      <c r="AD61" t="str">
        <f>IF(ISBLANK(AC61), "", IF(AC61&lt;=2, "Microtrophic", IF(AC61&lt;=3, "Oligotrophic", IF(AC61&lt;=4, "Mesotrophic", IF(AC61&lt;=5, "Eutrophic", "Supertrophic")))))</f>
        <v>Mesotrophic</v>
      </c>
      <c r="AE61">
        <v>65.2</v>
      </c>
    </row>
    <row r="62" spans="1:31" x14ac:dyDescent="0.55000000000000004">
      <c r="A62">
        <v>117</v>
      </c>
      <c r="B62" t="s">
        <v>105</v>
      </c>
      <c r="C62">
        <v>15325</v>
      </c>
      <c r="D62" s="9" t="s">
        <v>117</v>
      </c>
      <c r="E62">
        <v>-38.170630000000003</v>
      </c>
      <c r="F62">
        <v>176.37180000000001</v>
      </c>
      <c r="H62" t="s">
        <v>31</v>
      </c>
      <c r="I62" s="2">
        <v>45596.488888888889</v>
      </c>
      <c r="J62" t="s">
        <v>107</v>
      </c>
      <c r="K62" s="9">
        <v>6.666666666666667</v>
      </c>
      <c r="L62">
        <v>0</v>
      </c>
      <c r="M62">
        <v>1</v>
      </c>
      <c r="N62">
        <v>29.005573467429599</v>
      </c>
      <c r="O62">
        <v>107.758977700133</v>
      </c>
      <c r="P62">
        <v>105.815168000486</v>
      </c>
      <c r="Q62">
        <f t="shared" si="5"/>
        <v>0.18900881960427585</v>
      </c>
      <c r="S62" s="8">
        <v>3434118.08964225</v>
      </c>
      <c r="T62" s="8">
        <v>11094.524703286501</v>
      </c>
      <c r="U62" s="4">
        <f t="shared" si="18"/>
        <v>3.4341180896422498</v>
      </c>
      <c r="V62" s="4">
        <f t="shared" si="19"/>
        <v>11.094524703286501</v>
      </c>
      <c r="W62">
        <v>19.600000000000001</v>
      </c>
      <c r="X62">
        <v>20</v>
      </c>
      <c r="Y62">
        <v>33.5</v>
      </c>
      <c r="Z62">
        <v>6.4000000000000001E-2</v>
      </c>
      <c r="AA62">
        <v>355</v>
      </c>
      <c r="AB62" t="s">
        <v>45</v>
      </c>
      <c r="AC62">
        <v>3.1</v>
      </c>
      <c r="AD62" t="str">
        <f t="shared" si="20"/>
        <v>Mesotrophic</v>
      </c>
      <c r="AE62">
        <v>65.2</v>
      </c>
    </row>
    <row r="63" spans="1:31" x14ac:dyDescent="0.55000000000000004">
      <c r="A63">
        <v>117</v>
      </c>
      <c r="B63" t="s">
        <v>105</v>
      </c>
      <c r="C63">
        <v>15325</v>
      </c>
      <c r="D63" s="9" t="s">
        <v>293</v>
      </c>
      <c r="E63">
        <v>-38.170630000000003</v>
      </c>
      <c r="F63">
        <v>176.37180000000001</v>
      </c>
      <c r="H63" t="s">
        <v>31</v>
      </c>
      <c r="I63" s="2">
        <v>45679.409722222219</v>
      </c>
      <c r="J63" t="s">
        <v>50</v>
      </c>
      <c r="K63" s="9">
        <v>9.1999999999999993</v>
      </c>
      <c r="L63">
        <v>0</v>
      </c>
      <c r="M63">
        <v>0</v>
      </c>
      <c r="N63">
        <v>29.005573467429599</v>
      </c>
      <c r="O63">
        <v>107.758977700133</v>
      </c>
      <c r="P63">
        <v>105.815168000486</v>
      </c>
      <c r="Q63">
        <f t="shared" si="5"/>
        <v>0.18900881960427585</v>
      </c>
      <c r="S63" s="8">
        <v>3434118.08964225</v>
      </c>
      <c r="T63" s="8">
        <v>11094.524703286501</v>
      </c>
      <c r="U63" s="4">
        <f>S63/1000000</f>
        <v>3.4341180896422498</v>
      </c>
      <c r="V63" s="4">
        <f>T63/1000</f>
        <v>11.094524703286501</v>
      </c>
      <c r="W63">
        <v>19.600000000000001</v>
      </c>
      <c r="X63">
        <v>20</v>
      </c>
      <c r="Y63">
        <v>33.5</v>
      </c>
      <c r="Z63">
        <v>6.4000000000000001E-2</v>
      </c>
      <c r="AA63">
        <v>355</v>
      </c>
      <c r="AB63" t="s">
        <v>45</v>
      </c>
      <c r="AC63">
        <v>3.1</v>
      </c>
      <c r="AD63" t="str">
        <f>IF(ISBLANK(AC63), "", IF(AC63&lt;=2, "Microtrophic", IF(AC63&lt;=3, "Oligotrophic", IF(AC63&lt;=4, "Mesotrophic", IF(AC63&lt;=5, "Eutrophic", "Supertrophic")))))</f>
        <v>Mesotrophic</v>
      </c>
      <c r="AE63">
        <v>65.2</v>
      </c>
    </row>
    <row r="64" spans="1:31" x14ac:dyDescent="0.55000000000000004">
      <c r="A64">
        <v>118</v>
      </c>
      <c r="B64" t="s">
        <v>105</v>
      </c>
      <c r="C64">
        <v>15325</v>
      </c>
      <c r="D64" s="9" t="s">
        <v>118</v>
      </c>
      <c r="E64">
        <v>-38.167349999999999</v>
      </c>
      <c r="F64">
        <v>176.34739999999999</v>
      </c>
      <c r="H64" t="s">
        <v>28</v>
      </c>
      <c r="I64" s="2">
        <v>45596.416666666664</v>
      </c>
      <c r="J64" t="s">
        <v>44</v>
      </c>
      <c r="K64" s="9">
        <v>7.4</v>
      </c>
      <c r="L64">
        <v>1</v>
      </c>
      <c r="M64">
        <v>1</v>
      </c>
      <c r="N64">
        <v>67.627731859198803</v>
      </c>
      <c r="O64">
        <v>360.59189883518098</v>
      </c>
      <c r="P64">
        <v>360.11133465248002</v>
      </c>
      <c r="Q64">
        <f t="shared" si="5"/>
        <v>5.55383795939128E-2</v>
      </c>
      <c r="S64" s="8">
        <v>3434118.08964225</v>
      </c>
      <c r="T64" s="8">
        <v>11094.524703286501</v>
      </c>
      <c r="U64" s="4">
        <f t="shared" si="18"/>
        <v>3.4341180896422498</v>
      </c>
      <c r="V64" s="4">
        <f t="shared" si="19"/>
        <v>11.094524703286501</v>
      </c>
      <c r="W64">
        <v>19.600000000000001</v>
      </c>
      <c r="X64">
        <v>20</v>
      </c>
      <c r="Y64">
        <v>33.5</v>
      </c>
      <c r="Z64">
        <v>6.4000000000000001E-2</v>
      </c>
      <c r="AA64">
        <v>355</v>
      </c>
      <c r="AB64" t="s">
        <v>45</v>
      </c>
      <c r="AC64">
        <v>3.1</v>
      </c>
      <c r="AD64" t="str">
        <f t="shared" si="20"/>
        <v>Mesotrophic</v>
      </c>
      <c r="AE64">
        <v>65.2</v>
      </c>
    </row>
    <row r="65" spans="1:31" x14ac:dyDescent="0.55000000000000004">
      <c r="A65">
        <v>119</v>
      </c>
      <c r="B65" t="s">
        <v>105</v>
      </c>
      <c r="C65">
        <v>15325</v>
      </c>
      <c r="D65" s="9" t="s">
        <v>119</v>
      </c>
      <c r="E65">
        <v>-38.176639999999999</v>
      </c>
      <c r="F65">
        <v>176.3527</v>
      </c>
      <c r="H65" t="s">
        <v>59</v>
      </c>
      <c r="I65" s="2">
        <v>45596.604166666664</v>
      </c>
      <c r="J65" t="s">
        <v>107</v>
      </c>
      <c r="K65" s="9">
        <v>6.666666666666667</v>
      </c>
      <c r="L65">
        <v>0</v>
      </c>
      <c r="M65">
        <v>1</v>
      </c>
      <c r="N65">
        <v>33.649675572110198</v>
      </c>
      <c r="O65">
        <v>166.744947575335</v>
      </c>
      <c r="P65" s="33">
        <v>166.71096010499599</v>
      </c>
      <c r="Q65">
        <f t="shared" si="5"/>
        <v>0.11996811719759654</v>
      </c>
      <c r="S65" s="8">
        <v>3434118.08964225</v>
      </c>
      <c r="T65" s="8">
        <v>11094.524703286501</v>
      </c>
      <c r="U65" s="4">
        <f t="shared" si="18"/>
        <v>3.4341180896422498</v>
      </c>
      <c r="V65" s="4">
        <f t="shared" si="19"/>
        <v>11.094524703286501</v>
      </c>
      <c r="W65">
        <v>19.600000000000001</v>
      </c>
      <c r="X65">
        <v>20</v>
      </c>
      <c r="Y65">
        <v>33.5</v>
      </c>
      <c r="Z65">
        <v>6.4000000000000001E-2</v>
      </c>
      <c r="AA65">
        <v>355</v>
      </c>
      <c r="AB65" t="s">
        <v>45</v>
      </c>
      <c r="AC65">
        <v>3.1</v>
      </c>
      <c r="AD65" t="str">
        <f t="shared" si="20"/>
        <v>Mesotrophic</v>
      </c>
      <c r="AE65">
        <v>65.2</v>
      </c>
    </row>
    <row r="66" spans="1:31" x14ac:dyDescent="0.55000000000000004">
      <c r="A66">
        <v>119</v>
      </c>
      <c r="B66" t="s">
        <v>105</v>
      </c>
      <c r="C66">
        <v>15325</v>
      </c>
      <c r="D66" s="9" t="s">
        <v>294</v>
      </c>
      <c r="E66">
        <v>-38.176639999999999</v>
      </c>
      <c r="F66">
        <v>176.3527</v>
      </c>
      <c r="H66" t="s">
        <v>59</v>
      </c>
      <c r="I66" s="2">
        <v>45679.489583333336</v>
      </c>
      <c r="J66" t="s">
        <v>50</v>
      </c>
      <c r="K66" s="9">
        <v>9.1999999999999993</v>
      </c>
      <c r="L66">
        <v>0</v>
      </c>
      <c r="M66">
        <v>0</v>
      </c>
      <c r="N66">
        <v>33.649675572110198</v>
      </c>
      <c r="O66">
        <v>166.744947575335</v>
      </c>
      <c r="P66" s="33">
        <v>166.71096010499599</v>
      </c>
      <c r="Q66">
        <f t="shared" si="5"/>
        <v>0.11996811719759654</v>
      </c>
      <c r="S66" s="8">
        <v>3434118.08964225</v>
      </c>
      <c r="T66" s="8">
        <v>11094.524703286501</v>
      </c>
      <c r="U66" s="4">
        <f t="shared" ref="U66" si="21">S66/1000000</f>
        <v>3.4341180896422498</v>
      </c>
      <c r="V66" s="4">
        <f t="shared" ref="V66" si="22">T66/1000</f>
        <v>11.094524703286501</v>
      </c>
      <c r="W66">
        <v>19.600000000000001</v>
      </c>
      <c r="X66">
        <v>20</v>
      </c>
      <c r="Y66">
        <v>33.5</v>
      </c>
      <c r="Z66">
        <v>6.4000000000000001E-2</v>
      </c>
      <c r="AA66">
        <v>355</v>
      </c>
      <c r="AB66" t="s">
        <v>45</v>
      </c>
      <c r="AC66">
        <v>3.1</v>
      </c>
      <c r="AD66" t="str">
        <f t="shared" ref="AD66" si="23">IF(ISBLANK(AC66), "", IF(AC66&lt;=2, "Microtrophic", IF(AC66&lt;=3, "Oligotrophic", IF(AC66&lt;=4, "Mesotrophic", IF(AC66&lt;=5, "Eutrophic", "Supertrophic")))))</f>
        <v>Mesotrophic</v>
      </c>
      <c r="AE66">
        <v>65.2</v>
      </c>
    </row>
    <row r="67" spans="1:31" x14ac:dyDescent="0.55000000000000004">
      <c r="A67">
        <v>120</v>
      </c>
      <c r="B67" t="s">
        <v>105</v>
      </c>
      <c r="C67">
        <v>15325</v>
      </c>
      <c r="D67" s="9" t="s">
        <v>120</v>
      </c>
      <c r="E67">
        <v>-38.172840000000001</v>
      </c>
      <c r="F67">
        <v>176.35040000000001</v>
      </c>
      <c r="H67" t="s">
        <v>28</v>
      </c>
      <c r="I67" s="2">
        <v>45596.381944444445</v>
      </c>
      <c r="J67" t="s">
        <v>121</v>
      </c>
      <c r="K67" s="9">
        <v>6.2</v>
      </c>
      <c r="L67">
        <v>1</v>
      </c>
      <c r="M67">
        <v>1</v>
      </c>
      <c r="N67">
        <v>40.2295087875804</v>
      </c>
      <c r="O67">
        <v>108.398427875167</v>
      </c>
      <c r="P67" s="33">
        <v>108.398427875167</v>
      </c>
      <c r="Q67">
        <f t="shared" si="5"/>
        <v>0.18450452088689195</v>
      </c>
      <c r="S67" s="8">
        <v>3434118.08964225</v>
      </c>
      <c r="T67" s="8">
        <v>11094.524703286501</v>
      </c>
      <c r="U67" s="4">
        <f t="shared" si="18"/>
        <v>3.4341180896422498</v>
      </c>
      <c r="V67" s="4">
        <f t="shared" si="19"/>
        <v>11.094524703286501</v>
      </c>
      <c r="W67">
        <v>19.600000000000001</v>
      </c>
      <c r="X67">
        <v>20</v>
      </c>
      <c r="Y67">
        <v>33.5</v>
      </c>
      <c r="Z67">
        <v>6.4000000000000001E-2</v>
      </c>
      <c r="AA67">
        <v>355</v>
      </c>
      <c r="AB67" t="s">
        <v>45</v>
      </c>
      <c r="AC67">
        <v>3.1</v>
      </c>
      <c r="AD67" t="str">
        <f t="shared" si="20"/>
        <v>Mesotrophic</v>
      </c>
      <c r="AE67">
        <v>65.2</v>
      </c>
    </row>
  </sheetData>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FF87-56E0-4367-83C0-556EDA1B32CA}">
  <dimension ref="A1:G1976"/>
  <sheetViews>
    <sheetView tabSelected="1" zoomScaleNormal="100" workbookViewId="0">
      <pane xSplit="1" ySplit="1" topLeftCell="B2" activePane="bottomRight" state="frozen"/>
      <selection pane="topRight" activeCell="B1" sqref="B1"/>
      <selection pane="bottomLeft" activeCell="A2" sqref="A2"/>
      <selection pane="bottomRight" activeCell="D24" sqref="D24"/>
    </sheetView>
  </sheetViews>
  <sheetFormatPr defaultRowHeight="14.4" x14ac:dyDescent="0.55000000000000004"/>
  <cols>
    <col min="2" max="2" width="14.734375" bestFit="1" customWidth="1"/>
    <col min="4" max="4" width="19.68359375" bestFit="1" customWidth="1"/>
    <col min="5" max="5" width="14.15625" bestFit="1" customWidth="1"/>
    <col min="6" max="6" width="16.41796875" customWidth="1"/>
  </cols>
  <sheetData>
    <row r="1" spans="1:7" x14ac:dyDescent="0.55000000000000004">
      <c r="A1" s="1" t="s">
        <v>0</v>
      </c>
      <c r="B1" s="1" t="s">
        <v>3</v>
      </c>
      <c r="C1" s="1" t="s">
        <v>122</v>
      </c>
      <c r="D1" s="1" t="s">
        <v>123</v>
      </c>
      <c r="E1" s="1" t="s">
        <v>124</v>
      </c>
      <c r="F1" s="1" t="s">
        <v>125</v>
      </c>
      <c r="G1" s="1" t="s">
        <v>12</v>
      </c>
    </row>
    <row r="2" spans="1:7" x14ac:dyDescent="0.55000000000000004">
      <c r="A2">
        <v>61</v>
      </c>
      <c r="B2" t="str">
        <f>A2 &amp; "_0"</f>
        <v>61_0</v>
      </c>
      <c r="C2" t="s">
        <v>126</v>
      </c>
      <c r="D2" t="s">
        <v>127</v>
      </c>
      <c r="E2" t="s">
        <v>128</v>
      </c>
      <c r="F2" s="1"/>
      <c r="G2" t="s">
        <v>129</v>
      </c>
    </row>
    <row r="3" spans="1:7" x14ac:dyDescent="0.55000000000000004">
      <c r="A3">
        <v>61</v>
      </c>
      <c r="B3" t="str">
        <f t="shared" ref="B3:B58" si="0">A3 &amp; "_0"</f>
        <v>61_0</v>
      </c>
      <c r="C3" t="s">
        <v>126</v>
      </c>
      <c r="D3" s="11" t="s">
        <v>130</v>
      </c>
      <c r="E3" t="s">
        <v>131</v>
      </c>
      <c r="F3">
        <v>0</v>
      </c>
    </row>
    <row r="4" spans="1:7" x14ac:dyDescent="0.55000000000000004">
      <c r="A4">
        <v>61</v>
      </c>
      <c r="B4" t="str">
        <f t="shared" si="0"/>
        <v>61_0</v>
      </c>
      <c r="C4" t="s">
        <v>126</v>
      </c>
      <c r="D4" t="s">
        <v>132</v>
      </c>
      <c r="E4" t="s">
        <v>133</v>
      </c>
    </row>
    <row r="5" spans="1:7" x14ac:dyDescent="0.55000000000000004">
      <c r="A5">
        <v>61</v>
      </c>
      <c r="B5" t="str">
        <f t="shared" si="0"/>
        <v>61_0</v>
      </c>
      <c r="C5" t="s">
        <v>126</v>
      </c>
      <c r="D5" t="s">
        <v>134</v>
      </c>
      <c r="E5" t="s">
        <v>133</v>
      </c>
      <c r="F5">
        <v>0.6</v>
      </c>
    </row>
    <row r="6" spans="1:7" x14ac:dyDescent="0.55000000000000004">
      <c r="A6">
        <v>61</v>
      </c>
      <c r="B6" t="str">
        <f t="shared" si="0"/>
        <v>61_0</v>
      </c>
      <c r="C6" t="s">
        <v>126</v>
      </c>
      <c r="D6" t="s">
        <v>135</v>
      </c>
      <c r="E6" t="s">
        <v>136</v>
      </c>
      <c r="F6">
        <f>F5/10</f>
        <v>0.06</v>
      </c>
      <c r="G6" t="s">
        <v>137</v>
      </c>
    </row>
    <row r="7" spans="1:7" x14ac:dyDescent="0.55000000000000004">
      <c r="A7">
        <v>61</v>
      </c>
      <c r="B7" t="str">
        <f t="shared" si="0"/>
        <v>61_0</v>
      </c>
      <c r="C7" t="s">
        <v>126</v>
      </c>
      <c r="D7" s="2" t="s">
        <v>138</v>
      </c>
      <c r="E7" t="s">
        <v>139</v>
      </c>
      <c r="F7">
        <v>50</v>
      </c>
    </row>
    <row r="8" spans="1:7" x14ac:dyDescent="0.55000000000000004">
      <c r="A8">
        <v>61</v>
      </c>
      <c r="B8" t="str">
        <f t="shared" si="0"/>
        <v>61_0</v>
      </c>
      <c r="C8" t="s">
        <v>126</v>
      </c>
      <c r="D8" s="2" t="s">
        <v>140</v>
      </c>
      <c r="F8" t="s">
        <v>172</v>
      </c>
    </row>
    <row r="9" spans="1:7" x14ac:dyDescent="0.55000000000000004">
      <c r="A9">
        <v>61</v>
      </c>
      <c r="B9" t="str">
        <f t="shared" si="0"/>
        <v>61_0</v>
      </c>
      <c r="C9" t="s">
        <v>126</v>
      </c>
      <c r="D9" s="2" t="s">
        <v>141</v>
      </c>
      <c r="E9" t="s">
        <v>139</v>
      </c>
      <c r="F9">
        <v>0</v>
      </c>
    </row>
    <row r="10" spans="1:7" x14ac:dyDescent="0.55000000000000004">
      <c r="A10">
        <v>61</v>
      </c>
      <c r="B10" t="str">
        <f t="shared" si="0"/>
        <v>61_0</v>
      </c>
      <c r="C10" t="s">
        <v>126</v>
      </c>
      <c r="D10" t="s">
        <v>142</v>
      </c>
      <c r="E10" t="s">
        <v>139</v>
      </c>
      <c r="F10">
        <v>0</v>
      </c>
    </row>
    <row r="11" spans="1:7" x14ac:dyDescent="0.55000000000000004">
      <c r="A11">
        <v>61</v>
      </c>
      <c r="B11" t="str">
        <f t="shared" si="0"/>
        <v>61_0</v>
      </c>
      <c r="C11" t="s">
        <v>126</v>
      </c>
      <c r="D11" t="s">
        <v>143</v>
      </c>
      <c r="E11" t="s">
        <v>131</v>
      </c>
      <c r="F11">
        <v>0</v>
      </c>
    </row>
    <row r="12" spans="1:7" x14ac:dyDescent="0.55000000000000004">
      <c r="A12">
        <v>61</v>
      </c>
      <c r="B12" t="str">
        <f t="shared" si="0"/>
        <v>61_0</v>
      </c>
      <c r="C12" t="s">
        <v>126</v>
      </c>
      <c r="D12" t="s">
        <v>144</v>
      </c>
      <c r="E12" t="s">
        <v>139</v>
      </c>
      <c r="F12">
        <v>0</v>
      </c>
    </row>
    <row r="13" spans="1:7" x14ac:dyDescent="0.55000000000000004">
      <c r="A13">
        <v>61</v>
      </c>
      <c r="B13" t="str">
        <f t="shared" si="0"/>
        <v>61_0</v>
      </c>
      <c r="C13" t="s">
        <v>126</v>
      </c>
      <c r="D13" t="s">
        <v>145</v>
      </c>
      <c r="E13" t="s">
        <v>139</v>
      </c>
      <c r="F13">
        <v>0</v>
      </c>
    </row>
    <row r="14" spans="1:7" x14ac:dyDescent="0.55000000000000004">
      <c r="A14">
        <v>61</v>
      </c>
      <c r="B14" t="str">
        <f t="shared" si="0"/>
        <v>61_0</v>
      </c>
      <c r="C14" t="s">
        <v>126</v>
      </c>
      <c r="D14" t="s">
        <v>146</v>
      </c>
      <c r="E14" t="s">
        <v>139</v>
      </c>
      <c r="F14">
        <v>0</v>
      </c>
    </row>
    <row r="15" spans="1:7" x14ac:dyDescent="0.55000000000000004">
      <c r="A15">
        <v>61</v>
      </c>
      <c r="B15" t="str">
        <f t="shared" si="0"/>
        <v>61_0</v>
      </c>
      <c r="C15" t="s">
        <v>126</v>
      </c>
      <c r="D15" t="s">
        <v>147</v>
      </c>
      <c r="E15" t="s">
        <v>139</v>
      </c>
      <c r="F15">
        <v>0</v>
      </c>
    </row>
    <row r="16" spans="1:7" x14ac:dyDescent="0.55000000000000004">
      <c r="A16">
        <v>61</v>
      </c>
      <c r="B16" t="str">
        <f t="shared" si="0"/>
        <v>61_0</v>
      </c>
      <c r="C16" t="s">
        <v>126</v>
      </c>
      <c r="D16" t="s">
        <v>148</v>
      </c>
      <c r="E16" t="s">
        <v>139</v>
      </c>
      <c r="F16">
        <v>90</v>
      </c>
    </row>
    <row r="17" spans="1:7" x14ac:dyDescent="0.55000000000000004">
      <c r="A17">
        <v>61</v>
      </c>
      <c r="B17" t="str">
        <f t="shared" si="0"/>
        <v>61_0</v>
      </c>
      <c r="C17" t="s">
        <v>126</v>
      </c>
      <c r="D17" t="s">
        <v>149</v>
      </c>
      <c r="E17" t="s">
        <v>139</v>
      </c>
      <c r="F17">
        <v>10</v>
      </c>
    </row>
    <row r="18" spans="1:7" x14ac:dyDescent="0.55000000000000004">
      <c r="A18">
        <v>61</v>
      </c>
      <c r="B18" t="str">
        <f t="shared" si="0"/>
        <v>61_0</v>
      </c>
      <c r="C18" t="s">
        <v>126</v>
      </c>
      <c r="D18" t="s">
        <v>150</v>
      </c>
      <c r="E18" t="s">
        <v>139</v>
      </c>
      <c r="F18">
        <v>0</v>
      </c>
    </row>
    <row r="19" spans="1:7" x14ac:dyDescent="0.55000000000000004">
      <c r="A19">
        <v>61</v>
      </c>
      <c r="B19" t="str">
        <f t="shared" si="0"/>
        <v>61_0</v>
      </c>
      <c r="C19" t="s">
        <v>126</v>
      </c>
      <c r="D19" t="s">
        <v>152</v>
      </c>
      <c r="E19" t="s">
        <v>153</v>
      </c>
    </row>
    <row r="20" spans="1:7" x14ac:dyDescent="0.55000000000000004">
      <c r="A20">
        <v>61</v>
      </c>
      <c r="B20" t="str">
        <f t="shared" si="0"/>
        <v>61_0</v>
      </c>
      <c r="C20" t="s">
        <v>154</v>
      </c>
      <c r="D20" t="s">
        <v>155</v>
      </c>
      <c r="E20" t="s">
        <v>156</v>
      </c>
      <c r="F20">
        <v>25.3</v>
      </c>
    </row>
    <row r="21" spans="1:7" x14ac:dyDescent="0.55000000000000004">
      <c r="A21">
        <v>61</v>
      </c>
      <c r="B21" t="str">
        <f t="shared" si="0"/>
        <v>61_0</v>
      </c>
      <c r="C21" t="s">
        <v>154</v>
      </c>
      <c r="D21" t="s">
        <v>157</v>
      </c>
      <c r="E21" t="s">
        <v>158</v>
      </c>
      <c r="F21">
        <v>5.25</v>
      </c>
    </row>
    <row r="22" spans="1:7" x14ac:dyDescent="0.55000000000000004">
      <c r="A22">
        <v>61</v>
      </c>
      <c r="B22" t="str">
        <f>A22 &amp; "_0"</f>
        <v>61_0</v>
      </c>
      <c r="C22" t="s">
        <v>154</v>
      </c>
      <c r="D22" t="s">
        <v>159</v>
      </c>
      <c r="E22" t="s">
        <v>139</v>
      </c>
      <c r="F22">
        <v>63.9</v>
      </c>
    </row>
    <row r="23" spans="1:7" x14ac:dyDescent="0.55000000000000004">
      <c r="A23">
        <v>61</v>
      </c>
      <c r="B23" t="str">
        <f t="shared" si="0"/>
        <v>61_0</v>
      </c>
      <c r="C23" t="s">
        <v>154</v>
      </c>
      <c r="D23" t="s">
        <v>357</v>
      </c>
      <c r="E23" t="s">
        <v>161</v>
      </c>
      <c r="F23">
        <v>445.8</v>
      </c>
    </row>
    <row r="24" spans="1:7" x14ac:dyDescent="0.55000000000000004">
      <c r="A24">
        <f>A23</f>
        <v>61</v>
      </c>
      <c r="B24" t="str">
        <f>B23</f>
        <v>61_0</v>
      </c>
      <c r="C24" s="9" t="str">
        <f>C23</f>
        <v>Chemical</v>
      </c>
      <c r="D24" t="s">
        <v>356</v>
      </c>
      <c r="E24" t="s">
        <v>161</v>
      </c>
      <c r="F24">
        <f xml:space="preserve"> F23 / (1 + 0.021 * (F20 - 25))</f>
        <v>443.00904302891786</v>
      </c>
    </row>
    <row r="25" spans="1:7" x14ac:dyDescent="0.55000000000000004">
      <c r="A25">
        <v>61</v>
      </c>
      <c r="B25" t="str">
        <f t="shared" si="0"/>
        <v>61_0</v>
      </c>
      <c r="C25" t="s">
        <v>154</v>
      </c>
      <c r="D25" t="s">
        <v>162</v>
      </c>
      <c r="F25">
        <v>3.78</v>
      </c>
      <c r="G25" t="s">
        <v>358</v>
      </c>
    </row>
    <row r="26" spans="1:7" x14ac:dyDescent="0.55000000000000004">
      <c r="A26">
        <v>61</v>
      </c>
      <c r="B26" t="str">
        <f t="shared" si="0"/>
        <v>61_0</v>
      </c>
      <c r="C26" t="s">
        <v>163</v>
      </c>
      <c r="D26" t="s">
        <v>168</v>
      </c>
      <c r="E26" t="s">
        <v>131</v>
      </c>
      <c r="F26">
        <v>0</v>
      </c>
    </row>
    <row r="27" spans="1:7" x14ac:dyDescent="0.55000000000000004">
      <c r="A27">
        <v>61</v>
      </c>
      <c r="B27" t="str">
        <f t="shared" si="0"/>
        <v>61_0</v>
      </c>
      <c r="C27" t="s">
        <v>163</v>
      </c>
      <c r="D27" t="s">
        <v>169</v>
      </c>
    </row>
    <row r="28" spans="1:7" x14ac:dyDescent="0.55000000000000004">
      <c r="A28">
        <v>61</v>
      </c>
      <c r="B28" t="str">
        <f t="shared" si="0"/>
        <v>61_0</v>
      </c>
      <c r="C28" t="s">
        <v>163</v>
      </c>
      <c r="D28" t="s">
        <v>170</v>
      </c>
      <c r="E28" t="s">
        <v>139</v>
      </c>
      <c r="F28">
        <v>10</v>
      </c>
    </row>
    <row r="29" spans="1:7" x14ac:dyDescent="0.55000000000000004">
      <c r="A29">
        <v>61</v>
      </c>
      <c r="B29" t="str">
        <f t="shared" si="0"/>
        <v>61_0</v>
      </c>
      <c r="C29" t="s">
        <v>163</v>
      </c>
      <c r="D29" t="s">
        <v>171</v>
      </c>
    </row>
    <row r="30" spans="1:7" x14ac:dyDescent="0.55000000000000004">
      <c r="A30">
        <v>62</v>
      </c>
      <c r="B30" t="str">
        <f t="shared" si="0"/>
        <v>62_0</v>
      </c>
      <c r="C30" t="s">
        <v>126</v>
      </c>
      <c r="D30" t="s">
        <v>127</v>
      </c>
      <c r="E30" t="s">
        <v>128</v>
      </c>
      <c r="F30" s="1"/>
      <c r="G30" t="s">
        <v>129</v>
      </c>
    </row>
    <row r="31" spans="1:7" x14ac:dyDescent="0.55000000000000004">
      <c r="A31">
        <v>62</v>
      </c>
      <c r="B31" t="str">
        <f t="shared" si="0"/>
        <v>62_0</v>
      </c>
      <c r="C31" t="s">
        <v>126</v>
      </c>
      <c r="D31" s="11" t="s">
        <v>130</v>
      </c>
      <c r="E31" t="s">
        <v>131</v>
      </c>
      <c r="F31">
        <v>1</v>
      </c>
    </row>
    <row r="32" spans="1:7" x14ac:dyDescent="0.55000000000000004">
      <c r="A32">
        <v>62</v>
      </c>
      <c r="B32" t="str">
        <f t="shared" si="0"/>
        <v>62_0</v>
      </c>
      <c r="C32" t="s">
        <v>126</v>
      </c>
      <c r="D32" t="s">
        <v>132</v>
      </c>
      <c r="E32" t="s">
        <v>133</v>
      </c>
    </row>
    <row r="33" spans="1:7" x14ac:dyDescent="0.55000000000000004">
      <c r="A33">
        <v>62</v>
      </c>
      <c r="B33" t="str">
        <f t="shared" si="0"/>
        <v>62_0</v>
      </c>
      <c r="C33" t="s">
        <v>126</v>
      </c>
      <c r="D33" t="s">
        <v>134</v>
      </c>
      <c r="E33" t="s">
        <v>133</v>
      </c>
      <c r="F33">
        <v>1.7</v>
      </c>
    </row>
    <row r="34" spans="1:7" x14ac:dyDescent="0.55000000000000004">
      <c r="A34">
        <v>62</v>
      </c>
      <c r="B34" t="str">
        <f t="shared" si="0"/>
        <v>62_0</v>
      </c>
      <c r="C34" t="s">
        <v>126</v>
      </c>
      <c r="D34" t="s">
        <v>135</v>
      </c>
      <c r="E34" t="s">
        <v>136</v>
      </c>
      <c r="F34">
        <f>F33/10</f>
        <v>0.16999999999999998</v>
      </c>
      <c r="G34" t="s">
        <v>137</v>
      </c>
    </row>
    <row r="35" spans="1:7" x14ac:dyDescent="0.55000000000000004">
      <c r="A35">
        <v>62</v>
      </c>
      <c r="B35" t="str">
        <f t="shared" si="0"/>
        <v>62_0</v>
      </c>
      <c r="C35" t="s">
        <v>126</v>
      </c>
      <c r="D35" s="2" t="s">
        <v>138</v>
      </c>
      <c r="E35" t="s">
        <v>139</v>
      </c>
      <c r="F35">
        <v>100</v>
      </c>
    </row>
    <row r="36" spans="1:7" x14ac:dyDescent="0.55000000000000004">
      <c r="A36">
        <v>62</v>
      </c>
      <c r="B36" t="str">
        <f t="shared" si="0"/>
        <v>62_0</v>
      </c>
      <c r="C36" t="s">
        <v>126</v>
      </c>
      <c r="D36" s="2" t="s">
        <v>140</v>
      </c>
      <c r="F36" t="s">
        <v>172</v>
      </c>
    </row>
    <row r="37" spans="1:7" x14ac:dyDescent="0.55000000000000004">
      <c r="A37">
        <v>62</v>
      </c>
      <c r="B37" t="str">
        <f t="shared" si="0"/>
        <v>62_0</v>
      </c>
      <c r="C37" t="s">
        <v>126</v>
      </c>
      <c r="D37" s="2" t="s">
        <v>141</v>
      </c>
      <c r="E37" t="s">
        <v>139</v>
      </c>
      <c r="F37">
        <v>100</v>
      </c>
    </row>
    <row r="38" spans="1:7" x14ac:dyDescent="0.55000000000000004">
      <c r="A38">
        <v>62</v>
      </c>
      <c r="B38" t="str">
        <f t="shared" si="0"/>
        <v>62_0</v>
      </c>
      <c r="C38" t="s">
        <v>126</v>
      </c>
      <c r="D38" t="s">
        <v>142</v>
      </c>
      <c r="E38" t="s">
        <v>139</v>
      </c>
      <c r="F38">
        <v>0</v>
      </c>
    </row>
    <row r="39" spans="1:7" x14ac:dyDescent="0.55000000000000004">
      <c r="A39">
        <v>62</v>
      </c>
      <c r="B39" t="str">
        <f t="shared" si="0"/>
        <v>62_0</v>
      </c>
      <c r="C39" t="s">
        <v>126</v>
      </c>
      <c r="D39" t="s">
        <v>143</v>
      </c>
      <c r="E39" t="s">
        <v>131</v>
      </c>
      <c r="F39">
        <v>0</v>
      </c>
    </row>
    <row r="40" spans="1:7" x14ac:dyDescent="0.55000000000000004">
      <c r="A40">
        <v>62</v>
      </c>
      <c r="B40" t="str">
        <f t="shared" si="0"/>
        <v>62_0</v>
      </c>
      <c r="C40" t="s">
        <v>126</v>
      </c>
      <c r="D40" t="s">
        <v>144</v>
      </c>
      <c r="E40" t="s">
        <v>139</v>
      </c>
      <c r="F40">
        <v>0</v>
      </c>
    </row>
    <row r="41" spans="1:7" x14ac:dyDescent="0.55000000000000004">
      <c r="A41">
        <v>62</v>
      </c>
      <c r="B41" t="str">
        <f t="shared" si="0"/>
        <v>62_0</v>
      </c>
      <c r="C41" t="s">
        <v>126</v>
      </c>
      <c r="D41" t="s">
        <v>145</v>
      </c>
      <c r="E41" t="s">
        <v>139</v>
      </c>
      <c r="F41">
        <v>40</v>
      </c>
    </row>
    <row r="42" spans="1:7" x14ac:dyDescent="0.55000000000000004">
      <c r="A42">
        <v>62</v>
      </c>
      <c r="B42" t="str">
        <f t="shared" si="0"/>
        <v>62_0</v>
      </c>
      <c r="C42" t="s">
        <v>126</v>
      </c>
      <c r="D42" t="s">
        <v>146</v>
      </c>
      <c r="E42" t="s">
        <v>139</v>
      </c>
      <c r="F42">
        <v>0</v>
      </c>
    </row>
    <row r="43" spans="1:7" x14ac:dyDescent="0.55000000000000004">
      <c r="A43">
        <v>62</v>
      </c>
      <c r="B43" t="str">
        <f t="shared" si="0"/>
        <v>62_0</v>
      </c>
      <c r="C43" t="s">
        <v>126</v>
      </c>
      <c r="D43" t="s">
        <v>147</v>
      </c>
      <c r="E43" t="s">
        <v>139</v>
      </c>
      <c r="F43">
        <v>0</v>
      </c>
    </row>
    <row r="44" spans="1:7" x14ac:dyDescent="0.55000000000000004">
      <c r="A44">
        <v>62</v>
      </c>
      <c r="B44" t="str">
        <f t="shared" si="0"/>
        <v>62_0</v>
      </c>
      <c r="C44" t="s">
        <v>126</v>
      </c>
      <c r="D44" t="s">
        <v>148</v>
      </c>
      <c r="E44" t="s">
        <v>139</v>
      </c>
      <c r="F44">
        <v>60</v>
      </c>
    </row>
    <row r="45" spans="1:7" x14ac:dyDescent="0.55000000000000004">
      <c r="A45">
        <v>62</v>
      </c>
      <c r="B45" t="str">
        <f t="shared" si="0"/>
        <v>62_0</v>
      </c>
      <c r="C45" t="s">
        <v>126</v>
      </c>
      <c r="D45" t="s">
        <v>149</v>
      </c>
      <c r="E45" t="s">
        <v>139</v>
      </c>
      <c r="F45">
        <v>0</v>
      </c>
    </row>
    <row r="46" spans="1:7" x14ac:dyDescent="0.55000000000000004">
      <c r="A46">
        <v>62</v>
      </c>
      <c r="B46" t="str">
        <f t="shared" si="0"/>
        <v>62_0</v>
      </c>
      <c r="C46" t="s">
        <v>126</v>
      </c>
      <c r="D46" t="s">
        <v>150</v>
      </c>
      <c r="E46" t="s">
        <v>139</v>
      </c>
      <c r="F46">
        <v>0</v>
      </c>
    </row>
    <row r="47" spans="1:7" x14ac:dyDescent="0.55000000000000004">
      <c r="A47">
        <v>62</v>
      </c>
      <c r="B47" t="str">
        <f t="shared" si="0"/>
        <v>62_0</v>
      </c>
      <c r="C47" t="s">
        <v>126</v>
      </c>
      <c r="D47" t="s">
        <v>152</v>
      </c>
      <c r="E47" t="s">
        <v>153</v>
      </c>
    </row>
    <row r="48" spans="1:7" x14ac:dyDescent="0.55000000000000004">
      <c r="A48">
        <v>62</v>
      </c>
      <c r="B48" t="str">
        <f t="shared" si="0"/>
        <v>62_0</v>
      </c>
      <c r="C48" t="s">
        <v>154</v>
      </c>
      <c r="D48" t="s">
        <v>155</v>
      </c>
      <c r="E48" t="s">
        <v>156</v>
      </c>
      <c r="F48">
        <v>22.9</v>
      </c>
    </row>
    <row r="49" spans="1:7" x14ac:dyDescent="0.55000000000000004">
      <c r="A49">
        <v>62</v>
      </c>
      <c r="B49" t="str">
        <f t="shared" si="0"/>
        <v>62_0</v>
      </c>
      <c r="C49" t="s">
        <v>154</v>
      </c>
      <c r="D49" t="s">
        <v>157</v>
      </c>
      <c r="E49" t="s">
        <v>158</v>
      </c>
      <c r="F49">
        <v>7.85</v>
      </c>
    </row>
    <row r="50" spans="1:7" x14ac:dyDescent="0.55000000000000004">
      <c r="A50">
        <v>62</v>
      </c>
      <c r="B50" t="str">
        <f t="shared" si="0"/>
        <v>62_0</v>
      </c>
      <c r="C50" t="s">
        <v>154</v>
      </c>
      <c r="D50" t="s">
        <v>159</v>
      </c>
      <c r="E50" t="s">
        <v>139</v>
      </c>
      <c r="F50">
        <v>91.3</v>
      </c>
    </row>
    <row r="51" spans="1:7" x14ac:dyDescent="0.55000000000000004">
      <c r="A51">
        <v>62</v>
      </c>
      <c r="B51" t="str">
        <f t="shared" si="0"/>
        <v>62_0</v>
      </c>
      <c r="C51" t="s">
        <v>154</v>
      </c>
      <c r="D51" t="s">
        <v>357</v>
      </c>
      <c r="E51" t="s">
        <v>161</v>
      </c>
      <c r="F51">
        <v>192.6</v>
      </c>
    </row>
    <row r="52" spans="1:7" x14ac:dyDescent="0.55000000000000004">
      <c r="A52">
        <f>A51</f>
        <v>62</v>
      </c>
      <c r="B52" t="str">
        <f>B51</f>
        <v>62_0</v>
      </c>
      <c r="C52" s="9" t="str">
        <f>C51</f>
        <v>Chemical</v>
      </c>
      <c r="D52" t="s">
        <v>356</v>
      </c>
      <c r="E52" t="s">
        <v>161</v>
      </c>
      <c r="F52">
        <f xml:space="preserve"> F51 / (1 + 0.021 * (F48 - 25))</f>
        <v>201.48551103671932</v>
      </c>
    </row>
    <row r="53" spans="1:7" x14ac:dyDescent="0.55000000000000004">
      <c r="A53">
        <v>62</v>
      </c>
      <c r="B53" t="str">
        <f t="shared" si="0"/>
        <v>62_0</v>
      </c>
      <c r="C53" t="s">
        <v>154</v>
      </c>
      <c r="D53" t="s">
        <v>162</v>
      </c>
      <c r="F53">
        <v>7.03</v>
      </c>
    </row>
    <row r="54" spans="1:7" x14ac:dyDescent="0.55000000000000004">
      <c r="A54">
        <v>62</v>
      </c>
      <c r="B54" t="str">
        <f t="shared" si="0"/>
        <v>62_0</v>
      </c>
      <c r="C54" t="s">
        <v>163</v>
      </c>
      <c r="D54" t="s">
        <v>168</v>
      </c>
      <c r="E54" t="s">
        <v>131</v>
      </c>
      <c r="F54">
        <v>0</v>
      </c>
    </row>
    <row r="55" spans="1:7" x14ac:dyDescent="0.55000000000000004">
      <c r="A55">
        <v>62</v>
      </c>
      <c r="B55" t="str">
        <f t="shared" si="0"/>
        <v>62_0</v>
      </c>
      <c r="C55" t="s">
        <v>163</v>
      </c>
      <c r="D55" t="s">
        <v>169</v>
      </c>
    </row>
    <row r="56" spans="1:7" x14ac:dyDescent="0.55000000000000004">
      <c r="A56">
        <v>62</v>
      </c>
      <c r="B56" t="str">
        <f t="shared" si="0"/>
        <v>62_0</v>
      </c>
      <c r="C56" t="s">
        <v>163</v>
      </c>
      <c r="D56" t="s">
        <v>170</v>
      </c>
      <c r="E56" t="s">
        <v>139</v>
      </c>
      <c r="F56">
        <v>20</v>
      </c>
    </row>
    <row r="57" spans="1:7" x14ac:dyDescent="0.55000000000000004">
      <c r="A57">
        <v>62</v>
      </c>
      <c r="B57" t="str">
        <f t="shared" si="0"/>
        <v>62_0</v>
      </c>
      <c r="C57" t="s">
        <v>163</v>
      </c>
      <c r="D57" t="s">
        <v>171</v>
      </c>
    </row>
    <row r="58" spans="1:7" x14ac:dyDescent="0.55000000000000004">
      <c r="A58">
        <v>63</v>
      </c>
      <c r="B58" t="str">
        <f t="shared" si="0"/>
        <v>63_0</v>
      </c>
      <c r="C58" t="s">
        <v>126</v>
      </c>
      <c r="D58" t="s">
        <v>127</v>
      </c>
      <c r="E58" t="s">
        <v>128</v>
      </c>
      <c r="F58" s="1"/>
      <c r="G58" t="s">
        <v>129</v>
      </c>
    </row>
    <row r="59" spans="1:7" x14ac:dyDescent="0.55000000000000004">
      <c r="A59">
        <v>63</v>
      </c>
      <c r="B59" t="str">
        <f t="shared" ref="B59:B114" si="1">A59 &amp; "_0"</f>
        <v>63_0</v>
      </c>
      <c r="C59" t="s">
        <v>126</v>
      </c>
      <c r="D59" s="11" t="s">
        <v>130</v>
      </c>
      <c r="E59" t="s">
        <v>131</v>
      </c>
      <c r="F59">
        <v>1</v>
      </c>
    </row>
    <row r="60" spans="1:7" x14ac:dyDescent="0.55000000000000004">
      <c r="A60">
        <v>63</v>
      </c>
      <c r="B60" t="str">
        <f t="shared" si="1"/>
        <v>63_0</v>
      </c>
      <c r="C60" t="s">
        <v>126</v>
      </c>
      <c r="D60" t="s">
        <v>132</v>
      </c>
      <c r="E60" t="s">
        <v>133</v>
      </c>
      <c r="F60">
        <v>3.4</v>
      </c>
    </row>
    <row r="61" spans="1:7" x14ac:dyDescent="0.55000000000000004">
      <c r="A61">
        <v>63</v>
      </c>
      <c r="B61" t="str">
        <f t="shared" si="1"/>
        <v>63_0</v>
      </c>
      <c r="C61" t="s">
        <v>126</v>
      </c>
      <c r="D61" t="s">
        <v>134</v>
      </c>
      <c r="E61" t="s">
        <v>133</v>
      </c>
      <c r="F61">
        <v>0.48</v>
      </c>
    </row>
    <row r="62" spans="1:7" x14ac:dyDescent="0.55000000000000004">
      <c r="A62">
        <v>63</v>
      </c>
      <c r="B62" t="str">
        <f t="shared" si="1"/>
        <v>63_0</v>
      </c>
      <c r="C62" t="s">
        <v>126</v>
      </c>
      <c r="D62" t="s">
        <v>135</v>
      </c>
      <c r="E62" t="s">
        <v>136</v>
      </c>
      <c r="F62">
        <f>F61/10</f>
        <v>4.8000000000000001E-2</v>
      </c>
      <c r="G62" t="s">
        <v>137</v>
      </c>
    </row>
    <row r="63" spans="1:7" x14ac:dyDescent="0.55000000000000004">
      <c r="A63">
        <v>63</v>
      </c>
      <c r="B63" t="str">
        <f t="shared" si="1"/>
        <v>63_0</v>
      </c>
      <c r="C63" t="s">
        <v>126</v>
      </c>
      <c r="D63" s="2" t="s">
        <v>138</v>
      </c>
      <c r="E63" t="s">
        <v>139</v>
      </c>
      <c r="F63">
        <v>100</v>
      </c>
    </row>
    <row r="64" spans="1:7" x14ac:dyDescent="0.55000000000000004">
      <c r="A64">
        <v>63</v>
      </c>
      <c r="B64" t="str">
        <f t="shared" si="1"/>
        <v>63_0</v>
      </c>
      <c r="C64" t="s">
        <v>126</v>
      </c>
      <c r="D64" s="2" t="s">
        <v>140</v>
      </c>
      <c r="F64" t="s">
        <v>172</v>
      </c>
    </row>
    <row r="65" spans="1:6" x14ac:dyDescent="0.55000000000000004">
      <c r="A65">
        <v>63</v>
      </c>
      <c r="B65" t="str">
        <f t="shared" si="1"/>
        <v>63_0</v>
      </c>
      <c r="C65" t="s">
        <v>126</v>
      </c>
      <c r="D65" s="2" t="s">
        <v>141</v>
      </c>
      <c r="E65" t="s">
        <v>139</v>
      </c>
      <c r="F65">
        <v>100</v>
      </c>
    </row>
    <row r="66" spans="1:6" x14ac:dyDescent="0.55000000000000004">
      <c r="A66">
        <v>63</v>
      </c>
      <c r="B66" t="str">
        <f t="shared" si="1"/>
        <v>63_0</v>
      </c>
      <c r="C66" t="s">
        <v>126</v>
      </c>
      <c r="D66" t="s">
        <v>142</v>
      </c>
      <c r="E66" t="s">
        <v>139</v>
      </c>
      <c r="F66">
        <v>0</v>
      </c>
    </row>
    <row r="67" spans="1:6" x14ac:dyDescent="0.55000000000000004">
      <c r="A67">
        <v>63</v>
      </c>
      <c r="B67" t="str">
        <f t="shared" si="1"/>
        <v>63_0</v>
      </c>
      <c r="C67" t="s">
        <v>126</v>
      </c>
      <c r="D67" t="s">
        <v>143</v>
      </c>
      <c r="E67" t="s">
        <v>131</v>
      </c>
      <c r="F67">
        <v>0</v>
      </c>
    </row>
    <row r="68" spans="1:6" x14ac:dyDescent="0.55000000000000004">
      <c r="A68">
        <v>63</v>
      </c>
      <c r="B68" t="str">
        <f t="shared" si="1"/>
        <v>63_0</v>
      </c>
      <c r="C68" t="s">
        <v>126</v>
      </c>
      <c r="D68" t="s">
        <v>144</v>
      </c>
      <c r="E68" t="s">
        <v>139</v>
      </c>
      <c r="F68">
        <v>0</v>
      </c>
    </row>
    <row r="69" spans="1:6" x14ac:dyDescent="0.55000000000000004">
      <c r="A69">
        <v>63</v>
      </c>
      <c r="B69" t="str">
        <f t="shared" si="1"/>
        <v>63_0</v>
      </c>
      <c r="C69" t="s">
        <v>126</v>
      </c>
      <c r="D69" t="s">
        <v>145</v>
      </c>
      <c r="E69" t="s">
        <v>139</v>
      </c>
      <c r="F69">
        <v>10</v>
      </c>
    </row>
    <row r="70" spans="1:6" x14ac:dyDescent="0.55000000000000004">
      <c r="A70">
        <v>63</v>
      </c>
      <c r="B70" t="str">
        <f t="shared" si="1"/>
        <v>63_0</v>
      </c>
      <c r="C70" t="s">
        <v>126</v>
      </c>
      <c r="D70" t="s">
        <v>146</v>
      </c>
      <c r="E70" t="s">
        <v>139</v>
      </c>
      <c r="F70">
        <v>0</v>
      </c>
    </row>
    <row r="71" spans="1:6" x14ac:dyDescent="0.55000000000000004">
      <c r="A71">
        <v>63</v>
      </c>
      <c r="B71" t="str">
        <f t="shared" si="1"/>
        <v>63_0</v>
      </c>
      <c r="C71" t="s">
        <v>126</v>
      </c>
      <c r="D71" t="s">
        <v>147</v>
      </c>
      <c r="E71" t="s">
        <v>139</v>
      </c>
      <c r="F71">
        <v>0</v>
      </c>
    </row>
    <row r="72" spans="1:6" x14ac:dyDescent="0.55000000000000004">
      <c r="A72">
        <v>63</v>
      </c>
      <c r="B72" t="str">
        <f t="shared" si="1"/>
        <v>63_0</v>
      </c>
      <c r="C72" t="s">
        <v>126</v>
      </c>
      <c r="D72" t="s">
        <v>148</v>
      </c>
      <c r="E72" t="s">
        <v>139</v>
      </c>
      <c r="F72">
        <v>90</v>
      </c>
    </row>
    <row r="73" spans="1:6" x14ac:dyDescent="0.55000000000000004">
      <c r="A73">
        <v>63</v>
      </c>
      <c r="B73" t="str">
        <f t="shared" si="1"/>
        <v>63_0</v>
      </c>
      <c r="C73" t="s">
        <v>126</v>
      </c>
      <c r="D73" t="s">
        <v>149</v>
      </c>
      <c r="E73" t="s">
        <v>139</v>
      </c>
      <c r="F73">
        <v>0</v>
      </c>
    </row>
    <row r="74" spans="1:6" x14ac:dyDescent="0.55000000000000004">
      <c r="A74">
        <v>63</v>
      </c>
      <c r="B74" t="str">
        <f t="shared" si="1"/>
        <v>63_0</v>
      </c>
      <c r="C74" t="s">
        <v>126</v>
      </c>
      <c r="D74" t="s">
        <v>150</v>
      </c>
      <c r="E74" t="s">
        <v>139</v>
      </c>
      <c r="F74">
        <v>0</v>
      </c>
    </row>
    <row r="75" spans="1:6" x14ac:dyDescent="0.55000000000000004">
      <c r="A75">
        <v>63</v>
      </c>
      <c r="B75" t="str">
        <f t="shared" si="1"/>
        <v>63_0</v>
      </c>
      <c r="C75" t="s">
        <v>126</v>
      </c>
      <c r="D75" t="s">
        <v>152</v>
      </c>
      <c r="E75" t="s">
        <v>153</v>
      </c>
    </row>
    <row r="76" spans="1:6" x14ac:dyDescent="0.55000000000000004">
      <c r="A76">
        <v>63</v>
      </c>
      <c r="B76" t="str">
        <f t="shared" si="1"/>
        <v>63_0</v>
      </c>
      <c r="C76" t="s">
        <v>154</v>
      </c>
      <c r="D76" t="s">
        <v>155</v>
      </c>
      <c r="E76" t="s">
        <v>156</v>
      </c>
      <c r="F76">
        <v>22.4</v>
      </c>
    </row>
    <row r="77" spans="1:6" x14ac:dyDescent="0.55000000000000004">
      <c r="A77">
        <v>63</v>
      </c>
      <c r="B77" t="str">
        <f t="shared" si="1"/>
        <v>63_0</v>
      </c>
      <c r="C77" t="s">
        <v>154</v>
      </c>
      <c r="D77" t="s">
        <v>157</v>
      </c>
      <c r="E77" t="s">
        <v>158</v>
      </c>
      <c r="F77">
        <v>6.89</v>
      </c>
    </row>
    <row r="78" spans="1:6" x14ac:dyDescent="0.55000000000000004">
      <c r="A78">
        <v>63</v>
      </c>
      <c r="B78" t="str">
        <f t="shared" si="1"/>
        <v>63_0</v>
      </c>
      <c r="C78" t="s">
        <v>154</v>
      </c>
      <c r="D78" t="s">
        <v>159</v>
      </c>
      <c r="E78" t="s">
        <v>139</v>
      </c>
      <c r="F78">
        <v>79.3</v>
      </c>
    </row>
    <row r="79" spans="1:6" x14ac:dyDescent="0.55000000000000004">
      <c r="A79">
        <v>63</v>
      </c>
      <c r="B79" t="str">
        <f t="shared" si="1"/>
        <v>63_0</v>
      </c>
      <c r="C79" t="s">
        <v>154</v>
      </c>
      <c r="D79" t="s">
        <v>357</v>
      </c>
      <c r="E79" t="s">
        <v>161</v>
      </c>
      <c r="F79">
        <v>181.7</v>
      </c>
    </row>
    <row r="80" spans="1:6" x14ac:dyDescent="0.55000000000000004">
      <c r="A80">
        <f>A79</f>
        <v>63</v>
      </c>
      <c r="B80" t="str">
        <f>B79</f>
        <v>63_0</v>
      </c>
      <c r="C80" s="9" t="str">
        <f>C79</f>
        <v>Chemical</v>
      </c>
      <c r="D80" t="s">
        <v>356</v>
      </c>
      <c r="E80" t="s">
        <v>161</v>
      </c>
      <c r="F80">
        <f xml:space="preserve"> F79 / (1 + 0.021 * (F76 - 25))</f>
        <v>192.19378041040827</v>
      </c>
    </row>
    <row r="81" spans="1:7" x14ac:dyDescent="0.55000000000000004">
      <c r="A81">
        <v>63</v>
      </c>
      <c r="B81" t="str">
        <f t="shared" si="1"/>
        <v>63_0</v>
      </c>
      <c r="C81" t="s">
        <v>154</v>
      </c>
      <c r="D81" t="s">
        <v>162</v>
      </c>
      <c r="F81">
        <v>7.02</v>
      </c>
    </row>
    <row r="82" spans="1:7" x14ac:dyDescent="0.55000000000000004">
      <c r="A82">
        <v>63</v>
      </c>
      <c r="B82" t="str">
        <f t="shared" si="1"/>
        <v>63_0</v>
      </c>
      <c r="C82" t="s">
        <v>163</v>
      </c>
      <c r="D82" t="s">
        <v>168</v>
      </c>
      <c r="E82" t="s">
        <v>131</v>
      </c>
      <c r="F82">
        <v>1</v>
      </c>
    </row>
    <row r="83" spans="1:7" x14ac:dyDescent="0.55000000000000004">
      <c r="A83">
        <v>63</v>
      </c>
      <c r="B83" t="str">
        <f t="shared" si="1"/>
        <v>63_0</v>
      </c>
      <c r="C83" t="s">
        <v>163</v>
      </c>
      <c r="D83" t="s">
        <v>169</v>
      </c>
      <c r="F83" t="s">
        <v>310</v>
      </c>
    </row>
    <row r="84" spans="1:7" x14ac:dyDescent="0.55000000000000004">
      <c r="A84">
        <v>63</v>
      </c>
      <c r="B84" t="str">
        <f t="shared" si="1"/>
        <v>63_0</v>
      </c>
      <c r="C84" t="s">
        <v>163</v>
      </c>
      <c r="D84" t="s">
        <v>170</v>
      </c>
      <c r="E84" t="s">
        <v>139</v>
      </c>
      <c r="F84">
        <v>3</v>
      </c>
    </row>
    <row r="85" spans="1:7" x14ac:dyDescent="0.55000000000000004">
      <c r="A85">
        <v>63</v>
      </c>
      <c r="B85" t="str">
        <f t="shared" si="1"/>
        <v>63_0</v>
      </c>
      <c r="C85" t="s">
        <v>163</v>
      </c>
      <c r="D85" t="s">
        <v>171</v>
      </c>
    </row>
    <row r="86" spans="1:7" x14ac:dyDescent="0.55000000000000004">
      <c r="A86">
        <v>64</v>
      </c>
      <c r="B86" t="str">
        <f t="shared" si="1"/>
        <v>64_0</v>
      </c>
      <c r="C86" t="s">
        <v>126</v>
      </c>
      <c r="D86" t="s">
        <v>127</v>
      </c>
      <c r="E86" t="s">
        <v>128</v>
      </c>
      <c r="F86" s="1"/>
      <c r="G86" t="s">
        <v>129</v>
      </c>
    </row>
    <row r="87" spans="1:7" x14ac:dyDescent="0.55000000000000004">
      <c r="A87">
        <v>64</v>
      </c>
      <c r="B87" t="str">
        <f t="shared" si="1"/>
        <v>64_0</v>
      </c>
      <c r="C87" t="s">
        <v>126</v>
      </c>
      <c r="D87" s="11" t="s">
        <v>130</v>
      </c>
      <c r="E87" t="s">
        <v>131</v>
      </c>
      <c r="F87">
        <v>1</v>
      </c>
    </row>
    <row r="88" spans="1:7" x14ac:dyDescent="0.55000000000000004">
      <c r="A88">
        <v>64</v>
      </c>
      <c r="B88" t="str">
        <f t="shared" si="1"/>
        <v>64_0</v>
      </c>
      <c r="C88" t="s">
        <v>126</v>
      </c>
      <c r="D88" t="s">
        <v>132</v>
      </c>
      <c r="E88" t="s">
        <v>133</v>
      </c>
    </row>
    <row r="89" spans="1:7" x14ac:dyDescent="0.55000000000000004">
      <c r="A89">
        <v>64</v>
      </c>
      <c r="B89" t="str">
        <f t="shared" si="1"/>
        <v>64_0</v>
      </c>
      <c r="C89" t="s">
        <v>126</v>
      </c>
      <c r="D89" t="s">
        <v>134</v>
      </c>
      <c r="E89" t="s">
        <v>133</v>
      </c>
      <c r="F89">
        <v>0.5</v>
      </c>
    </row>
    <row r="90" spans="1:7" x14ac:dyDescent="0.55000000000000004">
      <c r="A90">
        <v>64</v>
      </c>
      <c r="B90" t="str">
        <f t="shared" si="1"/>
        <v>64_0</v>
      </c>
      <c r="C90" t="s">
        <v>126</v>
      </c>
      <c r="D90" t="s">
        <v>135</v>
      </c>
      <c r="E90" t="s">
        <v>136</v>
      </c>
      <c r="F90">
        <f>F89/10</f>
        <v>0.05</v>
      </c>
      <c r="G90" t="s">
        <v>137</v>
      </c>
    </row>
    <row r="91" spans="1:7" x14ac:dyDescent="0.55000000000000004">
      <c r="A91">
        <v>64</v>
      </c>
      <c r="B91" t="str">
        <f t="shared" si="1"/>
        <v>64_0</v>
      </c>
      <c r="C91" t="s">
        <v>126</v>
      </c>
      <c r="D91" s="2" t="s">
        <v>138</v>
      </c>
      <c r="E91" t="s">
        <v>139</v>
      </c>
      <c r="F91">
        <v>50</v>
      </c>
    </row>
    <row r="92" spans="1:7" x14ac:dyDescent="0.55000000000000004">
      <c r="A92">
        <v>64</v>
      </c>
      <c r="B92" t="str">
        <f t="shared" si="1"/>
        <v>64_0</v>
      </c>
      <c r="C92" t="s">
        <v>126</v>
      </c>
      <c r="D92" s="2" t="s">
        <v>140</v>
      </c>
      <c r="F92" t="s">
        <v>297</v>
      </c>
    </row>
    <row r="93" spans="1:7" x14ac:dyDescent="0.55000000000000004">
      <c r="A93">
        <v>64</v>
      </c>
      <c r="B93" t="str">
        <f t="shared" si="1"/>
        <v>64_0</v>
      </c>
      <c r="C93" t="s">
        <v>126</v>
      </c>
      <c r="D93" s="2" t="s">
        <v>141</v>
      </c>
      <c r="E93" t="s">
        <v>139</v>
      </c>
      <c r="F93">
        <v>50</v>
      </c>
    </row>
    <row r="94" spans="1:7" x14ac:dyDescent="0.55000000000000004">
      <c r="A94">
        <v>64</v>
      </c>
      <c r="B94" t="str">
        <f t="shared" si="1"/>
        <v>64_0</v>
      </c>
      <c r="C94" t="s">
        <v>126</v>
      </c>
      <c r="D94" t="s">
        <v>142</v>
      </c>
      <c r="E94" t="s">
        <v>139</v>
      </c>
      <c r="F94">
        <v>0</v>
      </c>
    </row>
    <row r="95" spans="1:7" x14ac:dyDescent="0.55000000000000004">
      <c r="A95">
        <v>64</v>
      </c>
      <c r="B95" t="str">
        <f t="shared" si="1"/>
        <v>64_0</v>
      </c>
      <c r="C95" t="s">
        <v>126</v>
      </c>
      <c r="D95" t="s">
        <v>143</v>
      </c>
      <c r="E95" t="s">
        <v>131</v>
      </c>
      <c r="F95">
        <v>0</v>
      </c>
    </row>
    <row r="96" spans="1:7" x14ac:dyDescent="0.55000000000000004">
      <c r="A96">
        <v>64</v>
      </c>
      <c r="B96" t="str">
        <f t="shared" si="1"/>
        <v>64_0</v>
      </c>
      <c r="C96" t="s">
        <v>126</v>
      </c>
      <c r="D96" t="s">
        <v>144</v>
      </c>
      <c r="E96" t="s">
        <v>139</v>
      </c>
      <c r="F96">
        <v>0</v>
      </c>
    </row>
    <row r="97" spans="1:6" x14ac:dyDescent="0.55000000000000004">
      <c r="A97">
        <v>64</v>
      </c>
      <c r="B97" t="str">
        <f t="shared" si="1"/>
        <v>64_0</v>
      </c>
      <c r="C97" t="s">
        <v>126</v>
      </c>
      <c r="D97" t="s">
        <v>145</v>
      </c>
      <c r="E97" t="s">
        <v>139</v>
      </c>
      <c r="F97">
        <v>0</v>
      </c>
    </row>
    <row r="98" spans="1:6" x14ac:dyDescent="0.55000000000000004">
      <c r="A98">
        <v>64</v>
      </c>
      <c r="B98" t="str">
        <f t="shared" si="1"/>
        <v>64_0</v>
      </c>
      <c r="C98" t="s">
        <v>126</v>
      </c>
      <c r="D98" t="s">
        <v>146</v>
      </c>
      <c r="E98" t="s">
        <v>139</v>
      </c>
      <c r="F98">
        <v>0</v>
      </c>
    </row>
    <row r="99" spans="1:6" x14ac:dyDescent="0.55000000000000004">
      <c r="A99">
        <v>64</v>
      </c>
      <c r="B99" t="str">
        <f t="shared" si="1"/>
        <v>64_0</v>
      </c>
      <c r="C99" t="s">
        <v>126</v>
      </c>
      <c r="D99" t="s">
        <v>147</v>
      </c>
      <c r="E99" t="s">
        <v>139</v>
      </c>
      <c r="F99">
        <v>0</v>
      </c>
    </row>
    <row r="100" spans="1:6" x14ac:dyDescent="0.55000000000000004">
      <c r="A100">
        <v>64</v>
      </c>
      <c r="B100" t="str">
        <f t="shared" si="1"/>
        <v>64_0</v>
      </c>
      <c r="C100" t="s">
        <v>126</v>
      </c>
      <c r="D100" t="s">
        <v>148</v>
      </c>
      <c r="E100" t="s">
        <v>139</v>
      </c>
      <c r="F100">
        <v>100</v>
      </c>
    </row>
    <row r="101" spans="1:6" x14ac:dyDescent="0.55000000000000004">
      <c r="A101">
        <v>64</v>
      </c>
      <c r="B101" t="str">
        <f t="shared" si="1"/>
        <v>64_0</v>
      </c>
      <c r="C101" t="s">
        <v>126</v>
      </c>
      <c r="D101" t="s">
        <v>149</v>
      </c>
      <c r="E101" t="s">
        <v>139</v>
      </c>
      <c r="F101">
        <v>0</v>
      </c>
    </row>
    <row r="102" spans="1:6" x14ac:dyDescent="0.55000000000000004">
      <c r="A102">
        <v>64</v>
      </c>
      <c r="B102" t="str">
        <f t="shared" si="1"/>
        <v>64_0</v>
      </c>
      <c r="C102" t="s">
        <v>126</v>
      </c>
      <c r="D102" t="s">
        <v>150</v>
      </c>
      <c r="E102" t="s">
        <v>139</v>
      </c>
      <c r="F102">
        <v>0</v>
      </c>
    </row>
    <row r="103" spans="1:6" x14ac:dyDescent="0.55000000000000004">
      <c r="A103">
        <v>64</v>
      </c>
      <c r="B103" t="str">
        <f t="shared" si="1"/>
        <v>64_0</v>
      </c>
      <c r="C103" t="s">
        <v>126</v>
      </c>
      <c r="D103" t="s">
        <v>152</v>
      </c>
      <c r="E103" t="s">
        <v>153</v>
      </c>
    </row>
    <row r="104" spans="1:6" x14ac:dyDescent="0.55000000000000004">
      <c r="A104">
        <v>64</v>
      </c>
      <c r="B104" t="str">
        <f t="shared" si="1"/>
        <v>64_0</v>
      </c>
      <c r="C104" t="s">
        <v>154</v>
      </c>
      <c r="D104" t="s">
        <v>155</v>
      </c>
      <c r="E104" t="s">
        <v>156</v>
      </c>
      <c r="F104">
        <v>21.8</v>
      </c>
    </row>
    <row r="105" spans="1:6" x14ac:dyDescent="0.55000000000000004">
      <c r="A105">
        <v>64</v>
      </c>
      <c r="B105" t="str">
        <f t="shared" si="1"/>
        <v>64_0</v>
      </c>
      <c r="C105" t="s">
        <v>154</v>
      </c>
      <c r="D105" t="s">
        <v>157</v>
      </c>
      <c r="E105" t="s">
        <v>158</v>
      </c>
      <c r="F105">
        <v>8</v>
      </c>
    </row>
    <row r="106" spans="1:6" x14ac:dyDescent="0.55000000000000004">
      <c r="A106">
        <v>64</v>
      </c>
      <c r="B106" t="str">
        <f t="shared" si="1"/>
        <v>64_0</v>
      </c>
      <c r="C106" t="s">
        <v>154</v>
      </c>
      <c r="D106" t="s">
        <v>159</v>
      </c>
      <c r="E106" t="s">
        <v>139</v>
      </c>
      <c r="F106">
        <v>91</v>
      </c>
    </row>
    <row r="107" spans="1:6" x14ac:dyDescent="0.55000000000000004">
      <c r="A107">
        <v>64</v>
      </c>
      <c r="B107" t="str">
        <f t="shared" si="1"/>
        <v>64_0</v>
      </c>
      <c r="C107" t="s">
        <v>154</v>
      </c>
      <c r="D107" t="s">
        <v>357</v>
      </c>
      <c r="E107" t="s">
        <v>161</v>
      </c>
      <c r="F107">
        <v>145.69999999999999</v>
      </c>
    </row>
    <row r="108" spans="1:6" x14ac:dyDescent="0.55000000000000004">
      <c r="A108">
        <f>A107</f>
        <v>64</v>
      </c>
      <c r="B108" t="str">
        <f>B107</f>
        <v>64_0</v>
      </c>
      <c r="C108" s="9" t="str">
        <f>C107</f>
        <v>Chemical</v>
      </c>
      <c r="D108" t="s">
        <v>356</v>
      </c>
      <c r="E108" t="s">
        <v>161</v>
      </c>
      <c r="F108">
        <f xml:space="preserve"> F107 / (1 + 0.021 * (F104 - 25))</f>
        <v>156.19639794168094</v>
      </c>
    </row>
    <row r="109" spans="1:6" x14ac:dyDescent="0.55000000000000004">
      <c r="A109">
        <v>64</v>
      </c>
      <c r="B109" t="str">
        <f t="shared" si="1"/>
        <v>64_0</v>
      </c>
      <c r="C109" t="s">
        <v>154</v>
      </c>
      <c r="D109" t="s">
        <v>162</v>
      </c>
      <c r="F109">
        <v>7.04</v>
      </c>
    </row>
    <row r="110" spans="1:6" x14ac:dyDescent="0.55000000000000004">
      <c r="A110">
        <v>64</v>
      </c>
      <c r="B110" t="str">
        <f t="shared" si="1"/>
        <v>64_0</v>
      </c>
      <c r="C110" t="s">
        <v>163</v>
      </c>
      <c r="D110" t="s">
        <v>168</v>
      </c>
      <c r="E110" t="s">
        <v>131</v>
      </c>
      <c r="F110">
        <v>0</v>
      </c>
    </row>
    <row r="111" spans="1:6" x14ac:dyDescent="0.55000000000000004">
      <c r="A111">
        <v>64</v>
      </c>
      <c r="B111" t="str">
        <f t="shared" si="1"/>
        <v>64_0</v>
      </c>
      <c r="C111" t="s">
        <v>163</v>
      </c>
      <c r="D111" t="s">
        <v>169</v>
      </c>
    </row>
    <row r="112" spans="1:6" x14ac:dyDescent="0.55000000000000004">
      <c r="A112">
        <v>64</v>
      </c>
      <c r="B112" t="str">
        <f t="shared" si="1"/>
        <v>64_0</v>
      </c>
      <c r="C112" t="s">
        <v>163</v>
      </c>
      <c r="D112" t="s">
        <v>170</v>
      </c>
      <c r="E112" t="s">
        <v>139</v>
      </c>
      <c r="F112">
        <v>3</v>
      </c>
    </row>
    <row r="113" spans="1:7" x14ac:dyDescent="0.55000000000000004">
      <c r="A113">
        <v>64</v>
      </c>
      <c r="B113" t="str">
        <f t="shared" si="1"/>
        <v>64_0</v>
      </c>
      <c r="C113" t="s">
        <v>163</v>
      </c>
      <c r="D113" t="s">
        <v>171</v>
      </c>
    </row>
    <row r="114" spans="1:7" x14ac:dyDescent="0.55000000000000004">
      <c r="A114">
        <v>65</v>
      </c>
      <c r="B114" t="str">
        <f t="shared" si="1"/>
        <v>65_0</v>
      </c>
      <c r="C114" t="s">
        <v>126</v>
      </c>
      <c r="D114" t="s">
        <v>127</v>
      </c>
      <c r="E114" t="s">
        <v>128</v>
      </c>
      <c r="F114" s="1"/>
      <c r="G114" t="s">
        <v>129</v>
      </c>
    </row>
    <row r="115" spans="1:7" x14ac:dyDescent="0.55000000000000004">
      <c r="A115">
        <v>65</v>
      </c>
      <c r="B115" t="str">
        <f t="shared" ref="B115:B170" si="2">A115 &amp; "_0"</f>
        <v>65_0</v>
      </c>
      <c r="C115" t="s">
        <v>126</v>
      </c>
      <c r="D115" s="11" t="s">
        <v>130</v>
      </c>
      <c r="E115" t="s">
        <v>131</v>
      </c>
      <c r="F115">
        <v>1</v>
      </c>
    </row>
    <row r="116" spans="1:7" x14ac:dyDescent="0.55000000000000004">
      <c r="A116">
        <v>65</v>
      </c>
      <c r="B116" t="str">
        <f t="shared" si="2"/>
        <v>65_0</v>
      </c>
      <c r="C116" t="s">
        <v>126</v>
      </c>
      <c r="D116" t="s">
        <v>132</v>
      </c>
      <c r="E116" t="s">
        <v>133</v>
      </c>
    </row>
    <row r="117" spans="1:7" x14ac:dyDescent="0.55000000000000004">
      <c r="A117">
        <v>65</v>
      </c>
      <c r="B117" t="str">
        <f t="shared" si="2"/>
        <v>65_0</v>
      </c>
      <c r="C117" t="s">
        <v>126</v>
      </c>
      <c r="D117" t="s">
        <v>134</v>
      </c>
      <c r="E117" t="s">
        <v>133</v>
      </c>
      <c r="F117">
        <v>0.4</v>
      </c>
    </row>
    <row r="118" spans="1:7" x14ac:dyDescent="0.55000000000000004">
      <c r="A118">
        <v>65</v>
      </c>
      <c r="B118" t="str">
        <f t="shared" si="2"/>
        <v>65_0</v>
      </c>
      <c r="C118" t="s">
        <v>126</v>
      </c>
      <c r="D118" t="s">
        <v>135</v>
      </c>
      <c r="E118" t="s">
        <v>136</v>
      </c>
      <c r="F118">
        <f>F117/10</f>
        <v>0.04</v>
      </c>
      <c r="G118" t="s">
        <v>137</v>
      </c>
    </row>
    <row r="119" spans="1:7" x14ac:dyDescent="0.55000000000000004">
      <c r="A119">
        <v>65</v>
      </c>
      <c r="B119" t="str">
        <f t="shared" si="2"/>
        <v>65_0</v>
      </c>
      <c r="C119" t="s">
        <v>126</v>
      </c>
      <c r="D119" s="2" t="s">
        <v>138</v>
      </c>
      <c r="E119" t="s">
        <v>139</v>
      </c>
      <c r="F119">
        <v>100</v>
      </c>
    </row>
    <row r="120" spans="1:7" x14ac:dyDescent="0.55000000000000004">
      <c r="A120">
        <v>65</v>
      </c>
      <c r="B120" t="str">
        <f t="shared" si="2"/>
        <v>65_0</v>
      </c>
      <c r="C120" t="s">
        <v>126</v>
      </c>
      <c r="D120" s="2" t="s">
        <v>140</v>
      </c>
      <c r="F120" t="s">
        <v>297</v>
      </c>
    </row>
    <row r="121" spans="1:7" x14ac:dyDescent="0.55000000000000004">
      <c r="A121">
        <v>65</v>
      </c>
      <c r="B121" t="str">
        <f t="shared" si="2"/>
        <v>65_0</v>
      </c>
      <c r="C121" t="s">
        <v>126</v>
      </c>
      <c r="D121" s="2" t="s">
        <v>141</v>
      </c>
      <c r="E121" t="s">
        <v>139</v>
      </c>
      <c r="F121">
        <v>100</v>
      </c>
    </row>
    <row r="122" spans="1:7" x14ac:dyDescent="0.55000000000000004">
      <c r="A122">
        <v>65</v>
      </c>
      <c r="B122" t="str">
        <f t="shared" si="2"/>
        <v>65_0</v>
      </c>
      <c r="C122" t="s">
        <v>126</v>
      </c>
      <c r="D122" t="s">
        <v>142</v>
      </c>
      <c r="E122" t="s">
        <v>139</v>
      </c>
      <c r="F122">
        <v>0</v>
      </c>
    </row>
    <row r="123" spans="1:7" x14ac:dyDescent="0.55000000000000004">
      <c r="A123">
        <v>65</v>
      </c>
      <c r="B123" t="str">
        <f t="shared" si="2"/>
        <v>65_0</v>
      </c>
      <c r="C123" t="s">
        <v>126</v>
      </c>
      <c r="D123" t="s">
        <v>143</v>
      </c>
      <c r="E123" t="s">
        <v>131</v>
      </c>
      <c r="F123">
        <v>0</v>
      </c>
    </row>
    <row r="124" spans="1:7" x14ac:dyDescent="0.55000000000000004">
      <c r="A124">
        <v>65</v>
      </c>
      <c r="B124" t="str">
        <f t="shared" si="2"/>
        <v>65_0</v>
      </c>
      <c r="C124" t="s">
        <v>126</v>
      </c>
      <c r="D124" t="s">
        <v>144</v>
      </c>
      <c r="E124" t="s">
        <v>139</v>
      </c>
      <c r="F124">
        <v>10</v>
      </c>
    </row>
    <row r="125" spans="1:7" x14ac:dyDescent="0.55000000000000004">
      <c r="A125">
        <v>65</v>
      </c>
      <c r="B125" t="str">
        <f t="shared" si="2"/>
        <v>65_0</v>
      </c>
      <c r="C125" t="s">
        <v>126</v>
      </c>
      <c r="D125" t="s">
        <v>145</v>
      </c>
      <c r="E125" t="s">
        <v>139</v>
      </c>
      <c r="F125">
        <v>0</v>
      </c>
    </row>
    <row r="126" spans="1:7" x14ac:dyDescent="0.55000000000000004">
      <c r="A126">
        <v>65</v>
      </c>
      <c r="B126" t="str">
        <f t="shared" si="2"/>
        <v>65_0</v>
      </c>
      <c r="C126" t="s">
        <v>126</v>
      </c>
      <c r="D126" t="s">
        <v>146</v>
      </c>
      <c r="E126" t="s">
        <v>139</v>
      </c>
      <c r="F126">
        <v>0</v>
      </c>
    </row>
    <row r="127" spans="1:7" x14ac:dyDescent="0.55000000000000004">
      <c r="A127">
        <v>65</v>
      </c>
      <c r="B127" t="str">
        <f t="shared" si="2"/>
        <v>65_0</v>
      </c>
      <c r="C127" t="s">
        <v>126</v>
      </c>
      <c r="D127" t="s">
        <v>147</v>
      </c>
      <c r="E127" t="s">
        <v>139</v>
      </c>
      <c r="F127">
        <v>0</v>
      </c>
    </row>
    <row r="128" spans="1:7" x14ac:dyDescent="0.55000000000000004">
      <c r="A128">
        <v>65</v>
      </c>
      <c r="B128" t="str">
        <f t="shared" si="2"/>
        <v>65_0</v>
      </c>
      <c r="C128" t="s">
        <v>126</v>
      </c>
      <c r="D128" t="s">
        <v>148</v>
      </c>
      <c r="E128" t="s">
        <v>139</v>
      </c>
      <c r="F128">
        <v>90</v>
      </c>
    </row>
    <row r="129" spans="1:7" x14ac:dyDescent="0.55000000000000004">
      <c r="A129">
        <v>65</v>
      </c>
      <c r="B129" t="str">
        <f t="shared" si="2"/>
        <v>65_0</v>
      </c>
      <c r="C129" t="s">
        <v>126</v>
      </c>
      <c r="D129" t="s">
        <v>149</v>
      </c>
      <c r="E129" t="s">
        <v>139</v>
      </c>
      <c r="F129">
        <v>0</v>
      </c>
    </row>
    <row r="130" spans="1:7" x14ac:dyDescent="0.55000000000000004">
      <c r="A130">
        <v>65</v>
      </c>
      <c r="B130" t="str">
        <f t="shared" si="2"/>
        <v>65_0</v>
      </c>
      <c r="C130" t="s">
        <v>126</v>
      </c>
      <c r="D130" t="s">
        <v>150</v>
      </c>
      <c r="E130" t="s">
        <v>139</v>
      </c>
      <c r="F130">
        <v>0</v>
      </c>
    </row>
    <row r="131" spans="1:7" x14ac:dyDescent="0.55000000000000004">
      <c r="A131">
        <v>65</v>
      </c>
      <c r="B131" t="str">
        <f t="shared" si="2"/>
        <v>65_0</v>
      </c>
      <c r="C131" t="s">
        <v>126</v>
      </c>
      <c r="D131" t="s">
        <v>152</v>
      </c>
      <c r="E131" t="s">
        <v>153</v>
      </c>
    </row>
    <row r="132" spans="1:7" x14ac:dyDescent="0.55000000000000004">
      <c r="A132">
        <v>65</v>
      </c>
      <c r="B132" t="str">
        <f t="shared" si="2"/>
        <v>65_0</v>
      </c>
      <c r="C132" t="s">
        <v>154</v>
      </c>
      <c r="D132" t="s">
        <v>155</v>
      </c>
      <c r="E132" t="s">
        <v>156</v>
      </c>
      <c r="F132">
        <v>23.9</v>
      </c>
    </row>
    <row r="133" spans="1:7" x14ac:dyDescent="0.55000000000000004">
      <c r="A133">
        <v>65</v>
      </c>
      <c r="B133" t="str">
        <f t="shared" si="2"/>
        <v>65_0</v>
      </c>
      <c r="C133" t="s">
        <v>154</v>
      </c>
      <c r="D133" t="s">
        <v>157</v>
      </c>
      <c r="E133" t="s">
        <v>158</v>
      </c>
      <c r="F133">
        <v>9.9</v>
      </c>
    </row>
    <row r="134" spans="1:7" x14ac:dyDescent="0.55000000000000004">
      <c r="A134">
        <v>65</v>
      </c>
      <c r="B134" t="str">
        <f t="shared" si="2"/>
        <v>65_0</v>
      </c>
      <c r="C134" t="s">
        <v>154</v>
      </c>
      <c r="D134" t="s">
        <v>159</v>
      </c>
      <c r="E134" t="s">
        <v>139</v>
      </c>
      <c r="F134">
        <v>117.6</v>
      </c>
    </row>
    <row r="135" spans="1:7" x14ac:dyDescent="0.55000000000000004">
      <c r="A135">
        <v>65</v>
      </c>
      <c r="B135" t="str">
        <f t="shared" si="2"/>
        <v>65_0</v>
      </c>
      <c r="C135" t="s">
        <v>154</v>
      </c>
      <c r="D135" t="s">
        <v>357</v>
      </c>
      <c r="E135" t="s">
        <v>161</v>
      </c>
      <c r="F135">
        <v>169.6</v>
      </c>
    </row>
    <row r="136" spans="1:7" x14ac:dyDescent="0.55000000000000004">
      <c r="A136">
        <f>A135</f>
        <v>65</v>
      </c>
      <c r="B136" t="str">
        <f>B135</f>
        <v>65_0</v>
      </c>
      <c r="C136" s="9" t="str">
        <f>C135</f>
        <v>Chemical</v>
      </c>
      <c r="D136" t="s">
        <v>356</v>
      </c>
      <c r="E136" t="s">
        <v>161</v>
      </c>
      <c r="F136">
        <f xml:space="preserve"> F135 / (1 + 0.021 * (F132 - 25))</f>
        <v>173.61040024567509</v>
      </c>
    </row>
    <row r="137" spans="1:7" x14ac:dyDescent="0.55000000000000004">
      <c r="A137">
        <v>65</v>
      </c>
      <c r="B137" t="str">
        <f t="shared" si="2"/>
        <v>65_0</v>
      </c>
      <c r="C137" t="s">
        <v>154</v>
      </c>
      <c r="D137" t="s">
        <v>162</v>
      </c>
      <c r="F137">
        <v>7.02</v>
      </c>
    </row>
    <row r="138" spans="1:7" x14ac:dyDescent="0.55000000000000004">
      <c r="A138">
        <v>65</v>
      </c>
      <c r="B138" t="str">
        <f t="shared" si="2"/>
        <v>65_0</v>
      </c>
      <c r="C138" t="s">
        <v>163</v>
      </c>
      <c r="D138" t="s">
        <v>168</v>
      </c>
      <c r="E138" t="s">
        <v>131</v>
      </c>
      <c r="F138">
        <v>0</v>
      </c>
    </row>
    <row r="139" spans="1:7" x14ac:dyDescent="0.55000000000000004">
      <c r="A139">
        <v>65</v>
      </c>
      <c r="B139" t="str">
        <f t="shared" si="2"/>
        <v>65_0</v>
      </c>
      <c r="C139" t="s">
        <v>163</v>
      </c>
      <c r="D139" t="s">
        <v>169</v>
      </c>
    </row>
    <row r="140" spans="1:7" x14ac:dyDescent="0.55000000000000004">
      <c r="A140">
        <v>65</v>
      </c>
      <c r="B140" t="str">
        <f t="shared" si="2"/>
        <v>65_0</v>
      </c>
      <c r="C140" t="s">
        <v>163</v>
      </c>
      <c r="D140" t="s">
        <v>170</v>
      </c>
      <c r="E140" t="s">
        <v>139</v>
      </c>
      <c r="F140">
        <v>20</v>
      </c>
    </row>
    <row r="141" spans="1:7" x14ac:dyDescent="0.55000000000000004">
      <c r="A141">
        <v>65</v>
      </c>
      <c r="B141" t="str">
        <f t="shared" si="2"/>
        <v>65_0</v>
      </c>
      <c r="C141" t="s">
        <v>163</v>
      </c>
      <c r="D141" t="s">
        <v>171</v>
      </c>
    </row>
    <row r="142" spans="1:7" x14ac:dyDescent="0.55000000000000004">
      <c r="A142">
        <v>66</v>
      </c>
      <c r="B142" t="str">
        <f t="shared" si="2"/>
        <v>66_0</v>
      </c>
      <c r="C142" t="s">
        <v>126</v>
      </c>
      <c r="D142" t="s">
        <v>127</v>
      </c>
      <c r="E142" t="s">
        <v>128</v>
      </c>
      <c r="F142" s="1"/>
      <c r="G142" t="s">
        <v>129</v>
      </c>
    </row>
    <row r="143" spans="1:7" x14ac:dyDescent="0.55000000000000004">
      <c r="A143">
        <v>66</v>
      </c>
      <c r="B143" t="str">
        <f t="shared" si="2"/>
        <v>66_0</v>
      </c>
      <c r="C143" t="s">
        <v>126</v>
      </c>
      <c r="D143" s="11" t="s">
        <v>130</v>
      </c>
      <c r="E143" t="s">
        <v>131</v>
      </c>
      <c r="F143">
        <v>1</v>
      </c>
    </row>
    <row r="144" spans="1:7" x14ac:dyDescent="0.55000000000000004">
      <c r="A144">
        <v>66</v>
      </c>
      <c r="B144" t="str">
        <f t="shared" si="2"/>
        <v>66_0</v>
      </c>
      <c r="C144" t="s">
        <v>126</v>
      </c>
      <c r="D144" t="s">
        <v>132</v>
      </c>
      <c r="E144" t="s">
        <v>133</v>
      </c>
    </row>
    <row r="145" spans="1:7" x14ac:dyDescent="0.55000000000000004">
      <c r="A145">
        <v>66</v>
      </c>
      <c r="B145" t="str">
        <f t="shared" si="2"/>
        <v>66_0</v>
      </c>
      <c r="C145" t="s">
        <v>126</v>
      </c>
      <c r="D145" t="s">
        <v>134</v>
      </c>
      <c r="E145" t="s">
        <v>133</v>
      </c>
      <c r="F145">
        <v>0.6</v>
      </c>
    </row>
    <row r="146" spans="1:7" x14ac:dyDescent="0.55000000000000004">
      <c r="A146">
        <v>66</v>
      </c>
      <c r="B146" t="str">
        <f t="shared" si="2"/>
        <v>66_0</v>
      </c>
      <c r="C146" t="s">
        <v>126</v>
      </c>
      <c r="D146" t="s">
        <v>135</v>
      </c>
      <c r="E146" t="s">
        <v>136</v>
      </c>
      <c r="F146">
        <f>F145/10</f>
        <v>0.06</v>
      </c>
      <c r="G146" t="s">
        <v>137</v>
      </c>
    </row>
    <row r="147" spans="1:7" x14ac:dyDescent="0.55000000000000004">
      <c r="A147">
        <v>66</v>
      </c>
      <c r="B147" t="str">
        <f t="shared" si="2"/>
        <v>66_0</v>
      </c>
      <c r="C147" t="s">
        <v>126</v>
      </c>
      <c r="D147" s="2" t="s">
        <v>138</v>
      </c>
      <c r="E147" t="s">
        <v>139</v>
      </c>
      <c r="F147">
        <v>100</v>
      </c>
    </row>
    <row r="148" spans="1:7" x14ac:dyDescent="0.55000000000000004">
      <c r="A148">
        <v>66</v>
      </c>
      <c r="B148" t="str">
        <f t="shared" si="2"/>
        <v>66_0</v>
      </c>
      <c r="C148" t="s">
        <v>126</v>
      </c>
      <c r="D148" s="2" t="s">
        <v>140</v>
      </c>
      <c r="F148" t="s">
        <v>172</v>
      </c>
    </row>
    <row r="149" spans="1:7" x14ac:dyDescent="0.55000000000000004">
      <c r="A149">
        <v>66</v>
      </c>
      <c r="B149" t="str">
        <f t="shared" si="2"/>
        <v>66_0</v>
      </c>
      <c r="C149" t="s">
        <v>126</v>
      </c>
      <c r="D149" s="2" t="s">
        <v>141</v>
      </c>
      <c r="E149" t="s">
        <v>139</v>
      </c>
      <c r="F149">
        <v>0</v>
      </c>
    </row>
    <row r="150" spans="1:7" x14ac:dyDescent="0.55000000000000004">
      <c r="A150">
        <v>66</v>
      </c>
      <c r="B150" t="str">
        <f t="shared" si="2"/>
        <v>66_0</v>
      </c>
      <c r="C150" t="s">
        <v>126</v>
      </c>
      <c r="D150" t="s">
        <v>142</v>
      </c>
      <c r="E150" t="s">
        <v>139</v>
      </c>
      <c r="F150">
        <v>0</v>
      </c>
    </row>
    <row r="151" spans="1:7" x14ac:dyDescent="0.55000000000000004">
      <c r="A151">
        <v>66</v>
      </c>
      <c r="B151" t="str">
        <f t="shared" si="2"/>
        <v>66_0</v>
      </c>
      <c r="C151" t="s">
        <v>126</v>
      </c>
      <c r="D151" t="s">
        <v>143</v>
      </c>
      <c r="E151" t="s">
        <v>131</v>
      </c>
      <c r="F151">
        <v>0</v>
      </c>
    </row>
    <row r="152" spans="1:7" x14ac:dyDescent="0.55000000000000004">
      <c r="A152">
        <v>66</v>
      </c>
      <c r="B152" t="str">
        <f t="shared" si="2"/>
        <v>66_0</v>
      </c>
      <c r="C152" t="s">
        <v>126</v>
      </c>
      <c r="D152" t="s">
        <v>144</v>
      </c>
      <c r="E152" t="s">
        <v>139</v>
      </c>
      <c r="F152">
        <v>60</v>
      </c>
    </row>
    <row r="153" spans="1:7" x14ac:dyDescent="0.55000000000000004">
      <c r="A153">
        <v>66</v>
      </c>
      <c r="B153" t="str">
        <f t="shared" si="2"/>
        <v>66_0</v>
      </c>
      <c r="C153" t="s">
        <v>126</v>
      </c>
      <c r="D153" t="s">
        <v>145</v>
      </c>
      <c r="E153" t="s">
        <v>139</v>
      </c>
      <c r="F153">
        <v>0</v>
      </c>
    </row>
    <row r="154" spans="1:7" x14ac:dyDescent="0.55000000000000004">
      <c r="A154">
        <v>66</v>
      </c>
      <c r="B154" t="str">
        <f t="shared" si="2"/>
        <v>66_0</v>
      </c>
      <c r="C154" t="s">
        <v>126</v>
      </c>
      <c r="D154" t="s">
        <v>146</v>
      </c>
      <c r="E154" t="s">
        <v>139</v>
      </c>
      <c r="F154">
        <v>10</v>
      </c>
    </row>
    <row r="155" spans="1:7" x14ac:dyDescent="0.55000000000000004">
      <c r="A155">
        <v>66</v>
      </c>
      <c r="B155" t="str">
        <f t="shared" si="2"/>
        <v>66_0</v>
      </c>
      <c r="C155" t="s">
        <v>126</v>
      </c>
      <c r="D155" t="s">
        <v>147</v>
      </c>
      <c r="E155" t="s">
        <v>139</v>
      </c>
      <c r="F155">
        <v>0</v>
      </c>
    </row>
    <row r="156" spans="1:7" x14ac:dyDescent="0.55000000000000004">
      <c r="A156">
        <v>66</v>
      </c>
      <c r="B156" t="str">
        <f t="shared" si="2"/>
        <v>66_0</v>
      </c>
      <c r="C156" t="s">
        <v>126</v>
      </c>
      <c r="D156" t="s">
        <v>148</v>
      </c>
      <c r="E156" t="s">
        <v>139</v>
      </c>
      <c r="F156">
        <v>30</v>
      </c>
    </row>
    <row r="157" spans="1:7" x14ac:dyDescent="0.55000000000000004">
      <c r="A157">
        <v>66</v>
      </c>
      <c r="B157" t="str">
        <f t="shared" si="2"/>
        <v>66_0</v>
      </c>
      <c r="C157" t="s">
        <v>126</v>
      </c>
      <c r="D157" t="s">
        <v>149</v>
      </c>
      <c r="E157" t="s">
        <v>139</v>
      </c>
      <c r="F157">
        <v>0</v>
      </c>
    </row>
    <row r="158" spans="1:7" x14ac:dyDescent="0.55000000000000004">
      <c r="A158">
        <v>66</v>
      </c>
      <c r="B158" t="str">
        <f t="shared" si="2"/>
        <v>66_0</v>
      </c>
      <c r="C158" t="s">
        <v>126</v>
      </c>
      <c r="D158" t="s">
        <v>150</v>
      </c>
      <c r="E158" t="s">
        <v>139</v>
      </c>
      <c r="F158">
        <v>0</v>
      </c>
    </row>
    <row r="159" spans="1:7" x14ac:dyDescent="0.55000000000000004">
      <c r="A159">
        <v>66</v>
      </c>
      <c r="B159" t="str">
        <f t="shared" si="2"/>
        <v>66_0</v>
      </c>
      <c r="C159" t="s">
        <v>126</v>
      </c>
      <c r="D159" t="s">
        <v>152</v>
      </c>
      <c r="E159" t="s">
        <v>153</v>
      </c>
    </row>
    <row r="160" spans="1:7" x14ac:dyDescent="0.55000000000000004">
      <c r="A160">
        <v>66</v>
      </c>
      <c r="B160" t="str">
        <f t="shared" si="2"/>
        <v>66_0</v>
      </c>
      <c r="C160" t="s">
        <v>154</v>
      </c>
      <c r="D160" t="s">
        <v>155</v>
      </c>
      <c r="E160" t="s">
        <v>156</v>
      </c>
      <c r="F160">
        <v>24</v>
      </c>
    </row>
    <row r="161" spans="1:7" x14ac:dyDescent="0.55000000000000004">
      <c r="A161">
        <v>66</v>
      </c>
      <c r="B161" t="str">
        <f t="shared" si="2"/>
        <v>66_0</v>
      </c>
      <c r="C161" t="s">
        <v>154</v>
      </c>
      <c r="D161" t="s">
        <v>157</v>
      </c>
      <c r="E161" t="s">
        <v>158</v>
      </c>
      <c r="F161">
        <v>11.05</v>
      </c>
    </row>
    <row r="162" spans="1:7" x14ac:dyDescent="0.55000000000000004">
      <c r="A162">
        <v>66</v>
      </c>
      <c r="B162" t="str">
        <f t="shared" si="2"/>
        <v>66_0</v>
      </c>
      <c r="C162" t="s">
        <v>154</v>
      </c>
      <c r="D162" t="s">
        <v>159</v>
      </c>
      <c r="E162" t="s">
        <v>139</v>
      </c>
      <c r="F162">
        <v>131.9</v>
      </c>
    </row>
    <row r="163" spans="1:7" x14ac:dyDescent="0.55000000000000004">
      <c r="A163">
        <v>66</v>
      </c>
      <c r="B163" t="str">
        <f t="shared" si="2"/>
        <v>66_0</v>
      </c>
      <c r="C163" t="s">
        <v>154</v>
      </c>
      <c r="D163" t="s">
        <v>357</v>
      </c>
      <c r="E163" t="s">
        <v>161</v>
      </c>
      <c r="F163">
        <v>215.2</v>
      </c>
    </row>
    <row r="164" spans="1:7" x14ac:dyDescent="0.55000000000000004">
      <c r="A164">
        <f>A163</f>
        <v>66</v>
      </c>
      <c r="B164" t="str">
        <f>B163</f>
        <v>66_0</v>
      </c>
      <c r="C164" s="9" t="str">
        <f>C163</f>
        <v>Chemical</v>
      </c>
      <c r="D164" t="s">
        <v>356</v>
      </c>
      <c r="E164" t="s">
        <v>161</v>
      </c>
      <c r="F164">
        <f xml:space="preserve"> F163 / (1 + 0.021 * (F160 - 25))</f>
        <v>219.81613891726249</v>
      </c>
    </row>
    <row r="165" spans="1:7" x14ac:dyDescent="0.55000000000000004">
      <c r="A165">
        <v>66</v>
      </c>
      <c r="B165" t="str">
        <f t="shared" si="2"/>
        <v>66_0</v>
      </c>
      <c r="C165" t="s">
        <v>154</v>
      </c>
      <c r="D165" t="s">
        <v>162</v>
      </c>
      <c r="F165">
        <v>7.69</v>
      </c>
    </row>
    <row r="166" spans="1:7" x14ac:dyDescent="0.55000000000000004">
      <c r="A166">
        <v>66</v>
      </c>
      <c r="B166" t="str">
        <f t="shared" si="2"/>
        <v>66_0</v>
      </c>
      <c r="C166" t="s">
        <v>163</v>
      </c>
      <c r="D166" t="s">
        <v>168</v>
      </c>
      <c r="E166" t="s">
        <v>131</v>
      </c>
      <c r="F166">
        <v>1</v>
      </c>
    </row>
    <row r="167" spans="1:7" x14ac:dyDescent="0.55000000000000004">
      <c r="A167">
        <v>66</v>
      </c>
      <c r="B167" t="str">
        <f t="shared" si="2"/>
        <v>66_0</v>
      </c>
      <c r="C167" t="s">
        <v>163</v>
      </c>
      <c r="D167" t="s">
        <v>169</v>
      </c>
      <c r="F167" t="s">
        <v>312</v>
      </c>
    </row>
    <row r="168" spans="1:7" x14ac:dyDescent="0.55000000000000004">
      <c r="A168">
        <v>66</v>
      </c>
      <c r="B168" t="str">
        <f t="shared" si="2"/>
        <v>66_0</v>
      </c>
      <c r="C168" t="s">
        <v>163</v>
      </c>
      <c r="D168" t="s">
        <v>170</v>
      </c>
      <c r="E168" t="s">
        <v>139</v>
      </c>
      <c r="F168">
        <v>0</v>
      </c>
    </row>
    <row r="169" spans="1:7" x14ac:dyDescent="0.55000000000000004">
      <c r="A169">
        <v>66</v>
      </c>
      <c r="B169" t="str">
        <f t="shared" si="2"/>
        <v>66_0</v>
      </c>
      <c r="C169" t="s">
        <v>163</v>
      </c>
      <c r="D169" t="s">
        <v>171</v>
      </c>
    </row>
    <row r="170" spans="1:7" x14ac:dyDescent="0.55000000000000004">
      <c r="A170">
        <v>67</v>
      </c>
      <c r="B170" t="str">
        <f t="shared" si="2"/>
        <v>67_0</v>
      </c>
      <c r="C170" t="s">
        <v>126</v>
      </c>
      <c r="D170" t="s">
        <v>127</v>
      </c>
      <c r="E170" t="s">
        <v>128</v>
      </c>
      <c r="F170" s="1"/>
      <c r="G170" t="s">
        <v>129</v>
      </c>
    </row>
    <row r="171" spans="1:7" x14ac:dyDescent="0.55000000000000004">
      <c r="A171">
        <v>67</v>
      </c>
      <c r="B171" t="str">
        <f t="shared" ref="B171:B226" si="3">A171 &amp; "_0"</f>
        <v>67_0</v>
      </c>
      <c r="C171" t="s">
        <v>126</v>
      </c>
      <c r="D171" s="11" t="s">
        <v>130</v>
      </c>
      <c r="E171" t="s">
        <v>131</v>
      </c>
      <c r="F171">
        <v>1</v>
      </c>
    </row>
    <row r="172" spans="1:7" x14ac:dyDescent="0.55000000000000004">
      <c r="A172">
        <v>67</v>
      </c>
      <c r="B172" t="str">
        <f t="shared" si="3"/>
        <v>67_0</v>
      </c>
      <c r="C172" t="s">
        <v>126</v>
      </c>
      <c r="D172" t="s">
        <v>132</v>
      </c>
      <c r="E172" t="s">
        <v>133</v>
      </c>
    </row>
    <row r="173" spans="1:7" x14ac:dyDescent="0.55000000000000004">
      <c r="A173">
        <v>67</v>
      </c>
      <c r="B173" t="str">
        <f t="shared" si="3"/>
        <v>67_0</v>
      </c>
      <c r="C173" t="s">
        <v>126</v>
      </c>
      <c r="D173" t="s">
        <v>134</v>
      </c>
      <c r="E173" t="s">
        <v>133</v>
      </c>
      <c r="F173">
        <v>0.5</v>
      </c>
    </row>
    <row r="174" spans="1:7" x14ac:dyDescent="0.55000000000000004">
      <c r="A174">
        <v>67</v>
      </c>
      <c r="B174" t="str">
        <f t="shared" si="3"/>
        <v>67_0</v>
      </c>
      <c r="C174" t="s">
        <v>126</v>
      </c>
      <c r="D174" t="s">
        <v>135</v>
      </c>
      <c r="E174" t="s">
        <v>136</v>
      </c>
      <c r="F174">
        <f>F173/10</f>
        <v>0.05</v>
      </c>
      <c r="G174" t="s">
        <v>137</v>
      </c>
    </row>
    <row r="175" spans="1:7" x14ac:dyDescent="0.55000000000000004">
      <c r="A175">
        <v>67</v>
      </c>
      <c r="B175" t="str">
        <f t="shared" si="3"/>
        <v>67_0</v>
      </c>
      <c r="C175" t="s">
        <v>126</v>
      </c>
      <c r="D175" s="2" t="s">
        <v>138</v>
      </c>
      <c r="E175" t="s">
        <v>139</v>
      </c>
      <c r="F175">
        <v>0</v>
      </c>
    </row>
    <row r="176" spans="1:7" x14ac:dyDescent="0.55000000000000004">
      <c r="A176">
        <v>67</v>
      </c>
      <c r="B176" t="str">
        <f t="shared" si="3"/>
        <v>67_0</v>
      </c>
      <c r="C176" t="s">
        <v>126</v>
      </c>
      <c r="D176" s="2" t="s">
        <v>140</v>
      </c>
    </row>
    <row r="177" spans="1:6" x14ac:dyDescent="0.55000000000000004">
      <c r="A177">
        <v>67</v>
      </c>
      <c r="B177" t="str">
        <f t="shared" si="3"/>
        <v>67_0</v>
      </c>
      <c r="C177" t="s">
        <v>126</v>
      </c>
      <c r="D177" s="2" t="s">
        <v>141</v>
      </c>
      <c r="E177" t="s">
        <v>139</v>
      </c>
      <c r="F177">
        <v>0</v>
      </c>
    </row>
    <row r="178" spans="1:6" x14ac:dyDescent="0.55000000000000004">
      <c r="A178">
        <v>67</v>
      </c>
      <c r="B178" t="str">
        <f t="shared" si="3"/>
        <v>67_0</v>
      </c>
      <c r="C178" t="s">
        <v>126</v>
      </c>
      <c r="D178" t="s">
        <v>142</v>
      </c>
      <c r="E178" t="s">
        <v>139</v>
      </c>
      <c r="F178">
        <v>0</v>
      </c>
    </row>
    <row r="179" spans="1:6" x14ac:dyDescent="0.55000000000000004">
      <c r="A179">
        <v>67</v>
      </c>
      <c r="B179" t="str">
        <f t="shared" si="3"/>
        <v>67_0</v>
      </c>
      <c r="C179" t="s">
        <v>126</v>
      </c>
      <c r="D179" t="s">
        <v>143</v>
      </c>
      <c r="E179" t="s">
        <v>131</v>
      </c>
      <c r="F179">
        <v>0</v>
      </c>
    </row>
    <row r="180" spans="1:6" x14ac:dyDescent="0.55000000000000004">
      <c r="A180">
        <v>67</v>
      </c>
      <c r="B180" t="str">
        <f t="shared" si="3"/>
        <v>67_0</v>
      </c>
      <c r="C180" t="s">
        <v>126</v>
      </c>
      <c r="D180" t="s">
        <v>144</v>
      </c>
      <c r="E180" t="s">
        <v>139</v>
      </c>
      <c r="F180">
        <v>0</v>
      </c>
    </row>
    <row r="181" spans="1:6" x14ac:dyDescent="0.55000000000000004">
      <c r="A181">
        <v>67</v>
      </c>
      <c r="B181" t="str">
        <f t="shared" si="3"/>
        <v>67_0</v>
      </c>
      <c r="C181" t="s">
        <v>126</v>
      </c>
      <c r="D181" t="s">
        <v>145</v>
      </c>
      <c r="E181" t="s">
        <v>139</v>
      </c>
      <c r="F181">
        <v>0</v>
      </c>
    </row>
    <row r="182" spans="1:6" x14ac:dyDescent="0.55000000000000004">
      <c r="A182">
        <v>67</v>
      </c>
      <c r="B182" t="str">
        <f t="shared" si="3"/>
        <v>67_0</v>
      </c>
      <c r="C182" t="s">
        <v>126</v>
      </c>
      <c r="D182" t="s">
        <v>146</v>
      </c>
      <c r="E182" t="s">
        <v>139</v>
      </c>
      <c r="F182">
        <v>0</v>
      </c>
    </row>
    <row r="183" spans="1:6" x14ac:dyDescent="0.55000000000000004">
      <c r="A183">
        <v>67</v>
      </c>
      <c r="B183" t="str">
        <f t="shared" si="3"/>
        <v>67_0</v>
      </c>
      <c r="C183" t="s">
        <v>126</v>
      </c>
      <c r="D183" t="s">
        <v>147</v>
      </c>
      <c r="E183" t="s">
        <v>139</v>
      </c>
      <c r="F183">
        <v>0</v>
      </c>
    </row>
    <row r="184" spans="1:6" x14ac:dyDescent="0.55000000000000004">
      <c r="A184">
        <v>67</v>
      </c>
      <c r="B184" t="str">
        <f t="shared" si="3"/>
        <v>67_0</v>
      </c>
      <c r="C184" t="s">
        <v>126</v>
      </c>
      <c r="D184" t="s">
        <v>148</v>
      </c>
      <c r="E184" t="s">
        <v>139</v>
      </c>
      <c r="F184">
        <v>100</v>
      </c>
    </row>
    <row r="185" spans="1:6" x14ac:dyDescent="0.55000000000000004">
      <c r="A185">
        <v>67</v>
      </c>
      <c r="B185" t="str">
        <f t="shared" si="3"/>
        <v>67_0</v>
      </c>
      <c r="C185" t="s">
        <v>126</v>
      </c>
      <c r="D185" t="s">
        <v>149</v>
      </c>
      <c r="E185" t="s">
        <v>139</v>
      </c>
      <c r="F185">
        <v>0</v>
      </c>
    </row>
    <row r="186" spans="1:6" x14ac:dyDescent="0.55000000000000004">
      <c r="A186">
        <v>67</v>
      </c>
      <c r="B186" t="str">
        <f t="shared" si="3"/>
        <v>67_0</v>
      </c>
      <c r="C186" t="s">
        <v>126</v>
      </c>
      <c r="D186" t="s">
        <v>150</v>
      </c>
      <c r="E186" t="s">
        <v>139</v>
      </c>
      <c r="F186">
        <v>0</v>
      </c>
    </row>
    <row r="187" spans="1:6" x14ac:dyDescent="0.55000000000000004">
      <c r="A187">
        <v>67</v>
      </c>
      <c r="B187" t="str">
        <f t="shared" si="3"/>
        <v>67_0</v>
      </c>
      <c r="C187" t="s">
        <v>126</v>
      </c>
      <c r="D187" t="s">
        <v>152</v>
      </c>
      <c r="E187" t="s">
        <v>153</v>
      </c>
    </row>
    <row r="188" spans="1:6" x14ac:dyDescent="0.55000000000000004">
      <c r="A188">
        <v>67</v>
      </c>
      <c r="B188" t="str">
        <f t="shared" si="3"/>
        <v>67_0</v>
      </c>
      <c r="C188" t="s">
        <v>154</v>
      </c>
      <c r="D188" t="s">
        <v>155</v>
      </c>
      <c r="E188" t="s">
        <v>156</v>
      </c>
      <c r="F188">
        <v>23.1</v>
      </c>
    </row>
    <row r="189" spans="1:6" x14ac:dyDescent="0.55000000000000004">
      <c r="A189">
        <v>67</v>
      </c>
      <c r="B189" t="str">
        <f t="shared" si="3"/>
        <v>67_0</v>
      </c>
      <c r="C189" t="s">
        <v>154</v>
      </c>
      <c r="D189" t="s">
        <v>157</v>
      </c>
      <c r="E189" t="s">
        <v>158</v>
      </c>
      <c r="F189">
        <v>10.25</v>
      </c>
    </row>
    <row r="190" spans="1:6" x14ac:dyDescent="0.55000000000000004">
      <c r="A190">
        <v>67</v>
      </c>
      <c r="B190" t="str">
        <f t="shared" si="3"/>
        <v>67_0</v>
      </c>
      <c r="C190" t="s">
        <v>154</v>
      </c>
      <c r="D190" t="s">
        <v>159</v>
      </c>
      <c r="E190" t="s">
        <v>139</v>
      </c>
      <c r="F190">
        <v>120.3</v>
      </c>
    </row>
    <row r="191" spans="1:6" x14ac:dyDescent="0.55000000000000004">
      <c r="A191">
        <v>67</v>
      </c>
      <c r="B191" t="str">
        <f t="shared" si="3"/>
        <v>67_0</v>
      </c>
      <c r="C191" t="s">
        <v>154</v>
      </c>
      <c r="D191" t="s">
        <v>357</v>
      </c>
      <c r="E191" t="s">
        <v>161</v>
      </c>
      <c r="F191">
        <v>157.1</v>
      </c>
    </row>
    <row r="192" spans="1:6" x14ac:dyDescent="0.55000000000000004">
      <c r="A192">
        <f>A191</f>
        <v>67</v>
      </c>
      <c r="B192" t="str">
        <f>B191</f>
        <v>67_0</v>
      </c>
      <c r="C192" s="9" t="str">
        <f>C191</f>
        <v>Chemical</v>
      </c>
      <c r="D192" t="s">
        <v>356</v>
      </c>
      <c r="E192" t="s">
        <v>161</v>
      </c>
      <c r="F192">
        <f xml:space="preserve"> F191 / (1 + 0.021 * (F188 - 25))</f>
        <v>163.62878866784709</v>
      </c>
    </row>
    <row r="193" spans="1:7" x14ac:dyDescent="0.55000000000000004">
      <c r="A193">
        <v>67</v>
      </c>
      <c r="B193" t="str">
        <f t="shared" si="3"/>
        <v>67_0</v>
      </c>
      <c r="C193" t="s">
        <v>154</v>
      </c>
      <c r="D193" t="s">
        <v>162</v>
      </c>
      <c r="F193">
        <v>7.51</v>
      </c>
    </row>
    <row r="194" spans="1:7" x14ac:dyDescent="0.55000000000000004">
      <c r="A194">
        <v>67</v>
      </c>
      <c r="B194" t="str">
        <f t="shared" si="3"/>
        <v>67_0</v>
      </c>
      <c r="C194" t="s">
        <v>163</v>
      </c>
      <c r="D194" t="s">
        <v>168</v>
      </c>
      <c r="E194" t="s">
        <v>131</v>
      </c>
      <c r="F194">
        <v>0</v>
      </c>
    </row>
    <row r="195" spans="1:7" x14ac:dyDescent="0.55000000000000004">
      <c r="A195">
        <v>67</v>
      </c>
      <c r="B195" t="str">
        <f t="shared" si="3"/>
        <v>67_0</v>
      </c>
      <c r="C195" t="s">
        <v>163</v>
      </c>
      <c r="D195" t="s">
        <v>169</v>
      </c>
    </row>
    <row r="196" spans="1:7" x14ac:dyDescent="0.55000000000000004">
      <c r="A196">
        <v>67</v>
      </c>
      <c r="B196" t="str">
        <f t="shared" si="3"/>
        <v>67_0</v>
      </c>
      <c r="C196" t="s">
        <v>163</v>
      </c>
      <c r="D196" t="s">
        <v>170</v>
      </c>
      <c r="E196" t="s">
        <v>139</v>
      </c>
      <c r="F196">
        <v>0</v>
      </c>
    </row>
    <row r="197" spans="1:7" x14ac:dyDescent="0.55000000000000004">
      <c r="A197">
        <v>67</v>
      </c>
      <c r="B197" t="str">
        <f t="shared" si="3"/>
        <v>67_0</v>
      </c>
      <c r="C197" t="s">
        <v>163</v>
      </c>
      <c r="D197" t="s">
        <v>171</v>
      </c>
    </row>
    <row r="198" spans="1:7" x14ac:dyDescent="0.55000000000000004">
      <c r="A198">
        <v>68</v>
      </c>
      <c r="B198" t="str">
        <f t="shared" si="3"/>
        <v>68_0</v>
      </c>
      <c r="C198" t="s">
        <v>126</v>
      </c>
      <c r="D198" t="s">
        <v>127</v>
      </c>
      <c r="E198" t="s">
        <v>128</v>
      </c>
      <c r="F198" s="1"/>
      <c r="G198" t="s">
        <v>129</v>
      </c>
    </row>
    <row r="199" spans="1:7" x14ac:dyDescent="0.55000000000000004">
      <c r="A199">
        <v>68</v>
      </c>
      <c r="B199" t="str">
        <f t="shared" si="3"/>
        <v>68_0</v>
      </c>
      <c r="C199" t="s">
        <v>126</v>
      </c>
      <c r="D199" s="11" t="s">
        <v>130</v>
      </c>
      <c r="E199" t="s">
        <v>131</v>
      </c>
      <c r="F199">
        <v>1</v>
      </c>
    </row>
    <row r="200" spans="1:7" x14ac:dyDescent="0.55000000000000004">
      <c r="A200">
        <v>68</v>
      </c>
      <c r="B200" t="str">
        <f t="shared" si="3"/>
        <v>68_0</v>
      </c>
      <c r="C200" t="s">
        <v>126</v>
      </c>
      <c r="D200" t="s">
        <v>132</v>
      </c>
      <c r="E200" t="s">
        <v>133</v>
      </c>
    </row>
    <row r="201" spans="1:7" x14ac:dyDescent="0.55000000000000004">
      <c r="A201">
        <v>68</v>
      </c>
      <c r="B201" t="str">
        <f t="shared" si="3"/>
        <v>68_0</v>
      </c>
      <c r="C201" t="s">
        <v>126</v>
      </c>
      <c r="D201" t="s">
        <v>134</v>
      </c>
      <c r="E201" t="s">
        <v>133</v>
      </c>
      <c r="F201">
        <v>0.6</v>
      </c>
    </row>
    <row r="202" spans="1:7" x14ac:dyDescent="0.55000000000000004">
      <c r="A202">
        <v>68</v>
      </c>
      <c r="B202" t="str">
        <f t="shared" si="3"/>
        <v>68_0</v>
      </c>
      <c r="C202" t="s">
        <v>126</v>
      </c>
      <c r="D202" t="s">
        <v>135</v>
      </c>
      <c r="E202" t="s">
        <v>136</v>
      </c>
      <c r="F202">
        <f>F201/10</f>
        <v>0.06</v>
      </c>
      <c r="G202" t="s">
        <v>137</v>
      </c>
    </row>
    <row r="203" spans="1:7" x14ac:dyDescent="0.55000000000000004">
      <c r="A203">
        <v>68</v>
      </c>
      <c r="B203" t="str">
        <f t="shared" si="3"/>
        <v>68_0</v>
      </c>
      <c r="C203" t="s">
        <v>126</v>
      </c>
      <c r="D203" s="2" t="s">
        <v>138</v>
      </c>
      <c r="E203" t="s">
        <v>139</v>
      </c>
      <c r="F203">
        <v>100</v>
      </c>
    </row>
    <row r="204" spans="1:7" x14ac:dyDescent="0.55000000000000004">
      <c r="A204">
        <v>68</v>
      </c>
      <c r="B204" t="str">
        <f t="shared" si="3"/>
        <v>68_0</v>
      </c>
      <c r="C204" t="s">
        <v>126</v>
      </c>
      <c r="D204" s="2" t="s">
        <v>140</v>
      </c>
      <c r="F204" t="s">
        <v>313</v>
      </c>
    </row>
    <row r="205" spans="1:7" x14ac:dyDescent="0.55000000000000004">
      <c r="A205">
        <v>68</v>
      </c>
      <c r="B205" t="str">
        <f t="shared" si="3"/>
        <v>68_0</v>
      </c>
      <c r="C205" t="s">
        <v>126</v>
      </c>
      <c r="D205" s="2" t="s">
        <v>141</v>
      </c>
      <c r="E205" t="s">
        <v>139</v>
      </c>
      <c r="F205">
        <v>100</v>
      </c>
    </row>
    <row r="206" spans="1:7" x14ac:dyDescent="0.55000000000000004">
      <c r="A206">
        <v>68</v>
      </c>
      <c r="B206" t="str">
        <f t="shared" si="3"/>
        <v>68_0</v>
      </c>
      <c r="C206" t="s">
        <v>126</v>
      </c>
      <c r="D206" t="s">
        <v>142</v>
      </c>
      <c r="E206" t="s">
        <v>139</v>
      </c>
      <c r="F206">
        <v>0</v>
      </c>
    </row>
    <row r="207" spans="1:7" x14ac:dyDescent="0.55000000000000004">
      <c r="A207">
        <v>68</v>
      </c>
      <c r="B207" t="str">
        <f t="shared" si="3"/>
        <v>68_0</v>
      </c>
      <c r="C207" t="s">
        <v>126</v>
      </c>
      <c r="D207" t="s">
        <v>143</v>
      </c>
      <c r="E207" t="s">
        <v>131</v>
      </c>
      <c r="F207">
        <v>0</v>
      </c>
    </row>
    <row r="208" spans="1:7" x14ac:dyDescent="0.55000000000000004">
      <c r="A208">
        <v>68</v>
      </c>
      <c r="B208" t="str">
        <f t="shared" si="3"/>
        <v>68_0</v>
      </c>
      <c r="C208" t="s">
        <v>126</v>
      </c>
      <c r="D208" t="s">
        <v>144</v>
      </c>
      <c r="E208" t="s">
        <v>139</v>
      </c>
      <c r="F208">
        <v>0</v>
      </c>
    </row>
    <row r="209" spans="1:6" x14ac:dyDescent="0.55000000000000004">
      <c r="A209">
        <v>68</v>
      </c>
      <c r="B209" t="str">
        <f t="shared" si="3"/>
        <v>68_0</v>
      </c>
      <c r="C209" t="s">
        <v>126</v>
      </c>
      <c r="D209" t="s">
        <v>145</v>
      </c>
      <c r="E209" t="s">
        <v>139</v>
      </c>
      <c r="F209">
        <v>40</v>
      </c>
    </row>
    <row r="210" spans="1:6" x14ac:dyDescent="0.55000000000000004">
      <c r="A210">
        <v>68</v>
      </c>
      <c r="B210" t="str">
        <f t="shared" si="3"/>
        <v>68_0</v>
      </c>
      <c r="C210" t="s">
        <v>126</v>
      </c>
      <c r="D210" t="s">
        <v>146</v>
      </c>
      <c r="E210" t="s">
        <v>139</v>
      </c>
      <c r="F210">
        <v>0</v>
      </c>
    </row>
    <row r="211" spans="1:6" x14ac:dyDescent="0.55000000000000004">
      <c r="A211">
        <v>68</v>
      </c>
      <c r="B211" t="str">
        <f t="shared" si="3"/>
        <v>68_0</v>
      </c>
      <c r="C211" t="s">
        <v>126</v>
      </c>
      <c r="D211" t="s">
        <v>147</v>
      </c>
      <c r="E211" t="s">
        <v>139</v>
      </c>
      <c r="F211">
        <v>0</v>
      </c>
    </row>
    <row r="212" spans="1:6" x14ac:dyDescent="0.55000000000000004">
      <c r="A212">
        <v>68</v>
      </c>
      <c r="B212" t="str">
        <f t="shared" si="3"/>
        <v>68_0</v>
      </c>
      <c r="C212" t="s">
        <v>126</v>
      </c>
      <c r="D212" t="s">
        <v>148</v>
      </c>
      <c r="E212" t="s">
        <v>139</v>
      </c>
      <c r="F212">
        <v>60</v>
      </c>
    </row>
    <row r="213" spans="1:6" x14ac:dyDescent="0.55000000000000004">
      <c r="A213">
        <v>68</v>
      </c>
      <c r="B213" t="str">
        <f t="shared" si="3"/>
        <v>68_0</v>
      </c>
      <c r="C213" t="s">
        <v>126</v>
      </c>
      <c r="D213" t="s">
        <v>149</v>
      </c>
      <c r="E213" t="s">
        <v>139</v>
      </c>
      <c r="F213">
        <v>0</v>
      </c>
    </row>
    <row r="214" spans="1:6" x14ac:dyDescent="0.55000000000000004">
      <c r="A214">
        <v>68</v>
      </c>
      <c r="B214" t="str">
        <f t="shared" si="3"/>
        <v>68_0</v>
      </c>
      <c r="C214" t="s">
        <v>126</v>
      </c>
      <c r="D214" t="s">
        <v>150</v>
      </c>
      <c r="E214" t="s">
        <v>139</v>
      </c>
      <c r="F214">
        <v>0</v>
      </c>
    </row>
    <row r="215" spans="1:6" x14ac:dyDescent="0.55000000000000004">
      <c r="A215">
        <v>68</v>
      </c>
      <c r="B215" t="str">
        <f t="shared" si="3"/>
        <v>68_0</v>
      </c>
      <c r="C215" t="s">
        <v>126</v>
      </c>
      <c r="D215" t="s">
        <v>152</v>
      </c>
      <c r="E215" t="s">
        <v>153</v>
      </c>
    </row>
    <row r="216" spans="1:6" x14ac:dyDescent="0.55000000000000004">
      <c r="A216">
        <v>68</v>
      </c>
      <c r="B216" t="str">
        <f t="shared" si="3"/>
        <v>68_0</v>
      </c>
      <c r="C216" t="s">
        <v>154</v>
      </c>
      <c r="D216" t="s">
        <v>155</v>
      </c>
      <c r="E216" t="s">
        <v>156</v>
      </c>
      <c r="F216">
        <v>23.4</v>
      </c>
    </row>
    <row r="217" spans="1:6" x14ac:dyDescent="0.55000000000000004">
      <c r="A217">
        <v>68</v>
      </c>
      <c r="B217" t="str">
        <f t="shared" si="3"/>
        <v>68_0</v>
      </c>
      <c r="C217" t="s">
        <v>154</v>
      </c>
      <c r="D217" t="s">
        <v>157</v>
      </c>
      <c r="E217" t="s">
        <v>158</v>
      </c>
      <c r="F217">
        <v>9.83</v>
      </c>
    </row>
    <row r="218" spans="1:6" x14ac:dyDescent="0.55000000000000004">
      <c r="A218">
        <v>68</v>
      </c>
      <c r="B218" t="str">
        <f t="shared" si="3"/>
        <v>68_0</v>
      </c>
      <c r="C218" t="s">
        <v>154</v>
      </c>
      <c r="D218" t="s">
        <v>159</v>
      </c>
      <c r="E218" t="s">
        <v>139</v>
      </c>
      <c r="F218">
        <v>115.3</v>
      </c>
    </row>
    <row r="219" spans="1:6" x14ac:dyDescent="0.55000000000000004">
      <c r="A219">
        <v>68</v>
      </c>
      <c r="B219" t="str">
        <f t="shared" si="3"/>
        <v>68_0</v>
      </c>
      <c r="C219" t="s">
        <v>154</v>
      </c>
      <c r="D219" t="s">
        <v>357</v>
      </c>
      <c r="E219" t="s">
        <v>161</v>
      </c>
      <c r="F219">
        <v>185.2</v>
      </c>
    </row>
    <row r="220" spans="1:6" x14ac:dyDescent="0.55000000000000004">
      <c r="A220">
        <f>A219</f>
        <v>68</v>
      </c>
      <c r="B220" t="str">
        <f>B219</f>
        <v>68_0</v>
      </c>
      <c r="C220" s="9" t="str">
        <f>C219</f>
        <v>Chemical</v>
      </c>
      <c r="D220" t="s">
        <v>356</v>
      </c>
      <c r="E220" t="s">
        <v>161</v>
      </c>
      <c r="F220">
        <f xml:space="preserve"> F219 / (1 + 0.021 * (F216 - 25))</f>
        <v>191.63907284768212</v>
      </c>
    </row>
    <row r="221" spans="1:6" x14ac:dyDescent="0.55000000000000004">
      <c r="A221">
        <v>68</v>
      </c>
      <c r="B221" t="str">
        <f t="shared" si="3"/>
        <v>68_0</v>
      </c>
      <c r="C221" t="s">
        <v>154</v>
      </c>
      <c r="D221" t="s">
        <v>162</v>
      </c>
      <c r="F221">
        <v>7.49</v>
      </c>
    </row>
    <row r="222" spans="1:6" x14ac:dyDescent="0.55000000000000004">
      <c r="A222">
        <v>68</v>
      </c>
      <c r="B222" t="str">
        <f t="shared" si="3"/>
        <v>68_0</v>
      </c>
      <c r="C222" t="s">
        <v>163</v>
      </c>
      <c r="D222" t="s">
        <v>168</v>
      </c>
      <c r="E222" t="s">
        <v>131</v>
      </c>
      <c r="F222">
        <v>0</v>
      </c>
    </row>
    <row r="223" spans="1:6" x14ac:dyDescent="0.55000000000000004">
      <c r="A223">
        <v>68</v>
      </c>
      <c r="B223" t="str">
        <f t="shared" si="3"/>
        <v>68_0</v>
      </c>
      <c r="C223" t="s">
        <v>163</v>
      </c>
      <c r="D223" t="s">
        <v>169</v>
      </c>
    </row>
    <row r="224" spans="1:6" x14ac:dyDescent="0.55000000000000004">
      <c r="A224">
        <v>68</v>
      </c>
      <c r="B224" t="str">
        <f t="shared" si="3"/>
        <v>68_0</v>
      </c>
      <c r="C224" t="s">
        <v>163</v>
      </c>
      <c r="D224" t="s">
        <v>170</v>
      </c>
      <c r="E224" t="s">
        <v>139</v>
      </c>
      <c r="F224">
        <v>0</v>
      </c>
    </row>
    <row r="225" spans="1:7" x14ac:dyDescent="0.55000000000000004">
      <c r="A225">
        <v>68</v>
      </c>
      <c r="B225" t="str">
        <f t="shared" si="3"/>
        <v>68_0</v>
      </c>
      <c r="C225" t="s">
        <v>163</v>
      </c>
      <c r="D225" t="s">
        <v>171</v>
      </c>
    </row>
    <row r="226" spans="1:7" x14ac:dyDescent="0.55000000000000004">
      <c r="A226">
        <v>69</v>
      </c>
      <c r="B226" t="str">
        <f t="shared" si="3"/>
        <v>69_0</v>
      </c>
      <c r="C226" t="s">
        <v>126</v>
      </c>
      <c r="D226" t="s">
        <v>127</v>
      </c>
      <c r="E226" t="s">
        <v>128</v>
      </c>
      <c r="F226" s="1"/>
      <c r="G226" t="s">
        <v>129</v>
      </c>
    </row>
    <row r="227" spans="1:7" x14ac:dyDescent="0.55000000000000004">
      <c r="A227">
        <v>69</v>
      </c>
      <c r="B227" t="str">
        <f t="shared" ref="B227:B282" si="4">A227 &amp; "_0"</f>
        <v>69_0</v>
      </c>
      <c r="C227" t="s">
        <v>126</v>
      </c>
      <c r="D227" s="11" t="s">
        <v>130</v>
      </c>
      <c r="E227" t="s">
        <v>131</v>
      </c>
      <c r="F227">
        <v>1</v>
      </c>
    </row>
    <row r="228" spans="1:7" x14ac:dyDescent="0.55000000000000004">
      <c r="A228">
        <v>69</v>
      </c>
      <c r="B228" t="str">
        <f t="shared" si="4"/>
        <v>69_0</v>
      </c>
      <c r="C228" t="s">
        <v>126</v>
      </c>
      <c r="D228" t="s">
        <v>132</v>
      </c>
      <c r="E228" t="s">
        <v>133</v>
      </c>
    </row>
    <row r="229" spans="1:7" x14ac:dyDescent="0.55000000000000004">
      <c r="A229">
        <v>69</v>
      </c>
      <c r="B229" t="str">
        <f t="shared" si="4"/>
        <v>69_0</v>
      </c>
      <c r="C229" t="s">
        <v>126</v>
      </c>
      <c r="D229" t="s">
        <v>134</v>
      </c>
      <c r="E229" t="s">
        <v>133</v>
      </c>
      <c r="F229">
        <v>0.45</v>
      </c>
    </row>
    <row r="230" spans="1:7" x14ac:dyDescent="0.55000000000000004">
      <c r="A230">
        <v>69</v>
      </c>
      <c r="B230" t="str">
        <f t="shared" si="4"/>
        <v>69_0</v>
      </c>
      <c r="C230" t="s">
        <v>126</v>
      </c>
      <c r="D230" t="s">
        <v>135</v>
      </c>
      <c r="E230" t="s">
        <v>136</v>
      </c>
      <c r="F230">
        <f>F229/10</f>
        <v>4.4999999999999998E-2</v>
      </c>
      <c r="G230" t="s">
        <v>137</v>
      </c>
    </row>
    <row r="231" spans="1:7" x14ac:dyDescent="0.55000000000000004">
      <c r="A231">
        <v>69</v>
      </c>
      <c r="B231" t="str">
        <f t="shared" si="4"/>
        <v>69_0</v>
      </c>
      <c r="C231" t="s">
        <v>126</v>
      </c>
      <c r="D231" s="2" t="s">
        <v>138</v>
      </c>
      <c r="E231" t="s">
        <v>139</v>
      </c>
      <c r="F231">
        <v>0</v>
      </c>
    </row>
    <row r="232" spans="1:7" x14ac:dyDescent="0.55000000000000004">
      <c r="A232">
        <v>69</v>
      </c>
      <c r="B232" t="str">
        <f t="shared" si="4"/>
        <v>69_0</v>
      </c>
      <c r="C232" t="s">
        <v>126</v>
      </c>
      <c r="D232" s="2" t="s">
        <v>140</v>
      </c>
    </row>
    <row r="233" spans="1:7" x14ac:dyDescent="0.55000000000000004">
      <c r="A233">
        <v>69</v>
      </c>
      <c r="B233" t="str">
        <f t="shared" si="4"/>
        <v>69_0</v>
      </c>
      <c r="C233" t="s">
        <v>126</v>
      </c>
      <c r="D233" s="2" t="s">
        <v>141</v>
      </c>
      <c r="E233" t="s">
        <v>139</v>
      </c>
      <c r="F233">
        <v>0</v>
      </c>
    </row>
    <row r="234" spans="1:7" x14ac:dyDescent="0.55000000000000004">
      <c r="A234">
        <v>69</v>
      </c>
      <c r="B234" t="str">
        <f t="shared" si="4"/>
        <v>69_0</v>
      </c>
      <c r="C234" t="s">
        <v>126</v>
      </c>
      <c r="D234" t="s">
        <v>142</v>
      </c>
      <c r="E234" t="s">
        <v>139</v>
      </c>
      <c r="F234">
        <v>0</v>
      </c>
    </row>
    <row r="235" spans="1:7" x14ac:dyDescent="0.55000000000000004">
      <c r="A235">
        <v>69</v>
      </c>
      <c r="B235" t="str">
        <f t="shared" si="4"/>
        <v>69_0</v>
      </c>
      <c r="C235" t="s">
        <v>126</v>
      </c>
      <c r="D235" t="s">
        <v>143</v>
      </c>
      <c r="E235" t="s">
        <v>131</v>
      </c>
      <c r="F235">
        <v>0</v>
      </c>
    </row>
    <row r="236" spans="1:7" x14ac:dyDescent="0.55000000000000004">
      <c r="A236">
        <v>69</v>
      </c>
      <c r="B236" t="str">
        <f t="shared" si="4"/>
        <v>69_0</v>
      </c>
      <c r="C236" t="s">
        <v>126</v>
      </c>
      <c r="D236" t="s">
        <v>144</v>
      </c>
      <c r="E236" t="s">
        <v>139</v>
      </c>
      <c r="F236">
        <v>10</v>
      </c>
    </row>
    <row r="237" spans="1:7" x14ac:dyDescent="0.55000000000000004">
      <c r="A237">
        <v>69</v>
      </c>
      <c r="B237" t="str">
        <f t="shared" si="4"/>
        <v>69_0</v>
      </c>
      <c r="C237" t="s">
        <v>126</v>
      </c>
      <c r="D237" t="s">
        <v>145</v>
      </c>
      <c r="E237" t="s">
        <v>139</v>
      </c>
      <c r="F237">
        <v>0</v>
      </c>
    </row>
    <row r="238" spans="1:7" x14ac:dyDescent="0.55000000000000004">
      <c r="A238">
        <v>69</v>
      </c>
      <c r="B238" t="str">
        <f t="shared" si="4"/>
        <v>69_0</v>
      </c>
      <c r="C238" t="s">
        <v>126</v>
      </c>
      <c r="D238" t="s">
        <v>146</v>
      </c>
      <c r="E238" t="s">
        <v>139</v>
      </c>
      <c r="F238">
        <v>0</v>
      </c>
    </row>
    <row r="239" spans="1:7" x14ac:dyDescent="0.55000000000000004">
      <c r="A239">
        <v>69</v>
      </c>
      <c r="B239" t="str">
        <f t="shared" si="4"/>
        <v>69_0</v>
      </c>
      <c r="C239" t="s">
        <v>126</v>
      </c>
      <c r="D239" t="s">
        <v>147</v>
      </c>
      <c r="E239" t="s">
        <v>139</v>
      </c>
      <c r="F239">
        <v>0</v>
      </c>
    </row>
    <row r="240" spans="1:7" x14ac:dyDescent="0.55000000000000004">
      <c r="A240">
        <v>69</v>
      </c>
      <c r="B240" t="str">
        <f t="shared" si="4"/>
        <v>69_0</v>
      </c>
      <c r="C240" t="s">
        <v>126</v>
      </c>
      <c r="D240" t="s">
        <v>148</v>
      </c>
      <c r="E240" t="s">
        <v>139</v>
      </c>
      <c r="F240">
        <v>90</v>
      </c>
    </row>
    <row r="241" spans="1:7" x14ac:dyDescent="0.55000000000000004">
      <c r="A241">
        <v>69</v>
      </c>
      <c r="B241" t="str">
        <f t="shared" si="4"/>
        <v>69_0</v>
      </c>
      <c r="C241" t="s">
        <v>126</v>
      </c>
      <c r="D241" t="s">
        <v>149</v>
      </c>
      <c r="E241" t="s">
        <v>139</v>
      </c>
      <c r="F241">
        <v>0</v>
      </c>
    </row>
    <row r="242" spans="1:7" x14ac:dyDescent="0.55000000000000004">
      <c r="A242">
        <v>69</v>
      </c>
      <c r="B242" t="str">
        <f t="shared" si="4"/>
        <v>69_0</v>
      </c>
      <c r="C242" t="s">
        <v>126</v>
      </c>
      <c r="D242" t="s">
        <v>150</v>
      </c>
      <c r="E242" t="s">
        <v>139</v>
      </c>
      <c r="F242">
        <v>0</v>
      </c>
    </row>
    <row r="243" spans="1:7" x14ac:dyDescent="0.55000000000000004">
      <c r="A243">
        <v>69</v>
      </c>
      <c r="B243" t="str">
        <f t="shared" si="4"/>
        <v>69_0</v>
      </c>
      <c r="C243" t="s">
        <v>126</v>
      </c>
      <c r="D243" t="s">
        <v>152</v>
      </c>
      <c r="E243" t="s">
        <v>153</v>
      </c>
    </row>
    <row r="244" spans="1:7" x14ac:dyDescent="0.55000000000000004">
      <c r="A244">
        <v>69</v>
      </c>
      <c r="B244" t="str">
        <f t="shared" si="4"/>
        <v>69_0</v>
      </c>
      <c r="C244" t="s">
        <v>154</v>
      </c>
      <c r="D244" t="s">
        <v>155</v>
      </c>
      <c r="E244" t="s">
        <v>156</v>
      </c>
      <c r="F244">
        <v>23.4</v>
      </c>
    </row>
    <row r="245" spans="1:7" x14ac:dyDescent="0.55000000000000004">
      <c r="A245">
        <v>69</v>
      </c>
      <c r="B245" t="str">
        <f t="shared" si="4"/>
        <v>69_0</v>
      </c>
      <c r="C245" t="s">
        <v>154</v>
      </c>
      <c r="D245" t="s">
        <v>157</v>
      </c>
      <c r="E245" t="s">
        <v>158</v>
      </c>
      <c r="F245">
        <v>7.82</v>
      </c>
    </row>
    <row r="246" spans="1:7" x14ac:dyDescent="0.55000000000000004">
      <c r="A246">
        <v>69</v>
      </c>
      <c r="B246" t="str">
        <f t="shared" si="4"/>
        <v>69_0</v>
      </c>
      <c r="C246" t="s">
        <v>154</v>
      </c>
      <c r="D246" t="s">
        <v>159</v>
      </c>
      <c r="E246" t="s">
        <v>139</v>
      </c>
      <c r="F246">
        <v>91.8</v>
      </c>
    </row>
    <row r="247" spans="1:7" x14ac:dyDescent="0.55000000000000004">
      <c r="A247">
        <v>69</v>
      </c>
      <c r="B247" t="str">
        <f t="shared" si="4"/>
        <v>69_0</v>
      </c>
      <c r="C247" t="s">
        <v>154</v>
      </c>
      <c r="D247" t="s">
        <v>357</v>
      </c>
      <c r="E247" t="s">
        <v>161</v>
      </c>
      <c r="F247">
        <v>188.6</v>
      </c>
    </row>
    <row r="248" spans="1:7" x14ac:dyDescent="0.55000000000000004">
      <c r="A248">
        <f>A247</f>
        <v>69</v>
      </c>
      <c r="B248" t="str">
        <f>B247</f>
        <v>69_0</v>
      </c>
      <c r="C248" s="9" t="str">
        <f>C247</f>
        <v>Chemical</v>
      </c>
      <c r="D248" t="s">
        <v>356</v>
      </c>
      <c r="E248" t="s">
        <v>161</v>
      </c>
      <c r="F248">
        <f xml:space="preserve"> F247 / (1 + 0.021 * (F244 - 25))</f>
        <v>195.15728476821192</v>
      </c>
    </row>
    <row r="249" spans="1:7" x14ac:dyDescent="0.55000000000000004">
      <c r="A249">
        <v>69</v>
      </c>
      <c r="B249" t="str">
        <f t="shared" si="4"/>
        <v>69_0</v>
      </c>
      <c r="C249" t="s">
        <v>154</v>
      </c>
      <c r="D249" t="s">
        <v>162</v>
      </c>
      <c r="F249">
        <v>7</v>
      </c>
    </row>
    <row r="250" spans="1:7" x14ac:dyDescent="0.55000000000000004">
      <c r="A250">
        <v>69</v>
      </c>
      <c r="B250" t="str">
        <f t="shared" si="4"/>
        <v>69_0</v>
      </c>
      <c r="C250" t="s">
        <v>163</v>
      </c>
      <c r="D250" t="s">
        <v>168</v>
      </c>
      <c r="E250" t="s">
        <v>131</v>
      </c>
      <c r="F250">
        <v>0</v>
      </c>
    </row>
    <row r="251" spans="1:7" x14ac:dyDescent="0.55000000000000004">
      <c r="A251">
        <v>69</v>
      </c>
      <c r="B251" t="str">
        <f t="shared" si="4"/>
        <v>69_0</v>
      </c>
      <c r="C251" t="s">
        <v>163</v>
      </c>
      <c r="D251" t="s">
        <v>169</v>
      </c>
    </row>
    <row r="252" spans="1:7" x14ac:dyDescent="0.55000000000000004">
      <c r="A252">
        <v>69</v>
      </c>
      <c r="B252" t="str">
        <f t="shared" si="4"/>
        <v>69_0</v>
      </c>
      <c r="C252" t="s">
        <v>163</v>
      </c>
      <c r="D252" t="s">
        <v>170</v>
      </c>
      <c r="E252" t="s">
        <v>139</v>
      </c>
      <c r="F252">
        <v>10</v>
      </c>
    </row>
    <row r="253" spans="1:7" x14ac:dyDescent="0.55000000000000004">
      <c r="A253">
        <v>69</v>
      </c>
      <c r="B253" t="str">
        <f t="shared" si="4"/>
        <v>69_0</v>
      </c>
      <c r="C253" t="s">
        <v>163</v>
      </c>
      <c r="D253" t="s">
        <v>171</v>
      </c>
    </row>
    <row r="254" spans="1:7" x14ac:dyDescent="0.55000000000000004">
      <c r="A254">
        <v>70</v>
      </c>
      <c r="B254" t="str">
        <f t="shared" si="4"/>
        <v>70_0</v>
      </c>
      <c r="C254" t="s">
        <v>126</v>
      </c>
      <c r="D254" t="s">
        <v>127</v>
      </c>
      <c r="E254" t="s">
        <v>128</v>
      </c>
      <c r="F254" s="1"/>
      <c r="G254" t="s">
        <v>129</v>
      </c>
    </row>
    <row r="255" spans="1:7" x14ac:dyDescent="0.55000000000000004">
      <c r="A255">
        <v>70</v>
      </c>
      <c r="B255" t="str">
        <f t="shared" si="4"/>
        <v>70_0</v>
      </c>
      <c r="C255" t="s">
        <v>126</v>
      </c>
      <c r="D255" s="11" t="s">
        <v>130</v>
      </c>
      <c r="E255" t="s">
        <v>131</v>
      </c>
      <c r="F255">
        <v>1</v>
      </c>
    </row>
    <row r="256" spans="1:7" x14ac:dyDescent="0.55000000000000004">
      <c r="A256">
        <v>70</v>
      </c>
      <c r="B256" t="str">
        <f t="shared" si="4"/>
        <v>70_0</v>
      </c>
      <c r="C256" t="s">
        <v>126</v>
      </c>
      <c r="D256" t="s">
        <v>132</v>
      </c>
      <c r="E256" t="s">
        <v>133</v>
      </c>
    </row>
    <row r="257" spans="1:7" x14ac:dyDescent="0.55000000000000004">
      <c r="A257">
        <v>70</v>
      </c>
      <c r="B257" t="str">
        <f t="shared" si="4"/>
        <v>70_0</v>
      </c>
      <c r="C257" t="s">
        <v>126</v>
      </c>
      <c r="D257" t="s">
        <v>134</v>
      </c>
      <c r="E257" t="s">
        <v>133</v>
      </c>
      <c r="F257">
        <v>0.5</v>
      </c>
    </row>
    <row r="258" spans="1:7" x14ac:dyDescent="0.55000000000000004">
      <c r="A258">
        <v>70</v>
      </c>
      <c r="B258" t="str">
        <f t="shared" si="4"/>
        <v>70_0</v>
      </c>
      <c r="C258" t="s">
        <v>126</v>
      </c>
      <c r="D258" t="s">
        <v>135</v>
      </c>
      <c r="E258" t="s">
        <v>136</v>
      </c>
      <c r="F258">
        <f>F257/10</f>
        <v>0.05</v>
      </c>
      <c r="G258" t="s">
        <v>137</v>
      </c>
    </row>
    <row r="259" spans="1:7" x14ac:dyDescent="0.55000000000000004">
      <c r="A259">
        <v>70</v>
      </c>
      <c r="B259" t="str">
        <f t="shared" si="4"/>
        <v>70_0</v>
      </c>
      <c r="C259" t="s">
        <v>126</v>
      </c>
      <c r="D259" s="2" t="s">
        <v>138</v>
      </c>
      <c r="E259" t="s">
        <v>139</v>
      </c>
      <c r="F259">
        <v>100</v>
      </c>
    </row>
    <row r="260" spans="1:7" x14ac:dyDescent="0.55000000000000004">
      <c r="A260">
        <v>70</v>
      </c>
      <c r="B260" t="str">
        <f t="shared" si="4"/>
        <v>70_0</v>
      </c>
      <c r="C260" t="s">
        <v>126</v>
      </c>
      <c r="D260" s="2" t="s">
        <v>140</v>
      </c>
      <c r="F260" t="s">
        <v>172</v>
      </c>
    </row>
    <row r="261" spans="1:7" x14ac:dyDescent="0.55000000000000004">
      <c r="A261">
        <v>70</v>
      </c>
      <c r="B261" t="str">
        <f t="shared" si="4"/>
        <v>70_0</v>
      </c>
      <c r="C261" t="s">
        <v>126</v>
      </c>
      <c r="D261" s="2" t="s">
        <v>141</v>
      </c>
      <c r="E261" t="s">
        <v>139</v>
      </c>
      <c r="F261">
        <v>0</v>
      </c>
    </row>
    <row r="262" spans="1:7" x14ac:dyDescent="0.55000000000000004">
      <c r="A262">
        <v>70</v>
      </c>
      <c r="B262" t="str">
        <f t="shared" si="4"/>
        <v>70_0</v>
      </c>
      <c r="C262" t="s">
        <v>126</v>
      </c>
      <c r="D262" t="s">
        <v>142</v>
      </c>
      <c r="E262" t="s">
        <v>139</v>
      </c>
      <c r="F262">
        <v>0</v>
      </c>
    </row>
    <row r="263" spans="1:7" x14ac:dyDescent="0.55000000000000004">
      <c r="A263">
        <v>70</v>
      </c>
      <c r="B263" t="str">
        <f t="shared" si="4"/>
        <v>70_0</v>
      </c>
      <c r="C263" t="s">
        <v>126</v>
      </c>
      <c r="D263" t="s">
        <v>143</v>
      </c>
      <c r="E263" t="s">
        <v>131</v>
      </c>
      <c r="F263">
        <v>0</v>
      </c>
    </row>
    <row r="264" spans="1:7" x14ac:dyDescent="0.55000000000000004">
      <c r="A264">
        <v>70</v>
      </c>
      <c r="B264" t="str">
        <f t="shared" si="4"/>
        <v>70_0</v>
      </c>
      <c r="C264" t="s">
        <v>126</v>
      </c>
      <c r="D264" t="s">
        <v>144</v>
      </c>
      <c r="E264" t="s">
        <v>139</v>
      </c>
      <c r="F264">
        <v>0</v>
      </c>
    </row>
    <row r="265" spans="1:7" x14ac:dyDescent="0.55000000000000004">
      <c r="A265">
        <v>70</v>
      </c>
      <c r="B265" t="str">
        <f t="shared" si="4"/>
        <v>70_0</v>
      </c>
      <c r="C265" t="s">
        <v>126</v>
      </c>
      <c r="D265" t="s">
        <v>145</v>
      </c>
      <c r="E265" t="s">
        <v>139</v>
      </c>
      <c r="F265">
        <v>5</v>
      </c>
    </row>
    <row r="266" spans="1:7" x14ac:dyDescent="0.55000000000000004">
      <c r="A266">
        <v>70</v>
      </c>
      <c r="B266" t="str">
        <f t="shared" si="4"/>
        <v>70_0</v>
      </c>
      <c r="C266" t="s">
        <v>126</v>
      </c>
      <c r="D266" t="s">
        <v>146</v>
      </c>
      <c r="E266" t="s">
        <v>139</v>
      </c>
      <c r="F266">
        <v>0</v>
      </c>
    </row>
    <row r="267" spans="1:7" x14ac:dyDescent="0.55000000000000004">
      <c r="A267">
        <v>70</v>
      </c>
      <c r="B267" t="str">
        <f t="shared" si="4"/>
        <v>70_0</v>
      </c>
      <c r="C267" t="s">
        <v>126</v>
      </c>
      <c r="D267" t="s">
        <v>147</v>
      </c>
      <c r="E267" t="s">
        <v>139</v>
      </c>
      <c r="F267">
        <v>0</v>
      </c>
    </row>
    <row r="268" spans="1:7" x14ac:dyDescent="0.55000000000000004">
      <c r="A268">
        <v>70</v>
      </c>
      <c r="B268" t="str">
        <f t="shared" si="4"/>
        <v>70_0</v>
      </c>
      <c r="C268" t="s">
        <v>126</v>
      </c>
      <c r="D268" t="s">
        <v>148</v>
      </c>
      <c r="E268" t="s">
        <v>139</v>
      </c>
      <c r="F268">
        <v>95</v>
      </c>
    </row>
    <row r="269" spans="1:7" x14ac:dyDescent="0.55000000000000004">
      <c r="A269">
        <v>70</v>
      </c>
      <c r="B269" t="str">
        <f t="shared" si="4"/>
        <v>70_0</v>
      </c>
      <c r="C269" t="s">
        <v>126</v>
      </c>
      <c r="D269" t="s">
        <v>149</v>
      </c>
      <c r="E269" t="s">
        <v>139</v>
      </c>
      <c r="F269">
        <v>0</v>
      </c>
    </row>
    <row r="270" spans="1:7" x14ac:dyDescent="0.55000000000000004">
      <c r="A270">
        <v>70</v>
      </c>
      <c r="B270" t="str">
        <f t="shared" si="4"/>
        <v>70_0</v>
      </c>
      <c r="C270" t="s">
        <v>126</v>
      </c>
      <c r="D270" t="s">
        <v>150</v>
      </c>
      <c r="E270" t="s">
        <v>139</v>
      </c>
      <c r="F270">
        <v>0</v>
      </c>
    </row>
    <row r="271" spans="1:7" x14ac:dyDescent="0.55000000000000004">
      <c r="A271">
        <v>70</v>
      </c>
      <c r="B271" t="str">
        <f t="shared" si="4"/>
        <v>70_0</v>
      </c>
      <c r="C271" t="s">
        <v>126</v>
      </c>
      <c r="D271" t="s">
        <v>152</v>
      </c>
      <c r="E271" t="s">
        <v>153</v>
      </c>
    </row>
    <row r="272" spans="1:7" x14ac:dyDescent="0.55000000000000004">
      <c r="A272">
        <v>70</v>
      </c>
      <c r="B272" t="str">
        <f t="shared" si="4"/>
        <v>70_0</v>
      </c>
      <c r="C272" t="s">
        <v>154</v>
      </c>
      <c r="D272" t="s">
        <v>155</v>
      </c>
      <c r="E272" t="s">
        <v>156</v>
      </c>
      <c r="F272">
        <v>22.4</v>
      </c>
    </row>
    <row r="273" spans="1:7" x14ac:dyDescent="0.55000000000000004">
      <c r="A273">
        <v>70</v>
      </c>
      <c r="B273" t="str">
        <f t="shared" si="4"/>
        <v>70_0</v>
      </c>
      <c r="C273" t="s">
        <v>154</v>
      </c>
      <c r="D273" t="s">
        <v>157</v>
      </c>
      <c r="E273" t="s">
        <v>158</v>
      </c>
      <c r="F273">
        <v>7.25</v>
      </c>
    </row>
    <row r="274" spans="1:7" x14ac:dyDescent="0.55000000000000004">
      <c r="A274">
        <v>70</v>
      </c>
      <c r="B274" t="str">
        <f t="shared" si="4"/>
        <v>70_0</v>
      </c>
      <c r="C274" t="s">
        <v>154</v>
      </c>
      <c r="D274" t="s">
        <v>159</v>
      </c>
      <c r="E274" t="s">
        <v>139</v>
      </c>
      <c r="F274">
        <v>83.5</v>
      </c>
    </row>
    <row r="275" spans="1:7" x14ac:dyDescent="0.55000000000000004">
      <c r="A275">
        <v>70</v>
      </c>
      <c r="B275" t="str">
        <f t="shared" si="4"/>
        <v>70_0</v>
      </c>
      <c r="C275" t="s">
        <v>154</v>
      </c>
      <c r="D275" t="s">
        <v>357</v>
      </c>
      <c r="E275" t="s">
        <v>161</v>
      </c>
      <c r="F275">
        <v>174.8</v>
      </c>
    </row>
    <row r="276" spans="1:7" x14ac:dyDescent="0.55000000000000004">
      <c r="A276">
        <f>A275</f>
        <v>70</v>
      </c>
      <c r="B276" t="str">
        <f>B275</f>
        <v>70_0</v>
      </c>
      <c r="C276" s="9" t="str">
        <f>C275</f>
        <v>Chemical</v>
      </c>
      <c r="D276" t="s">
        <v>356</v>
      </c>
      <c r="E276" t="s">
        <v>161</v>
      </c>
      <c r="F276">
        <f xml:space="preserve"> F275 / (1 + 0.021 * (F272 - 25))</f>
        <v>184.89528242013964</v>
      </c>
    </row>
    <row r="277" spans="1:7" x14ac:dyDescent="0.55000000000000004">
      <c r="A277">
        <v>70</v>
      </c>
      <c r="B277" t="str">
        <f t="shared" si="4"/>
        <v>70_0</v>
      </c>
      <c r="C277" t="s">
        <v>154</v>
      </c>
      <c r="D277" t="s">
        <v>162</v>
      </c>
      <c r="F277">
        <v>7.04</v>
      </c>
    </row>
    <row r="278" spans="1:7" x14ac:dyDescent="0.55000000000000004">
      <c r="A278">
        <v>70</v>
      </c>
      <c r="B278" t="str">
        <f t="shared" si="4"/>
        <v>70_0</v>
      </c>
      <c r="C278" t="s">
        <v>163</v>
      </c>
      <c r="D278" t="s">
        <v>168</v>
      </c>
      <c r="E278" t="s">
        <v>131</v>
      </c>
      <c r="F278">
        <v>0</v>
      </c>
    </row>
    <row r="279" spans="1:7" x14ac:dyDescent="0.55000000000000004">
      <c r="A279">
        <v>70</v>
      </c>
      <c r="B279" t="str">
        <f t="shared" si="4"/>
        <v>70_0</v>
      </c>
      <c r="C279" t="s">
        <v>163</v>
      </c>
      <c r="D279" t="s">
        <v>169</v>
      </c>
    </row>
    <row r="280" spans="1:7" x14ac:dyDescent="0.55000000000000004">
      <c r="A280">
        <v>70</v>
      </c>
      <c r="B280" t="str">
        <f t="shared" si="4"/>
        <v>70_0</v>
      </c>
      <c r="C280" t="s">
        <v>163</v>
      </c>
      <c r="D280" t="s">
        <v>170</v>
      </c>
      <c r="E280" t="s">
        <v>139</v>
      </c>
      <c r="F280">
        <v>0</v>
      </c>
    </row>
    <row r="281" spans="1:7" x14ac:dyDescent="0.55000000000000004">
      <c r="A281">
        <v>70</v>
      </c>
      <c r="B281" t="str">
        <f t="shared" si="4"/>
        <v>70_0</v>
      </c>
      <c r="C281" t="s">
        <v>163</v>
      </c>
      <c r="D281" t="s">
        <v>171</v>
      </c>
    </row>
    <row r="282" spans="1:7" x14ac:dyDescent="0.55000000000000004">
      <c r="A282">
        <v>71</v>
      </c>
      <c r="B282" t="str">
        <f t="shared" si="4"/>
        <v>71_0</v>
      </c>
      <c r="C282" t="s">
        <v>126</v>
      </c>
      <c r="D282" t="s">
        <v>127</v>
      </c>
      <c r="E282" t="s">
        <v>128</v>
      </c>
      <c r="F282" s="1"/>
      <c r="G282" t="s">
        <v>129</v>
      </c>
    </row>
    <row r="283" spans="1:7" x14ac:dyDescent="0.55000000000000004">
      <c r="A283">
        <v>71</v>
      </c>
      <c r="B283" t="str">
        <f t="shared" ref="B283:B338" si="5">A283 &amp; "_0"</f>
        <v>71_0</v>
      </c>
      <c r="C283" t="s">
        <v>126</v>
      </c>
      <c r="D283" s="11" t="s">
        <v>130</v>
      </c>
      <c r="E283" t="s">
        <v>131</v>
      </c>
      <c r="F283">
        <v>1</v>
      </c>
    </row>
    <row r="284" spans="1:7" x14ac:dyDescent="0.55000000000000004">
      <c r="A284">
        <v>71</v>
      </c>
      <c r="B284" t="str">
        <f t="shared" si="5"/>
        <v>71_0</v>
      </c>
      <c r="C284" t="s">
        <v>126</v>
      </c>
      <c r="D284" t="s">
        <v>132</v>
      </c>
      <c r="E284" t="s">
        <v>133</v>
      </c>
    </row>
    <row r="285" spans="1:7" x14ac:dyDescent="0.55000000000000004">
      <c r="A285">
        <v>71</v>
      </c>
      <c r="B285" t="str">
        <f t="shared" si="5"/>
        <v>71_0</v>
      </c>
      <c r="C285" t="s">
        <v>126</v>
      </c>
      <c r="D285" t="s">
        <v>134</v>
      </c>
      <c r="E285" t="s">
        <v>133</v>
      </c>
      <c r="F285">
        <v>0.5</v>
      </c>
    </row>
    <row r="286" spans="1:7" x14ac:dyDescent="0.55000000000000004">
      <c r="A286">
        <v>71</v>
      </c>
      <c r="B286" t="str">
        <f t="shared" si="5"/>
        <v>71_0</v>
      </c>
      <c r="C286" t="s">
        <v>126</v>
      </c>
      <c r="D286" t="s">
        <v>135</v>
      </c>
      <c r="E286" t="s">
        <v>136</v>
      </c>
      <c r="F286">
        <f>F285/10</f>
        <v>0.05</v>
      </c>
      <c r="G286" t="s">
        <v>137</v>
      </c>
    </row>
    <row r="287" spans="1:7" x14ac:dyDescent="0.55000000000000004">
      <c r="A287">
        <v>71</v>
      </c>
      <c r="B287" t="str">
        <f t="shared" si="5"/>
        <v>71_0</v>
      </c>
      <c r="C287" t="s">
        <v>126</v>
      </c>
      <c r="D287" s="2" t="s">
        <v>138</v>
      </c>
      <c r="E287" t="s">
        <v>139</v>
      </c>
      <c r="F287">
        <v>100</v>
      </c>
    </row>
    <row r="288" spans="1:7" x14ac:dyDescent="0.55000000000000004">
      <c r="A288">
        <v>71</v>
      </c>
      <c r="B288" t="str">
        <f t="shared" si="5"/>
        <v>71_0</v>
      </c>
      <c r="C288" t="s">
        <v>126</v>
      </c>
      <c r="D288" s="2" t="s">
        <v>140</v>
      </c>
      <c r="F288" t="s">
        <v>297</v>
      </c>
    </row>
    <row r="289" spans="1:6" x14ac:dyDescent="0.55000000000000004">
      <c r="A289">
        <v>71</v>
      </c>
      <c r="B289" t="str">
        <f t="shared" si="5"/>
        <v>71_0</v>
      </c>
      <c r="C289" t="s">
        <v>126</v>
      </c>
      <c r="D289" s="2" t="s">
        <v>141</v>
      </c>
      <c r="E289" t="s">
        <v>139</v>
      </c>
      <c r="F289">
        <v>100</v>
      </c>
    </row>
    <row r="290" spans="1:6" x14ac:dyDescent="0.55000000000000004">
      <c r="A290">
        <v>71</v>
      </c>
      <c r="B290" t="str">
        <f t="shared" si="5"/>
        <v>71_0</v>
      </c>
      <c r="C290" t="s">
        <v>126</v>
      </c>
      <c r="D290" t="s">
        <v>142</v>
      </c>
      <c r="E290" t="s">
        <v>139</v>
      </c>
      <c r="F290">
        <v>0</v>
      </c>
    </row>
    <row r="291" spans="1:6" x14ac:dyDescent="0.55000000000000004">
      <c r="A291">
        <v>71</v>
      </c>
      <c r="B291" t="str">
        <f t="shared" si="5"/>
        <v>71_0</v>
      </c>
      <c r="C291" t="s">
        <v>126</v>
      </c>
      <c r="D291" t="s">
        <v>143</v>
      </c>
      <c r="E291" t="s">
        <v>131</v>
      </c>
      <c r="F291">
        <v>0</v>
      </c>
    </row>
    <row r="292" spans="1:6" x14ac:dyDescent="0.55000000000000004">
      <c r="A292">
        <v>71</v>
      </c>
      <c r="B292" t="str">
        <f t="shared" si="5"/>
        <v>71_0</v>
      </c>
      <c r="C292" t="s">
        <v>126</v>
      </c>
      <c r="D292" t="s">
        <v>144</v>
      </c>
      <c r="E292" t="s">
        <v>139</v>
      </c>
      <c r="F292">
        <v>0</v>
      </c>
    </row>
    <row r="293" spans="1:6" x14ac:dyDescent="0.55000000000000004">
      <c r="A293">
        <v>71</v>
      </c>
      <c r="B293" t="str">
        <f t="shared" si="5"/>
        <v>71_0</v>
      </c>
      <c r="C293" t="s">
        <v>126</v>
      </c>
      <c r="D293" t="s">
        <v>145</v>
      </c>
      <c r="E293" t="s">
        <v>139</v>
      </c>
      <c r="F293">
        <v>0</v>
      </c>
    </row>
    <row r="294" spans="1:6" x14ac:dyDescent="0.55000000000000004">
      <c r="A294">
        <v>71</v>
      </c>
      <c r="B294" t="str">
        <f t="shared" si="5"/>
        <v>71_0</v>
      </c>
      <c r="C294" t="s">
        <v>126</v>
      </c>
      <c r="D294" t="s">
        <v>146</v>
      </c>
      <c r="E294" t="s">
        <v>139</v>
      </c>
      <c r="F294">
        <v>0</v>
      </c>
    </row>
    <row r="295" spans="1:6" x14ac:dyDescent="0.55000000000000004">
      <c r="A295">
        <v>71</v>
      </c>
      <c r="B295" t="str">
        <f t="shared" si="5"/>
        <v>71_0</v>
      </c>
      <c r="C295" t="s">
        <v>126</v>
      </c>
      <c r="D295" t="s">
        <v>147</v>
      </c>
      <c r="E295" t="s">
        <v>139</v>
      </c>
      <c r="F295">
        <v>0</v>
      </c>
    </row>
    <row r="296" spans="1:6" x14ac:dyDescent="0.55000000000000004">
      <c r="A296">
        <v>71</v>
      </c>
      <c r="B296" t="str">
        <f t="shared" si="5"/>
        <v>71_0</v>
      </c>
      <c r="C296" t="s">
        <v>126</v>
      </c>
      <c r="D296" t="s">
        <v>148</v>
      </c>
      <c r="E296" t="s">
        <v>139</v>
      </c>
      <c r="F296">
        <v>100</v>
      </c>
    </row>
    <row r="297" spans="1:6" x14ac:dyDescent="0.55000000000000004">
      <c r="A297">
        <v>71</v>
      </c>
      <c r="B297" t="str">
        <f t="shared" si="5"/>
        <v>71_0</v>
      </c>
      <c r="C297" t="s">
        <v>126</v>
      </c>
      <c r="D297" t="s">
        <v>149</v>
      </c>
      <c r="E297" t="s">
        <v>139</v>
      </c>
      <c r="F297">
        <v>0</v>
      </c>
    </row>
    <row r="298" spans="1:6" x14ac:dyDescent="0.55000000000000004">
      <c r="A298">
        <v>71</v>
      </c>
      <c r="B298" t="str">
        <f t="shared" si="5"/>
        <v>71_0</v>
      </c>
      <c r="C298" t="s">
        <v>126</v>
      </c>
      <c r="D298" t="s">
        <v>150</v>
      </c>
      <c r="E298" t="s">
        <v>139</v>
      </c>
      <c r="F298">
        <v>0</v>
      </c>
    </row>
    <row r="299" spans="1:6" x14ac:dyDescent="0.55000000000000004">
      <c r="A299">
        <v>71</v>
      </c>
      <c r="B299" t="str">
        <f t="shared" si="5"/>
        <v>71_0</v>
      </c>
      <c r="C299" t="s">
        <v>126</v>
      </c>
      <c r="D299" t="s">
        <v>152</v>
      </c>
      <c r="E299" t="s">
        <v>153</v>
      </c>
    </row>
    <row r="300" spans="1:6" x14ac:dyDescent="0.55000000000000004">
      <c r="A300">
        <v>71</v>
      </c>
      <c r="B300" t="str">
        <f t="shared" si="5"/>
        <v>71_0</v>
      </c>
      <c r="C300" t="s">
        <v>154</v>
      </c>
      <c r="D300" t="s">
        <v>155</v>
      </c>
      <c r="E300" t="s">
        <v>156</v>
      </c>
      <c r="F300">
        <v>21.8</v>
      </c>
    </row>
    <row r="301" spans="1:6" x14ac:dyDescent="0.55000000000000004">
      <c r="A301">
        <v>71</v>
      </c>
      <c r="B301" t="str">
        <f t="shared" si="5"/>
        <v>71_0</v>
      </c>
      <c r="C301" t="s">
        <v>154</v>
      </c>
      <c r="D301" t="s">
        <v>157</v>
      </c>
      <c r="E301" t="s">
        <v>158</v>
      </c>
      <c r="F301">
        <v>7.61</v>
      </c>
    </row>
    <row r="302" spans="1:6" x14ac:dyDescent="0.55000000000000004">
      <c r="A302">
        <v>71</v>
      </c>
      <c r="B302" t="str">
        <f t="shared" si="5"/>
        <v>71_0</v>
      </c>
      <c r="C302" t="s">
        <v>154</v>
      </c>
      <c r="D302" t="s">
        <v>159</v>
      </c>
      <c r="E302" t="s">
        <v>139</v>
      </c>
      <c r="F302">
        <v>86.8</v>
      </c>
    </row>
    <row r="303" spans="1:6" x14ac:dyDescent="0.55000000000000004">
      <c r="A303">
        <v>71</v>
      </c>
      <c r="B303" t="str">
        <f t="shared" si="5"/>
        <v>71_0</v>
      </c>
      <c r="C303" t="s">
        <v>154</v>
      </c>
      <c r="D303" t="s">
        <v>357</v>
      </c>
      <c r="E303" t="s">
        <v>161</v>
      </c>
      <c r="F303">
        <v>149.1</v>
      </c>
    </row>
    <row r="304" spans="1:6" x14ac:dyDescent="0.55000000000000004">
      <c r="A304">
        <f>A303</f>
        <v>71</v>
      </c>
      <c r="B304" t="str">
        <f>B303</f>
        <v>71_0</v>
      </c>
      <c r="C304" s="9" t="str">
        <f>C303</f>
        <v>Chemical</v>
      </c>
      <c r="D304" t="s">
        <v>356</v>
      </c>
      <c r="E304" t="s">
        <v>161</v>
      </c>
      <c r="F304">
        <f xml:space="preserve"> F303 / (1 + 0.021 * (F300 - 25))</f>
        <v>159.84133790737565</v>
      </c>
    </row>
    <row r="305" spans="1:7" x14ac:dyDescent="0.55000000000000004">
      <c r="A305">
        <v>71</v>
      </c>
      <c r="B305" t="str">
        <f t="shared" si="5"/>
        <v>71_0</v>
      </c>
      <c r="C305" t="s">
        <v>154</v>
      </c>
      <c r="D305" t="s">
        <v>162</v>
      </c>
      <c r="F305">
        <v>7.51</v>
      </c>
    </row>
    <row r="306" spans="1:7" x14ac:dyDescent="0.55000000000000004">
      <c r="A306">
        <v>71</v>
      </c>
      <c r="B306" t="str">
        <f t="shared" si="5"/>
        <v>71_0</v>
      </c>
      <c r="C306" t="s">
        <v>163</v>
      </c>
      <c r="D306" t="s">
        <v>168</v>
      </c>
      <c r="E306" t="s">
        <v>131</v>
      </c>
      <c r="F306">
        <v>0</v>
      </c>
    </row>
    <row r="307" spans="1:7" x14ac:dyDescent="0.55000000000000004">
      <c r="A307">
        <v>71</v>
      </c>
      <c r="B307" t="str">
        <f t="shared" si="5"/>
        <v>71_0</v>
      </c>
      <c r="C307" t="s">
        <v>163</v>
      </c>
      <c r="D307" t="s">
        <v>169</v>
      </c>
    </row>
    <row r="308" spans="1:7" x14ac:dyDescent="0.55000000000000004">
      <c r="A308">
        <v>71</v>
      </c>
      <c r="B308" t="str">
        <f t="shared" si="5"/>
        <v>71_0</v>
      </c>
      <c r="C308" t="s">
        <v>163</v>
      </c>
      <c r="D308" t="s">
        <v>170</v>
      </c>
      <c r="E308" t="s">
        <v>139</v>
      </c>
      <c r="F308">
        <v>30</v>
      </c>
    </row>
    <row r="309" spans="1:7" x14ac:dyDescent="0.55000000000000004">
      <c r="A309">
        <v>71</v>
      </c>
      <c r="B309" t="str">
        <f t="shared" si="5"/>
        <v>71_0</v>
      </c>
      <c r="C309" t="s">
        <v>163</v>
      </c>
      <c r="D309" t="s">
        <v>171</v>
      </c>
    </row>
    <row r="310" spans="1:7" x14ac:dyDescent="0.55000000000000004">
      <c r="A310">
        <v>72</v>
      </c>
      <c r="B310" t="str">
        <f t="shared" si="5"/>
        <v>72_0</v>
      </c>
      <c r="C310" t="s">
        <v>126</v>
      </c>
      <c r="D310" t="s">
        <v>127</v>
      </c>
      <c r="E310" t="s">
        <v>128</v>
      </c>
      <c r="F310" s="1"/>
      <c r="G310" t="s">
        <v>129</v>
      </c>
    </row>
    <row r="311" spans="1:7" x14ac:dyDescent="0.55000000000000004">
      <c r="A311">
        <v>72</v>
      </c>
      <c r="B311" t="str">
        <f t="shared" si="5"/>
        <v>72_0</v>
      </c>
      <c r="C311" t="s">
        <v>126</v>
      </c>
      <c r="D311" s="11" t="s">
        <v>130</v>
      </c>
      <c r="E311" t="s">
        <v>131</v>
      </c>
      <c r="F311">
        <v>1</v>
      </c>
    </row>
    <row r="312" spans="1:7" x14ac:dyDescent="0.55000000000000004">
      <c r="A312">
        <v>72</v>
      </c>
      <c r="B312" t="str">
        <f t="shared" si="5"/>
        <v>72_0</v>
      </c>
      <c r="C312" t="s">
        <v>126</v>
      </c>
      <c r="D312" t="s">
        <v>132</v>
      </c>
      <c r="E312" t="s">
        <v>133</v>
      </c>
    </row>
    <row r="313" spans="1:7" x14ac:dyDescent="0.55000000000000004">
      <c r="A313">
        <v>72</v>
      </c>
      <c r="B313" t="str">
        <f t="shared" si="5"/>
        <v>72_0</v>
      </c>
      <c r="C313" t="s">
        <v>126</v>
      </c>
      <c r="D313" t="s">
        <v>134</v>
      </c>
      <c r="E313" t="s">
        <v>133</v>
      </c>
      <c r="F313">
        <v>0.5</v>
      </c>
    </row>
    <row r="314" spans="1:7" x14ac:dyDescent="0.55000000000000004">
      <c r="A314">
        <v>72</v>
      </c>
      <c r="B314" t="str">
        <f t="shared" si="5"/>
        <v>72_0</v>
      </c>
      <c r="C314" t="s">
        <v>126</v>
      </c>
      <c r="D314" t="s">
        <v>135</v>
      </c>
      <c r="E314" t="s">
        <v>136</v>
      </c>
      <c r="F314">
        <f>F313/10</f>
        <v>0.05</v>
      </c>
      <c r="G314" t="s">
        <v>137</v>
      </c>
    </row>
    <row r="315" spans="1:7" x14ac:dyDescent="0.55000000000000004">
      <c r="A315">
        <v>72</v>
      </c>
      <c r="B315" t="str">
        <f t="shared" si="5"/>
        <v>72_0</v>
      </c>
      <c r="C315" t="s">
        <v>126</v>
      </c>
      <c r="D315" s="2" t="s">
        <v>138</v>
      </c>
      <c r="E315" t="s">
        <v>139</v>
      </c>
      <c r="F315">
        <v>10</v>
      </c>
    </row>
    <row r="316" spans="1:7" x14ac:dyDescent="0.55000000000000004">
      <c r="A316">
        <v>72</v>
      </c>
      <c r="B316" t="str">
        <f t="shared" si="5"/>
        <v>72_0</v>
      </c>
      <c r="C316" t="s">
        <v>126</v>
      </c>
      <c r="D316" s="2" t="s">
        <v>140</v>
      </c>
      <c r="F316" t="s">
        <v>297</v>
      </c>
    </row>
    <row r="317" spans="1:7" x14ac:dyDescent="0.55000000000000004">
      <c r="A317">
        <v>72</v>
      </c>
      <c r="B317" t="str">
        <f t="shared" si="5"/>
        <v>72_0</v>
      </c>
      <c r="C317" t="s">
        <v>126</v>
      </c>
      <c r="D317" s="2" t="s">
        <v>141</v>
      </c>
      <c r="E317" t="s">
        <v>139</v>
      </c>
      <c r="F317">
        <v>10</v>
      </c>
    </row>
    <row r="318" spans="1:7" x14ac:dyDescent="0.55000000000000004">
      <c r="A318">
        <v>72</v>
      </c>
      <c r="B318" t="str">
        <f t="shared" si="5"/>
        <v>72_0</v>
      </c>
      <c r="C318" t="s">
        <v>126</v>
      </c>
      <c r="D318" t="s">
        <v>142</v>
      </c>
      <c r="E318" t="s">
        <v>139</v>
      </c>
      <c r="F318">
        <v>0</v>
      </c>
    </row>
    <row r="319" spans="1:7" x14ac:dyDescent="0.55000000000000004">
      <c r="A319">
        <v>72</v>
      </c>
      <c r="B319" t="str">
        <f t="shared" si="5"/>
        <v>72_0</v>
      </c>
      <c r="C319" t="s">
        <v>126</v>
      </c>
      <c r="D319" t="s">
        <v>143</v>
      </c>
      <c r="E319" t="s">
        <v>131</v>
      </c>
      <c r="F319">
        <v>0</v>
      </c>
    </row>
    <row r="320" spans="1:7" x14ac:dyDescent="0.55000000000000004">
      <c r="A320">
        <v>72</v>
      </c>
      <c r="B320" t="str">
        <f t="shared" si="5"/>
        <v>72_0</v>
      </c>
      <c r="C320" t="s">
        <v>126</v>
      </c>
      <c r="D320" t="s">
        <v>144</v>
      </c>
      <c r="E320" t="s">
        <v>139</v>
      </c>
      <c r="F320">
        <v>0</v>
      </c>
    </row>
    <row r="321" spans="1:6" x14ac:dyDescent="0.55000000000000004">
      <c r="A321">
        <v>72</v>
      </c>
      <c r="B321" t="str">
        <f t="shared" si="5"/>
        <v>72_0</v>
      </c>
      <c r="C321" t="s">
        <v>126</v>
      </c>
      <c r="D321" t="s">
        <v>145</v>
      </c>
      <c r="E321" t="s">
        <v>139</v>
      </c>
      <c r="F321">
        <v>0</v>
      </c>
    </row>
    <row r="322" spans="1:6" x14ac:dyDescent="0.55000000000000004">
      <c r="A322">
        <v>72</v>
      </c>
      <c r="B322" t="str">
        <f t="shared" si="5"/>
        <v>72_0</v>
      </c>
      <c r="C322" t="s">
        <v>126</v>
      </c>
      <c r="D322" t="s">
        <v>146</v>
      </c>
      <c r="E322" t="s">
        <v>139</v>
      </c>
      <c r="F322">
        <v>0</v>
      </c>
    </row>
    <row r="323" spans="1:6" x14ac:dyDescent="0.55000000000000004">
      <c r="A323">
        <v>72</v>
      </c>
      <c r="B323" t="str">
        <f t="shared" si="5"/>
        <v>72_0</v>
      </c>
      <c r="C323" t="s">
        <v>126</v>
      </c>
      <c r="D323" t="s">
        <v>147</v>
      </c>
      <c r="E323" t="s">
        <v>139</v>
      </c>
      <c r="F323">
        <v>0</v>
      </c>
    </row>
    <row r="324" spans="1:6" x14ac:dyDescent="0.55000000000000004">
      <c r="A324">
        <v>72</v>
      </c>
      <c r="B324" t="str">
        <f t="shared" si="5"/>
        <v>72_0</v>
      </c>
      <c r="C324" t="s">
        <v>126</v>
      </c>
      <c r="D324" t="s">
        <v>148</v>
      </c>
      <c r="E324" t="s">
        <v>139</v>
      </c>
      <c r="F324">
        <v>100</v>
      </c>
    </row>
    <row r="325" spans="1:6" x14ac:dyDescent="0.55000000000000004">
      <c r="A325">
        <v>72</v>
      </c>
      <c r="B325" t="str">
        <f t="shared" si="5"/>
        <v>72_0</v>
      </c>
      <c r="C325" t="s">
        <v>126</v>
      </c>
      <c r="D325" t="s">
        <v>149</v>
      </c>
      <c r="E325" t="s">
        <v>139</v>
      </c>
      <c r="F325">
        <v>0</v>
      </c>
    </row>
    <row r="326" spans="1:6" x14ac:dyDescent="0.55000000000000004">
      <c r="A326">
        <v>72</v>
      </c>
      <c r="B326" t="str">
        <f t="shared" si="5"/>
        <v>72_0</v>
      </c>
      <c r="C326" t="s">
        <v>126</v>
      </c>
      <c r="D326" t="s">
        <v>150</v>
      </c>
      <c r="E326" t="s">
        <v>139</v>
      </c>
      <c r="F326">
        <v>0</v>
      </c>
    </row>
    <row r="327" spans="1:6" x14ac:dyDescent="0.55000000000000004">
      <c r="A327">
        <v>72</v>
      </c>
      <c r="B327" t="str">
        <f t="shared" si="5"/>
        <v>72_0</v>
      </c>
      <c r="C327" t="s">
        <v>126</v>
      </c>
      <c r="D327" t="s">
        <v>152</v>
      </c>
      <c r="E327" t="s">
        <v>153</v>
      </c>
    </row>
    <row r="328" spans="1:6" x14ac:dyDescent="0.55000000000000004">
      <c r="A328">
        <v>72</v>
      </c>
      <c r="B328" t="str">
        <f t="shared" si="5"/>
        <v>72_0</v>
      </c>
      <c r="C328" t="s">
        <v>154</v>
      </c>
      <c r="D328" t="s">
        <v>155</v>
      </c>
      <c r="E328" t="s">
        <v>156</v>
      </c>
      <c r="F328">
        <v>23.4</v>
      </c>
    </row>
    <row r="329" spans="1:6" x14ac:dyDescent="0.55000000000000004">
      <c r="A329">
        <v>72</v>
      </c>
      <c r="B329" t="str">
        <f t="shared" si="5"/>
        <v>72_0</v>
      </c>
      <c r="C329" t="s">
        <v>154</v>
      </c>
      <c r="D329" t="s">
        <v>157</v>
      </c>
      <c r="E329" t="s">
        <v>158</v>
      </c>
      <c r="F329">
        <v>10.19</v>
      </c>
    </row>
    <row r="330" spans="1:6" x14ac:dyDescent="0.55000000000000004">
      <c r="A330">
        <v>72</v>
      </c>
      <c r="B330" t="str">
        <f t="shared" si="5"/>
        <v>72_0</v>
      </c>
      <c r="C330" t="s">
        <v>154</v>
      </c>
      <c r="D330" t="s">
        <v>159</v>
      </c>
      <c r="E330" t="s">
        <v>139</v>
      </c>
      <c r="F330">
        <v>119.6</v>
      </c>
    </row>
    <row r="331" spans="1:6" x14ac:dyDescent="0.55000000000000004">
      <c r="A331">
        <v>72</v>
      </c>
      <c r="B331" t="str">
        <f t="shared" si="5"/>
        <v>72_0</v>
      </c>
      <c r="C331" t="s">
        <v>154</v>
      </c>
      <c r="D331" t="s">
        <v>357</v>
      </c>
      <c r="E331" t="s">
        <v>161</v>
      </c>
      <c r="F331">
        <v>176.7</v>
      </c>
    </row>
    <row r="332" spans="1:6" x14ac:dyDescent="0.55000000000000004">
      <c r="A332">
        <f>A331</f>
        <v>72</v>
      </c>
      <c r="B332" t="str">
        <f>B331</f>
        <v>72_0</v>
      </c>
      <c r="C332" s="9" t="str">
        <f>C331</f>
        <v>Chemical</v>
      </c>
      <c r="D332" t="s">
        <v>356</v>
      </c>
      <c r="E332" t="s">
        <v>161</v>
      </c>
      <c r="F332">
        <f xml:space="preserve"> F331 / (1 + 0.021 * (F328 - 25))</f>
        <v>182.84354304635761</v>
      </c>
    </row>
    <row r="333" spans="1:6" x14ac:dyDescent="0.55000000000000004">
      <c r="A333">
        <v>72</v>
      </c>
      <c r="B333" t="str">
        <f t="shared" si="5"/>
        <v>72_0</v>
      </c>
      <c r="C333" t="s">
        <v>154</v>
      </c>
      <c r="D333" t="s">
        <v>162</v>
      </c>
      <c r="F333">
        <v>7.19</v>
      </c>
    </row>
    <row r="334" spans="1:6" x14ac:dyDescent="0.55000000000000004">
      <c r="A334">
        <v>72</v>
      </c>
      <c r="B334" t="str">
        <f t="shared" si="5"/>
        <v>72_0</v>
      </c>
      <c r="C334" t="s">
        <v>163</v>
      </c>
      <c r="D334" t="s">
        <v>168</v>
      </c>
      <c r="E334" t="s">
        <v>131</v>
      </c>
      <c r="F334">
        <v>0</v>
      </c>
    </row>
    <row r="335" spans="1:6" x14ac:dyDescent="0.55000000000000004">
      <c r="A335">
        <v>72</v>
      </c>
      <c r="B335" t="str">
        <f t="shared" si="5"/>
        <v>72_0</v>
      </c>
      <c r="C335" t="s">
        <v>163</v>
      </c>
      <c r="D335" t="s">
        <v>169</v>
      </c>
    </row>
    <row r="336" spans="1:6" x14ac:dyDescent="0.55000000000000004">
      <c r="A336">
        <v>72</v>
      </c>
      <c r="B336" t="str">
        <f t="shared" si="5"/>
        <v>72_0</v>
      </c>
      <c r="C336" t="s">
        <v>163</v>
      </c>
      <c r="D336" t="s">
        <v>170</v>
      </c>
      <c r="E336" t="s">
        <v>139</v>
      </c>
      <c r="F336">
        <v>4</v>
      </c>
    </row>
    <row r="337" spans="1:7" x14ac:dyDescent="0.55000000000000004">
      <c r="A337">
        <v>72</v>
      </c>
      <c r="B337" t="str">
        <f t="shared" si="5"/>
        <v>72_0</v>
      </c>
      <c r="C337" t="s">
        <v>163</v>
      </c>
      <c r="D337" t="s">
        <v>171</v>
      </c>
    </row>
    <row r="338" spans="1:7" x14ac:dyDescent="0.55000000000000004">
      <c r="A338">
        <v>73</v>
      </c>
      <c r="B338" t="str">
        <f t="shared" si="5"/>
        <v>73_0</v>
      </c>
      <c r="C338" t="s">
        <v>126</v>
      </c>
      <c r="D338" t="s">
        <v>127</v>
      </c>
      <c r="E338" t="s">
        <v>128</v>
      </c>
      <c r="F338" s="1"/>
      <c r="G338" t="s">
        <v>129</v>
      </c>
    </row>
    <row r="339" spans="1:7" x14ac:dyDescent="0.55000000000000004">
      <c r="A339">
        <v>73</v>
      </c>
      <c r="B339" t="str">
        <f t="shared" ref="B339:B394" si="6">A339 &amp; "_0"</f>
        <v>73_0</v>
      </c>
      <c r="C339" t="s">
        <v>126</v>
      </c>
      <c r="D339" s="11" t="s">
        <v>130</v>
      </c>
      <c r="E339" t="s">
        <v>131</v>
      </c>
      <c r="F339">
        <v>1</v>
      </c>
    </row>
    <row r="340" spans="1:7" x14ac:dyDescent="0.55000000000000004">
      <c r="A340">
        <v>73</v>
      </c>
      <c r="B340" t="str">
        <f t="shared" si="6"/>
        <v>73_0</v>
      </c>
      <c r="C340" t="s">
        <v>126</v>
      </c>
      <c r="D340" t="s">
        <v>132</v>
      </c>
      <c r="E340" t="s">
        <v>133</v>
      </c>
    </row>
    <row r="341" spans="1:7" x14ac:dyDescent="0.55000000000000004">
      <c r="A341">
        <v>73</v>
      </c>
      <c r="B341" t="str">
        <f t="shared" si="6"/>
        <v>73_0</v>
      </c>
      <c r="C341" t="s">
        <v>126</v>
      </c>
      <c r="D341" t="s">
        <v>134</v>
      </c>
      <c r="E341" t="s">
        <v>133</v>
      </c>
      <c r="F341">
        <v>0.75</v>
      </c>
    </row>
    <row r="342" spans="1:7" x14ac:dyDescent="0.55000000000000004">
      <c r="A342">
        <v>73</v>
      </c>
      <c r="B342" t="str">
        <f t="shared" si="6"/>
        <v>73_0</v>
      </c>
      <c r="C342" t="s">
        <v>126</v>
      </c>
      <c r="D342" t="s">
        <v>135</v>
      </c>
      <c r="E342" t="s">
        <v>136</v>
      </c>
      <c r="F342">
        <f>F341/10</f>
        <v>7.4999999999999997E-2</v>
      </c>
      <c r="G342" t="s">
        <v>137</v>
      </c>
    </row>
    <row r="343" spans="1:7" x14ac:dyDescent="0.55000000000000004">
      <c r="A343">
        <v>73</v>
      </c>
      <c r="B343" t="str">
        <f t="shared" si="6"/>
        <v>73_0</v>
      </c>
      <c r="C343" t="s">
        <v>126</v>
      </c>
      <c r="D343" s="2" t="s">
        <v>138</v>
      </c>
      <c r="E343" t="s">
        <v>139</v>
      </c>
      <c r="F343">
        <v>100</v>
      </c>
    </row>
    <row r="344" spans="1:7" x14ac:dyDescent="0.55000000000000004">
      <c r="A344">
        <v>73</v>
      </c>
      <c r="B344" t="str">
        <f t="shared" si="6"/>
        <v>73_0</v>
      </c>
      <c r="C344" t="s">
        <v>126</v>
      </c>
      <c r="D344" s="2" t="s">
        <v>140</v>
      </c>
      <c r="F344" t="s">
        <v>172</v>
      </c>
    </row>
    <row r="345" spans="1:7" x14ac:dyDescent="0.55000000000000004">
      <c r="A345">
        <v>73</v>
      </c>
      <c r="B345" t="str">
        <f t="shared" si="6"/>
        <v>73_0</v>
      </c>
      <c r="C345" t="s">
        <v>126</v>
      </c>
      <c r="D345" s="2" t="s">
        <v>141</v>
      </c>
      <c r="E345" t="s">
        <v>139</v>
      </c>
      <c r="F345">
        <v>0</v>
      </c>
    </row>
    <row r="346" spans="1:7" x14ac:dyDescent="0.55000000000000004">
      <c r="A346">
        <v>73</v>
      </c>
      <c r="B346" t="str">
        <f t="shared" si="6"/>
        <v>73_0</v>
      </c>
      <c r="C346" t="s">
        <v>126</v>
      </c>
      <c r="D346" t="s">
        <v>142</v>
      </c>
      <c r="E346" t="s">
        <v>139</v>
      </c>
      <c r="F346">
        <v>0</v>
      </c>
    </row>
    <row r="347" spans="1:7" x14ac:dyDescent="0.55000000000000004">
      <c r="A347">
        <v>73</v>
      </c>
      <c r="B347" t="str">
        <f t="shared" si="6"/>
        <v>73_0</v>
      </c>
      <c r="C347" t="s">
        <v>126</v>
      </c>
      <c r="D347" t="s">
        <v>143</v>
      </c>
      <c r="E347" t="s">
        <v>131</v>
      </c>
      <c r="F347">
        <v>0</v>
      </c>
    </row>
    <row r="348" spans="1:7" x14ac:dyDescent="0.55000000000000004">
      <c r="A348">
        <v>73</v>
      </c>
      <c r="B348" t="str">
        <f t="shared" si="6"/>
        <v>73_0</v>
      </c>
      <c r="C348" t="s">
        <v>126</v>
      </c>
      <c r="D348" t="s">
        <v>144</v>
      </c>
      <c r="E348" t="s">
        <v>139</v>
      </c>
      <c r="F348">
        <v>0</v>
      </c>
    </row>
    <row r="349" spans="1:7" x14ac:dyDescent="0.55000000000000004">
      <c r="A349">
        <v>73</v>
      </c>
      <c r="B349" t="str">
        <f t="shared" si="6"/>
        <v>73_0</v>
      </c>
      <c r="C349" t="s">
        <v>126</v>
      </c>
      <c r="D349" t="s">
        <v>145</v>
      </c>
      <c r="E349" t="s">
        <v>139</v>
      </c>
      <c r="F349">
        <v>0</v>
      </c>
    </row>
    <row r="350" spans="1:7" x14ac:dyDescent="0.55000000000000004">
      <c r="A350">
        <v>73</v>
      </c>
      <c r="B350" t="str">
        <f t="shared" si="6"/>
        <v>73_0</v>
      </c>
      <c r="C350" t="s">
        <v>126</v>
      </c>
      <c r="D350" t="s">
        <v>146</v>
      </c>
      <c r="E350" t="s">
        <v>139</v>
      </c>
      <c r="F350">
        <v>70</v>
      </c>
    </row>
    <row r="351" spans="1:7" x14ac:dyDescent="0.55000000000000004">
      <c r="A351">
        <v>73</v>
      </c>
      <c r="B351" t="str">
        <f t="shared" si="6"/>
        <v>73_0</v>
      </c>
      <c r="C351" t="s">
        <v>126</v>
      </c>
      <c r="D351" t="s">
        <v>147</v>
      </c>
      <c r="E351" t="s">
        <v>139</v>
      </c>
      <c r="F351">
        <v>10</v>
      </c>
    </row>
    <row r="352" spans="1:7" x14ac:dyDescent="0.55000000000000004">
      <c r="A352">
        <v>73</v>
      </c>
      <c r="B352" t="str">
        <f t="shared" si="6"/>
        <v>73_0</v>
      </c>
      <c r="C352" t="s">
        <v>126</v>
      </c>
      <c r="D352" t="s">
        <v>148</v>
      </c>
      <c r="E352" t="s">
        <v>139</v>
      </c>
      <c r="F352">
        <v>20</v>
      </c>
    </row>
    <row r="353" spans="1:7" x14ac:dyDescent="0.55000000000000004">
      <c r="A353">
        <v>73</v>
      </c>
      <c r="B353" t="str">
        <f t="shared" si="6"/>
        <v>73_0</v>
      </c>
      <c r="C353" t="s">
        <v>126</v>
      </c>
      <c r="D353" t="s">
        <v>149</v>
      </c>
      <c r="E353" t="s">
        <v>139</v>
      </c>
      <c r="F353">
        <v>0</v>
      </c>
    </row>
    <row r="354" spans="1:7" x14ac:dyDescent="0.55000000000000004">
      <c r="A354">
        <v>73</v>
      </c>
      <c r="B354" t="str">
        <f t="shared" si="6"/>
        <v>73_0</v>
      </c>
      <c r="C354" t="s">
        <v>126</v>
      </c>
      <c r="D354" t="s">
        <v>150</v>
      </c>
      <c r="E354" t="s">
        <v>139</v>
      </c>
      <c r="F354">
        <v>0</v>
      </c>
    </row>
    <row r="355" spans="1:7" x14ac:dyDescent="0.55000000000000004">
      <c r="A355">
        <v>73</v>
      </c>
      <c r="B355" t="str">
        <f t="shared" si="6"/>
        <v>73_0</v>
      </c>
      <c r="C355" t="s">
        <v>126</v>
      </c>
      <c r="D355" t="s">
        <v>152</v>
      </c>
      <c r="E355" t="s">
        <v>153</v>
      </c>
      <c r="F355">
        <f>Rock_sizes_Periphyton_biomass!B3</f>
        <v>10.505000000000001</v>
      </c>
    </row>
    <row r="356" spans="1:7" x14ac:dyDescent="0.55000000000000004">
      <c r="A356">
        <v>73</v>
      </c>
      <c r="B356" t="str">
        <f t="shared" si="6"/>
        <v>73_0</v>
      </c>
      <c r="C356" t="s">
        <v>154</v>
      </c>
      <c r="D356" t="s">
        <v>155</v>
      </c>
      <c r="E356" t="s">
        <v>156</v>
      </c>
      <c r="F356">
        <v>20.7</v>
      </c>
    </row>
    <row r="357" spans="1:7" x14ac:dyDescent="0.55000000000000004">
      <c r="A357">
        <v>73</v>
      </c>
      <c r="B357" t="str">
        <f t="shared" si="6"/>
        <v>73_0</v>
      </c>
      <c r="C357" t="s">
        <v>154</v>
      </c>
      <c r="D357" t="s">
        <v>157</v>
      </c>
      <c r="E357" t="s">
        <v>158</v>
      </c>
      <c r="F357">
        <v>10.42</v>
      </c>
    </row>
    <row r="358" spans="1:7" x14ac:dyDescent="0.55000000000000004">
      <c r="A358">
        <v>73</v>
      </c>
      <c r="B358" t="str">
        <f t="shared" si="6"/>
        <v>73_0</v>
      </c>
      <c r="C358" t="s">
        <v>154</v>
      </c>
      <c r="D358" t="s">
        <v>159</v>
      </c>
      <c r="E358" t="s">
        <v>139</v>
      </c>
      <c r="F358">
        <v>116.1</v>
      </c>
    </row>
    <row r="359" spans="1:7" x14ac:dyDescent="0.55000000000000004">
      <c r="A359">
        <v>73</v>
      </c>
      <c r="B359" t="str">
        <f t="shared" si="6"/>
        <v>73_0</v>
      </c>
      <c r="C359" t="s">
        <v>154</v>
      </c>
      <c r="D359" t="s">
        <v>357</v>
      </c>
      <c r="E359" t="s">
        <v>161</v>
      </c>
      <c r="F359">
        <v>144</v>
      </c>
    </row>
    <row r="360" spans="1:7" x14ac:dyDescent="0.55000000000000004">
      <c r="A360">
        <f>A359</f>
        <v>73</v>
      </c>
      <c r="B360" t="str">
        <f>B359</f>
        <v>73_0</v>
      </c>
      <c r="C360" s="9" t="str">
        <f>C359</f>
        <v>Chemical</v>
      </c>
      <c r="D360" t="s">
        <v>356</v>
      </c>
      <c r="E360" t="s">
        <v>161</v>
      </c>
      <c r="F360">
        <f xml:space="preserve"> F359 / (1 + 0.021 * (F356 - 25))</f>
        <v>158.29394305815106</v>
      </c>
    </row>
    <row r="361" spans="1:7" x14ac:dyDescent="0.55000000000000004">
      <c r="A361">
        <v>73</v>
      </c>
      <c r="B361" t="str">
        <f t="shared" si="6"/>
        <v>73_0</v>
      </c>
      <c r="C361" t="s">
        <v>154</v>
      </c>
      <c r="D361" t="s">
        <v>162</v>
      </c>
      <c r="F361">
        <v>9.01</v>
      </c>
    </row>
    <row r="362" spans="1:7" x14ac:dyDescent="0.55000000000000004">
      <c r="A362">
        <v>73</v>
      </c>
      <c r="B362" t="str">
        <f t="shared" si="6"/>
        <v>73_0</v>
      </c>
      <c r="C362" t="s">
        <v>163</v>
      </c>
      <c r="D362" t="s">
        <v>168</v>
      </c>
      <c r="E362" t="s">
        <v>131</v>
      </c>
      <c r="F362">
        <v>1</v>
      </c>
    </row>
    <row r="363" spans="1:7" x14ac:dyDescent="0.55000000000000004">
      <c r="A363">
        <v>73</v>
      </c>
      <c r="B363" t="str">
        <f t="shared" si="6"/>
        <v>73_0</v>
      </c>
      <c r="C363" t="s">
        <v>163</v>
      </c>
      <c r="D363" t="s">
        <v>169</v>
      </c>
      <c r="F363" t="s">
        <v>173</v>
      </c>
    </row>
    <row r="364" spans="1:7" x14ac:dyDescent="0.55000000000000004">
      <c r="A364">
        <v>73</v>
      </c>
      <c r="B364" t="str">
        <f t="shared" si="6"/>
        <v>73_0</v>
      </c>
      <c r="C364" t="s">
        <v>163</v>
      </c>
      <c r="D364" t="s">
        <v>170</v>
      </c>
      <c r="E364" t="s">
        <v>139</v>
      </c>
      <c r="F364">
        <v>1</v>
      </c>
    </row>
    <row r="365" spans="1:7" x14ac:dyDescent="0.55000000000000004">
      <c r="A365">
        <v>73</v>
      </c>
      <c r="B365" t="str">
        <f t="shared" si="6"/>
        <v>73_0</v>
      </c>
      <c r="C365" t="s">
        <v>163</v>
      </c>
      <c r="D365" t="s">
        <v>171</v>
      </c>
    </row>
    <row r="366" spans="1:7" x14ac:dyDescent="0.55000000000000004">
      <c r="A366">
        <v>74</v>
      </c>
      <c r="B366" t="str">
        <f t="shared" si="6"/>
        <v>74_0</v>
      </c>
      <c r="C366" t="s">
        <v>126</v>
      </c>
      <c r="D366" t="s">
        <v>127</v>
      </c>
      <c r="E366" t="s">
        <v>128</v>
      </c>
      <c r="F366" s="1"/>
      <c r="G366" t="s">
        <v>129</v>
      </c>
    </row>
    <row r="367" spans="1:7" x14ac:dyDescent="0.55000000000000004">
      <c r="A367">
        <v>74</v>
      </c>
      <c r="B367" t="str">
        <f t="shared" si="6"/>
        <v>74_0</v>
      </c>
      <c r="C367" t="s">
        <v>126</v>
      </c>
      <c r="D367" s="11" t="s">
        <v>130</v>
      </c>
      <c r="E367" t="s">
        <v>131</v>
      </c>
      <c r="F367">
        <v>1</v>
      </c>
    </row>
    <row r="368" spans="1:7" x14ac:dyDescent="0.55000000000000004">
      <c r="A368">
        <v>74</v>
      </c>
      <c r="B368" t="str">
        <f t="shared" si="6"/>
        <v>74_0</v>
      </c>
      <c r="C368" t="s">
        <v>126</v>
      </c>
      <c r="D368" t="s">
        <v>132</v>
      </c>
      <c r="E368" t="s">
        <v>133</v>
      </c>
    </row>
    <row r="369" spans="1:7" x14ac:dyDescent="0.55000000000000004">
      <c r="A369">
        <v>74</v>
      </c>
      <c r="B369" t="str">
        <f t="shared" si="6"/>
        <v>74_0</v>
      </c>
      <c r="C369" t="s">
        <v>126</v>
      </c>
      <c r="D369" t="s">
        <v>134</v>
      </c>
      <c r="E369" t="s">
        <v>133</v>
      </c>
      <c r="F369">
        <v>0.7</v>
      </c>
    </row>
    <row r="370" spans="1:7" x14ac:dyDescent="0.55000000000000004">
      <c r="A370">
        <v>74</v>
      </c>
      <c r="B370" t="str">
        <f t="shared" si="6"/>
        <v>74_0</v>
      </c>
      <c r="C370" t="s">
        <v>126</v>
      </c>
      <c r="D370" t="s">
        <v>135</v>
      </c>
      <c r="E370" t="s">
        <v>136</v>
      </c>
      <c r="F370">
        <f>F369/10</f>
        <v>6.9999999999999993E-2</v>
      </c>
      <c r="G370" t="s">
        <v>137</v>
      </c>
    </row>
    <row r="371" spans="1:7" x14ac:dyDescent="0.55000000000000004">
      <c r="A371">
        <v>74</v>
      </c>
      <c r="B371" t="str">
        <f t="shared" si="6"/>
        <v>74_0</v>
      </c>
      <c r="C371" t="s">
        <v>126</v>
      </c>
      <c r="D371" s="2" t="s">
        <v>138</v>
      </c>
      <c r="E371" t="s">
        <v>139</v>
      </c>
      <c r="F371">
        <v>100</v>
      </c>
    </row>
    <row r="372" spans="1:7" x14ac:dyDescent="0.55000000000000004">
      <c r="A372">
        <v>74</v>
      </c>
      <c r="B372" t="str">
        <f t="shared" si="6"/>
        <v>74_0</v>
      </c>
      <c r="C372" t="s">
        <v>126</v>
      </c>
      <c r="D372" s="2" t="s">
        <v>140</v>
      </c>
      <c r="F372" t="s">
        <v>172</v>
      </c>
    </row>
    <row r="373" spans="1:7" x14ac:dyDescent="0.55000000000000004">
      <c r="A373">
        <v>74</v>
      </c>
      <c r="B373" t="str">
        <f t="shared" si="6"/>
        <v>74_0</v>
      </c>
      <c r="C373" t="s">
        <v>126</v>
      </c>
      <c r="D373" s="2" t="s">
        <v>141</v>
      </c>
      <c r="E373" t="s">
        <v>139</v>
      </c>
      <c r="F373">
        <v>100</v>
      </c>
    </row>
    <row r="374" spans="1:7" x14ac:dyDescent="0.55000000000000004">
      <c r="A374">
        <v>74</v>
      </c>
      <c r="B374" t="str">
        <f t="shared" si="6"/>
        <v>74_0</v>
      </c>
      <c r="C374" t="s">
        <v>126</v>
      </c>
      <c r="D374" t="s">
        <v>142</v>
      </c>
      <c r="E374" t="s">
        <v>139</v>
      </c>
      <c r="F374">
        <v>0</v>
      </c>
    </row>
    <row r="375" spans="1:7" x14ac:dyDescent="0.55000000000000004">
      <c r="A375">
        <v>74</v>
      </c>
      <c r="B375" t="str">
        <f t="shared" si="6"/>
        <v>74_0</v>
      </c>
      <c r="C375" t="s">
        <v>126</v>
      </c>
      <c r="D375" t="s">
        <v>143</v>
      </c>
      <c r="E375" t="s">
        <v>131</v>
      </c>
      <c r="F375">
        <v>0</v>
      </c>
    </row>
    <row r="376" spans="1:7" x14ac:dyDescent="0.55000000000000004">
      <c r="A376">
        <v>74</v>
      </c>
      <c r="B376" t="str">
        <f t="shared" si="6"/>
        <v>74_0</v>
      </c>
      <c r="C376" t="s">
        <v>126</v>
      </c>
      <c r="D376" t="s">
        <v>144</v>
      </c>
      <c r="E376" t="s">
        <v>139</v>
      </c>
      <c r="F376">
        <v>0</v>
      </c>
    </row>
    <row r="377" spans="1:7" x14ac:dyDescent="0.55000000000000004">
      <c r="A377">
        <v>74</v>
      </c>
      <c r="B377" t="str">
        <f t="shared" si="6"/>
        <v>74_0</v>
      </c>
      <c r="C377" t="s">
        <v>126</v>
      </c>
      <c r="D377" t="s">
        <v>145</v>
      </c>
      <c r="E377" t="s">
        <v>139</v>
      </c>
      <c r="F377">
        <v>10</v>
      </c>
    </row>
    <row r="378" spans="1:7" x14ac:dyDescent="0.55000000000000004">
      <c r="A378">
        <v>74</v>
      </c>
      <c r="B378" t="str">
        <f t="shared" si="6"/>
        <v>74_0</v>
      </c>
      <c r="C378" t="s">
        <v>126</v>
      </c>
      <c r="D378" t="s">
        <v>146</v>
      </c>
      <c r="E378" t="s">
        <v>139</v>
      </c>
      <c r="F378">
        <v>0</v>
      </c>
    </row>
    <row r="379" spans="1:7" x14ac:dyDescent="0.55000000000000004">
      <c r="A379">
        <v>74</v>
      </c>
      <c r="B379" t="str">
        <f t="shared" si="6"/>
        <v>74_0</v>
      </c>
      <c r="C379" t="s">
        <v>126</v>
      </c>
      <c r="D379" t="s">
        <v>147</v>
      </c>
      <c r="E379" t="s">
        <v>139</v>
      </c>
      <c r="F379">
        <v>0</v>
      </c>
    </row>
    <row r="380" spans="1:7" x14ac:dyDescent="0.55000000000000004">
      <c r="A380">
        <v>74</v>
      </c>
      <c r="B380" t="str">
        <f t="shared" si="6"/>
        <v>74_0</v>
      </c>
      <c r="C380" t="s">
        <v>126</v>
      </c>
      <c r="D380" t="s">
        <v>148</v>
      </c>
      <c r="E380" t="s">
        <v>139</v>
      </c>
      <c r="F380">
        <v>90</v>
      </c>
    </row>
    <row r="381" spans="1:7" x14ac:dyDescent="0.55000000000000004">
      <c r="A381">
        <v>74</v>
      </c>
      <c r="B381" t="str">
        <f t="shared" si="6"/>
        <v>74_0</v>
      </c>
      <c r="C381" t="s">
        <v>126</v>
      </c>
      <c r="D381" t="s">
        <v>149</v>
      </c>
      <c r="E381" t="s">
        <v>139</v>
      </c>
      <c r="F381">
        <v>0</v>
      </c>
    </row>
    <row r="382" spans="1:7" x14ac:dyDescent="0.55000000000000004">
      <c r="A382">
        <v>74</v>
      </c>
      <c r="B382" t="str">
        <f t="shared" si="6"/>
        <v>74_0</v>
      </c>
      <c r="C382" t="s">
        <v>126</v>
      </c>
      <c r="D382" t="s">
        <v>150</v>
      </c>
      <c r="E382" t="s">
        <v>139</v>
      </c>
      <c r="F382">
        <v>0</v>
      </c>
    </row>
    <row r="383" spans="1:7" x14ac:dyDescent="0.55000000000000004">
      <c r="A383">
        <v>74</v>
      </c>
      <c r="B383" t="str">
        <f t="shared" si="6"/>
        <v>74_0</v>
      </c>
      <c r="C383" t="s">
        <v>126</v>
      </c>
      <c r="D383" t="s">
        <v>152</v>
      </c>
      <c r="E383" t="s">
        <v>153</v>
      </c>
    </row>
    <row r="384" spans="1:7" x14ac:dyDescent="0.55000000000000004">
      <c r="A384">
        <v>74</v>
      </c>
      <c r="B384" t="str">
        <f t="shared" si="6"/>
        <v>74_0</v>
      </c>
      <c r="C384" t="s">
        <v>154</v>
      </c>
      <c r="D384" t="s">
        <v>155</v>
      </c>
      <c r="E384" t="s">
        <v>156</v>
      </c>
      <c r="F384">
        <v>21.5</v>
      </c>
    </row>
    <row r="385" spans="1:7" x14ac:dyDescent="0.55000000000000004">
      <c r="A385">
        <v>74</v>
      </c>
      <c r="B385" t="str">
        <f t="shared" si="6"/>
        <v>74_0</v>
      </c>
      <c r="C385" t="s">
        <v>154</v>
      </c>
      <c r="D385" t="s">
        <v>157</v>
      </c>
      <c r="E385" t="s">
        <v>158</v>
      </c>
      <c r="F385">
        <v>9.89</v>
      </c>
    </row>
    <row r="386" spans="1:7" x14ac:dyDescent="0.55000000000000004">
      <c r="A386">
        <v>74</v>
      </c>
      <c r="B386" t="str">
        <f t="shared" si="6"/>
        <v>74_0</v>
      </c>
      <c r="C386" t="s">
        <v>154</v>
      </c>
      <c r="D386" t="s">
        <v>159</v>
      </c>
      <c r="E386" t="s">
        <v>139</v>
      </c>
      <c r="F386">
        <v>112.1</v>
      </c>
    </row>
    <row r="387" spans="1:7" x14ac:dyDescent="0.55000000000000004">
      <c r="A387">
        <v>74</v>
      </c>
      <c r="B387" t="str">
        <f t="shared" si="6"/>
        <v>74_0</v>
      </c>
      <c r="C387" t="s">
        <v>154</v>
      </c>
      <c r="D387" t="s">
        <v>357</v>
      </c>
      <c r="E387" t="s">
        <v>161</v>
      </c>
      <c r="F387">
        <v>146.9</v>
      </c>
    </row>
    <row r="388" spans="1:7" x14ac:dyDescent="0.55000000000000004">
      <c r="A388">
        <f>A387</f>
        <v>74</v>
      </c>
      <c r="B388" t="str">
        <f>B387</f>
        <v>74_0</v>
      </c>
      <c r="C388" s="9" t="str">
        <f>C387</f>
        <v>Chemical</v>
      </c>
      <c r="D388" t="s">
        <v>356</v>
      </c>
      <c r="E388" t="s">
        <v>161</v>
      </c>
      <c r="F388">
        <f xml:space="preserve"> F387 / (1 + 0.021 * (F384 - 25))</f>
        <v>158.55369670804103</v>
      </c>
    </row>
    <row r="389" spans="1:7" x14ac:dyDescent="0.55000000000000004">
      <c r="A389">
        <v>74</v>
      </c>
      <c r="B389" t="str">
        <f t="shared" si="6"/>
        <v>74_0</v>
      </c>
      <c r="C389" t="s">
        <v>154</v>
      </c>
      <c r="D389" t="s">
        <v>162</v>
      </c>
      <c r="F389">
        <v>9.02</v>
      </c>
    </row>
    <row r="390" spans="1:7" x14ac:dyDescent="0.55000000000000004">
      <c r="A390">
        <v>74</v>
      </c>
      <c r="B390" t="str">
        <f t="shared" si="6"/>
        <v>74_0</v>
      </c>
      <c r="C390" t="s">
        <v>163</v>
      </c>
      <c r="D390" t="s">
        <v>168</v>
      </c>
      <c r="E390" t="s">
        <v>131</v>
      </c>
      <c r="F390">
        <v>0</v>
      </c>
    </row>
    <row r="391" spans="1:7" x14ac:dyDescent="0.55000000000000004">
      <c r="A391">
        <v>74</v>
      </c>
      <c r="B391" t="str">
        <f t="shared" si="6"/>
        <v>74_0</v>
      </c>
      <c r="C391" t="s">
        <v>163</v>
      </c>
      <c r="D391" t="s">
        <v>169</v>
      </c>
    </row>
    <row r="392" spans="1:7" x14ac:dyDescent="0.55000000000000004">
      <c r="A392">
        <v>74</v>
      </c>
      <c r="B392" t="str">
        <f t="shared" si="6"/>
        <v>74_0</v>
      </c>
      <c r="C392" t="s">
        <v>163</v>
      </c>
      <c r="D392" t="s">
        <v>170</v>
      </c>
      <c r="E392" t="s">
        <v>139</v>
      </c>
      <c r="F392">
        <v>0</v>
      </c>
    </row>
    <row r="393" spans="1:7" x14ac:dyDescent="0.55000000000000004">
      <c r="A393">
        <v>74</v>
      </c>
      <c r="B393" t="str">
        <f t="shared" si="6"/>
        <v>74_0</v>
      </c>
      <c r="C393" t="s">
        <v>163</v>
      </c>
      <c r="D393" t="s">
        <v>171</v>
      </c>
    </row>
    <row r="394" spans="1:7" x14ac:dyDescent="0.55000000000000004">
      <c r="A394">
        <v>75</v>
      </c>
      <c r="B394" t="str">
        <f t="shared" si="6"/>
        <v>75_0</v>
      </c>
      <c r="C394" t="s">
        <v>126</v>
      </c>
      <c r="D394" t="s">
        <v>127</v>
      </c>
      <c r="E394" t="s">
        <v>128</v>
      </c>
      <c r="F394" s="1"/>
      <c r="G394" t="s">
        <v>129</v>
      </c>
    </row>
    <row r="395" spans="1:7" x14ac:dyDescent="0.55000000000000004">
      <c r="A395">
        <v>75</v>
      </c>
      <c r="B395" t="str">
        <f t="shared" ref="B395:B450" si="7">A395 &amp; "_0"</f>
        <v>75_0</v>
      </c>
      <c r="C395" t="s">
        <v>126</v>
      </c>
      <c r="D395" s="11" t="s">
        <v>130</v>
      </c>
      <c r="E395" t="s">
        <v>131</v>
      </c>
      <c r="F395">
        <v>0</v>
      </c>
    </row>
    <row r="396" spans="1:7" x14ac:dyDescent="0.55000000000000004">
      <c r="A396">
        <v>75</v>
      </c>
      <c r="B396" t="str">
        <f t="shared" si="7"/>
        <v>75_0</v>
      </c>
      <c r="C396" t="s">
        <v>126</v>
      </c>
      <c r="D396" t="s">
        <v>132</v>
      </c>
      <c r="E396" t="s">
        <v>133</v>
      </c>
      <c r="F396">
        <v>3.5</v>
      </c>
      <c r="G396" t="s">
        <v>175</v>
      </c>
    </row>
    <row r="397" spans="1:7" x14ac:dyDescent="0.55000000000000004">
      <c r="A397">
        <v>75</v>
      </c>
      <c r="B397" t="str">
        <f t="shared" si="7"/>
        <v>75_0</v>
      </c>
      <c r="C397" t="s">
        <v>126</v>
      </c>
      <c r="D397" t="s">
        <v>134</v>
      </c>
      <c r="E397" t="s">
        <v>133</v>
      </c>
      <c r="F397">
        <v>8</v>
      </c>
    </row>
    <row r="398" spans="1:7" x14ac:dyDescent="0.55000000000000004">
      <c r="A398">
        <v>75</v>
      </c>
      <c r="B398" t="str">
        <f t="shared" si="7"/>
        <v>75_0</v>
      </c>
      <c r="C398" t="s">
        <v>126</v>
      </c>
      <c r="D398" t="s">
        <v>135</v>
      </c>
      <c r="E398" t="s">
        <v>136</v>
      </c>
      <c r="F398">
        <f>F397/10</f>
        <v>0.8</v>
      </c>
      <c r="G398" t="s">
        <v>137</v>
      </c>
    </row>
    <row r="399" spans="1:7" x14ac:dyDescent="0.55000000000000004">
      <c r="A399">
        <v>75</v>
      </c>
      <c r="B399" t="str">
        <f t="shared" si="7"/>
        <v>75_0</v>
      </c>
      <c r="C399" t="s">
        <v>126</v>
      </c>
      <c r="D399" s="2" t="s">
        <v>138</v>
      </c>
      <c r="E399" t="s">
        <v>139</v>
      </c>
      <c r="F399">
        <v>100</v>
      </c>
    </row>
    <row r="400" spans="1:7" x14ac:dyDescent="0.55000000000000004">
      <c r="A400">
        <v>75</v>
      </c>
      <c r="B400" t="str">
        <f t="shared" si="7"/>
        <v>75_0</v>
      </c>
      <c r="C400" t="s">
        <v>126</v>
      </c>
      <c r="D400" s="2" t="s">
        <v>140</v>
      </c>
      <c r="F400" t="s">
        <v>172</v>
      </c>
    </row>
    <row r="401" spans="1:6" x14ac:dyDescent="0.55000000000000004">
      <c r="A401">
        <v>75</v>
      </c>
      <c r="B401" t="str">
        <f t="shared" si="7"/>
        <v>75_0</v>
      </c>
      <c r="C401" t="s">
        <v>126</v>
      </c>
      <c r="D401" s="2" t="s">
        <v>141</v>
      </c>
      <c r="E401" t="s">
        <v>139</v>
      </c>
      <c r="F401">
        <v>100</v>
      </c>
    </row>
    <row r="402" spans="1:6" x14ac:dyDescent="0.55000000000000004">
      <c r="A402">
        <v>75</v>
      </c>
      <c r="B402" t="str">
        <f t="shared" si="7"/>
        <v>75_0</v>
      </c>
      <c r="C402" t="s">
        <v>126</v>
      </c>
      <c r="D402" t="s">
        <v>142</v>
      </c>
      <c r="E402" t="s">
        <v>139</v>
      </c>
      <c r="F402">
        <v>0</v>
      </c>
    </row>
    <row r="403" spans="1:6" x14ac:dyDescent="0.55000000000000004">
      <c r="A403">
        <v>75</v>
      </c>
      <c r="B403" t="str">
        <f t="shared" si="7"/>
        <v>75_0</v>
      </c>
      <c r="C403" t="s">
        <v>126</v>
      </c>
      <c r="D403" t="s">
        <v>143</v>
      </c>
      <c r="E403" t="s">
        <v>131</v>
      </c>
      <c r="F403">
        <v>0</v>
      </c>
    </row>
    <row r="404" spans="1:6" x14ac:dyDescent="0.55000000000000004">
      <c r="A404">
        <v>75</v>
      </c>
      <c r="B404" t="str">
        <f t="shared" si="7"/>
        <v>75_0</v>
      </c>
      <c r="C404" t="s">
        <v>126</v>
      </c>
      <c r="D404" t="s">
        <v>144</v>
      </c>
      <c r="E404" t="s">
        <v>139</v>
      </c>
      <c r="F404">
        <v>100</v>
      </c>
    </row>
    <row r="405" spans="1:6" x14ac:dyDescent="0.55000000000000004">
      <c r="A405">
        <v>75</v>
      </c>
      <c r="B405" t="str">
        <f t="shared" si="7"/>
        <v>75_0</v>
      </c>
      <c r="C405" t="s">
        <v>126</v>
      </c>
      <c r="D405" t="s">
        <v>145</v>
      </c>
      <c r="E405" t="s">
        <v>139</v>
      </c>
      <c r="F405">
        <v>0</v>
      </c>
    </row>
    <row r="406" spans="1:6" x14ac:dyDescent="0.55000000000000004">
      <c r="A406">
        <v>75</v>
      </c>
      <c r="B406" t="str">
        <f t="shared" si="7"/>
        <v>75_0</v>
      </c>
      <c r="C406" t="s">
        <v>126</v>
      </c>
      <c r="D406" t="s">
        <v>146</v>
      </c>
      <c r="E406" t="s">
        <v>139</v>
      </c>
      <c r="F406">
        <v>0</v>
      </c>
    </row>
    <row r="407" spans="1:6" x14ac:dyDescent="0.55000000000000004">
      <c r="A407">
        <v>75</v>
      </c>
      <c r="B407" t="str">
        <f t="shared" si="7"/>
        <v>75_0</v>
      </c>
      <c r="C407" t="s">
        <v>126</v>
      </c>
      <c r="D407" t="s">
        <v>147</v>
      </c>
      <c r="E407" t="s">
        <v>139</v>
      </c>
      <c r="F407">
        <v>0</v>
      </c>
    </row>
    <row r="408" spans="1:6" x14ac:dyDescent="0.55000000000000004">
      <c r="A408">
        <v>75</v>
      </c>
      <c r="B408" t="str">
        <f t="shared" si="7"/>
        <v>75_0</v>
      </c>
      <c r="C408" t="s">
        <v>126</v>
      </c>
      <c r="D408" t="s">
        <v>148</v>
      </c>
      <c r="E408" t="s">
        <v>139</v>
      </c>
      <c r="F408">
        <v>0</v>
      </c>
    </row>
    <row r="409" spans="1:6" x14ac:dyDescent="0.55000000000000004">
      <c r="A409">
        <v>75</v>
      </c>
      <c r="B409" t="str">
        <f t="shared" si="7"/>
        <v>75_0</v>
      </c>
      <c r="C409" t="s">
        <v>126</v>
      </c>
      <c r="D409" t="s">
        <v>149</v>
      </c>
      <c r="E409" t="s">
        <v>139</v>
      </c>
      <c r="F409">
        <v>0</v>
      </c>
    </row>
    <row r="410" spans="1:6" x14ac:dyDescent="0.55000000000000004">
      <c r="A410">
        <v>75</v>
      </c>
      <c r="B410" t="str">
        <f t="shared" si="7"/>
        <v>75_0</v>
      </c>
      <c r="C410" t="s">
        <v>126</v>
      </c>
      <c r="D410" t="s">
        <v>150</v>
      </c>
      <c r="E410" t="s">
        <v>139</v>
      </c>
      <c r="F410">
        <v>0</v>
      </c>
    </row>
    <row r="411" spans="1:6" x14ac:dyDescent="0.55000000000000004">
      <c r="A411">
        <v>75</v>
      </c>
      <c r="B411" t="str">
        <f t="shared" si="7"/>
        <v>75_0</v>
      </c>
      <c r="C411" t="s">
        <v>126</v>
      </c>
      <c r="D411" t="s">
        <v>152</v>
      </c>
      <c r="E411" t="s">
        <v>153</v>
      </c>
    </row>
    <row r="412" spans="1:6" x14ac:dyDescent="0.55000000000000004">
      <c r="A412">
        <v>75</v>
      </c>
      <c r="B412" t="str">
        <f t="shared" si="7"/>
        <v>75_0</v>
      </c>
      <c r="C412" t="s">
        <v>154</v>
      </c>
      <c r="D412" t="s">
        <v>155</v>
      </c>
      <c r="E412" t="s">
        <v>156</v>
      </c>
      <c r="F412">
        <v>22.3</v>
      </c>
    </row>
    <row r="413" spans="1:6" x14ac:dyDescent="0.55000000000000004">
      <c r="A413">
        <v>75</v>
      </c>
      <c r="B413" t="str">
        <f t="shared" si="7"/>
        <v>75_0</v>
      </c>
      <c r="C413" t="s">
        <v>154</v>
      </c>
      <c r="D413" t="s">
        <v>157</v>
      </c>
      <c r="E413" t="s">
        <v>158</v>
      </c>
      <c r="F413">
        <v>9.74</v>
      </c>
    </row>
    <row r="414" spans="1:6" x14ac:dyDescent="0.55000000000000004">
      <c r="A414">
        <v>75</v>
      </c>
      <c r="B414" t="str">
        <f t="shared" si="7"/>
        <v>75_0</v>
      </c>
      <c r="C414" t="s">
        <v>154</v>
      </c>
      <c r="D414" t="s">
        <v>159</v>
      </c>
      <c r="E414" t="s">
        <v>139</v>
      </c>
      <c r="F414">
        <v>111.6</v>
      </c>
    </row>
    <row r="415" spans="1:6" x14ac:dyDescent="0.55000000000000004">
      <c r="A415">
        <v>75</v>
      </c>
      <c r="B415" t="str">
        <f t="shared" si="7"/>
        <v>75_0</v>
      </c>
      <c r="C415" t="s">
        <v>154</v>
      </c>
      <c r="D415" t="s">
        <v>357</v>
      </c>
      <c r="E415" t="s">
        <v>161</v>
      </c>
      <c r="F415">
        <v>153.4</v>
      </c>
    </row>
    <row r="416" spans="1:6" x14ac:dyDescent="0.55000000000000004">
      <c r="A416">
        <f>A415</f>
        <v>75</v>
      </c>
      <c r="B416" t="str">
        <f>B415</f>
        <v>75_0</v>
      </c>
      <c r="C416" s="9" t="str">
        <f>C415</f>
        <v>Chemical</v>
      </c>
      <c r="D416" t="s">
        <v>356</v>
      </c>
      <c r="E416" t="s">
        <v>161</v>
      </c>
      <c r="F416">
        <f xml:space="preserve"> F415 / (1 + 0.021 * (F412 - 25))</f>
        <v>162.6205872999046</v>
      </c>
    </row>
    <row r="417" spans="1:7" x14ac:dyDescent="0.55000000000000004">
      <c r="A417">
        <v>75</v>
      </c>
      <c r="B417" t="str">
        <f t="shared" si="7"/>
        <v>75_0</v>
      </c>
      <c r="C417" t="s">
        <v>154</v>
      </c>
      <c r="D417" t="s">
        <v>162</v>
      </c>
      <c r="F417">
        <v>8.08</v>
      </c>
    </row>
    <row r="418" spans="1:7" x14ac:dyDescent="0.55000000000000004">
      <c r="A418">
        <v>75</v>
      </c>
      <c r="B418" t="str">
        <f t="shared" si="7"/>
        <v>75_0</v>
      </c>
      <c r="C418" t="s">
        <v>163</v>
      </c>
      <c r="D418" t="s">
        <v>168</v>
      </c>
      <c r="E418" t="s">
        <v>131</v>
      </c>
      <c r="F418">
        <v>0</v>
      </c>
    </row>
    <row r="419" spans="1:7" x14ac:dyDescent="0.55000000000000004">
      <c r="A419">
        <v>75</v>
      </c>
      <c r="B419" t="str">
        <f t="shared" si="7"/>
        <v>75_0</v>
      </c>
      <c r="C419" t="s">
        <v>163</v>
      </c>
      <c r="D419" t="s">
        <v>169</v>
      </c>
    </row>
    <row r="420" spans="1:7" x14ac:dyDescent="0.55000000000000004">
      <c r="A420">
        <v>75</v>
      </c>
      <c r="B420" t="str">
        <f t="shared" si="7"/>
        <v>75_0</v>
      </c>
      <c r="C420" t="s">
        <v>163</v>
      </c>
      <c r="D420" t="s">
        <v>170</v>
      </c>
      <c r="E420" t="s">
        <v>139</v>
      </c>
      <c r="F420">
        <v>2</v>
      </c>
    </row>
    <row r="421" spans="1:7" x14ac:dyDescent="0.55000000000000004">
      <c r="A421">
        <v>75</v>
      </c>
      <c r="B421" t="str">
        <f t="shared" si="7"/>
        <v>75_0</v>
      </c>
      <c r="C421" t="s">
        <v>163</v>
      </c>
      <c r="D421" t="s">
        <v>171</v>
      </c>
    </row>
    <row r="422" spans="1:7" x14ac:dyDescent="0.55000000000000004">
      <c r="A422">
        <v>76</v>
      </c>
      <c r="B422" t="str">
        <f t="shared" si="7"/>
        <v>76_0</v>
      </c>
      <c r="C422" t="s">
        <v>126</v>
      </c>
      <c r="D422" t="s">
        <v>127</v>
      </c>
      <c r="E422" t="s">
        <v>128</v>
      </c>
      <c r="F422" s="1"/>
      <c r="G422" t="s">
        <v>129</v>
      </c>
    </row>
    <row r="423" spans="1:7" x14ac:dyDescent="0.55000000000000004">
      <c r="A423">
        <v>76</v>
      </c>
      <c r="B423" t="str">
        <f t="shared" si="7"/>
        <v>76_0</v>
      </c>
      <c r="C423" t="s">
        <v>126</v>
      </c>
      <c r="D423" s="11" t="s">
        <v>130</v>
      </c>
      <c r="E423" t="s">
        <v>131</v>
      </c>
      <c r="F423">
        <v>1</v>
      </c>
    </row>
    <row r="424" spans="1:7" x14ac:dyDescent="0.55000000000000004">
      <c r="A424">
        <v>76</v>
      </c>
      <c r="B424" t="str">
        <f t="shared" si="7"/>
        <v>76_0</v>
      </c>
      <c r="C424" t="s">
        <v>126</v>
      </c>
      <c r="D424" t="s">
        <v>132</v>
      </c>
      <c r="E424" t="s">
        <v>133</v>
      </c>
    </row>
    <row r="425" spans="1:7" x14ac:dyDescent="0.55000000000000004">
      <c r="A425">
        <v>76</v>
      </c>
      <c r="B425" t="str">
        <f t="shared" si="7"/>
        <v>76_0</v>
      </c>
      <c r="C425" t="s">
        <v>126</v>
      </c>
      <c r="D425" t="s">
        <v>134</v>
      </c>
      <c r="E425" t="s">
        <v>133</v>
      </c>
      <c r="F425">
        <v>0.6</v>
      </c>
    </row>
    <row r="426" spans="1:7" x14ac:dyDescent="0.55000000000000004">
      <c r="A426">
        <v>76</v>
      </c>
      <c r="B426" t="str">
        <f t="shared" si="7"/>
        <v>76_0</v>
      </c>
      <c r="C426" t="s">
        <v>126</v>
      </c>
      <c r="D426" t="s">
        <v>135</v>
      </c>
      <c r="E426" t="s">
        <v>136</v>
      </c>
      <c r="F426">
        <f>F425/10</f>
        <v>0.06</v>
      </c>
      <c r="G426" t="s">
        <v>137</v>
      </c>
    </row>
    <row r="427" spans="1:7" x14ac:dyDescent="0.55000000000000004">
      <c r="A427">
        <v>76</v>
      </c>
      <c r="B427" t="str">
        <f t="shared" si="7"/>
        <v>76_0</v>
      </c>
      <c r="C427" t="s">
        <v>126</v>
      </c>
      <c r="D427" s="2" t="s">
        <v>138</v>
      </c>
      <c r="E427" t="s">
        <v>139</v>
      </c>
      <c r="F427">
        <v>100</v>
      </c>
    </row>
    <row r="428" spans="1:7" x14ac:dyDescent="0.55000000000000004">
      <c r="A428">
        <v>76</v>
      </c>
      <c r="B428" t="str">
        <f t="shared" si="7"/>
        <v>76_0</v>
      </c>
      <c r="C428" t="s">
        <v>126</v>
      </c>
      <c r="D428" s="2" t="s">
        <v>140</v>
      </c>
      <c r="F428" t="s">
        <v>176</v>
      </c>
    </row>
    <row r="429" spans="1:7" x14ac:dyDescent="0.55000000000000004">
      <c r="A429">
        <v>76</v>
      </c>
      <c r="B429" t="str">
        <f t="shared" si="7"/>
        <v>76_0</v>
      </c>
      <c r="C429" t="s">
        <v>126</v>
      </c>
      <c r="D429" s="2" t="s">
        <v>141</v>
      </c>
      <c r="E429" t="s">
        <v>139</v>
      </c>
      <c r="F429">
        <v>30</v>
      </c>
    </row>
    <row r="430" spans="1:7" x14ac:dyDescent="0.55000000000000004">
      <c r="A430">
        <v>76</v>
      </c>
      <c r="B430" t="str">
        <f t="shared" si="7"/>
        <v>76_0</v>
      </c>
      <c r="C430" t="s">
        <v>126</v>
      </c>
      <c r="D430" t="s">
        <v>142</v>
      </c>
      <c r="E430" t="s">
        <v>139</v>
      </c>
      <c r="F430">
        <v>0</v>
      </c>
    </row>
    <row r="431" spans="1:7" x14ac:dyDescent="0.55000000000000004">
      <c r="A431">
        <v>76</v>
      </c>
      <c r="B431" t="str">
        <f t="shared" si="7"/>
        <v>76_0</v>
      </c>
      <c r="C431" t="s">
        <v>126</v>
      </c>
      <c r="D431" t="s">
        <v>143</v>
      </c>
      <c r="E431" t="s">
        <v>131</v>
      </c>
      <c r="F431">
        <v>0</v>
      </c>
    </row>
    <row r="432" spans="1:7" x14ac:dyDescent="0.55000000000000004">
      <c r="A432">
        <v>76</v>
      </c>
      <c r="B432" t="str">
        <f t="shared" si="7"/>
        <v>76_0</v>
      </c>
      <c r="C432" t="s">
        <v>126</v>
      </c>
      <c r="D432" t="s">
        <v>144</v>
      </c>
      <c r="E432" t="s">
        <v>139</v>
      </c>
      <c r="F432">
        <v>0</v>
      </c>
    </row>
    <row r="433" spans="1:6" x14ac:dyDescent="0.55000000000000004">
      <c r="A433">
        <v>76</v>
      </c>
      <c r="B433" t="str">
        <f t="shared" si="7"/>
        <v>76_0</v>
      </c>
      <c r="C433" t="s">
        <v>126</v>
      </c>
      <c r="D433" t="s">
        <v>145</v>
      </c>
      <c r="E433" t="s">
        <v>139</v>
      </c>
      <c r="F433">
        <v>0</v>
      </c>
    </row>
    <row r="434" spans="1:6" x14ac:dyDescent="0.55000000000000004">
      <c r="A434">
        <v>76</v>
      </c>
      <c r="B434" t="str">
        <f t="shared" si="7"/>
        <v>76_0</v>
      </c>
      <c r="C434" t="s">
        <v>126</v>
      </c>
      <c r="D434" t="s">
        <v>146</v>
      </c>
      <c r="E434" t="s">
        <v>139</v>
      </c>
      <c r="F434">
        <v>0</v>
      </c>
    </row>
    <row r="435" spans="1:6" x14ac:dyDescent="0.55000000000000004">
      <c r="A435">
        <v>76</v>
      </c>
      <c r="B435" t="str">
        <f t="shared" si="7"/>
        <v>76_0</v>
      </c>
      <c r="C435" t="s">
        <v>126</v>
      </c>
      <c r="D435" t="s">
        <v>147</v>
      </c>
      <c r="E435" t="s">
        <v>139</v>
      </c>
      <c r="F435">
        <v>0</v>
      </c>
    </row>
    <row r="436" spans="1:6" x14ac:dyDescent="0.55000000000000004">
      <c r="A436">
        <v>76</v>
      </c>
      <c r="B436" t="str">
        <f t="shared" si="7"/>
        <v>76_0</v>
      </c>
      <c r="C436" t="s">
        <v>126</v>
      </c>
      <c r="D436" t="s">
        <v>148</v>
      </c>
      <c r="E436" t="s">
        <v>139</v>
      </c>
      <c r="F436">
        <v>100</v>
      </c>
    </row>
    <row r="437" spans="1:6" x14ac:dyDescent="0.55000000000000004">
      <c r="A437">
        <v>76</v>
      </c>
      <c r="B437" t="str">
        <f t="shared" si="7"/>
        <v>76_0</v>
      </c>
      <c r="C437" t="s">
        <v>126</v>
      </c>
      <c r="D437" t="s">
        <v>149</v>
      </c>
      <c r="E437" t="s">
        <v>139</v>
      </c>
      <c r="F437">
        <v>0</v>
      </c>
    </row>
    <row r="438" spans="1:6" x14ac:dyDescent="0.55000000000000004">
      <c r="A438">
        <v>76</v>
      </c>
      <c r="B438" t="str">
        <f t="shared" si="7"/>
        <v>76_0</v>
      </c>
      <c r="C438" t="s">
        <v>126</v>
      </c>
      <c r="D438" t="s">
        <v>150</v>
      </c>
      <c r="E438" t="s">
        <v>139</v>
      </c>
      <c r="F438">
        <v>0</v>
      </c>
    </row>
    <row r="439" spans="1:6" x14ac:dyDescent="0.55000000000000004">
      <c r="A439">
        <v>76</v>
      </c>
      <c r="B439" t="str">
        <f t="shared" si="7"/>
        <v>76_0</v>
      </c>
      <c r="C439" t="s">
        <v>126</v>
      </c>
      <c r="D439" t="s">
        <v>152</v>
      </c>
      <c r="E439" t="s">
        <v>153</v>
      </c>
    </row>
    <row r="440" spans="1:6" x14ac:dyDescent="0.55000000000000004">
      <c r="A440">
        <v>76</v>
      </c>
      <c r="B440" t="str">
        <f t="shared" si="7"/>
        <v>76_0</v>
      </c>
      <c r="C440" t="s">
        <v>154</v>
      </c>
      <c r="D440" t="s">
        <v>155</v>
      </c>
      <c r="E440" t="s">
        <v>156</v>
      </c>
      <c r="F440">
        <v>21.5</v>
      </c>
    </row>
    <row r="441" spans="1:6" x14ac:dyDescent="0.55000000000000004">
      <c r="A441">
        <v>76</v>
      </c>
      <c r="B441" t="str">
        <f t="shared" si="7"/>
        <v>76_0</v>
      </c>
      <c r="C441" t="s">
        <v>154</v>
      </c>
      <c r="D441" t="s">
        <v>157</v>
      </c>
      <c r="E441" t="s">
        <v>158</v>
      </c>
      <c r="F441">
        <v>6.8</v>
      </c>
    </row>
    <row r="442" spans="1:6" x14ac:dyDescent="0.55000000000000004">
      <c r="A442">
        <v>76</v>
      </c>
      <c r="B442" t="str">
        <f t="shared" si="7"/>
        <v>76_0</v>
      </c>
      <c r="C442" t="s">
        <v>154</v>
      </c>
      <c r="D442" t="s">
        <v>159</v>
      </c>
      <c r="E442" t="s">
        <v>139</v>
      </c>
      <c r="F442">
        <v>77.3</v>
      </c>
    </row>
    <row r="443" spans="1:6" x14ac:dyDescent="0.55000000000000004">
      <c r="A443">
        <v>76</v>
      </c>
      <c r="B443" t="str">
        <f t="shared" si="7"/>
        <v>76_0</v>
      </c>
      <c r="C443" t="s">
        <v>154</v>
      </c>
      <c r="D443" t="s">
        <v>357</v>
      </c>
      <c r="E443" t="s">
        <v>161</v>
      </c>
      <c r="F443">
        <v>181.6</v>
      </c>
    </row>
    <row r="444" spans="1:6" x14ac:dyDescent="0.55000000000000004">
      <c r="A444">
        <f>A443</f>
        <v>76</v>
      </c>
      <c r="B444" t="str">
        <f>B443</f>
        <v>76_0</v>
      </c>
      <c r="C444" s="9" t="str">
        <f>C443</f>
        <v>Chemical</v>
      </c>
      <c r="D444" t="s">
        <v>356</v>
      </c>
      <c r="E444" t="s">
        <v>161</v>
      </c>
      <c r="F444">
        <f xml:space="preserve"> F443 / (1 + 0.021 * (F440 - 25))</f>
        <v>196.00647598488936</v>
      </c>
    </row>
    <row r="445" spans="1:6" x14ac:dyDescent="0.55000000000000004">
      <c r="A445">
        <v>76</v>
      </c>
      <c r="B445" t="str">
        <f t="shared" si="7"/>
        <v>76_0</v>
      </c>
      <c r="C445" t="s">
        <v>154</v>
      </c>
      <c r="D445" t="s">
        <v>162</v>
      </c>
      <c r="F445">
        <v>8.24</v>
      </c>
    </row>
    <row r="446" spans="1:6" x14ac:dyDescent="0.55000000000000004">
      <c r="A446">
        <v>76</v>
      </c>
      <c r="B446" t="str">
        <f t="shared" si="7"/>
        <v>76_0</v>
      </c>
      <c r="C446" t="s">
        <v>163</v>
      </c>
      <c r="D446" t="s">
        <v>168</v>
      </c>
      <c r="E446" t="s">
        <v>131</v>
      </c>
      <c r="F446">
        <v>0</v>
      </c>
    </row>
    <row r="447" spans="1:6" x14ac:dyDescent="0.55000000000000004">
      <c r="A447">
        <v>76</v>
      </c>
      <c r="B447" t="str">
        <f t="shared" si="7"/>
        <v>76_0</v>
      </c>
      <c r="C447" t="s">
        <v>163</v>
      </c>
      <c r="D447" t="s">
        <v>169</v>
      </c>
    </row>
    <row r="448" spans="1:6" x14ac:dyDescent="0.55000000000000004">
      <c r="A448">
        <v>76</v>
      </c>
      <c r="B448" t="str">
        <f t="shared" si="7"/>
        <v>76_0</v>
      </c>
      <c r="C448" t="s">
        <v>163</v>
      </c>
      <c r="D448" t="s">
        <v>170</v>
      </c>
      <c r="E448" t="s">
        <v>139</v>
      </c>
      <c r="F448">
        <v>10</v>
      </c>
    </row>
    <row r="449" spans="1:7" x14ac:dyDescent="0.55000000000000004">
      <c r="A449">
        <v>76</v>
      </c>
      <c r="B449" t="str">
        <f t="shared" si="7"/>
        <v>76_0</v>
      </c>
      <c r="C449" t="s">
        <v>163</v>
      </c>
      <c r="D449" t="s">
        <v>171</v>
      </c>
    </row>
    <row r="450" spans="1:7" x14ac:dyDescent="0.55000000000000004">
      <c r="A450">
        <v>77</v>
      </c>
      <c r="B450" t="str">
        <f t="shared" si="7"/>
        <v>77_0</v>
      </c>
      <c r="C450" t="s">
        <v>126</v>
      </c>
      <c r="D450" t="s">
        <v>127</v>
      </c>
      <c r="E450" t="s">
        <v>128</v>
      </c>
      <c r="F450" s="1"/>
      <c r="G450" t="s">
        <v>129</v>
      </c>
    </row>
    <row r="451" spans="1:7" x14ac:dyDescent="0.55000000000000004">
      <c r="A451">
        <v>77</v>
      </c>
      <c r="B451" t="str">
        <f t="shared" ref="B451:B506" si="8">A451 &amp; "_0"</f>
        <v>77_0</v>
      </c>
      <c r="C451" t="s">
        <v>126</v>
      </c>
      <c r="D451" s="11" t="s">
        <v>130</v>
      </c>
      <c r="E451" t="s">
        <v>131</v>
      </c>
      <c r="F451">
        <v>1</v>
      </c>
    </row>
    <row r="452" spans="1:7" x14ac:dyDescent="0.55000000000000004">
      <c r="A452">
        <v>77</v>
      </c>
      <c r="B452" t="str">
        <f t="shared" si="8"/>
        <v>77_0</v>
      </c>
      <c r="C452" t="s">
        <v>126</v>
      </c>
      <c r="D452" t="s">
        <v>132</v>
      </c>
      <c r="E452" t="s">
        <v>133</v>
      </c>
    </row>
    <row r="453" spans="1:7" x14ac:dyDescent="0.55000000000000004">
      <c r="A453">
        <v>77</v>
      </c>
      <c r="B453" t="str">
        <f t="shared" si="8"/>
        <v>77_0</v>
      </c>
      <c r="C453" t="s">
        <v>126</v>
      </c>
      <c r="D453" t="s">
        <v>134</v>
      </c>
      <c r="E453" t="s">
        <v>133</v>
      </c>
      <c r="F453">
        <v>2</v>
      </c>
    </row>
    <row r="454" spans="1:7" x14ac:dyDescent="0.55000000000000004">
      <c r="A454">
        <v>77</v>
      </c>
      <c r="B454" t="str">
        <f t="shared" si="8"/>
        <v>77_0</v>
      </c>
      <c r="C454" t="s">
        <v>126</v>
      </c>
      <c r="D454" t="s">
        <v>135</v>
      </c>
      <c r="E454" t="s">
        <v>136</v>
      </c>
      <c r="F454">
        <f>F453/10</f>
        <v>0.2</v>
      </c>
      <c r="G454" t="s">
        <v>137</v>
      </c>
    </row>
    <row r="455" spans="1:7" x14ac:dyDescent="0.55000000000000004">
      <c r="A455">
        <v>77</v>
      </c>
      <c r="B455" t="str">
        <f t="shared" si="8"/>
        <v>77_0</v>
      </c>
      <c r="C455" t="s">
        <v>126</v>
      </c>
      <c r="D455" s="2" t="s">
        <v>138</v>
      </c>
      <c r="E455" t="s">
        <v>139</v>
      </c>
      <c r="F455">
        <v>100</v>
      </c>
    </row>
    <row r="456" spans="1:7" x14ac:dyDescent="0.55000000000000004">
      <c r="A456">
        <v>77</v>
      </c>
      <c r="B456" t="str">
        <f t="shared" si="8"/>
        <v>77_0</v>
      </c>
      <c r="C456" t="s">
        <v>126</v>
      </c>
      <c r="D456" s="2" t="s">
        <v>140</v>
      </c>
      <c r="F456" t="s">
        <v>172</v>
      </c>
    </row>
    <row r="457" spans="1:7" x14ac:dyDescent="0.55000000000000004">
      <c r="A457">
        <v>77</v>
      </c>
      <c r="B457" t="str">
        <f t="shared" si="8"/>
        <v>77_0</v>
      </c>
      <c r="C457" t="s">
        <v>126</v>
      </c>
      <c r="D457" s="2" t="s">
        <v>141</v>
      </c>
      <c r="E457" t="s">
        <v>139</v>
      </c>
      <c r="F457">
        <v>100</v>
      </c>
    </row>
    <row r="458" spans="1:7" x14ac:dyDescent="0.55000000000000004">
      <c r="A458">
        <v>77</v>
      </c>
      <c r="B458" t="str">
        <f t="shared" si="8"/>
        <v>77_0</v>
      </c>
      <c r="C458" t="s">
        <v>126</v>
      </c>
      <c r="D458" t="s">
        <v>142</v>
      </c>
      <c r="E458" t="s">
        <v>139</v>
      </c>
      <c r="F458">
        <v>0</v>
      </c>
    </row>
    <row r="459" spans="1:7" x14ac:dyDescent="0.55000000000000004">
      <c r="A459">
        <v>77</v>
      </c>
      <c r="B459" t="str">
        <f t="shared" si="8"/>
        <v>77_0</v>
      </c>
      <c r="C459" t="s">
        <v>126</v>
      </c>
      <c r="D459" t="s">
        <v>143</v>
      </c>
      <c r="E459" t="s">
        <v>131</v>
      </c>
      <c r="F459">
        <v>0</v>
      </c>
    </row>
    <row r="460" spans="1:7" x14ac:dyDescent="0.55000000000000004">
      <c r="A460">
        <v>77</v>
      </c>
      <c r="B460" t="str">
        <f t="shared" si="8"/>
        <v>77_0</v>
      </c>
      <c r="C460" t="s">
        <v>126</v>
      </c>
      <c r="D460" t="s">
        <v>144</v>
      </c>
      <c r="E460" t="s">
        <v>139</v>
      </c>
      <c r="F460">
        <v>0</v>
      </c>
    </row>
    <row r="461" spans="1:7" x14ac:dyDescent="0.55000000000000004">
      <c r="A461">
        <v>77</v>
      </c>
      <c r="B461" t="str">
        <f t="shared" si="8"/>
        <v>77_0</v>
      </c>
      <c r="C461" t="s">
        <v>126</v>
      </c>
      <c r="D461" t="s">
        <v>145</v>
      </c>
      <c r="E461" t="s">
        <v>139</v>
      </c>
      <c r="F461">
        <v>100</v>
      </c>
    </row>
    <row r="462" spans="1:7" x14ac:dyDescent="0.55000000000000004">
      <c r="A462">
        <v>77</v>
      </c>
      <c r="B462" t="str">
        <f t="shared" si="8"/>
        <v>77_0</v>
      </c>
      <c r="C462" t="s">
        <v>126</v>
      </c>
      <c r="D462" t="s">
        <v>146</v>
      </c>
      <c r="E462" t="s">
        <v>139</v>
      </c>
      <c r="F462">
        <v>0</v>
      </c>
    </row>
    <row r="463" spans="1:7" x14ac:dyDescent="0.55000000000000004">
      <c r="A463">
        <v>77</v>
      </c>
      <c r="B463" t="str">
        <f t="shared" si="8"/>
        <v>77_0</v>
      </c>
      <c r="C463" t="s">
        <v>126</v>
      </c>
      <c r="D463" t="s">
        <v>147</v>
      </c>
      <c r="E463" t="s">
        <v>139</v>
      </c>
      <c r="F463">
        <v>0</v>
      </c>
    </row>
    <row r="464" spans="1:7" x14ac:dyDescent="0.55000000000000004">
      <c r="A464">
        <v>77</v>
      </c>
      <c r="B464" t="str">
        <f t="shared" si="8"/>
        <v>77_0</v>
      </c>
      <c r="C464" t="s">
        <v>126</v>
      </c>
      <c r="D464" t="s">
        <v>148</v>
      </c>
      <c r="E464" t="s">
        <v>139</v>
      </c>
      <c r="F464">
        <v>0</v>
      </c>
    </row>
    <row r="465" spans="1:7" x14ac:dyDescent="0.55000000000000004">
      <c r="A465">
        <v>77</v>
      </c>
      <c r="B465" t="str">
        <f t="shared" si="8"/>
        <v>77_0</v>
      </c>
      <c r="C465" t="s">
        <v>126</v>
      </c>
      <c r="D465" t="s">
        <v>149</v>
      </c>
      <c r="E465" t="s">
        <v>139</v>
      </c>
      <c r="F465">
        <v>0</v>
      </c>
    </row>
    <row r="466" spans="1:7" x14ac:dyDescent="0.55000000000000004">
      <c r="A466">
        <v>77</v>
      </c>
      <c r="B466" t="str">
        <f t="shared" si="8"/>
        <v>77_0</v>
      </c>
      <c r="C466" t="s">
        <v>126</v>
      </c>
      <c r="D466" t="s">
        <v>150</v>
      </c>
      <c r="E466" t="s">
        <v>139</v>
      </c>
      <c r="F466">
        <v>0</v>
      </c>
    </row>
    <row r="467" spans="1:7" x14ac:dyDescent="0.55000000000000004">
      <c r="A467">
        <v>77</v>
      </c>
      <c r="B467" t="str">
        <f t="shared" si="8"/>
        <v>77_0</v>
      </c>
      <c r="C467" t="s">
        <v>126</v>
      </c>
      <c r="D467" t="s">
        <v>152</v>
      </c>
      <c r="E467" t="s">
        <v>153</v>
      </c>
    </row>
    <row r="468" spans="1:7" x14ac:dyDescent="0.55000000000000004">
      <c r="A468">
        <v>77</v>
      </c>
      <c r="B468" t="str">
        <f t="shared" si="8"/>
        <v>77_0</v>
      </c>
      <c r="C468" t="s">
        <v>154</v>
      </c>
      <c r="D468" t="s">
        <v>155</v>
      </c>
      <c r="E468" t="s">
        <v>156</v>
      </c>
      <c r="F468">
        <v>20.6</v>
      </c>
    </row>
    <row r="469" spans="1:7" x14ac:dyDescent="0.55000000000000004">
      <c r="A469">
        <v>77</v>
      </c>
      <c r="B469" t="str">
        <f t="shared" si="8"/>
        <v>77_0</v>
      </c>
      <c r="C469" t="s">
        <v>154</v>
      </c>
      <c r="D469" t="s">
        <v>157</v>
      </c>
      <c r="E469" t="s">
        <v>158</v>
      </c>
      <c r="F469">
        <v>9.77</v>
      </c>
    </row>
    <row r="470" spans="1:7" x14ac:dyDescent="0.55000000000000004">
      <c r="A470">
        <v>77</v>
      </c>
      <c r="B470" t="str">
        <f t="shared" si="8"/>
        <v>77_0</v>
      </c>
      <c r="C470" t="s">
        <v>154</v>
      </c>
      <c r="D470" t="s">
        <v>159</v>
      </c>
      <c r="E470" t="s">
        <v>139</v>
      </c>
      <c r="F470">
        <v>108.6</v>
      </c>
    </row>
    <row r="471" spans="1:7" x14ac:dyDescent="0.55000000000000004">
      <c r="A471">
        <v>77</v>
      </c>
      <c r="B471" t="str">
        <f t="shared" si="8"/>
        <v>77_0</v>
      </c>
      <c r="C471" t="s">
        <v>154</v>
      </c>
      <c r="D471" t="s">
        <v>357</v>
      </c>
      <c r="E471" t="s">
        <v>161</v>
      </c>
      <c r="F471">
        <v>143.19999999999999</v>
      </c>
    </row>
    <row r="472" spans="1:7" x14ac:dyDescent="0.55000000000000004">
      <c r="A472">
        <f>A471</f>
        <v>77</v>
      </c>
      <c r="B472" t="str">
        <f>B471</f>
        <v>77_0</v>
      </c>
      <c r="C472" s="9" t="str">
        <f>C471</f>
        <v>Chemical</v>
      </c>
      <c r="D472" t="s">
        <v>356</v>
      </c>
      <c r="E472" t="s">
        <v>161</v>
      </c>
      <c r="F472">
        <f xml:space="preserve"> F471 / (1 + 0.021 * (F468 - 25))</f>
        <v>157.77875716174526</v>
      </c>
    </row>
    <row r="473" spans="1:7" x14ac:dyDescent="0.55000000000000004">
      <c r="A473">
        <v>77</v>
      </c>
      <c r="B473" t="str">
        <f t="shared" si="8"/>
        <v>77_0</v>
      </c>
      <c r="C473" t="s">
        <v>154</v>
      </c>
      <c r="D473" t="s">
        <v>162</v>
      </c>
      <c r="F473">
        <v>8.91</v>
      </c>
    </row>
    <row r="474" spans="1:7" x14ac:dyDescent="0.55000000000000004">
      <c r="A474">
        <v>77</v>
      </c>
      <c r="B474" t="str">
        <f t="shared" si="8"/>
        <v>77_0</v>
      </c>
      <c r="C474" t="s">
        <v>163</v>
      </c>
      <c r="D474" t="s">
        <v>168</v>
      </c>
      <c r="E474" t="s">
        <v>131</v>
      </c>
      <c r="F474">
        <v>0</v>
      </c>
    </row>
    <row r="475" spans="1:7" x14ac:dyDescent="0.55000000000000004">
      <c r="A475">
        <v>77</v>
      </c>
      <c r="B475" t="str">
        <f t="shared" si="8"/>
        <v>77_0</v>
      </c>
      <c r="C475" t="s">
        <v>163</v>
      </c>
      <c r="D475" t="s">
        <v>169</v>
      </c>
    </row>
    <row r="476" spans="1:7" x14ac:dyDescent="0.55000000000000004">
      <c r="A476">
        <v>77</v>
      </c>
      <c r="B476" t="str">
        <f t="shared" si="8"/>
        <v>77_0</v>
      </c>
      <c r="C476" t="s">
        <v>163</v>
      </c>
      <c r="D476" t="s">
        <v>170</v>
      </c>
      <c r="E476" t="s">
        <v>139</v>
      </c>
      <c r="F476">
        <v>0</v>
      </c>
    </row>
    <row r="477" spans="1:7" x14ac:dyDescent="0.55000000000000004">
      <c r="A477">
        <v>77</v>
      </c>
      <c r="B477" t="str">
        <f t="shared" si="8"/>
        <v>77_0</v>
      </c>
      <c r="C477" t="s">
        <v>163</v>
      </c>
      <c r="D477" t="s">
        <v>171</v>
      </c>
    </row>
    <row r="478" spans="1:7" x14ac:dyDescent="0.55000000000000004">
      <c r="A478">
        <v>78</v>
      </c>
      <c r="B478" t="str">
        <f t="shared" si="8"/>
        <v>78_0</v>
      </c>
      <c r="C478" t="s">
        <v>126</v>
      </c>
      <c r="D478" t="s">
        <v>127</v>
      </c>
      <c r="E478" t="s">
        <v>128</v>
      </c>
      <c r="F478" s="1"/>
      <c r="G478" t="s">
        <v>129</v>
      </c>
    </row>
    <row r="479" spans="1:7" x14ac:dyDescent="0.55000000000000004">
      <c r="A479">
        <v>78</v>
      </c>
      <c r="B479" t="str">
        <f t="shared" si="8"/>
        <v>78_0</v>
      </c>
      <c r="C479" t="s">
        <v>126</v>
      </c>
      <c r="D479" s="11" t="s">
        <v>130</v>
      </c>
      <c r="E479" t="s">
        <v>131</v>
      </c>
      <c r="F479">
        <v>1</v>
      </c>
    </row>
    <row r="480" spans="1:7" x14ac:dyDescent="0.55000000000000004">
      <c r="A480">
        <v>78</v>
      </c>
      <c r="B480" t="str">
        <f t="shared" si="8"/>
        <v>78_0</v>
      </c>
      <c r="C480" t="s">
        <v>126</v>
      </c>
      <c r="D480" t="s">
        <v>132</v>
      </c>
      <c r="E480" t="s">
        <v>133</v>
      </c>
    </row>
    <row r="481" spans="1:7" x14ac:dyDescent="0.55000000000000004">
      <c r="A481">
        <v>78</v>
      </c>
      <c r="B481" t="str">
        <f t="shared" si="8"/>
        <v>78_0</v>
      </c>
      <c r="C481" t="s">
        <v>126</v>
      </c>
      <c r="D481" t="s">
        <v>134</v>
      </c>
      <c r="E481" t="s">
        <v>133</v>
      </c>
      <c r="F481">
        <v>0.6</v>
      </c>
    </row>
    <row r="482" spans="1:7" x14ac:dyDescent="0.55000000000000004">
      <c r="A482">
        <v>78</v>
      </c>
      <c r="B482" t="str">
        <f t="shared" si="8"/>
        <v>78_0</v>
      </c>
      <c r="C482" t="s">
        <v>126</v>
      </c>
      <c r="D482" t="s">
        <v>135</v>
      </c>
      <c r="E482" t="s">
        <v>136</v>
      </c>
      <c r="F482">
        <f>F481/10</f>
        <v>0.06</v>
      </c>
      <c r="G482" t="s">
        <v>137</v>
      </c>
    </row>
    <row r="483" spans="1:7" x14ac:dyDescent="0.55000000000000004">
      <c r="A483">
        <v>78</v>
      </c>
      <c r="B483" t="str">
        <f t="shared" si="8"/>
        <v>78_0</v>
      </c>
      <c r="C483" t="s">
        <v>126</v>
      </c>
      <c r="D483" s="2" t="s">
        <v>138</v>
      </c>
      <c r="E483" t="s">
        <v>139</v>
      </c>
      <c r="F483">
        <v>100</v>
      </c>
    </row>
    <row r="484" spans="1:7" x14ac:dyDescent="0.55000000000000004">
      <c r="A484">
        <v>78</v>
      </c>
      <c r="B484" t="str">
        <f t="shared" si="8"/>
        <v>78_0</v>
      </c>
      <c r="C484" t="s">
        <v>126</v>
      </c>
      <c r="D484" s="2" t="s">
        <v>140</v>
      </c>
      <c r="F484" t="s">
        <v>178</v>
      </c>
    </row>
    <row r="485" spans="1:7" x14ac:dyDescent="0.55000000000000004">
      <c r="A485">
        <v>78</v>
      </c>
      <c r="B485" t="str">
        <f t="shared" si="8"/>
        <v>78_0</v>
      </c>
      <c r="C485" t="s">
        <v>126</v>
      </c>
      <c r="D485" s="2" t="s">
        <v>141</v>
      </c>
      <c r="E485" t="s">
        <v>139</v>
      </c>
      <c r="F485">
        <v>0</v>
      </c>
    </row>
    <row r="486" spans="1:7" x14ac:dyDescent="0.55000000000000004">
      <c r="A486">
        <v>78</v>
      </c>
      <c r="B486" t="str">
        <f t="shared" si="8"/>
        <v>78_0</v>
      </c>
      <c r="C486" t="s">
        <v>126</v>
      </c>
      <c r="D486" t="s">
        <v>142</v>
      </c>
      <c r="E486" t="s">
        <v>139</v>
      </c>
      <c r="F486">
        <v>0</v>
      </c>
    </row>
    <row r="487" spans="1:7" x14ac:dyDescent="0.55000000000000004">
      <c r="A487">
        <v>78</v>
      </c>
      <c r="B487" t="str">
        <f t="shared" si="8"/>
        <v>78_0</v>
      </c>
      <c r="C487" t="s">
        <v>126</v>
      </c>
      <c r="D487" t="s">
        <v>143</v>
      </c>
      <c r="E487" t="s">
        <v>131</v>
      </c>
      <c r="F487">
        <v>1</v>
      </c>
      <c r="G487" t="s">
        <v>179</v>
      </c>
    </row>
    <row r="488" spans="1:7" x14ac:dyDescent="0.55000000000000004">
      <c r="A488">
        <v>78</v>
      </c>
      <c r="B488" t="str">
        <f t="shared" si="8"/>
        <v>78_0</v>
      </c>
      <c r="C488" t="s">
        <v>126</v>
      </c>
      <c r="D488" t="s">
        <v>144</v>
      </c>
      <c r="E488" t="s">
        <v>139</v>
      </c>
      <c r="F488">
        <v>0</v>
      </c>
    </row>
    <row r="489" spans="1:7" x14ac:dyDescent="0.55000000000000004">
      <c r="A489">
        <v>78</v>
      </c>
      <c r="B489" t="str">
        <f t="shared" si="8"/>
        <v>78_0</v>
      </c>
      <c r="C489" t="s">
        <v>126</v>
      </c>
      <c r="D489" t="s">
        <v>145</v>
      </c>
      <c r="E489" t="s">
        <v>139</v>
      </c>
      <c r="F489">
        <v>0</v>
      </c>
    </row>
    <row r="490" spans="1:7" x14ac:dyDescent="0.55000000000000004">
      <c r="A490">
        <v>78</v>
      </c>
      <c r="B490" t="str">
        <f t="shared" si="8"/>
        <v>78_0</v>
      </c>
      <c r="C490" t="s">
        <v>126</v>
      </c>
      <c r="D490" t="s">
        <v>146</v>
      </c>
      <c r="E490" t="s">
        <v>139</v>
      </c>
      <c r="F490">
        <v>0</v>
      </c>
    </row>
    <row r="491" spans="1:7" x14ac:dyDescent="0.55000000000000004">
      <c r="A491">
        <v>78</v>
      </c>
      <c r="B491" t="str">
        <f t="shared" si="8"/>
        <v>78_0</v>
      </c>
      <c r="C491" t="s">
        <v>126</v>
      </c>
      <c r="D491" t="s">
        <v>147</v>
      </c>
      <c r="E491" t="s">
        <v>139</v>
      </c>
      <c r="F491">
        <v>10</v>
      </c>
    </row>
    <row r="492" spans="1:7" x14ac:dyDescent="0.55000000000000004">
      <c r="A492">
        <v>78</v>
      </c>
      <c r="B492" t="str">
        <f t="shared" si="8"/>
        <v>78_0</v>
      </c>
      <c r="C492" t="s">
        <v>126</v>
      </c>
      <c r="D492" t="s">
        <v>148</v>
      </c>
      <c r="E492" t="s">
        <v>139</v>
      </c>
      <c r="F492">
        <v>90</v>
      </c>
    </row>
    <row r="493" spans="1:7" x14ac:dyDescent="0.55000000000000004">
      <c r="A493">
        <v>78</v>
      </c>
      <c r="B493" t="str">
        <f t="shared" si="8"/>
        <v>78_0</v>
      </c>
      <c r="C493" t="s">
        <v>126</v>
      </c>
      <c r="D493" t="s">
        <v>149</v>
      </c>
      <c r="E493" t="s">
        <v>139</v>
      </c>
      <c r="F493">
        <v>0</v>
      </c>
    </row>
    <row r="494" spans="1:7" x14ac:dyDescent="0.55000000000000004">
      <c r="A494">
        <v>78</v>
      </c>
      <c r="B494" t="str">
        <f t="shared" si="8"/>
        <v>78_0</v>
      </c>
      <c r="C494" t="s">
        <v>126</v>
      </c>
      <c r="D494" t="s">
        <v>150</v>
      </c>
      <c r="E494" t="s">
        <v>139</v>
      </c>
      <c r="F494">
        <v>0</v>
      </c>
    </row>
    <row r="495" spans="1:7" x14ac:dyDescent="0.55000000000000004">
      <c r="A495">
        <v>78</v>
      </c>
      <c r="B495" t="str">
        <f t="shared" si="8"/>
        <v>78_0</v>
      </c>
      <c r="C495" t="s">
        <v>126</v>
      </c>
      <c r="D495" t="s">
        <v>152</v>
      </c>
      <c r="E495" t="s">
        <v>153</v>
      </c>
    </row>
    <row r="496" spans="1:7" x14ac:dyDescent="0.55000000000000004">
      <c r="A496">
        <v>78</v>
      </c>
      <c r="B496" t="str">
        <f t="shared" si="8"/>
        <v>78_0</v>
      </c>
      <c r="C496" t="s">
        <v>154</v>
      </c>
      <c r="D496" t="s">
        <v>155</v>
      </c>
      <c r="E496" t="s">
        <v>156</v>
      </c>
      <c r="F496">
        <v>23.8</v>
      </c>
    </row>
    <row r="497" spans="1:7" x14ac:dyDescent="0.55000000000000004">
      <c r="A497">
        <v>78</v>
      </c>
      <c r="B497" t="str">
        <f t="shared" si="8"/>
        <v>78_0</v>
      </c>
      <c r="C497" t="s">
        <v>154</v>
      </c>
      <c r="D497" t="s">
        <v>157</v>
      </c>
      <c r="E497" t="s">
        <v>158</v>
      </c>
      <c r="F497">
        <v>10.47</v>
      </c>
    </row>
    <row r="498" spans="1:7" x14ac:dyDescent="0.55000000000000004">
      <c r="A498">
        <v>78</v>
      </c>
      <c r="B498" t="str">
        <f t="shared" si="8"/>
        <v>78_0</v>
      </c>
      <c r="C498" t="s">
        <v>154</v>
      </c>
      <c r="D498" t="s">
        <v>159</v>
      </c>
      <c r="E498" t="s">
        <v>139</v>
      </c>
      <c r="F498">
        <v>124.1</v>
      </c>
    </row>
    <row r="499" spans="1:7" x14ac:dyDescent="0.55000000000000004">
      <c r="A499">
        <v>78</v>
      </c>
      <c r="B499" t="str">
        <f t="shared" si="8"/>
        <v>78_0</v>
      </c>
      <c r="C499" t="s">
        <v>154</v>
      </c>
      <c r="D499" t="s">
        <v>357</v>
      </c>
      <c r="E499" t="s">
        <v>161</v>
      </c>
      <c r="F499">
        <v>158.6</v>
      </c>
    </row>
    <row r="500" spans="1:7" x14ac:dyDescent="0.55000000000000004">
      <c r="A500">
        <f>A499</f>
        <v>78</v>
      </c>
      <c r="B500" t="str">
        <f>B499</f>
        <v>78_0</v>
      </c>
      <c r="C500" s="9" t="str">
        <f>C499</f>
        <v>Chemical</v>
      </c>
      <c r="D500" t="s">
        <v>356</v>
      </c>
      <c r="E500" t="s">
        <v>161</v>
      </c>
      <c r="F500">
        <f xml:space="preserve"> F499 / (1 + 0.021 * (F496 - 25))</f>
        <v>162.70004103405827</v>
      </c>
    </row>
    <row r="501" spans="1:7" x14ac:dyDescent="0.55000000000000004">
      <c r="A501">
        <v>78</v>
      </c>
      <c r="B501" t="str">
        <f t="shared" si="8"/>
        <v>78_0</v>
      </c>
      <c r="C501" t="s">
        <v>154</v>
      </c>
      <c r="D501" t="s">
        <v>162</v>
      </c>
      <c r="F501">
        <v>8.43</v>
      </c>
    </row>
    <row r="502" spans="1:7" x14ac:dyDescent="0.55000000000000004">
      <c r="A502">
        <v>78</v>
      </c>
      <c r="B502" t="str">
        <f t="shared" si="8"/>
        <v>78_0</v>
      </c>
      <c r="C502" t="s">
        <v>163</v>
      </c>
      <c r="D502" t="s">
        <v>168</v>
      </c>
      <c r="E502" t="s">
        <v>131</v>
      </c>
      <c r="F502">
        <v>0</v>
      </c>
    </row>
    <row r="503" spans="1:7" x14ac:dyDescent="0.55000000000000004">
      <c r="A503">
        <v>78</v>
      </c>
      <c r="B503" t="str">
        <f t="shared" si="8"/>
        <v>78_0</v>
      </c>
      <c r="C503" t="s">
        <v>163</v>
      </c>
      <c r="D503" t="s">
        <v>169</v>
      </c>
    </row>
    <row r="504" spans="1:7" x14ac:dyDescent="0.55000000000000004">
      <c r="A504">
        <v>78</v>
      </c>
      <c r="B504" t="str">
        <f t="shared" si="8"/>
        <v>78_0</v>
      </c>
      <c r="C504" t="s">
        <v>163</v>
      </c>
      <c r="D504" t="s">
        <v>170</v>
      </c>
      <c r="E504" t="s">
        <v>139</v>
      </c>
      <c r="F504">
        <v>0</v>
      </c>
    </row>
    <row r="505" spans="1:7" x14ac:dyDescent="0.55000000000000004">
      <c r="A505">
        <v>78</v>
      </c>
      <c r="B505" t="str">
        <f t="shared" si="8"/>
        <v>78_0</v>
      </c>
      <c r="C505" t="s">
        <v>163</v>
      </c>
      <c r="D505" t="s">
        <v>171</v>
      </c>
    </row>
    <row r="506" spans="1:7" x14ac:dyDescent="0.55000000000000004">
      <c r="A506">
        <v>79</v>
      </c>
      <c r="B506" t="str">
        <f t="shared" si="8"/>
        <v>79_0</v>
      </c>
      <c r="C506" t="s">
        <v>126</v>
      </c>
      <c r="D506" t="s">
        <v>127</v>
      </c>
      <c r="E506" t="s">
        <v>128</v>
      </c>
      <c r="F506" s="1"/>
      <c r="G506" t="s">
        <v>129</v>
      </c>
    </row>
    <row r="507" spans="1:7" x14ac:dyDescent="0.55000000000000004">
      <c r="A507">
        <v>79</v>
      </c>
      <c r="B507" t="str">
        <f t="shared" ref="B507:B559" si="9">A507 &amp; "_0"</f>
        <v>79_0</v>
      </c>
      <c r="C507" t="s">
        <v>126</v>
      </c>
      <c r="D507" s="11" t="s">
        <v>130</v>
      </c>
      <c r="E507" t="s">
        <v>131</v>
      </c>
      <c r="F507">
        <v>1</v>
      </c>
    </row>
    <row r="508" spans="1:7" x14ac:dyDescent="0.55000000000000004">
      <c r="A508">
        <v>79</v>
      </c>
      <c r="B508" t="str">
        <f t="shared" si="9"/>
        <v>79_0</v>
      </c>
      <c r="C508" t="s">
        <v>126</v>
      </c>
      <c r="D508" t="s">
        <v>132</v>
      </c>
      <c r="E508" t="s">
        <v>133</v>
      </c>
    </row>
    <row r="509" spans="1:7" x14ac:dyDescent="0.55000000000000004">
      <c r="A509">
        <v>79</v>
      </c>
      <c r="B509" t="str">
        <f t="shared" si="9"/>
        <v>79_0</v>
      </c>
      <c r="C509" t="s">
        <v>126</v>
      </c>
      <c r="D509" t="s">
        <v>134</v>
      </c>
      <c r="E509" t="s">
        <v>133</v>
      </c>
      <c r="F509">
        <v>1.55</v>
      </c>
    </row>
    <row r="510" spans="1:7" x14ac:dyDescent="0.55000000000000004">
      <c r="A510">
        <v>79</v>
      </c>
      <c r="B510" t="str">
        <f t="shared" si="9"/>
        <v>79_0</v>
      </c>
      <c r="C510" t="s">
        <v>126</v>
      </c>
      <c r="D510" t="s">
        <v>135</v>
      </c>
      <c r="E510" t="s">
        <v>136</v>
      </c>
      <c r="F510">
        <f>F509/10</f>
        <v>0.155</v>
      </c>
      <c r="G510" t="s">
        <v>137</v>
      </c>
    </row>
    <row r="511" spans="1:7" x14ac:dyDescent="0.55000000000000004">
      <c r="A511">
        <v>79</v>
      </c>
      <c r="B511" t="str">
        <f t="shared" si="9"/>
        <v>79_0</v>
      </c>
      <c r="C511" t="s">
        <v>126</v>
      </c>
      <c r="D511" s="2" t="s">
        <v>138</v>
      </c>
      <c r="E511" t="s">
        <v>139</v>
      </c>
      <c r="F511">
        <v>100</v>
      </c>
    </row>
    <row r="512" spans="1:7" x14ac:dyDescent="0.55000000000000004">
      <c r="A512">
        <v>79</v>
      </c>
      <c r="B512" t="str">
        <f t="shared" si="9"/>
        <v>79_0</v>
      </c>
      <c r="C512" t="s">
        <v>126</v>
      </c>
      <c r="D512" s="2" t="s">
        <v>140</v>
      </c>
      <c r="F512" t="s">
        <v>180</v>
      </c>
    </row>
    <row r="513" spans="1:6" x14ac:dyDescent="0.55000000000000004">
      <c r="A513">
        <v>79</v>
      </c>
      <c r="B513" t="str">
        <f t="shared" si="9"/>
        <v>79_0</v>
      </c>
      <c r="C513" t="s">
        <v>126</v>
      </c>
      <c r="D513" s="2" t="s">
        <v>141</v>
      </c>
      <c r="E513" t="s">
        <v>139</v>
      </c>
      <c r="F513">
        <v>20</v>
      </c>
    </row>
    <row r="514" spans="1:6" x14ac:dyDescent="0.55000000000000004">
      <c r="A514">
        <v>79</v>
      </c>
      <c r="B514" t="str">
        <f t="shared" si="9"/>
        <v>79_0</v>
      </c>
      <c r="C514" t="s">
        <v>126</v>
      </c>
      <c r="D514" t="s">
        <v>142</v>
      </c>
      <c r="E514" t="s">
        <v>139</v>
      </c>
      <c r="F514">
        <v>0</v>
      </c>
    </row>
    <row r="515" spans="1:6" x14ac:dyDescent="0.55000000000000004">
      <c r="A515">
        <v>79</v>
      </c>
      <c r="B515" t="str">
        <f t="shared" si="9"/>
        <v>79_0</v>
      </c>
      <c r="C515" t="s">
        <v>126</v>
      </c>
      <c r="D515" t="s">
        <v>143</v>
      </c>
      <c r="E515" t="s">
        <v>131</v>
      </c>
      <c r="F515">
        <v>0</v>
      </c>
    </row>
    <row r="516" spans="1:6" x14ac:dyDescent="0.55000000000000004">
      <c r="A516">
        <v>79</v>
      </c>
      <c r="B516" t="str">
        <f t="shared" si="9"/>
        <v>79_0</v>
      </c>
      <c r="C516" t="s">
        <v>126</v>
      </c>
      <c r="D516" t="s">
        <v>144</v>
      </c>
      <c r="E516" t="s">
        <v>139</v>
      </c>
      <c r="F516">
        <v>0</v>
      </c>
    </row>
    <row r="517" spans="1:6" x14ac:dyDescent="0.55000000000000004">
      <c r="A517">
        <v>79</v>
      </c>
      <c r="B517" t="str">
        <f t="shared" si="9"/>
        <v>79_0</v>
      </c>
      <c r="C517" t="s">
        <v>126</v>
      </c>
      <c r="D517" t="s">
        <v>145</v>
      </c>
      <c r="E517" t="s">
        <v>139</v>
      </c>
      <c r="F517">
        <v>0</v>
      </c>
    </row>
    <row r="518" spans="1:6" x14ac:dyDescent="0.55000000000000004">
      <c r="A518">
        <v>79</v>
      </c>
      <c r="B518" t="str">
        <f t="shared" si="9"/>
        <v>79_0</v>
      </c>
      <c r="C518" t="s">
        <v>126</v>
      </c>
      <c r="D518" t="s">
        <v>146</v>
      </c>
      <c r="E518" t="s">
        <v>139</v>
      </c>
      <c r="F518">
        <v>0</v>
      </c>
    </row>
    <row r="519" spans="1:6" x14ac:dyDescent="0.55000000000000004">
      <c r="A519">
        <v>79</v>
      </c>
      <c r="B519" t="str">
        <f t="shared" si="9"/>
        <v>79_0</v>
      </c>
      <c r="C519" t="s">
        <v>126</v>
      </c>
      <c r="D519" t="s">
        <v>147</v>
      </c>
      <c r="E519" t="s">
        <v>139</v>
      </c>
      <c r="F519">
        <v>0</v>
      </c>
    </row>
    <row r="520" spans="1:6" x14ac:dyDescent="0.55000000000000004">
      <c r="A520">
        <v>79</v>
      </c>
      <c r="B520" t="str">
        <f t="shared" si="9"/>
        <v>79_0</v>
      </c>
      <c r="C520" t="s">
        <v>126</v>
      </c>
      <c r="D520" t="s">
        <v>148</v>
      </c>
      <c r="E520" t="s">
        <v>139</v>
      </c>
      <c r="F520">
        <v>0</v>
      </c>
    </row>
    <row r="521" spans="1:6" x14ac:dyDescent="0.55000000000000004">
      <c r="A521">
        <v>79</v>
      </c>
      <c r="B521" t="str">
        <f t="shared" si="9"/>
        <v>79_0</v>
      </c>
      <c r="C521" t="s">
        <v>126</v>
      </c>
      <c r="D521" t="s">
        <v>149</v>
      </c>
      <c r="E521" t="s">
        <v>139</v>
      </c>
      <c r="F521">
        <v>0</v>
      </c>
    </row>
    <row r="522" spans="1:6" x14ac:dyDescent="0.55000000000000004">
      <c r="A522">
        <v>79</v>
      </c>
      <c r="B522" t="str">
        <f t="shared" si="9"/>
        <v>79_0</v>
      </c>
      <c r="C522" t="s">
        <v>126</v>
      </c>
      <c r="D522" t="s">
        <v>150</v>
      </c>
      <c r="E522" t="s">
        <v>139</v>
      </c>
      <c r="F522">
        <v>100</v>
      </c>
    </row>
    <row r="523" spans="1:6" x14ac:dyDescent="0.55000000000000004">
      <c r="A523">
        <v>79</v>
      </c>
      <c r="B523" t="str">
        <f t="shared" si="9"/>
        <v>79_0</v>
      </c>
      <c r="C523" t="s">
        <v>126</v>
      </c>
      <c r="D523" t="s">
        <v>152</v>
      </c>
      <c r="E523" t="s">
        <v>153</v>
      </c>
    </row>
    <row r="524" spans="1:6" x14ac:dyDescent="0.55000000000000004">
      <c r="A524">
        <v>79</v>
      </c>
      <c r="B524" t="str">
        <f t="shared" si="9"/>
        <v>79_0</v>
      </c>
      <c r="C524" t="s">
        <v>154</v>
      </c>
      <c r="D524" t="s">
        <v>155</v>
      </c>
      <c r="E524" t="s">
        <v>156</v>
      </c>
      <c r="F524">
        <v>21.6</v>
      </c>
    </row>
    <row r="525" spans="1:6" x14ac:dyDescent="0.55000000000000004">
      <c r="A525">
        <v>79</v>
      </c>
      <c r="B525" t="str">
        <f t="shared" si="9"/>
        <v>79_0</v>
      </c>
      <c r="C525" t="s">
        <v>154</v>
      </c>
      <c r="D525" t="s">
        <v>157</v>
      </c>
      <c r="E525" t="s">
        <v>158</v>
      </c>
      <c r="F525">
        <v>9.1300000000000008</v>
      </c>
    </row>
    <row r="526" spans="1:6" x14ac:dyDescent="0.55000000000000004">
      <c r="A526">
        <v>79</v>
      </c>
      <c r="B526" t="str">
        <f t="shared" si="9"/>
        <v>79_0</v>
      </c>
      <c r="C526" t="s">
        <v>154</v>
      </c>
      <c r="D526" t="s">
        <v>159</v>
      </c>
      <c r="E526" t="s">
        <v>139</v>
      </c>
      <c r="F526">
        <v>103.7</v>
      </c>
    </row>
    <row r="527" spans="1:6" x14ac:dyDescent="0.55000000000000004">
      <c r="A527">
        <v>79</v>
      </c>
      <c r="B527" t="str">
        <f t="shared" si="9"/>
        <v>79_0</v>
      </c>
      <c r="C527" t="s">
        <v>154</v>
      </c>
      <c r="D527" t="s">
        <v>357</v>
      </c>
      <c r="E527" t="s">
        <v>161</v>
      </c>
      <c r="F527">
        <v>146.19999999999999</v>
      </c>
    </row>
    <row r="528" spans="1:6" x14ac:dyDescent="0.55000000000000004">
      <c r="A528">
        <f>A527</f>
        <v>79</v>
      </c>
      <c r="B528" t="str">
        <f>B527</f>
        <v>79_0</v>
      </c>
      <c r="C528" s="9" t="str">
        <f>C527</f>
        <v>Chemical</v>
      </c>
      <c r="D528" t="s">
        <v>356</v>
      </c>
      <c r="E528" t="s">
        <v>161</v>
      </c>
      <c r="F528">
        <f xml:space="preserve"> F527 / (1 + 0.021 * (F524 - 25))</f>
        <v>157.44130949816929</v>
      </c>
    </row>
    <row r="529" spans="1:7" x14ac:dyDescent="0.55000000000000004">
      <c r="A529">
        <v>79</v>
      </c>
      <c r="B529" t="str">
        <f t="shared" si="9"/>
        <v>79_0</v>
      </c>
      <c r="C529" t="s">
        <v>154</v>
      </c>
      <c r="D529" t="s">
        <v>162</v>
      </c>
      <c r="F529">
        <v>8.6300000000000008</v>
      </c>
    </row>
    <row r="530" spans="1:7" x14ac:dyDescent="0.55000000000000004">
      <c r="A530">
        <v>79</v>
      </c>
      <c r="B530" t="str">
        <f t="shared" si="9"/>
        <v>79_0</v>
      </c>
      <c r="C530" t="s">
        <v>163</v>
      </c>
      <c r="D530" t="s">
        <v>168</v>
      </c>
      <c r="E530" t="s">
        <v>131</v>
      </c>
      <c r="F530">
        <v>0</v>
      </c>
    </row>
    <row r="531" spans="1:7" x14ac:dyDescent="0.55000000000000004">
      <c r="A531">
        <v>79</v>
      </c>
      <c r="B531" t="str">
        <f t="shared" si="9"/>
        <v>79_0</v>
      </c>
      <c r="C531" t="s">
        <v>163</v>
      </c>
      <c r="D531" t="s">
        <v>169</v>
      </c>
    </row>
    <row r="532" spans="1:7" x14ac:dyDescent="0.55000000000000004">
      <c r="A532">
        <v>79</v>
      </c>
      <c r="B532" t="str">
        <f t="shared" si="9"/>
        <v>79_0</v>
      </c>
      <c r="C532" t="s">
        <v>163</v>
      </c>
      <c r="D532" t="s">
        <v>170</v>
      </c>
      <c r="E532" t="s">
        <v>139</v>
      </c>
      <c r="F532">
        <v>5</v>
      </c>
    </row>
    <row r="533" spans="1:7" x14ac:dyDescent="0.55000000000000004">
      <c r="A533">
        <v>79</v>
      </c>
      <c r="B533" t="str">
        <f t="shared" si="9"/>
        <v>79_0</v>
      </c>
      <c r="C533" t="s">
        <v>163</v>
      </c>
      <c r="D533" t="s">
        <v>171</v>
      </c>
    </row>
    <row r="534" spans="1:7" x14ac:dyDescent="0.55000000000000004">
      <c r="A534">
        <v>80</v>
      </c>
      <c r="B534" t="str">
        <f t="shared" si="9"/>
        <v>80_0</v>
      </c>
      <c r="C534" t="s">
        <v>126</v>
      </c>
      <c r="D534" t="s">
        <v>127</v>
      </c>
      <c r="E534" t="s">
        <v>128</v>
      </c>
      <c r="F534" s="1"/>
      <c r="G534" t="s">
        <v>129</v>
      </c>
    </row>
    <row r="535" spans="1:7" x14ac:dyDescent="0.55000000000000004">
      <c r="A535">
        <v>80</v>
      </c>
      <c r="B535" t="str">
        <f t="shared" si="9"/>
        <v>80_0</v>
      </c>
      <c r="C535" t="s">
        <v>126</v>
      </c>
      <c r="D535" s="11" t="s">
        <v>130</v>
      </c>
      <c r="E535" t="s">
        <v>131</v>
      </c>
      <c r="F535">
        <v>1</v>
      </c>
    </row>
    <row r="536" spans="1:7" x14ac:dyDescent="0.55000000000000004">
      <c r="A536">
        <v>80</v>
      </c>
      <c r="B536" t="str">
        <f t="shared" si="9"/>
        <v>80_0</v>
      </c>
      <c r="C536" t="s">
        <v>126</v>
      </c>
      <c r="D536" t="s">
        <v>132</v>
      </c>
      <c r="E536" t="s">
        <v>133</v>
      </c>
      <c r="F536">
        <v>3</v>
      </c>
      <c r="G536" t="s">
        <v>175</v>
      </c>
    </row>
    <row r="537" spans="1:7" x14ac:dyDescent="0.55000000000000004">
      <c r="A537">
        <v>80</v>
      </c>
      <c r="B537" t="str">
        <f t="shared" si="9"/>
        <v>80_0</v>
      </c>
      <c r="C537" t="s">
        <v>126</v>
      </c>
      <c r="D537" t="s">
        <v>134</v>
      </c>
      <c r="E537" t="s">
        <v>133</v>
      </c>
      <c r="F537">
        <v>1</v>
      </c>
    </row>
    <row r="538" spans="1:7" x14ac:dyDescent="0.55000000000000004">
      <c r="A538">
        <v>80</v>
      </c>
      <c r="B538" t="str">
        <f t="shared" si="9"/>
        <v>80_0</v>
      </c>
      <c r="C538" t="s">
        <v>126</v>
      </c>
      <c r="D538" t="s">
        <v>135</v>
      </c>
      <c r="E538" t="s">
        <v>136</v>
      </c>
      <c r="F538">
        <f>F537/10</f>
        <v>0.1</v>
      </c>
      <c r="G538" t="s">
        <v>137</v>
      </c>
    </row>
    <row r="539" spans="1:7" x14ac:dyDescent="0.55000000000000004">
      <c r="A539">
        <v>80</v>
      </c>
      <c r="B539" t="str">
        <f t="shared" si="9"/>
        <v>80_0</v>
      </c>
      <c r="C539" t="s">
        <v>126</v>
      </c>
      <c r="D539" s="2" t="s">
        <v>138</v>
      </c>
      <c r="E539" t="s">
        <v>139</v>
      </c>
      <c r="F539">
        <v>100</v>
      </c>
    </row>
    <row r="540" spans="1:7" x14ac:dyDescent="0.55000000000000004">
      <c r="A540">
        <v>80</v>
      </c>
      <c r="B540" t="str">
        <f t="shared" si="9"/>
        <v>80_0</v>
      </c>
      <c r="C540" t="s">
        <v>126</v>
      </c>
      <c r="D540" s="2" t="s">
        <v>140</v>
      </c>
      <c r="F540" t="s">
        <v>182</v>
      </c>
    </row>
    <row r="541" spans="1:7" x14ac:dyDescent="0.55000000000000004">
      <c r="A541">
        <v>80</v>
      </c>
      <c r="B541" t="str">
        <f t="shared" si="9"/>
        <v>80_0</v>
      </c>
      <c r="C541" t="s">
        <v>126</v>
      </c>
      <c r="D541" s="2" t="s">
        <v>141</v>
      </c>
      <c r="E541" t="s">
        <v>139</v>
      </c>
      <c r="F541">
        <v>0</v>
      </c>
    </row>
    <row r="542" spans="1:7" x14ac:dyDescent="0.55000000000000004">
      <c r="A542">
        <v>80</v>
      </c>
      <c r="B542" t="str">
        <f t="shared" si="9"/>
        <v>80_0</v>
      </c>
      <c r="C542" t="s">
        <v>126</v>
      </c>
      <c r="D542" t="s">
        <v>142</v>
      </c>
      <c r="E542" t="s">
        <v>139</v>
      </c>
      <c r="F542">
        <v>0</v>
      </c>
    </row>
    <row r="543" spans="1:7" x14ac:dyDescent="0.55000000000000004">
      <c r="A543">
        <v>80</v>
      </c>
      <c r="B543" t="str">
        <f t="shared" si="9"/>
        <v>80_0</v>
      </c>
      <c r="C543" t="s">
        <v>126</v>
      </c>
      <c r="D543" t="s">
        <v>143</v>
      </c>
      <c r="E543" t="s">
        <v>131</v>
      </c>
      <c r="F543">
        <v>0</v>
      </c>
    </row>
    <row r="544" spans="1:7" x14ac:dyDescent="0.55000000000000004">
      <c r="A544">
        <v>80</v>
      </c>
      <c r="B544" t="str">
        <f t="shared" si="9"/>
        <v>80_0</v>
      </c>
      <c r="C544" t="s">
        <v>126</v>
      </c>
      <c r="D544" t="s">
        <v>144</v>
      </c>
      <c r="E544" t="s">
        <v>139</v>
      </c>
      <c r="F544">
        <v>0</v>
      </c>
    </row>
    <row r="545" spans="1:6" x14ac:dyDescent="0.55000000000000004">
      <c r="A545">
        <v>80</v>
      </c>
      <c r="B545" t="str">
        <f t="shared" si="9"/>
        <v>80_0</v>
      </c>
      <c r="C545" t="s">
        <v>126</v>
      </c>
      <c r="D545" t="s">
        <v>145</v>
      </c>
      <c r="E545" t="s">
        <v>139</v>
      </c>
      <c r="F545">
        <v>0</v>
      </c>
    </row>
    <row r="546" spans="1:6" x14ac:dyDescent="0.55000000000000004">
      <c r="A546">
        <v>80</v>
      </c>
      <c r="B546" t="str">
        <f t="shared" si="9"/>
        <v>80_0</v>
      </c>
      <c r="C546" t="s">
        <v>126</v>
      </c>
      <c r="D546" t="s">
        <v>146</v>
      </c>
      <c r="E546" t="s">
        <v>139</v>
      </c>
      <c r="F546">
        <v>0</v>
      </c>
    </row>
    <row r="547" spans="1:6" x14ac:dyDescent="0.55000000000000004">
      <c r="A547">
        <v>80</v>
      </c>
      <c r="B547" t="str">
        <f t="shared" si="9"/>
        <v>80_0</v>
      </c>
      <c r="C547" t="s">
        <v>126</v>
      </c>
      <c r="D547" t="s">
        <v>147</v>
      </c>
      <c r="E547" t="s">
        <v>139</v>
      </c>
      <c r="F547">
        <v>0</v>
      </c>
    </row>
    <row r="548" spans="1:6" x14ac:dyDescent="0.55000000000000004">
      <c r="A548">
        <v>80</v>
      </c>
      <c r="B548" t="str">
        <f t="shared" si="9"/>
        <v>80_0</v>
      </c>
      <c r="C548" t="s">
        <v>126</v>
      </c>
      <c r="D548" t="s">
        <v>148</v>
      </c>
      <c r="E548" t="s">
        <v>139</v>
      </c>
      <c r="F548">
        <v>0</v>
      </c>
    </row>
    <row r="549" spans="1:6" x14ac:dyDescent="0.55000000000000004">
      <c r="A549">
        <v>80</v>
      </c>
      <c r="B549" t="str">
        <f t="shared" si="9"/>
        <v>80_0</v>
      </c>
      <c r="C549" t="s">
        <v>126</v>
      </c>
      <c r="D549" t="s">
        <v>149</v>
      </c>
      <c r="E549" t="s">
        <v>139</v>
      </c>
      <c r="F549">
        <v>0</v>
      </c>
    </row>
    <row r="550" spans="1:6" x14ac:dyDescent="0.55000000000000004">
      <c r="A550">
        <v>80</v>
      </c>
      <c r="B550" t="str">
        <f t="shared" si="9"/>
        <v>80_0</v>
      </c>
      <c r="C550" t="s">
        <v>126</v>
      </c>
      <c r="D550" t="s">
        <v>150</v>
      </c>
      <c r="E550" t="s">
        <v>139</v>
      </c>
      <c r="F550">
        <v>100</v>
      </c>
    </row>
    <row r="551" spans="1:6" x14ac:dyDescent="0.55000000000000004">
      <c r="A551">
        <v>80</v>
      </c>
      <c r="B551" t="str">
        <f t="shared" si="9"/>
        <v>80_0</v>
      </c>
      <c r="C551" t="s">
        <v>126</v>
      </c>
      <c r="D551" t="s">
        <v>152</v>
      </c>
      <c r="E551" t="s">
        <v>153</v>
      </c>
    </row>
    <row r="552" spans="1:6" x14ac:dyDescent="0.55000000000000004">
      <c r="A552">
        <v>80</v>
      </c>
      <c r="B552" t="str">
        <f t="shared" si="9"/>
        <v>80_0</v>
      </c>
      <c r="C552" t="s">
        <v>154</v>
      </c>
      <c r="D552" t="s">
        <v>155</v>
      </c>
      <c r="E552" t="s">
        <v>156</v>
      </c>
      <c r="F552">
        <v>22</v>
      </c>
    </row>
    <row r="553" spans="1:6" x14ac:dyDescent="0.55000000000000004">
      <c r="A553">
        <v>80</v>
      </c>
      <c r="B553" t="str">
        <f t="shared" si="9"/>
        <v>80_0</v>
      </c>
      <c r="C553" t="s">
        <v>154</v>
      </c>
      <c r="D553" t="s">
        <v>157</v>
      </c>
      <c r="E553" t="s">
        <v>158</v>
      </c>
      <c r="F553">
        <v>8.8000000000000007</v>
      </c>
    </row>
    <row r="554" spans="1:6" x14ac:dyDescent="0.55000000000000004">
      <c r="A554">
        <v>80</v>
      </c>
      <c r="B554" t="str">
        <f t="shared" si="9"/>
        <v>80_0</v>
      </c>
      <c r="C554" t="s">
        <v>154</v>
      </c>
      <c r="D554" t="s">
        <v>159</v>
      </c>
      <c r="E554" t="s">
        <v>139</v>
      </c>
      <c r="F554">
        <v>100.4</v>
      </c>
    </row>
    <row r="555" spans="1:6" x14ac:dyDescent="0.55000000000000004">
      <c r="A555">
        <v>80</v>
      </c>
      <c r="B555" t="str">
        <f t="shared" si="9"/>
        <v>80_0</v>
      </c>
      <c r="C555" t="s">
        <v>154</v>
      </c>
      <c r="D555" t="s">
        <v>357</v>
      </c>
      <c r="E555" t="s">
        <v>161</v>
      </c>
      <c r="F555">
        <v>154.5</v>
      </c>
    </row>
    <row r="556" spans="1:6" x14ac:dyDescent="0.55000000000000004">
      <c r="A556">
        <f>A555</f>
        <v>80</v>
      </c>
      <c r="B556" t="str">
        <f>B555</f>
        <v>80_0</v>
      </c>
      <c r="C556" s="9" t="str">
        <f>C555</f>
        <v>Chemical</v>
      </c>
      <c r="D556" t="s">
        <v>356</v>
      </c>
      <c r="E556" t="s">
        <v>161</v>
      </c>
      <c r="F556">
        <f xml:space="preserve"> F555 / (1 + 0.021 * (F552 - 25))</f>
        <v>164.88794023479187</v>
      </c>
    </row>
    <row r="557" spans="1:6" x14ac:dyDescent="0.55000000000000004">
      <c r="A557">
        <v>80</v>
      </c>
      <c r="B557" t="str">
        <f t="shared" si="9"/>
        <v>80_0</v>
      </c>
      <c r="C557" t="s">
        <v>154</v>
      </c>
      <c r="D557" t="s">
        <v>162</v>
      </c>
      <c r="F557">
        <v>8.36</v>
      </c>
    </row>
    <row r="558" spans="1:6" x14ac:dyDescent="0.55000000000000004">
      <c r="A558">
        <v>80</v>
      </c>
      <c r="B558" t="str">
        <f t="shared" si="9"/>
        <v>80_0</v>
      </c>
      <c r="C558" t="s">
        <v>163</v>
      </c>
      <c r="D558" t="s">
        <v>168</v>
      </c>
      <c r="E558" t="s">
        <v>131</v>
      </c>
      <c r="F558">
        <v>0</v>
      </c>
    </row>
    <row r="559" spans="1:6" x14ac:dyDescent="0.55000000000000004">
      <c r="A559">
        <v>80</v>
      </c>
      <c r="B559" t="str">
        <f t="shared" si="9"/>
        <v>80_0</v>
      </c>
      <c r="C559" t="s">
        <v>163</v>
      </c>
      <c r="D559" t="s">
        <v>169</v>
      </c>
    </row>
    <row r="560" spans="1:6" x14ac:dyDescent="0.55000000000000004">
      <c r="A560">
        <v>80</v>
      </c>
      <c r="B560" t="str">
        <f t="shared" ref="B560:B615" si="10">A560 &amp; "_0"</f>
        <v>80_0</v>
      </c>
      <c r="C560" t="s">
        <v>163</v>
      </c>
      <c r="D560" t="s">
        <v>170</v>
      </c>
      <c r="E560" t="s">
        <v>139</v>
      </c>
      <c r="F560">
        <v>0</v>
      </c>
    </row>
    <row r="561" spans="1:7" x14ac:dyDescent="0.55000000000000004">
      <c r="A561">
        <v>80</v>
      </c>
      <c r="B561" t="str">
        <f t="shared" si="10"/>
        <v>80_0</v>
      </c>
      <c r="C561" t="s">
        <v>163</v>
      </c>
      <c r="D561" t="s">
        <v>171</v>
      </c>
    </row>
    <row r="562" spans="1:7" x14ac:dyDescent="0.55000000000000004">
      <c r="A562">
        <v>81</v>
      </c>
      <c r="B562" t="str">
        <f t="shared" si="10"/>
        <v>81_0</v>
      </c>
      <c r="C562" t="s">
        <v>126</v>
      </c>
      <c r="D562" t="s">
        <v>127</v>
      </c>
      <c r="E562" t="s">
        <v>128</v>
      </c>
      <c r="F562" s="1"/>
      <c r="G562" t="s">
        <v>129</v>
      </c>
    </row>
    <row r="563" spans="1:7" x14ac:dyDescent="0.55000000000000004">
      <c r="A563">
        <v>81</v>
      </c>
      <c r="B563" t="str">
        <f t="shared" si="10"/>
        <v>81_0</v>
      </c>
      <c r="C563" t="s">
        <v>126</v>
      </c>
      <c r="D563" s="11" t="s">
        <v>130</v>
      </c>
      <c r="E563" t="s">
        <v>131</v>
      </c>
      <c r="F563">
        <v>1</v>
      </c>
    </row>
    <row r="564" spans="1:7" x14ac:dyDescent="0.55000000000000004">
      <c r="A564">
        <v>81</v>
      </c>
      <c r="B564" t="str">
        <f t="shared" si="10"/>
        <v>81_0</v>
      </c>
      <c r="C564" t="s">
        <v>126</v>
      </c>
      <c r="D564" t="s">
        <v>132</v>
      </c>
      <c r="E564" t="s">
        <v>133</v>
      </c>
    </row>
    <row r="565" spans="1:7" x14ac:dyDescent="0.55000000000000004">
      <c r="A565">
        <v>81</v>
      </c>
      <c r="B565" t="str">
        <f t="shared" si="10"/>
        <v>81_0</v>
      </c>
      <c r="C565" t="s">
        <v>126</v>
      </c>
      <c r="D565" t="s">
        <v>134</v>
      </c>
      <c r="E565" t="s">
        <v>133</v>
      </c>
      <c r="F565">
        <v>1</v>
      </c>
    </row>
    <row r="566" spans="1:7" x14ac:dyDescent="0.55000000000000004">
      <c r="A566">
        <v>81</v>
      </c>
      <c r="B566" t="str">
        <f t="shared" si="10"/>
        <v>81_0</v>
      </c>
      <c r="C566" t="s">
        <v>126</v>
      </c>
      <c r="D566" t="s">
        <v>135</v>
      </c>
      <c r="E566" t="s">
        <v>136</v>
      </c>
      <c r="F566">
        <f>F565/10</f>
        <v>0.1</v>
      </c>
      <c r="G566" t="s">
        <v>137</v>
      </c>
    </row>
    <row r="567" spans="1:7" x14ac:dyDescent="0.55000000000000004">
      <c r="A567">
        <v>81</v>
      </c>
      <c r="B567" t="str">
        <f t="shared" si="10"/>
        <v>81_0</v>
      </c>
      <c r="C567" t="s">
        <v>126</v>
      </c>
      <c r="D567" s="2" t="s">
        <v>138</v>
      </c>
      <c r="E567" t="s">
        <v>139</v>
      </c>
      <c r="F567">
        <v>100</v>
      </c>
    </row>
    <row r="568" spans="1:7" x14ac:dyDescent="0.55000000000000004">
      <c r="A568">
        <v>81</v>
      </c>
      <c r="B568" t="str">
        <f t="shared" si="10"/>
        <v>81_0</v>
      </c>
      <c r="C568" t="s">
        <v>126</v>
      </c>
      <c r="D568" s="2" t="s">
        <v>140</v>
      </c>
      <c r="F568" t="s">
        <v>172</v>
      </c>
    </row>
    <row r="569" spans="1:7" x14ac:dyDescent="0.55000000000000004">
      <c r="A569">
        <v>81</v>
      </c>
      <c r="B569" t="str">
        <f t="shared" si="10"/>
        <v>81_0</v>
      </c>
      <c r="C569" t="s">
        <v>126</v>
      </c>
      <c r="D569" s="2" t="s">
        <v>141</v>
      </c>
      <c r="E569" t="s">
        <v>139</v>
      </c>
      <c r="F569">
        <v>100</v>
      </c>
    </row>
    <row r="570" spans="1:7" x14ac:dyDescent="0.55000000000000004">
      <c r="A570">
        <v>81</v>
      </c>
      <c r="B570" t="str">
        <f t="shared" si="10"/>
        <v>81_0</v>
      </c>
      <c r="C570" t="s">
        <v>126</v>
      </c>
      <c r="D570" t="s">
        <v>142</v>
      </c>
      <c r="E570" t="s">
        <v>139</v>
      </c>
      <c r="F570">
        <v>0</v>
      </c>
    </row>
    <row r="571" spans="1:7" x14ac:dyDescent="0.55000000000000004">
      <c r="A571">
        <v>81</v>
      </c>
      <c r="B571" t="str">
        <f t="shared" si="10"/>
        <v>81_0</v>
      </c>
      <c r="C571" t="s">
        <v>126</v>
      </c>
      <c r="D571" t="s">
        <v>143</v>
      </c>
      <c r="E571" t="s">
        <v>131</v>
      </c>
      <c r="F571">
        <v>0</v>
      </c>
    </row>
    <row r="572" spans="1:7" x14ac:dyDescent="0.55000000000000004">
      <c r="A572">
        <v>81</v>
      </c>
      <c r="B572" t="str">
        <f t="shared" si="10"/>
        <v>81_0</v>
      </c>
      <c r="C572" t="s">
        <v>126</v>
      </c>
      <c r="D572" t="s">
        <v>144</v>
      </c>
      <c r="E572" t="s">
        <v>139</v>
      </c>
      <c r="F572">
        <v>0</v>
      </c>
    </row>
    <row r="573" spans="1:7" x14ac:dyDescent="0.55000000000000004">
      <c r="A573">
        <v>81</v>
      </c>
      <c r="B573" t="str">
        <f t="shared" si="10"/>
        <v>81_0</v>
      </c>
      <c r="C573" t="s">
        <v>126</v>
      </c>
      <c r="D573" t="s">
        <v>145</v>
      </c>
      <c r="E573" t="s">
        <v>139</v>
      </c>
      <c r="F573">
        <v>0</v>
      </c>
    </row>
    <row r="574" spans="1:7" x14ac:dyDescent="0.55000000000000004">
      <c r="A574">
        <v>81</v>
      </c>
      <c r="B574" t="str">
        <f t="shared" si="10"/>
        <v>81_0</v>
      </c>
      <c r="C574" t="s">
        <v>126</v>
      </c>
      <c r="D574" t="s">
        <v>146</v>
      </c>
      <c r="E574" t="s">
        <v>139</v>
      </c>
      <c r="F574">
        <v>0</v>
      </c>
    </row>
    <row r="575" spans="1:7" x14ac:dyDescent="0.55000000000000004">
      <c r="A575">
        <v>81</v>
      </c>
      <c r="B575" t="str">
        <f t="shared" si="10"/>
        <v>81_0</v>
      </c>
      <c r="C575" t="s">
        <v>126</v>
      </c>
      <c r="D575" t="s">
        <v>147</v>
      </c>
      <c r="E575" t="s">
        <v>139</v>
      </c>
      <c r="F575">
        <v>10</v>
      </c>
    </row>
    <row r="576" spans="1:7" x14ac:dyDescent="0.55000000000000004">
      <c r="A576">
        <v>81</v>
      </c>
      <c r="B576" t="str">
        <f t="shared" si="10"/>
        <v>81_0</v>
      </c>
      <c r="C576" t="s">
        <v>126</v>
      </c>
      <c r="D576" t="s">
        <v>148</v>
      </c>
      <c r="E576" t="s">
        <v>139</v>
      </c>
      <c r="F576">
        <v>90</v>
      </c>
    </row>
    <row r="577" spans="1:7" x14ac:dyDescent="0.55000000000000004">
      <c r="A577">
        <v>81</v>
      </c>
      <c r="B577" t="str">
        <f t="shared" si="10"/>
        <v>81_0</v>
      </c>
      <c r="C577" t="s">
        <v>126</v>
      </c>
      <c r="D577" t="s">
        <v>149</v>
      </c>
      <c r="E577" t="s">
        <v>139</v>
      </c>
      <c r="F577">
        <v>0</v>
      </c>
    </row>
    <row r="578" spans="1:7" x14ac:dyDescent="0.55000000000000004">
      <c r="A578">
        <v>81</v>
      </c>
      <c r="B578" t="str">
        <f t="shared" si="10"/>
        <v>81_0</v>
      </c>
      <c r="C578" t="s">
        <v>126</v>
      </c>
      <c r="D578" t="s">
        <v>150</v>
      </c>
      <c r="E578" t="s">
        <v>139</v>
      </c>
      <c r="F578">
        <v>0</v>
      </c>
    </row>
    <row r="579" spans="1:7" x14ac:dyDescent="0.55000000000000004">
      <c r="A579">
        <v>81</v>
      </c>
      <c r="B579" t="str">
        <f t="shared" si="10"/>
        <v>81_0</v>
      </c>
      <c r="C579" t="s">
        <v>126</v>
      </c>
      <c r="D579" t="s">
        <v>152</v>
      </c>
      <c r="E579" t="s">
        <v>153</v>
      </c>
    </row>
    <row r="580" spans="1:7" x14ac:dyDescent="0.55000000000000004">
      <c r="A580">
        <v>81</v>
      </c>
      <c r="B580" t="str">
        <f t="shared" si="10"/>
        <v>81_0</v>
      </c>
      <c r="C580" t="s">
        <v>154</v>
      </c>
      <c r="D580" t="s">
        <v>155</v>
      </c>
      <c r="E580" t="s">
        <v>156</v>
      </c>
      <c r="F580">
        <v>21</v>
      </c>
    </row>
    <row r="581" spans="1:7" x14ac:dyDescent="0.55000000000000004">
      <c r="A581">
        <v>81</v>
      </c>
      <c r="B581" t="str">
        <f t="shared" si="10"/>
        <v>81_0</v>
      </c>
      <c r="C581" t="s">
        <v>154</v>
      </c>
      <c r="D581" t="s">
        <v>157</v>
      </c>
      <c r="E581" t="s">
        <v>158</v>
      </c>
      <c r="F581">
        <v>9.36</v>
      </c>
    </row>
    <row r="582" spans="1:7" x14ac:dyDescent="0.55000000000000004">
      <c r="A582">
        <v>81</v>
      </c>
      <c r="B582" t="str">
        <f t="shared" si="10"/>
        <v>81_0</v>
      </c>
      <c r="C582" t="s">
        <v>154</v>
      </c>
      <c r="D582" t="s">
        <v>159</v>
      </c>
      <c r="E582" t="s">
        <v>139</v>
      </c>
      <c r="F582">
        <v>105</v>
      </c>
    </row>
    <row r="583" spans="1:7" x14ac:dyDescent="0.55000000000000004">
      <c r="A583">
        <v>81</v>
      </c>
      <c r="B583" t="str">
        <f t="shared" si="10"/>
        <v>81_0</v>
      </c>
      <c r="C583" t="s">
        <v>154</v>
      </c>
      <c r="D583" t="s">
        <v>357</v>
      </c>
      <c r="E583" t="s">
        <v>161</v>
      </c>
      <c r="F583">
        <v>142.69999999999999</v>
      </c>
    </row>
    <row r="584" spans="1:7" x14ac:dyDescent="0.55000000000000004">
      <c r="A584">
        <f>A583</f>
        <v>81</v>
      </c>
      <c r="B584" t="str">
        <f>B583</f>
        <v>81_0</v>
      </c>
      <c r="C584" s="9" t="str">
        <f>C583</f>
        <v>Chemical</v>
      </c>
      <c r="D584" t="s">
        <v>356</v>
      </c>
      <c r="E584" t="s">
        <v>161</v>
      </c>
      <c r="F584">
        <f xml:space="preserve"> F583 / (1 + 0.021 * (F580 - 25))</f>
        <v>155.78602620087335</v>
      </c>
    </row>
    <row r="585" spans="1:7" x14ac:dyDescent="0.55000000000000004">
      <c r="A585">
        <v>81</v>
      </c>
      <c r="B585" t="str">
        <f t="shared" si="10"/>
        <v>81_0</v>
      </c>
      <c r="C585" t="s">
        <v>154</v>
      </c>
      <c r="D585" t="s">
        <v>162</v>
      </c>
      <c r="F585">
        <v>8.65</v>
      </c>
    </row>
    <row r="586" spans="1:7" x14ac:dyDescent="0.55000000000000004">
      <c r="A586">
        <v>81</v>
      </c>
      <c r="B586" t="str">
        <f t="shared" si="10"/>
        <v>81_0</v>
      </c>
      <c r="C586" t="s">
        <v>163</v>
      </c>
      <c r="D586" t="s">
        <v>168</v>
      </c>
      <c r="E586" t="s">
        <v>131</v>
      </c>
      <c r="F586">
        <v>1</v>
      </c>
    </row>
    <row r="587" spans="1:7" x14ac:dyDescent="0.55000000000000004">
      <c r="A587">
        <v>81</v>
      </c>
      <c r="B587" t="str">
        <f t="shared" si="10"/>
        <v>81_0</v>
      </c>
      <c r="C587" t="s">
        <v>163</v>
      </c>
      <c r="D587" t="s">
        <v>169</v>
      </c>
      <c r="F587" t="s">
        <v>173</v>
      </c>
    </row>
    <row r="588" spans="1:7" x14ac:dyDescent="0.55000000000000004">
      <c r="A588">
        <v>81</v>
      </c>
      <c r="B588" t="str">
        <f t="shared" si="10"/>
        <v>81_0</v>
      </c>
      <c r="C588" t="s">
        <v>163</v>
      </c>
      <c r="D588" t="s">
        <v>170</v>
      </c>
      <c r="E588" t="s">
        <v>139</v>
      </c>
      <c r="F588">
        <v>20</v>
      </c>
    </row>
    <row r="589" spans="1:7" x14ac:dyDescent="0.55000000000000004">
      <c r="A589">
        <v>81</v>
      </c>
      <c r="B589" t="str">
        <f t="shared" si="10"/>
        <v>81_0</v>
      </c>
      <c r="C589" t="s">
        <v>163</v>
      </c>
      <c r="D589" t="s">
        <v>171</v>
      </c>
    </row>
    <row r="590" spans="1:7" x14ac:dyDescent="0.55000000000000004">
      <c r="A590">
        <v>82</v>
      </c>
      <c r="B590" t="str">
        <f t="shared" si="10"/>
        <v>82_0</v>
      </c>
      <c r="C590" t="s">
        <v>126</v>
      </c>
      <c r="D590" t="s">
        <v>127</v>
      </c>
      <c r="E590" t="s">
        <v>128</v>
      </c>
      <c r="F590" s="1"/>
      <c r="G590" t="s">
        <v>129</v>
      </c>
    </row>
    <row r="591" spans="1:7" x14ac:dyDescent="0.55000000000000004">
      <c r="A591">
        <v>82</v>
      </c>
      <c r="B591" t="str">
        <f t="shared" si="10"/>
        <v>82_0</v>
      </c>
      <c r="C591" t="s">
        <v>126</v>
      </c>
      <c r="D591" s="11" t="s">
        <v>130</v>
      </c>
      <c r="E591" t="s">
        <v>131</v>
      </c>
      <c r="F591">
        <v>1</v>
      </c>
    </row>
    <row r="592" spans="1:7" x14ac:dyDescent="0.55000000000000004">
      <c r="A592">
        <v>82</v>
      </c>
      <c r="B592" t="str">
        <f t="shared" si="10"/>
        <v>82_0</v>
      </c>
      <c r="C592" t="s">
        <v>126</v>
      </c>
      <c r="D592" t="s">
        <v>132</v>
      </c>
      <c r="E592" t="s">
        <v>133</v>
      </c>
    </row>
    <row r="593" spans="1:7" x14ac:dyDescent="0.55000000000000004">
      <c r="A593">
        <v>82</v>
      </c>
      <c r="B593" t="str">
        <f t="shared" si="10"/>
        <v>82_0</v>
      </c>
      <c r="C593" t="s">
        <v>126</v>
      </c>
      <c r="D593" t="s">
        <v>134</v>
      </c>
      <c r="E593" t="s">
        <v>133</v>
      </c>
      <c r="F593">
        <v>0.55000000000000004</v>
      </c>
    </row>
    <row r="594" spans="1:7" x14ac:dyDescent="0.55000000000000004">
      <c r="A594">
        <v>82</v>
      </c>
      <c r="B594" t="str">
        <f t="shared" si="10"/>
        <v>82_0</v>
      </c>
      <c r="C594" t="s">
        <v>126</v>
      </c>
      <c r="D594" t="s">
        <v>135</v>
      </c>
      <c r="E594" t="s">
        <v>136</v>
      </c>
      <c r="F594">
        <f>F593/10</f>
        <v>5.5000000000000007E-2</v>
      </c>
      <c r="G594" t="s">
        <v>137</v>
      </c>
    </row>
    <row r="595" spans="1:7" x14ac:dyDescent="0.55000000000000004">
      <c r="A595">
        <v>82</v>
      </c>
      <c r="B595" t="str">
        <f t="shared" si="10"/>
        <v>82_0</v>
      </c>
      <c r="C595" t="s">
        <v>126</v>
      </c>
      <c r="D595" s="2" t="s">
        <v>138</v>
      </c>
      <c r="E595" t="s">
        <v>139</v>
      </c>
      <c r="F595">
        <v>90</v>
      </c>
    </row>
    <row r="596" spans="1:7" x14ac:dyDescent="0.55000000000000004">
      <c r="A596">
        <v>82</v>
      </c>
      <c r="B596" t="str">
        <f t="shared" si="10"/>
        <v>82_0</v>
      </c>
      <c r="C596" t="s">
        <v>126</v>
      </c>
      <c r="D596" s="2" t="s">
        <v>140</v>
      </c>
      <c r="F596" t="s">
        <v>183</v>
      </c>
    </row>
    <row r="597" spans="1:7" x14ac:dyDescent="0.55000000000000004">
      <c r="A597">
        <v>82</v>
      </c>
      <c r="B597" t="str">
        <f t="shared" si="10"/>
        <v>82_0</v>
      </c>
      <c r="C597" t="s">
        <v>126</v>
      </c>
      <c r="D597" s="2" t="s">
        <v>141</v>
      </c>
      <c r="E597" t="s">
        <v>139</v>
      </c>
      <c r="F597">
        <v>0</v>
      </c>
    </row>
    <row r="598" spans="1:7" x14ac:dyDescent="0.55000000000000004">
      <c r="A598">
        <v>82</v>
      </c>
      <c r="B598" t="str">
        <f t="shared" si="10"/>
        <v>82_0</v>
      </c>
      <c r="C598" t="s">
        <v>126</v>
      </c>
      <c r="D598" t="s">
        <v>142</v>
      </c>
      <c r="E598" t="s">
        <v>139</v>
      </c>
      <c r="F598">
        <v>0</v>
      </c>
    </row>
    <row r="599" spans="1:7" x14ac:dyDescent="0.55000000000000004">
      <c r="A599">
        <v>82</v>
      </c>
      <c r="B599" t="str">
        <f t="shared" si="10"/>
        <v>82_0</v>
      </c>
      <c r="C599" t="s">
        <v>126</v>
      </c>
      <c r="D599" t="s">
        <v>143</v>
      </c>
      <c r="E599" t="s">
        <v>131</v>
      </c>
      <c r="F599">
        <v>0</v>
      </c>
    </row>
    <row r="600" spans="1:7" x14ac:dyDescent="0.55000000000000004">
      <c r="A600">
        <v>82</v>
      </c>
      <c r="B600" t="str">
        <f t="shared" si="10"/>
        <v>82_0</v>
      </c>
      <c r="C600" t="s">
        <v>126</v>
      </c>
      <c r="D600" t="s">
        <v>144</v>
      </c>
      <c r="E600" t="s">
        <v>139</v>
      </c>
      <c r="F600">
        <v>0</v>
      </c>
    </row>
    <row r="601" spans="1:7" x14ac:dyDescent="0.55000000000000004">
      <c r="A601">
        <v>82</v>
      </c>
      <c r="B601" t="str">
        <f t="shared" si="10"/>
        <v>82_0</v>
      </c>
      <c r="C601" t="s">
        <v>126</v>
      </c>
      <c r="D601" t="s">
        <v>145</v>
      </c>
      <c r="E601" t="s">
        <v>139</v>
      </c>
      <c r="F601">
        <v>0</v>
      </c>
    </row>
    <row r="602" spans="1:7" x14ac:dyDescent="0.55000000000000004">
      <c r="A602">
        <v>82</v>
      </c>
      <c r="B602" t="str">
        <f t="shared" si="10"/>
        <v>82_0</v>
      </c>
      <c r="C602" t="s">
        <v>126</v>
      </c>
      <c r="D602" t="s">
        <v>146</v>
      </c>
      <c r="E602" t="s">
        <v>139</v>
      </c>
      <c r="F602">
        <v>0</v>
      </c>
    </row>
    <row r="603" spans="1:7" x14ac:dyDescent="0.55000000000000004">
      <c r="A603">
        <v>82</v>
      </c>
      <c r="B603" t="str">
        <f t="shared" si="10"/>
        <v>82_0</v>
      </c>
      <c r="C603" t="s">
        <v>126</v>
      </c>
      <c r="D603" t="s">
        <v>147</v>
      </c>
      <c r="E603" t="s">
        <v>139</v>
      </c>
      <c r="F603">
        <v>5</v>
      </c>
    </row>
    <row r="604" spans="1:7" x14ac:dyDescent="0.55000000000000004">
      <c r="A604">
        <v>82</v>
      </c>
      <c r="B604" t="str">
        <f t="shared" si="10"/>
        <v>82_0</v>
      </c>
      <c r="C604" t="s">
        <v>126</v>
      </c>
      <c r="D604" t="s">
        <v>148</v>
      </c>
      <c r="E604" t="s">
        <v>139</v>
      </c>
      <c r="F604">
        <v>95</v>
      </c>
    </row>
    <row r="605" spans="1:7" x14ac:dyDescent="0.55000000000000004">
      <c r="A605">
        <v>82</v>
      </c>
      <c r="B605" t="str">
        <f t="shared" si="10"/>
        <v>82_0</v>
      </c>
      <c r="C605" t="s">
        <v>126</v>
      </c>
      <c r="D605" t="s">
        <v>149</v>
      </c>
      <c r="E605" t="s">
        <v>139</v>
      </c>
      <c r="F605">
        <v>0</v>
      </c>
    </row>
    <row r="606" spans="1:7" x14ac:dyDescent="0.55000000000000004">
      <c r="A606">
        <v>82</v>
      </c>
      <c r="B606" t="str">
        <f t="shared" si="10"/>
        <v>82_0</v>
      </c>
      <c r="C606" t="s">
        <v>126</v>
      </c>
      <c r="D606" t="s">
        <v>150</v>
      </c>
      <c r="E606" t="s">
        <v>139</v>
      </c>
      <c r="F606">
        <v>0</v>
      </c>
    </row>
    <row r="607" spans="1:7" x14ac:dyDescent="0.55000000000000004">
      <c r="A607">
        <v>82</v>
      </c>
      <c r="B607" t="str">
        <f t="shared" si="10"/>
        <v>82_0</v>
      </c>
      <c r="C607" t="s">
        <v>126</v>
      </c>
      <c r="D607" t="s">
        <v>152</v>
      </c>
      <c r="E607" t="s">
        <v>153</v>
      </c>
    </row>
    <row r="608" spans="1:7" x14ac:dyDescent="0.55000000000000004">
      <c r="A608">
        <v>82</v>
      </c>
      <c r="B608" t="str">
        <f t="shared" si="10"/>
        <v>82_0</v>
      </c>
      <c r="C608" t="s">
        <v>154</v>
      </c>
      <c r="D608" t="s">
        <v>155</v>
      </c>
      <c r="E608" t="s">
        <v>156</v>
      </c>
      <c r="F608">
        <v>21.2</v>
      </c>
    </row>
    <row r="609" spans="1:7" x14ac:dyDescent="0.55000000000000004">
      <c r="A609">
        <v>82</v>
      </c>
      <c r="B609" t="str">
        <f t="shared" si="10"/>
        <v>82_0</v>
      </c>
      <c r="C609" t="s">
        <v>154</v>
      </c>
      <c r="D609" t="s">
        <v>157</v>
      </c>
      <c r="E609" t="s">
        <v>158</v>
      </c>
      <c r="F609">
        <v>10.42</v>
      </c>
    </row>
    <row r="610" spans="1:7" x14ac:dyDescent="0.55000000000000004">
      <c r="A610">
        <v>82</v>
      </c>
      <c r="B610" t="str">
        <f t="shared" si="10"/>
        <v>82_0</v>
      </c>
      <c r="C610" t="s">
        <v>154</v>
      </c>
      <c r="D610" t="s">
        <v>159</v>
      </c>
      <c r="E610" t="s">
        <v>139</v>
      </c>
      <c r="F610">
        <v>117.5</v>
      </c>
    </row>
    <row r="611" spans="1:7" x14ac:dyDescent="0.55000000000000004">
      <c r="A611">
        <v>82</v>
      </c>
      <c r="B611" t="str">
        <f t="shared" si="10"/>
        <v>82_0</v>
      </c>
      <c r="C611" t="s">
        <v>154</v>
      </c>
      <c r="D611" t="s">
        <v>357</v>
      </c>
      <c r="E611" t="s">
        <v>161</v>
      </c>
      <c r="F611">
        <v>152.80000000000001</v>
      </c>
    </row>
    <row r="612" spans="1:7" x14ac:dyDescent="0.55000000000000004">
      <c r="A612">
        <f>A611</f>
        <v>82</v>
      </c>
      <c r="B612" t="str">
        <f>B611</f>
        <v>82_0</v>
      </c>
      <c r="C612" s="9" t="str">
        <f>C611</f>
        <v>Chemical</v>
      </c>
      <c r="D612" t="s">
        <v>356</v>
      </c>
      <c r="E612" t="s">
        <v>161</v>
      </c>
      <c r="F612">
        <f xml:space="preserve"> F611 / (1 + 0.021 * (F608 - 25))</f>
        <v>166.05085850901978</v>
      </c>
    </row>
    <row r="613" spans="1:7" x14ac:dyDescent="0.55000000000000004">
      <c r="A613">
        <v>82</v>
      </c>
      <c r="B613" t="str">
        <f t="shared" si="10"/>
        <v>82_0</v>
      </c>
      <c r="C613" t="s">
        <v>154</v>
      </c>
      <c r="D613" t="s">
        <v>162</v>
      </c>
      <c r="F613">
        <v>8.8000000000000007</v>
      </c>
    </row>
    <row r="614" spans="1:7" x14ac:dyDescent="0.55000000000000004">
      <c r="A614">
        <v>82</v>
      </c>
      <c r="B614" t="str">
        <f t="shared" si="10"/>
        <v>82_0</v>
      </c>
      <c r="C614" t="s">
        <v>163</v>
      </c>
      <c r="D614" t="s">
        <v>168</v>
      </c>
      <c r="E614" t="s">
        <v>131</v>
      </c>
      <c r="F614">
        <v>0</v>
      </c>
    </row>
    <row r="615" spans="1:7" x14ac:dyDescent="0.55000000000000004">
      <c r="A615">
        <v>82</v>
      </c>
      <c r="B615" t="str">
        <f t="shared" si="10"/>
        <v>82_0</v>
      </c>
      <c r="C615" t="s">
        <v>163</v>
      </c>
      <c r="D615" t="s">
        <v>169</v>
      </c>
    </row>
    <row r="616" spans="1:7" x14ac:dyDescent="0.55000000000000004">
      <c r="A616">
        <v>82</v>
      </c>
      <c r="B616" t="str">
        <f t="shared" ref="B616:B671" si="11">A616 &amp; "_0"</f>
        <v>82_0</v>
      </c>
      <c r="C616" t="s">
        <v>163</v>
      </c>
      <c r="D616" t="s">
        <v>170</v>
      </c>
      <c r="E616" t="s">
        <v>139</v>
      </c>
      <c r="F616">
        <v>10</v>
      </c>
    </row>
    <row r="617" spans="1:7" x14ac:dyDescent="0.55000000000000004">
      <c r="A617">
        <v>82</v>
      </c>
      <c r="B617" t="str">
        <f t="shared" si="11"/>
        <v>82_0</v>
      </c>
      <c r="C617" t="s">
        <v>163</v>
      </c>
      <c r="D617" t="s">
        <v>171</v>
      </c>
    </row>
    <row r="618" spans="1:7" x14ac:dyDescent="0.55000000000000004">
      <c r="A618">
        <v>83</v>
      </c>
      <c r="B618" t="str">
        <f t="shared" si="11"/>
        <v>83_0</v>
      </c>
      <c r="C618" t="s">
        <v>126</v>
      </c>
      <c r="D618" t="s">
        <v>127</v>
      </c>
      <c r="E618" t="s">
        <v>128</v>
      </c>
      <c r="F618" s="1"/>
      <c r="G618" t="s">
        <v>129</v>
      </c>
    </row>
    <row r="619" spans="1:7" x14ac:dyDescent="0.55000000000000004">
      <c r="A619">
        <v>83</v>
      </c>
      <c r="B619" t="str">
        <f t="shared" si="11"/>
        <v>83_0</v>
      </c>
      <c r="C619" t="s">
        <v>126</v>
      </c>
      <c r="D619" s="11" t="s">
        <v>130</v>
      </c>
      <c r="E619" t="s">
        <v>131</v>
      </c>
      <c r="F619">
        <v>1</v>
      </c>
    </row>
    <row r="620" spans="1:7" x14ac:dyDescent="0.55000000000000004">
      <c r="A620">
        <v>83</v>
      </c>
      <c r="B620" t="str">
        <f t="shared" si="11"/>
        <v>83_0</v>
      </c>
      <c r="C620" t="s">
        <v>126</v>
      </c>
      <c r="D620" t="s">
        <v>132</v>
      </c>
      <c r="E620" t="s">
        <v>133</v>
      </c>
    </row>
    <row r="621" spans="1:7" x14ac:dyDescent="0.55000000000000004">
      <c r="A621">
        <v>83</v>
      </c>
      <c r="B621" t="str">
        <f t="shared" si="11"/>
        <v>83_0</v>
      </c>
      <c r="C621" t="s">
        <v>126</v>
      </c>
      <c r="D621" t="s">
        <v>134</v>
      </c>
      <c r="E621" t="s">
        <v>133</v>
      </c>
      <c r="F621">
        <v>1.3</v>
      </c>
    </row>
    <row r="622" spans="1:7" x14ac:dyDescent="0.55000000000000004">
      <c r="A622">
        <v>83</v>
      </c>
      <c r="B622" t="str">
        <f t="shared" si="11"/>
        <v>83_0</v>
      </c>
      <c r="C622" t="s">
        <v>126</v>
      </c>
      <c r="D622" t="s">
        <v>135</v>
      </c>
      <c r="E622" t="s">
        <v>136</v>
      </c>
      <c r="F622">
        <f>F621/10</f>
        <v>0.13</v>
      </c>
      <c r="G622" t="s">
        <v>137</v>
      </c>
    </row>
    <row r="623" spans="1:7" x14ac:dyDescent="0.55000000000000004">
      <c r="A623">
        <v>83</v>
      </c>
      <c r="B623" t="str">
        <f t="shared" si="11"/>
        <v>83_0</v>
      </c>
      <c r="C623" t="s">
        <v>126</v>
      </c>
      <c r="D623" s="2" t="s">
        <v>138</v>
      </c>
      <c r="E623" t="s">
        <v>139</v>
      </c>
      <c r="F623">
        <v>20</v>
      </c>
    </row>
    <row r="624" spans="1:7" x14ac:dyDescent="0.55000000000000004">
      <c r="A624">
        <v>83</v>
      </c>
      <c r="B624" t="str">
        <f t="shared" si="11"/>
        <v>83_0</v>
      </c>
      <c r="C624" t="s">
        <v>126</v>
      </c>
      <c r="D624" s="2" t="s">
        <v>140</v>
      </c>
      <c r="F624" t="s">
        <v>172</v>
      </c>
    </row>
    <row r="625" spans="1:6" x14ac:dyDescent="0.55000000000000004">
      <c r="A625">
        <v>83</v>
      </c>
      <c r="B625" t="str">
        <f t="shared" si="11"/>
        <v>83_0</v>
      </c>
      <c r="C625" t="s">
        <v>126</v>
      </c>
      <c r="D625" s="2" t="s">
        <v>141</v>
      </c>
      <c r="E625" t="s">
        <v>139</v>
      </c>
      <c r="F625">
        <v>100</v>
      </c>
    </row>
    <row r="626" spans="1:6" x14ac:dyDescent="0.55000000000000004">
      <c r="A626">
        <v>83</v>
      </c>
      <c r="B626" t="str">
        <f t="shared" si="11"/>
        <v>83_0</v>
      </c>
      <c r="C626" t="s">
        <v>126</v>
      </c>
      <c r="D626" t="s">
        <v>142</v>
      </c>
      <c r="E626" t="s">
        <v>139</v>
      </c>
      <c r="F626">
        <v>0</v>
      </c>
    </row>
    <row r="627" spans="1:6" x14ac:dyDescent="0.55000000000000004">
      <c r="A627">
        <v>83</v>
      </c>
      <c r="B627" t="str">
        <f t="shared" si="11"/>
        <v>83_0</v>
      </c>
      <c r="C627" t="s">
        <v>126</v>
      </c>
      <c r="D627" t="s">
        <v>143</v>
      </c>
      <c r="E627" t="s">
        <v>131</v>
      </c>
      <c r="F627">
        <v>0</v>
      </c>
    </row>
    <row r="628" spans="1:6" x14ac:dyDescent="0.55000000000000004">
      <c r="A628">
        <v>83</v>
      </c>
      <c r="B628" t="str">
        <f t="shared" si="11"/>
        <v>83_0</v>
      </c>
      <c r="C628" t="s">
        <v>126</v>
      </c>
      <c r="D628" t="s">
        <v>144</v>
      </c>
      <c r="E628" t="s">
        <v>139</v>
      </c>
      <c r="F628">
        <v>0</v>
      </c>
    </row>
    <row r="629" spans="1:6" x14ac:dyDescent="0.55000000000000004">
      <c r="A629">
        <v>83</v>
      </c>
      <c r="B629" t="str">
        <f t="shared" si="11"/>
        <v>83_0</v>
      </c>
      <c r="C629" t="s">
        <v>126</v>
      </c>
      <c r="D629" t="s">
        <v>145</v>
      </c>
      <c r="E629" t="s">
        <v>139</v>
      </c>
      <c r="F629">
        <v>0</v>
      </c>
    </row>
    <row r="630" spans="1:6" x14ac:dyDescent="0.55000000000000004">
      <c r="A630">
        <v>83</v>
      </c>
      <c r="B630" t="str">
        <f t="shared" si="11"/>
        <v>83_0</v>
      </c>
      <c r="C630" t="s">
        <v>126</v>
      </c>
      <c r="D630" t="s">
        <v>146</v>
      </c>
      <c r="E630" t="s">
        <v>139</v>
      </c>
      <c r="F630">
        <v>30</v>
      </c>
    </row>
    <row r="631" spans="1:6" x14ac:dyDescent="0.55000000000000004">
      <c r="A631">
        <v>83</v>
      </c>
      <c r="B631" t="str">
        <f t="shared" si="11"/>
        <v>83_0</v>
      </c>
      <c r="C631" t="s">
        <v>126</v>
      </c>
      <c r="D631" t="s">
        <v>147</v>
      </c>
      <c r="E631" t="s">
        <v>139</v>
      </c>
      <c r="F631">
        <v>0</v>
      </c>
    </row>
    <row r="632" spans="1:6" x14ac:dyDescent="0.55000000000000004">
      <c r="A632">
        <v>83</v>
      </c>
      <c r="B632" t="str">
        <f t="shared" si="11"/>
        <v>83_0</v>
      </c>
      <c r="C632" t="s">
        <v>126</v>
      </c>
      <c r="D632" t="s">
        <v>148</v>
      </c>
      <c r="E632" t="s">
        <v>139</v>
      </c>
      <c r="F632">
        <v>70</v>
      </c>
    </row>
    <row r="633" spans="1:6" x14ac:dyDescent="0.55000000000000004">
      <c r="A633">
        <v>83</v>
      </c>
      <c r="B633" t="str">
        <f t="shared" si="11"/>
        <v>83_0</v>
      </c>
      <c r="C633" t="s">
        <v>126</v>
      </c>
      <c r="D633" t="s">
        <v>149</v>
      </c>
      <c r="E633" t="s">
        <v>139</v>
      </c>
      <c r="F633">
        <v>0</v>
      </c>
    </row>
    <row r="634" spans="1:6" x14ac:dyDescent="0.55000000000000004">
      <c r="A634">
        <v>83</v>
      </c>
      <c r="B634" t="str">
        <f t="shared" si="11"/>
        <v>83_0</v>
      </c>
      <c r="C634" t="s">
        <v>126</v>
      </c>
      <c r="D634" t="s">
        <v>150</v>
      </c>
      <c r="E634" t="s">
        <v>139</v>
      </c>
      <c r="F634">
        <v>0</v>
      </c>
    </row>
    <row r="635" spans="1:6" x14ac:dyDescent="0.55000000000000004">
      <c r="A635">
        <v>83</v>
      </c>
      <c r="B635" t="str">
        <f t="shared" si="11"/>
        <v>83_0</v>
      </c>
      <c r="C635" t="s">
        <v>126</v>
      </c>
      <c r="D635" t="s">
        <v>152</v>
      </c>
      <c r="E635" t="s">
        <v>153</v>
      </c>
      <c r="F635">
        <v>0</v>
      </c>
    </row>
    <row r="636" spans="1:6" x14ac:dyDescent="0.55000000000000004">
      <c r="A636">
        <v>83</v>
      </c>
      <c r="B636" t="str">
        <f t="shared" si="11"/>
        <v>83_0</v>
      </c>
      <c r="C636" t="s">
        <v>154</v>
      </c>
      <c r="D636" t="s">
        <v>155</v>
      </c>
      <c r="E636" t="s">
        <v>156</v>
      </c>
      <c r="F636">
        <v>20.7</v>
      </c>
    </row>
    <row r="637" spans="1:6" x14ac:dyDescent="0.55000000000000004">
      <c r="A637">
        <v>83</v>
      </c>
      <c r="B637" t="str">
        <f t="shared" si="11"/>
        <v>83_0</v>
      </c>
      <c r="C637" t="s">
        <v>154</v>
      </c>
      <c r="D637" t="s">
        <v>157</v>
      </c>
      <c r="E637" t="s">
        <v>158</v>
      </c>
      <c r="F637">
        <v>9.61</v>
      </c>
    </row>
    <row r="638" spans="1:6" x14ac:dyDescent="0.55000000000000004">
      <c r="A638">
        <v>83</v>
      </c>
      <c r="B638" t="str">
        <f t="shared" si="11"/>
        <v>83_0</v>
      </c>
      <c r="C638" t="s">
        <v>154</v>
      </c>
      <c r="D638" t="s">
        <v>159</v>
      </c>
      <c r="E638" t="s">
        <v>139</v>
      </c>
      <c r="F638">
        <v>107.3</v>
      </c>
    </row>
    <row r="639" spans="1:6" x14ac:dyDescent="0.55000000000000004">
      <c r="A639">
        <v>83</v>
      </c>
      <c r="B639" t="str">
        <f t="shared" si="11"/>
        <v>83_0</v>
      </c>
      <c r="C639" t="s">
        <v>154</v>
      </c>
      <c r="D639" t="s">
        <v>357</v>
      </c>
      <c r="E639" t="s">
        <v>161</v>
      </c>
      <c r="F639">
        <v>144.5</v>
      </c>
    </row>
    <row r="640" spans="1:6" x14ac:dyDescent="0.55000000000000004">
      <c r="A640">
        <f>A639</f>
        <v>83</v>
      </c>
      <c r="B640" t="str">
        <f>B639</f>
        <v>83_0</v>
      </c>
      <c r="C640" s="9" t="str">
        <f>C639</f>
        <v>Chemical</v>
      </c>
      <c r="D640" t="s">
        <v>356</v>
      </c>
      <c r="E640" t="s">
        <v>161</v>
      </c>
      <c r="F640">
        <f xml:space="preserve"> F639 / (1 + 0.021 * (F636 - 25))</f>
        <v>158.84357480488075</v>
      </c>
    </row>
    <row r="641" spans="1:7" x14ac:dyDescent="0.55000000000000004">
      <c r="A641">
        <v>83</v>
      </c>
      <c r="B641" t="str">
        <f t="shared" si="11"/>
        <v>83_0</v>
      </c>
      <c r="C641" t="s">
        <v>154</v>
      </c>
      <c r="D641" t="s">
        <v>162</v>
      </c>
      <c r="F641">
        <v>8.86</v>
      </c>
    </row>
    <row r="642" spans="1:7" x14ac:dyDescent="0.55000000000000004">
      <c r="A642">
        <v>83</v>
      </c>
      <c r="B642" t="str">
        <f t="shared" si="11"/>
        <v>83_0</v>
      </c>
      <c r="C642" t="s">
        <v>163</v>
      </c>
      <c r="D642" t="s">
        <v>168</v>
      </c>
      <c r="E642" t="s">
        <v>131</v>
      </c>
      <c r="F642">
        <v>0</v>
      </c>
    </row>
    <row r="643" spans="1:7" x14ac:dyDescent="0.55000000000000004">
      <c r="A643">
        <v>83</v>
      </c>
      <c r="B643" t="str">
        <f t="shared" si="11"/>
        <v>83_0</v>
      </c>
      <c r="C643" t="s">
        <v>163</v>
      </c>
      <c r="D643" t="s">
        <v>169</v>
      </c>
    </row>
    <row r="644" spans="1:7" x14ac:dyDescent="0.55000000000000004">
      <c r="A644">
        <v>83</v>
      </c>
      <c r="B644" t="str">
        <f t="shared" si="11"/>
        <v>83_0</v>
      </c>
      <c r="C644" t="s">
        <v>163</v>
      </c>
      <c r="D644" t="s">
        <v>170</v>
      </c>
      <c r="E644" t="s">
        <v>139</v>
      </c>
      <c r="F644">
        <v>0</v>
      </c>
    </row>
    <row r="645" spans="1:7" x14ac:dyDescent="0.55000000000000004">
      <c r="A645">
        <v>83</v>
      </c>
      <c r="B645" t="str">
        <f t="shared" si="11"/>
        <v>83_0</v>
      </c>
      <c r="C645" t="s">
        <v>163</v>
      </c>
      <c r="D645" t="s">
        <v>171</v>
      </c>
    </row>
    <row r="646" spans="1:7" x14ac:dyDescent="0.55000000000000004">
      <c r="A646">
        <v>84</v>
      </c>
      <c r="B646" t="str">
        <f t="shared" si="11"/>
        <v>84_0</v>
      </c>
      <c r="C646" t="s">
        <v>126</v>
      </c>
      <c r="D646" t="s">
        <v>127</v>
      </c>
      <c r="E646" t="s">
        <v>128</v>
      </c>
      <c r="F646" s="1"/>
      <c r="G646" t="s">
        <v>129</v>
      </c>
    </row>
    <row r="647" spans="1:7" x14ac:dyDescent="0.55000000000000004">
      <c r="A647">
        <v>84</v>
      </c>
      <c r="B647" t="str">
        <f t="shared" si="11"/>
        <v>84_0</v>
      </c>
      <c r="C647" t="s">
        <v>126</v>
      </c>
      <c r="D647" s="11" t="s">
        <v>130</v>
      </c>
      <c r="E647" t="s">
        <v>131</v>
      </c>
      <c r="F647">
        <v>1</v>
      </c>
    </row>
    <row r="648" spans="1:7" x14ac:dyDescent="0.55000000000000004">
      <c r="A648">
        <v>84</v>
      </c>
      <c r="B648" t="str">
        <f t="shared" si="11"/>
        <v>84_0</v>
      </c>
      <c r="C648" t="s">
        <v>126</v>
      </c>
      <c r="D648" t="s">
        <v>132</v>
      </c>
      <c r="E648" t="s">
        <v>133</v>
      </c>
      <c r="F648">
        <v>3.5</v>
      </c>
      <c r="G648" t="s">
        <v>175</v>
      </c>
    </row>
    <row r="649" spans="1:7" x14ac:dyDescent="0.55000000000000004">
      <c r="A649">
        <v>84</v>
      </c>
      <c r="B649" t="str">
        <f t="shared" si="11"/>
        <v>84_0</v>
      </c>
      <c r="C649" t="s">
        <v>126</v>
      </c>
      <c r="D649" t="s">
        <v>134</v>
      </c>
      <c r="E649" t="s">
        <v>133</v>
      </c>
      <c r="F649">
        <v>0.65</v>
      </c>
    </row>
    <row r="650" spans="1:7" x14ac:dyDescent="0.55000000000000004">
      <c r="A650">
        <v>84</v>
      </c>
      <c r="B650" t="str">
        <f t="shared" si="11"/>
        <v>84_0</v>
      </c>
      <c r="C650" t="s">
        <v>126</v>
      </c>
      <c r="D650" t="s">
        <v>135</v>
      </c>
      <c r="E650" t="s">
        <v>136</v>
      </c>
      <c r="F650">
        <f>F649/10</f>
        <v>6.5000000000000002E-2</v>
      </c>
      <c r="G650" t="s">
        <v>137</v>
      </c>
    </row>
    <row r="651" spans="1:7" x14ac:dyDescent="0.55000000000000004">
      <c r="A651">
        <v>84</v>
      </c>
      <c r="B651" t="str">
        <f t="shared" si="11"/>
        <v>84_0</v>
      </c>
      <c r="C651" t="s">
        <v>126</v>
      </c>
      <c r="D651" s="2" t="s">
        <v>138</v>
      </c>
      <c r="E651" t="s">
        <v>139</v>
      </c>
      <c r="F651">
        <v>100</v>
      </c>
    </row>
    <row r="652" spans="1:7" x14ac:dyDescent="0.55000000000000004">
      <c r="A652">
        <v>84</v>
      </c>
      <c r="B652" t="str">
        <f t="shared" si="11"/>
        <v>84_0</v>
      </c>
      <c r="C652" t="s">
        <v>126</v>
      </c>
      <c r="D652" s="2" t="s">
        <v>140</v>
      </c>
      <c r="F652" t="s">
        <v>172</v>
      </c>
    </row>
    <row r="653" spans="1:7" x14ac:dyDescent="0.55000000000000004">
      <c r="A653">
        <v>84</v>
      </c>
      <c r="B653" t="str">
        <f t="shared" si="11"/>
        <v>84_0</v>
      </c>
      <c r="C653" t="s">
        <v>126</v>
      </c>
      <c r="D653" s="2" t="s">
        <v>141</v>
      </c>
      <c r="E653" t="s">
        <v>139</v>
      </c>
      <c r="F653">
        <v>100</v>
      </c>
    </row>
    <row r="654" spans="1:7" x14ac:dyDescent="0.55000000000000004">
      <c r="A654">
        <v>84</v>
      </c>
      <c r="B654" t="str">
        <f t="shared" si="11"/>
        <v>84_0</v>
      </c>
      <c r="C654" t="s">
        <v>126</v>
      </c>
      <c r="D654" t="s">
        <v>142</v>
      </c>
      <c r="E654" t="s">
        <v>139</v>
      </c>
      <c r="F654">
        <v>0</v>
      </c>
    </row>
    <row r="655" spans="1:7" x14ac:dyDescent="0.55000000000000004">
      <c r="A655">
        <v>84</v>
      </c>
      <c r="B655" t="str">
        <f t="shared" si="11"/>
        <v>84_0</v>
      </c>
      <c r="C655" t="s">
        <v>126</v>
      </c>
      <c r="D655" t="s">
        <v>143</v>
      </c>
      <c r="E655" t="s">
        <v>131</v>
      </c>
      <c r="F655">
        <v>0</v>
      </c>
    </row>
    <row r="656" spans="1:7" x14ac:dyDescent="0.55000000000000004">
      <c r="A656">
        <v>84</v>
      </c>
      <c r="B656" t="str">
        <f t="shared" si="11"/>
        <v>84_0</v>
      </c>
      <c r="C656" t="s">
        <v>126</v>
      </c>
      <c r="D656" t="s">
        <v>144</v>
      </c>
      <c r="E656" t="s">
        <v>139</v>
      </c>
      <c r="F656">
        <v>0</v>
      </c>
    </row>
    <row r="657" spans="1:6" x14ac:dyDescent="0.55000000000000004">
      <c r="A657">
        <v>84</v>
      </c>
      <c r="B657" t="str">
        <f t="shared" si="11"/>
        <v>84_0</v>
      </c>
      <c r="C657" t="s">
        <v>126</v>
      </c>
      <c r="D657" t="s">
        <v>145</v>
      </c>
      <c r="E657" t="s">
        <v>139</v>
      </c>
      <c r="F657">
        <v>0</v>
      </c>
    </row>
    <row r="658" spans="1:6" x14ac:dyDescent="0.55000000000000004">
      <c r="A658">
        <v>84</v>
      </c>
      <c r="B658" t="str">
        <f t="shared" si="11"/>
        <v>84_0</v>
      </c>
      <c r="C658" t="s">
        <v>126</v>
      </c>
      <c r="D658" t="s">
        <v>146</v>
      </c>
      <c r="E658" t="s">
        <v>139</v>
      </c>
      <c r="F658">
        <v>10</v>
      </c>
    </row>
    <row r="659" spans="1:6" x14ac:dyDescent="0.55000000000000004">
      <c r="A659">
        <v>84</v>
      </c>
      <c r="B659" t="str">
        <f t="shared" si="11"/>
        <v>84_0</v>
      </c>
      <c r="C659" t="s">
        <v>126</v>
      </c>
      <c r="D659" t="s">
        <v>147</v>
      </c>
      <c r="E659" t="s">
        <v>139</v>
      </c>
      <c r="F659">
        <v>0</v>
      </c>
    </row>
    <row r="660" spans="1:6" x14ac:dyDescent="0.55000000000000004">
      <c r="A660">
        <v>84</v>
      </c>
      <c r="B660" t="str">
        <f t="shared" si="11"/>
        <v>84_0</v>
      </c>
      <c r="C660" t="s">
        <v>126</v>
      </c>
      <c r="D660" t="s">
        <v>148</v>
      </c>
      <c r="E660" t="s">
        <v>139</v>
      </c>
      <c r="F660">
        <v>90</v>
      </c>
    </row>
    <row r="661" spans="1:6" x14ac:dyDescent="0.55000000000000004">
      <c r="A661">
        <v>84</v>
      </c>
      <c r="B661" t="str">
        <f t="shared" si="11"/>
        <v>84_0</v>
      </c>
      <c r="C661" t="s">
        <v>126</v>
      </c>
      <c r="D661" t="s">
        <v>149</v>
      </c>
      <c r="E661" t="s">
        <v>139</v>
      </c>
      <c r="F661">
        <v>0</v>
      </c>
    </row>
    <row r="662" spans="1:6" x14ac:dyDescent="0.55000000000000004">
      <c r="A662">
        <v>84</v>
      </c>
      <c r="B662" t="str">
        <f t="shared" si="11"/>
        <v>84_0</v>
      </c>
      <c r="C662" t="s">
        <v>126</v>
      </c>
      <c r="D662" t="s">
        <v>150</v>
      </c>
      <c r="E662" t="s">
        <v>139</v>
      </c>
      <c r="F662">
        <v>0</v>
      </c>
    </row>
    <row r="663" spans="1:6" x14ac:dyDescent="0.55000000000000004">
      <c r="A663">
        <v>84</v>
      </c>
      <c r="B663" t="str">
        <f t="shared" si="11"/>
        <v>84_0</v>
      </c>
      <c r="C663" t="s">
        <v>126</v>
      </c>
      <c r="D663" t="s">
        <v>152</v>
      </c>
      <c r="E663" t="s">
        <v>153</v>
      </c>
    </row>
    <row r="664" spans="1:6" x14ac:dyDescent="0.55000000000000004">
      <c r="A664">
        <v>84</v>
      </c>
      <c r="B664" t="str">
        <f t="shared" si="11"/>
        <v>84_0</v>
      </c>
      <c r="C664" t="s">
        <v>154</v>
      </c>
      <c r="D664" t="s">
        <v>155</v>
      </c>
      <c r="E664" t="s">
        <v>156</v>
      </c>
      <c r="F664">
        <v>22.6</v>
      </c>
    </row>
    <row r="665" spans="1:6" x14ac:dyDescent="0.55000000000000004">
      <c r="A665">
        <v>84</v>
      </c>
      <c r="B665" t="str">
        <f t="shared" si="11"/>
        <v>84_0</v>
      </c>
      <c r="C665" t="s">
        <v>154</v>
      </c>
      <c r="D665" t="s">
        <v>157</v>
      </c>
      <c r="E665" t="s">
        <v>158</v>
      </c>
      <c r="F665">
        <v>10.64</v>
      </c>
    </row>
    <row r="666" spans="1:6" x14ac:dyDescent="0.55000000000000004">
      <c r="A666">
        <v>84</v>
      </c>
      <c r="B666" t="str">
        <f t="shared" si="11"/>
        <v>84_0</v>
      </c>
      <c r="C666" t="s">
        <v>154</v>
      </c>
      <c r="D666" t="s">
        <v>159</v>
      </c>
      <c r="E666" t="s">
        <v>139</v>
      </c>
      <c r="F666">
        <v>123.3</v>
      </c>
    </row>
    <row r="667" spans="1:6" x14ac:dyDescent="0.55000000000000004">
      <c r="A667">
        <v>84</v>
      </c>
      <c r="B667" t="str">
        <f t="shared" si="11"/>
        <v>84_0</v>
      </c>
      <c r="C667" t="s">
        <v>154</v>
      </c>
      <c r="D667" t="s">
        <v>357</v>
      </c>
      <c r="E667" t="s">
        <v>161</v>
      </c>
      <c r="F667">
        <v>150.4</v>
      </c>
    </row>
    <row r="668" spans="1:6" x14ac:dyDescent="0.55000000000000004">
      <c r="A668">
        <f>A667</f>
        <v>84</v>
      </c>
      <c r="B668" t="str">
        <f>B667</f>
        <v>84_0</v>
      </c>
      <c r="C668" s="9" t="str">
        <f>C667</f>
        <v>Chemical</v>
      </c>
      <c r="D668" t="s">
        <v>356</v>
      </c>
      <c r="E668" t="s">
        <v>161</v>
      </c>
      <c r="F668">
        <f xml:space="preserve"> F667 / (1 + 0.021 * (F664 - 25))</f>
        <v>158.38247683235048</v>
      </c>
    </row>
    <row r="669" spans="1:6" x14ac:dyDescent="0.55000000000000004">
      <c r="A669">
        <v>84</v>
      </c>
      <c r="B669" t="str">
        <f t="shared" si="11"/>
        <v>84_0</v>
      </c>
      <c r="C669" t="s">
        <v>154</v>
      </c>
      <c r="D669" t="s">
        <v>162</v>
      </c>
      <c r="F669">
        <v>9.02</v>
      </c>
    </row>
    <row r="670" spans="1:6" x14ac:dyDescent="0.55000000000000004">
      <c r="A670">
        <v>84</v>
      </c>
      <c r="B670" t="str">
        <f t="shared" si="11"/>
        <v>84_0</v>
      </c>
      <c r="C670" t="s">
        <v>163</v>
      </c>
      <c r="D670" t="s">
        <v>168</v>
      </c>
      <c r="E670" t="s">
        <v>131</v>
      </c>
      <c r="F670">
        <v>0</v>
      </c>
    </row>
    <row r="671" spans="1:6" x14ac:dyDescent="0.55000000000000004">
      <c r="A671">
        <v>84</v>
      </c>
      <c r="B671" t="str">
        <f t="shared" si="11"/>
        <v>84_0</v>
      </c>
      <c r="C671" t="s">
        <v>163</v>
      </c>
      <c r="D671" t="s">
        <v>169</v>
      </c>
    </row>
    <row r="672" spans="1:6" x14ac:dyDescent="0.55000000000000004">
      <c r="A672">
        <v>84</v>
      </c>
      <c r="B672" t="str">
        <f t="shared" ref="B672:B725" si="12">A672 &amp; "_0"</f>
        <v>84_0</v>
      </c>
      <c r="C672" t="s">
        <v>163</v>
      </c>
      <c r="D672" t="s">
        <v>170</v>
      </c>
      <c r="E672" t="s">
        <v>139</v>
      </c>
      <c r="F672">
        <v>3</v>
      </c>
    </row>
    <row r="673" spans="1:7" x14ac:dyDescent="0.55000000000000004">
      <c r="A673">
        <v>84</v>
      </c>
      <c r="B673" t="str">
        <f t="shared" si="12"/>
        <v>84_0</v>
      </c>
      <c r="C673" t="s">
        <v>163</v>
      </c>
      <c r="D673" t="s">
        <v>171</v>
      </c>
    </row>
    <row r="674" spans="1:7" x14ac:dyDescent="0.55000000000000004">
      <c r="A674">
        <v>85</v>
      </c>
      <c r="B674" t="str">
        <f t="shared" si="12"/>
        <v>85_0</v>
      </c>
      <c r="C674" t="s">
        <v>126</v>
      </c>
      <c r="D674" t="s">
        <v>127</v>
      </c>
      <c r="E674" t="s">
        <v>128</v>
      </c>
      <c r="F674" s="1"/>
      <c r="G674" t="s">
        <v>129</v>
      </c>
    </row>
    <row r="675" spans="1:7" x14ac:dyDescent="0.55000000000000004">
      <c r="A675">
        <v>85</v>
      </c>
      <c r="B675" t="str">
        <f t="shared" si="12"/>
        <v>85_0</v>
      </c>
      <c r="C675" t="s">
        <v>126</v>
      </c>
      <c r="D675" s="11" t="s">
        <v>130</v>
      </c>
      <c r="E675" t="s">
        <v>131</v>
      </c>
      <c r="F675">
        <v>1</v>
      </c>
    </row>
    <row r="676" spans="1:7" x14ac:dyDescent="0.55000000000000004">
      <c r="A676">
        <v>85</v>
      </c>
      <c r="B676" t="str">
        <f t="shared" si="12"/>
        <v>85_0</v>
      </c>
      <c r="C676" t="s">
        <v>126</v>
      </c>
      <c r="D676" t="s">
        <v>132</v>
      </c>
      <c r="E676" t="s">
        <v>133</v>
      </c>
    </row>
    <row r="677" spans="1:7" x14ac:dyDescent="0.55000000000000004">
      <c r="A677">
        <v>85</v>
      </c>
      <c r="B677" t="str">
        <f t="shared" si="12"/>
        <v>85_0</v>
      </c>
      <c r="C677" t="s">
        <v>126</v>
      </c>
      <c r="D677" t="s">
        <v>134</v>
      </c>
      <c r="E677" t="s">
        <v>133</v>
      </c>
      <c r="F677">
        <v>0.9</v>
      </c>
    </row>
    <row r="678" spans="1:7" x14ac:dyDescent="0.55000000000000004">
      <c r="A678">
        <v>85</v>
      </c>
      <c r="B678" t="str">
        <f t="shared" si="12"/>
        <v>85_0</v>
      </c>
      <c r="C678" t="s">
        <v>126</v>
      </c>
      <c r="D678" t="s">
        <v>135</v>
      </c>
      <c r="E678" t="s">
        <v>136</v>
      </c>
      <c r="F678">
        <f>F677/10</f>
        <v>0.09</v>
      </c>
      <c r="G678" t="s">
        <v>137</v>
      </c>
    </row>
    <row r="679" spans="1:7" x14ac:dyDescent="0.55000000000000004">
      <c r="A679">
        <v>85</v>
      </c>
      <c r="B679" t="str">
        <f t="shared" si="12"/>
        <v>85_0</v>
      </c>
      <c r="C679" t="s">
        <v>126</v>
      </c>
      <c r="D679" s="2" t="s">
        <v>138</v>
      </c>
      <c r="E679" t="s">
        <v>139</v>
      </c>
      <c r="F679">
        <v>100</v>
      </c>
    </row>
    <row r="680" spans="1:7" x14ac:dyDescent="0.55000000000000004">
      <c r="A680">
        <v>85</v>
      </c>
      <c r="B680" t="str">
        <f t="shared" si="12"/>
        <v>85_0</v>
      </c>
      <c r="C680" t="s">
        <v>126</v>
      </c>
      <c r="D680" s="2" t="s">
        <v>140</v>
      </c>
    </row>
    <row r="681" spans="1:7" x14ac:dyDescent="0.55000000000000004">
      <c r="A681">
        <v>85</v>
      </c>
      <c r="B681" t="str">
        <f t="shared" si="12"/>
        <v>85_0</v>
      </c>
      <c r="C681" t="s">
        <v>126</v>
      </c>
      <c r="D681" s="2" t="s">
        <v>141</v>
      </c>
      <c r="E681" t="s">
        <v>139</v>
      </c>
      <c r="F681">
        <v>100</v>
      </c>
    </row>
    <row r="682" spans="1:7" x14ac:dyDescent="0.55000000000000004">
      <c r="A682">
        <v>85</v>
      </c>
      <c r="B682" t="str">
        <f t="shared" si="12"/>
        <v>85_0</v>
      </c>
      <c r="C682" t="s">
        <v>126</v>
      </c>
      <c r="D682" t="s">
        <v>142</v>
      </c>
      <c r="E682" t="s">
        <v>139</v>
      </c>
      <c r="F682">
        <v>20</v>
      </c>
    </row>
    <row r="683" spans="1:7" x14ac:dyDescent="0.55000000000000004">
      <c r="A683">
        <v>85</v>
      </c>
      <c r="B683" t="str">
        <f t="shared" si="12"/>
        <v>85_0</v>
      </c>
      <c r="C683" t="s">
        <v>126</v>
      </c>
      <c r="D683" t="s">
        <v>143</v>
      </c>
      <c r="E683" t="s">
        <v>131</v>
      </c>
      <c r="F683">
        <v>0</v>
      </c>
    </row>
    <row r="684" spans="1:7" x14ac:dyDescent="0.55000000000000004">
      <c r="A684">
        <v>85</v>
      </c>
      <c r="B684" t="str">
        <f t="shared" si="12"/>
        <v>85_0</v>
      </c>
      <c r="C684" t="s">
        <v>126</v>
      </c>
      <c r="D684" t="s">
        <v>144</v>
      </c>
      <c r="E684" t="s">
        <v>139</v>
      </c>
      <c r="F684">
        <v>0</v>
      </c>
    </row>
    <row r="685" spans="1:7" x14ac:dyDescent="0.55000000000000004">
      <c r="A685">
        <v>85</v>
      </c>
      <c r="B685" t="str">
        <f t="shared" si="12"/>
        <v>85_0</v>
      </c>
      <c r="C685" t="s">
        <v>126</v>
      </c>
      <c r="D685" t="s">
        <v>145</v>
      </c>
      <c r="E685" t="s">
        <v>139</v>
      </c>
      <c r="F685">
        <v>0</v>
      </c>
    </row>
    <row r="686" spans="1:7" x14ac:dyDescent="0.55000000000000004">
      <c r="A686">
        <v>85</v>
      </c>
      <c r="B686" t="str">
        <f t="shared" si="12"/>
        <v>85_0</v>
      </c>
      <c r="C686" t="s">
        <v>126</v>
      </c>
      <c r="D686" t="s">
        <v>146</v>
      </c>
      <c r="E686" t="s">
        <v>139</v>
      </c>
      <c r="F686">
        <v>0</v>
      </c>
    </row>
    <row r="687" spans="1:7" x14ac:dyDescent="0.55000000000000004">
      <c r="A687">
        <v>85</v>
      </c>
      <c r="B687" t="str">
        <f t="shared" si="12"/>
        <v>85_0</v>
      </c>
      <c r="C687" t="s">
        <v>126</v>
      </c>
      <c r="D687" t="s">
        <v>147</v>
      </c>
      <c r="E687" t="s">
        <v>139</v>
      </c>
      <c r="F687">
        <v>10</v>
      </c>
    </row>
    <row r="688" spans="1:7" x14ac:dyDescent="0.55000000000000004">
      <c r="A688">
        <v>85</v>
      </c>
      <c r="B688" t="str">
        <f t="shared" si="12"/>
        <v>85_0</v>
      </c>
      <c r="C688" t="s">
        <v>126</v>
      </c>
      <c r="D688" t="s">
        <v>148</v>
      </c>
      <c r="E688" t="s">
        <v>139</v>
      </c>
      <c r="F688">
        <v>90</v>
      </c>
    </row>
    <row r="689" spans="1:7" x14ac:dyDescent="0.55000000000000004">
      <c r="A689">
        <v>85</v>
      </c>
      <c r="B689" t="str">
        <f t="shared" si="12"/>
        <v>85_0</v>
      </c>
      <c r="C689" t="s">
        <v>126</v>
      </c>
      <c r="D689" t="s">
        <v>149</v>
      </c>
      <c r="E689" t="s">
        <v>139</v>
      </c>
      <c r="F689">
        <v>0</v>
      </c>
    </row>
    <row r="690" spans="1:7" x14ac:dyDescent="0.55000000000000004">
      <c r="A690">
        <v>85</v>
      </c>
      <c r="B690" t="str">
        <f t="shared" si="12"/>
        <v>85_0</v>
      </c>
      <c r="C690" t="s">
        <v>126</v>
      </c>
      <c r="D690" t="s">
        <v>150</v>
      </c>
      <c r="E690" t="s">
        <v>139</v>
      </c>
      <c r="F690">
        <v>0</v>
      </c>
    </row>
    <row r="691" spans="1:7" x14ac:dyDescent="0.55000000000000004">
      <c r="A691">
        <v>85</v>
      </c>
      <c r="B691" t="str">
        <f t="shared" si="12"/>
        <v>85_0</v>
      </c>
      <c r="C691" t="s">
        <v>126</v>
      </c>
      <c r="D691" t="s">
        <v>152</v>
      </c>
      <c r="E691" t="s">
        <v>153</v>
      </c>
    </row>
    <row r="692" spans="1:7" x14ac:dyDescent="0.55000000000000004">
      <c r="A692">
        <v>85</v>
      </c>
      <c r="B692" t="str">
        <f t="shared" si="12"/>
        <v>85_0</v>
      </c>
      <c r="C692" t="s">
        <v>154</v>
      </c>
      <c r="D692" t="s">
        <v>155</v>
      </c>
      <c r="E692" t="s">
        <v>156</v>
      </c>
      <c r="F692">
        <v>21.2</v>
      </c>
    </row>
    <row r="693" spans="1:7" x14ac:dyDescent="0.55000000000000004">
      <c r="A693">
        <v>85</v>
      </c>
      <c r="B693" t="str">
        <f t="shared" si="12"/>
        <v>85_0</v>
      </c>
      <c r="C693" t="s">
        <v>154</v>
      </c>
      <c r="D693" t="s">
        <v>157</v>
      </c>
      <c r="E693" t="s">
        <v>158</v>
      </c>
      <c r="F693">
        <v>9.1999999999999993</v>
      </c>
    </row>
    <row r="694" spans="1:7" x14ac:dyDescent="0.55000000000000004">
      <c r="A694">
        <v>85</v>
      </c>
      <c r="B694" t="str">
        <f t="shared" si="12"/>
        <v>85_0</v>
      </c>
      <c r="C694" t="s">
        <v>154</v>
      </c>
      <c r="D694" t="s">
        <v>159</v>
      </c>
      <c r="E694" t="s">
        <v>139</v>
      </c>
      <c r="F694">
        <v>103.8</v>
      </c>
    </row>
    <row r="695" spans="1:7" x14ac:dyDescent="0.55000000000000004">
      <c r="A695">
        <v>85</v>
      </c>
      <c r="B695" t="str">
        <f t="shared" si="12"/>
        <v>85_0</v>
      </c>
      <c r="C695" t="s">
        <v>154</v>
      </c>
      <c r="D695" t="s">
        <v>357</v>
      </c>
      <c r="E695" t="s">
        <v>161</v>
      </c>
      <c r="F695">
        <v>423.8</v>
      </c>
    </row>
    <row r="696" spans="1:7" x14ac:dyDescent="0.55000000000000004">
      <c r="A696">
        <f>A695</f>
        <v>85</v>
      </c>
      <c r="B696" t="str">
        <f>B695</f>
        <v>85_0</v>
      </c>
      <c r="C696" s="9" t="str">
        <f>C695</f>
        <v>Chemical</v>
      </c>
      <c r="D696" t="s">
        <v>356</v>
      </c>
      <c r="E696" t="s">
        <v>161</v>
      </c>
      <c r="F696">
        <f xml:space="preserve"> F695 / (1 + 0.021 * (F692 - 25))</f>
        <v>460.55205390132579</v>
      </c>
    </row>
    <row r="697" spans="1:7" x14ac:dyDescent="0.55000000000000004">
      <c r="A697">
        <v>85</v>
      </c>
      <c r="B697" t="str">
        <f t="shared" si="12"/>
        <v>85_0</v>
      </c>
      <c r="C697" t="s">
        <v>154</v>
      </c>
      <c r="D697" t="s">
        <v>162</v>
      </c>
      <c r="F697">
        <v>8.56</v>
      </c>
    </row>
    <row r="698" spans="1:7" x14ac:dyDescent="0.55000000000000004">
      <c r="A698">
        <v>85</v>
      </c>
      <c r="B698" t="str">
        <f t="shared" si="12"/>
        <v>85_0</v>
      </c>
      <c r="C698" t="s">
        <v>163</v>
      </c>
      <c r="D698" t="s">
        <v>168</v>
      </c>
      <c r="E698" t="s">
        <v>131</v>
      </c>
      <c r="F698">
        <v>0</v>
      </c>
    </row>
    <row r="699" spans="1:7" x14ac:dyDescent="0.55000000000000004">
      <c r="A699">
        <v>85</v>
      </c>
      <c r="B699" t="str">
        <f t="shared" si="12"/>
        <v>85_0</v>
      </c>
      <c r="C699" t="s">
        <v>163</v>
      </c>
      <c r="D699" t="s">
        <v>169</v>
      </c>
    </row>
    <row r="700" spans="1:7" x14ac:dyDescent="0.55000000000000004">
      <c r="A700">
        <v>85</v>
      </c>
      <c r="B700" t="str">
        <f t="shared" si="12"/>
        <v>85_0</v>
      </c>
      <c r="C700" t="s">
        <v>163</v>
      </c>
      <c r="D700" t="s">
        <v>170</v>
      </c>
      <c r="E700" t="s">
        <v>139</v>
      </c>
      <c r="F700">
        <v>20</v>
      </c>
    </row>
    <row r="701" spans="1:7" x14ac:dyDescent="0.55000000000000004">
      <c r="A701">
        <v>85</v>
      </c>
      <c r="B701" t="str">
        <f t="shared" si="12"/>
        <v>85_0</v>
      </c>
      <c r="C701" t="s">
        <v>163</v>
      </c>
      <c r="D701" t="s">
        <v>171</v>
      </c>
    </row>
    <row r="702" spans="1:7" x14ac:dyDescent="0.55000000000000004">
      <c r="A702">
        <v>86</v>
      </c>
      <c r="B702" t="str">
        <f t="shared" si="12"/>
        <v>86_0</v>
      </c>
      <c r="C702" t="s">
        <v>126</v>
      </c>
      <c r="D702" t="s">
        <v>127</v>
      </c>
      <c r="E702" t="s">
        <v>128</v>
      </c>
      <c r="F702" s="1"/>
      <c r="G702" t="s">
        <v>129</v>
      </c>
    </row>
    <row r="703" spans="1:7" x14ac:dyDescent="0.55000000000000004">
      <c r="A703">
        <v>86</v>
      </c>
      <c r="B703" t="str">
        <f t="shared" si="12"/>
        <v>86_0</v>
      </c>
      <c r="C703" t="s">
        <v>126</v>
      </c>
      <c r="D703" s="11" t="s">
        <v>130</v>
      </c>
      <c r="E703" t="s">
        <v>131</v>
      </c>
      <c r="F703">
        <v>1</v>
      </c>
    </row>
    <row r="704" spans="1:7" x14ac:dyDescent="0.55000000000000004">
      <c r="A704">
        <v>86</v>
      </c>
      <c r="B704" t="str">
        <f t="shared" si="12"/>
        <v>86_0</v>
      </c>
      <c r="C704" t="s">
        <v>126</v>
      </c>
      <c r="D704" t="s">
        <v>132</v>
      </c>
      <c r="E704" t="s">
        <v>133</v>
      </c>
      <c r="F704">
        <v>4</v>
      </c>
      <c r="G704" t="s">
        <v>175</v>
      </c>
    </row>
    <row r="705" spans="1:7" x14ac:dyDescent="0.55000000000000004">
      <c r="A705">
        <v>86</v>
      </c>
      <c r="B705" t="str">
        <f t="shared" si="12"/>
        <v>86_0</v>
      </c>
      <c r="C705" t="s">
        <v>126</v>
      </c>
      <c r="D705" t="s">
        <v>134</v>
      </c>
      <c r="E705" t="s">
        <v>133</v>
      </c>
      <c r="F705">
        <v>0.79</v>
      </c>
    </row>
    <row r="706" spans="1:7" x14ac:dyDescent="0.55000000000000004">
      <c r="A706">
        <v>86</v>
      </c>
      <c r="B706" t="str">
        <f t="shared" si="12"/>
        <v>86_0</v>
      </c>
      <c r="C706" t="s">
        <v>126</v>
      </c>
      <c r="D706" t="s">
        <v>135</v>
      </c>
      <c r="E706" t="s">
        <v>136</v>
      </c>
      <c r="F706">
        <f>F705/10</f>
        <v>7.9000000000000001E-2</v>
      </c>
      <c r="G706" t="s">
        <v>137</v>
      </c>
    </row>
    <row r="707" spans="1:7" x14ac:dyDescent="0.55000000000000004">
      <c r="A707">
        <v>86</v>
      </c>
      <c r="B707" t="str">
        <f t="shared" si="12"/>
        <v>86_0</v>
      </c>
      <c r="C707" t="s">
        <v>126</v>
      </c>
      <c r="D707" s="2" t="s">
        <v>138</v>
      </c>
      <c r="E707" t="s">
        <v>139</v>
      </c>
      <c r="F707">
        <v>10</v>
      </c>
    </row>
    <row r="708" spans="1:7" x14ac:dyDescent="0.55000000000000004">
      <c r="A708">
        <v>86</v>
      </c>
      <c r="B708" t="str">
        <f t="shared" si="12"/>
        <v>86_0</v>
      </c>
      <c r="C708" t="s">
        <v>126</v>
      </c>
      <c r="D708" s="2" t="s">
        <v>140</v>
      </c>
      <c r="F708" t="s">
        <v>184</v>
      </c>
    </row>
    <row r="709" spans="1:7" x14ac:dyDescent="0.55000000000000004">
      <c r="A709">
        <v>86</v>
      </c>
      <c r="B709" t="str">
        <f t="shared" si="12"/>
        <v>86_0</v>
      </c>
      <c r="C709" t="s">
        <v>126</v>
      </c>
      <c r="D709" s="2" t="s">
        <v>141</v>
      </c>
      <c r="E709" t="s">
        <v>139</v>
      </c>
      <c r="F709">
        <v>0</v>
      </c>
    </row>
    <row r="710" spans="1:7" x14ac:dyDescent="0.55000000000000004">
      <c r="A710">
        <v>86</v>
      </c>
      <c r="B710" t="str">
        <f t="shared" si="12"/>
        <v>86_0</v>
      </c>
      <c r="C710" t="s">
        <v>126</v>
      </c>
      <c r="D710" t="s">
        <v>142</v>
      </c>
      <c r="E710" t="s">
        <v>139</v>
      </c>
      <c r="F710">
        <v>0</v>
      </c>
    </row>
    <row r="711" spans="1:7" x14ac:dyDescent="0.55000000000000004">
      <c r="A711">
        <v>86</v>
      </c>
      <c r="B711" t="str">
        <f t="shared" si="12"/>
        <v>86_0</v>
      </c>
      <c r="C711" t="s">
        <v>126</v>
      </c>
      <c r="D711" t="s">
        <v>143</v>
      </c>
      <c r="E711" t="s">
        <v>131</v>
      </c>
      <c r="F711">
        <v>0</v>
      </c>
    </row>
    <row r="712" spans="1:7" x14ac:dyDescent="0.55000000000000004">
      <c r="A712">
        <v>86</v>
      </c>
      <c r="B712" t="str">
        <f t="shared" si="12"/>
        <v>86_0</v>
      </c>
      <c r="C712" t="s">
        <v>126</v>
      </c>
      <c r="D712" t="s">
        <v>144</v>
      </c>
      <c r="E712" t="s">
        <v>139</v>
      </c>
      <c r="F712">
        <v>0</v>
      </c>
    </row>
    <row r="713" spans="1:7" x14ac:dyDescent="0.55000000000000004">
      <c r="A713">
        <v>86</v>
      </c>
      <c r="B713" t="str">
        <f t="shared" si="12"/>
        <v>86_0</v>
      </c>
      <c r="C713" t="s">
        <v>126</v>
      </c>
      <c r="D713" t="s">
        <v>145</v>
      </c>
      <c r="E713" t="s">
        <v>139</v>
      </c>
      <c r="F713">
        <v>0</v>
      </c>
    </row>
    <row r="714" spans="1:7" x14ac:dyDescent="0.55000000000000004">
      <c r="A714">
        <v>86</v>
      </c>
      <c r="B714" t="str">
        <f t="shared" si="12"/>
        <v>86_0</v>
      </c>
      <c r="C714" t="s">
        <v>126</v>
      </c>
      <c r="D714" t="s">
        <v>146</v>
      </c>
      <c r="E714" t="s">
        <v>139</v>
      </c>
      <c r="F714">
        <v>0</v>
      </c>
    </row>
    <row r="715" spans="1:7" x14ac:dyDescent="0.55000000000000004">
      <c r="A715">
        <v>86</v>
      </c>
      <c r="B715" t="str">
        <f t="shared" si="12"/>
        <v>86_0</v>
      </c>
      <c r="C715" t="s">
        <v>126</v>
      </c>
      <c r="D715" t="s">
        <v>147</v>
      </c>
      <c r="E715" t="s">
        <v>139</v>
      </c>
      <c r="F715">
        <v>0</v>
      </c>
    </row>
    <row r="716" spans="1:7" x14ac:dyDescent="0.55000000000000004">
      <c r="A716">
        <v>86</v>
      </c>
      <c r="B716" t="str">
        <f t="shared" si="12"/>
        <v>86_0</v>
      </c>
      <c r="C716" t="s">
        <v>126</v>
      </c>
      <c r="D716" t="s">
        <v>148</v>
      </c>
      <c r="E716" t="s">
        <v>139</v>
      </c>
      <c r="F716">
        <v>0</v>
      </c>
    </row>
    <row r="717" spans="1:7" x14ac:dyDescent="0.55000000000000004">
      <c r="A717">
        <v>86</v>
      </c>
      <c r="B717" t="str">
        <f t="shared" si="12"/>
        <v>86_0</v>
      </c>
      <c r="C717" t="s">
        <v>126</v>
      </c>
      <c r="D717" t="s">
        <v>149</v>
      </c>
      <c r="E717" t="s">
        <v>139</v>
      </c>
      <c r="F717">
        <v>0</v>
      </c>
    </row>
    <row r="718" spans="1:7" x14ac:dyDescent="0.55000000000000004">
      <c r="A718">
        <v>86</v>
      </c>
      <c r="B718" t="str">
        <f t="shared" si="12"/>
        <v>86_0</v>
      </c>
      <c r="C718" t="s">
        <v>126</v>
      </c>
      <c r="D718" t="s">
        <v>150</v>
      </c>
      <c r="E718" t="s">
        <v>139</v>
      </c>
      <c r="F718">
        <v>100</v>
      </c>
    </row>
    <row r="719" spans="1:7" x14ac:dyDescent="0.55000000000000004">
      <c r="A719">
        <v>86</v>
      </c>
      <c r="B719" t="str">
        <f t="shared" si="12"/>
        <v>86_0</v>
      </c>
      <c r="C719" t="s">
        <v>126</v>
      </c>
      <c r="D719" t="s">
        <v>152</v>
      </c>
      <c r="E719" t="s">
        <v>153</v>
      </c>
    </row>
    <row r="720" spans="1:7" x14ac:dyDescent="0.55000000000000004">
      <c r="A720">
        <v>86</v>
      </c>
      <c r="B720" t="str">
        <f t="shared" si="12"/>
        <v>86_0</v>
      </c>
      <c r="C720" t="s">
        <v>154</v>
      </c>
      <c r="D720" t="s">
        <v>155</v>
      </c>
      <c r="E720" t="s">
        <v>156</v>
      </c>
      <c r="F720">
        <v>21.9</v>
      </c>
    </row>
    <row r="721" spans="1:7" x14ac:dyDescent="0.55000000000000004">
      <c r="A721">
        <v>86</v>
      </c>
      <c r="B721" t="str">
        <f t="shared" si="12"/>
        <v>86_0</v>
      </c>
      <c r="C721" t="s">
        <v>154</v>
      </c>
      <c r="D721" t="s">
        <v>157</v>
      </c>
      <c r="E721" t="s">
        <v>158</v>
      </c>
      <c r="F721">
        <v>11.12</v>
      </c>
    </row>
    <row r="722" spans="1:7" x14ac:dyDescent="0.55000000000000004">
      <c r="A722">
        <v>86</v>
      </c>
      <c r="B722" t="str">
        <f t="shared" si="12"/>
        <v>86_0</v>
      </c>
      <c r="C722" t="s">
        <v>154</v>
      </c>
      <c r="D722" t="s">
        <v>159</v>
      </c>
      <c r="E722" t="s">
        <v>139</v>
      </c>
      <c r="F722">
        <v>127</v>
      </c>
    </row>
    <row r="723" spans="1:7" x14ac:dyDescent="0.55000000000000004">
      <c r="A723">
        <v>86</v>
      </c>
      <c r="B723" t="str">
        <f t="shared" si="12"/>
        <v>86_0</v>
      </c>
      <c r="C723" t="s">
        <v>154</v>
      </c>
      <c r="D723" t="s">
        <v>357</v>
      </c>
      <c r="E723" t="s">
        <v>161</v>
      </c>
      <c r="F723">
        <v>427.3</v>
      </c>
    </row>
    <row r="724" spans="1:7" x14ac:dyDescent="0.55000000000000004">
      <c r="A724">
        <f>A723</f>
        <v>86</v>
      </c>
      <c r="B724" t="str">
        <f>B723</f>
        <v>86_0</v>
      </c>
      <c r="C724" s="9" t="str">
        <f>C723</f>
        <v>Chemical</v>
      </c>
      <c r="D724" t="s">
        <v>356</v>
      </c>
      <c r="E724" t="s">
        <v>161</v>
      </c>
      <c r="F724">
        <f xml:space="preserve"> F723 / (1 + 0.021 * (F720 - 25))</f>
        <v>457.05423039897317</v>
      </c>
    </row>
    <row r="725" spans="1:7" x14ac:dyDescent="0.55000000000000004">
      <c r="A725">
        <v>86</v>
      </c>
      <c r="B725" t="str">
        <f t="shared" si="12"/>
        <v>86_0</v>
      </c>
      <c r="C725" t="s">
        <v>154</v>
      </c>
      <c r="D725" t="s">
        <v>162</v>
      </c>
      <c r="F725">
        <v>8.91</v>
      </c>
    </row>
    <row r="726" spans="1:7" x14ac:dyDescent="0.55000000000000004">
      <c r="A726">
        <v>86</v>
      </c>
      <c r="B726" t="str">
        <f t="shared" ref="B726:B781" si="13">A726 &amp; "_0"</f>
        <v>86_0</v>
      </c>
      <c r="C726" t="s">
        <v>163</v>
      </c>
      <c r="D726" t="s">
        <v>168</v>
      </c>
      <c r="E726" t="s">
        <v>131</v>
      </c>
      <c r="F726">
        <v>0</v>
      </c>
    </row>
    <row r="727" spans="1:7" x14ac:dyDescent="0.55000000000000004">
      <c r="A727">
        <v>86</v>
      </c>
      <c r="B727" t="str">
        <f t="shared" si="13"/>
        <v>86_0</v>
      </c>
      <c r="C727" t="s">
        <v>163</v>
      </c>
      <c r="D727" t="s">
        <v>169</v>
      </c>
    </row>
    <row r="728" spans="1:7" x14ac:dyDescent="0.55000000000000004">
      <c r="A728">
        <v>86</v>
      </c>
      <c r="B728" t="str">
        <f t="shared" si="13"/>
        <v>86_0</v>
      </c>
      <c r="C728" t="s">
        <v>163</v>
      </c>
      <c r="D728" t="s">
        <v>170</v>
      </c>
      <c r="E728" t="s">
        <v>139</v>
      </c>
      <c r="F728">
        <v>5</v>
      </c>
    </row>
    <row r="729" spans="1:7" x14ac:dyDescent="0.55000000000000004">
      <c r="A729">
        <v>86</v>
      </c>
      <c r="B729" t="str">
        <f t="shared" si="13"/>
        <v>86_0</v>
      </c>
      <c r="C729" t="s">
        <v>163</v>
      </c>
      <c r="D729" t="s">
        <v>171</v>
      </c>
    </row>
    <row r="730" spans="1:7" x14ac:dyDescent="0.55000000000000004">
      <c r="A730">
        <v>87</v>
      </c>
      <c r="B730" t="str">
        <f t="shared" si="13"/>
        <v>87_0</v>
      </c>
      <c r="C730" t="s">
        <v>126</v>
      </c>
      <c r="D730" t="s">
        <v>127</v>
      </c>
      <c r="E730" t="s">
        <v>128</v>
      </c>
      <c r="F730" s="1"/>
      <c r="G730" t="s">
        <v>129</v>
      </c>
    </row>
    <row r="731" spans="1:7" x14ac:dyDescent="0.55000000000000004">
      <c r="A731">
        <v>87</v>
      </c>
      <c r="B731" t="str">
        <f t="shared" si="13"/>
        <v>87_0</v>
      </c>
      <c r="C731" t="s">
        <v>126</v>
      </c>
      <c r="D731" s="11" t="s">
        <v>130</v>
      </c>
      <c r="E731" t="s">
        <v>131</v>
      </c>
      <c r="F731">
        <v>1</v>
      </c>
    </row>
    <row r="732" spans="1:7" x14ac:dyDescent="0.55000000000000004">
      <c r="A732">
        <v>87</v>
      </c>
      <c r="B732" t="str">
        <f t="shared" si="13"/>
        <v>87_0</v>
      </c>
      <c r="C732" t="s">
        <v>126</v>
      </c>
      <c r="D732" t="s">
        <v>132</v>
      </c>
      <c r="E732" t="s">
        <v>133</v>
      </c>
      <c r="F732">
        <v>3.3</v>
      </c>
      <c r="G732" t="s">
        <v>175</v>
      </c>
    </row>
    <row r="733" spans="1:7" x14ac:dyDescent="0.55000000000000004">
      <c r="A733">
        <v>87</v>
      </c>
      <c r="B733" t="str">
        <f t="shared" si="13"/>
        <v>87_0</v>
      </c>
      <c r="C733" t="s">
        <v>126</v>
      </c>
      <c r="D733" t="s">
        <v>134</v>
      </c>
      <c r="E733" t="s">
        <v>133</v>
      </c>
      <c r="F733">
        <v>1.05</v>
      </c>
    </row>
    <row r="734" spans="1:7" x14ac:dyDescent="0.55000000000000004">
      <c r="A734">
        <v>87</v>
      </c>
      <c r="B734" t="str">
        <f t="shared" si="13"/>
        <v>87_0</v>
      </c>
      <c r="C734" t="s">
        <v>126</v>
      </c>
      <c r="D734" t="s">
        <v>135</v>
      </c>
      <c r="E734" t="s">
        <v>136</v>
      </c>
      <c r="F734">
        <f>F733/10</f>
        <v>0.10500000000000001</v>
      </c>
      <c r="G734" t="s">
        <v>137</v>
      </c>
    </row>
    <row r="735" spans="1:7" x14ac:dyDescent="0.55000000000000004">
      <c r="A735">
        <v>87</v>
      </c>
      <c r="B735" t="str">
        <f t="shared" si="13"/>
        <v>87_0</v>
      </c>
      <c r="C735" t="s">
        <v>126</v>
      </c>
      <c r="D735" s="2" t="s">
        <v>138</v>
      </c>
      <c r="E735" t="s">
        <v>139</v>
      </c>
      <c r="F735">
        <v>100</v>
      </c>
    </row>
    <row r="736" spans="1:7" x14ac:dyDescent="0.55000000000000004">
      <c r="A736">
        <v>87</v>
      </c>
      <c r="B736" t="str">
        <f t="shared" si="13"/>
        <v>87_0</v>
      </c>
      <c r="C736" t="s">
        <v>126</v>
      </c>
      <c r="D736" s="2" t="s">
        <v>140</v>
      </c>
      <c r="F736" t="s">
        <v>186</v>
      </c>
    </row>
    <row r="737" spans="1:6" x14ac:dyDescent="0.55000000000000004">
      <c r="A737">
        <v>87</v>
      </c>
      <c r="B737" t="str">
        <f t="shared" si="13"/>
        <v>87_0</v>
      </c>
      <c r="C737" t="s">
        <v>126</v>
      </c>
      <c r="D737" s="2" t="s">
        <v>141</v>
      </c>
      <c r="E737" t="s">
        <v>139</v>
      </c>
      <c r="F737">
        <v>0</v>
      </c>
    </row>
    <row r="738" spans="1:6" x14ac:dyDescent="0.55000000000000004">
      <c r="A738">
        <v>87</v>
      </c>
      <c r="B738" t="str">
        <f t="shared" si="13"/>
        <v>87_0</v>
      </c>
      <c r="C738" t="s">
        <v>126</v>
      </c>
      <c r="D738" t="s">
        <v>142</v>
      </c>
      <c r="E738" t="s">
        <v>139</v>
      </c>
      <c r="F738">
        <v>0</v>
      </c>
    </row>
    <row r="739" spans="1:6" x14ac:dyDescent="0.55000000000000004">
      <c r="A739">
        <v>87</v>
      </c>
      <c r="B739" t="str">
        <f t="shared" si="13"/>
        <v>87_0</v>
      </c>
      <c r="C739" t="s">
        <v>126</v>
      </c>
      <c r="D739" t="s">
        <v>143</v>
      </c>
      <c r="E739" t="s">
        <v>131</v>
      </c>
      <c r="F739">
        <v>0</v>
      </c>
    </row>
    <row r="740" spans="1:6" x14ac:dyDescent="0.55000000000000004">
      <c r="A740">
        <v>87</v>
      </c>
      <c r="B740" t="str">
        <f t="shared" si="13"/>
        <v>87_0</v>
      </c>
      <c r="C740" t="s">
        <v>126</v>
      </c>
      <c r="D740" t="s">
        <v>144</v>
      </c>
      <c r="E740" t="s">
        <v>139</v>
      </c>
      <c r="F740">
        <v>0</v>
      </c>
    </row>
    <row r="741" spans="1:6" x14ac:dyDescent="0.55000000000000004">
      <c r="A741">
        <v>87</v>
      </c>
      <c r="B741" t="str">
        <f t="shared" si="13"/>
        <v>87_0</v>
      </c>
      <c r="C741" t="s">
        <v>126</v>
      </c>
      <c r="D741" t="s">
        <v>145</v>
      </c>
      <c r="E741" t="s">
        <v>139</v>
      </c>
      <c r="F741">
        <v>0</v>
      </c>
    </row>
    <row r="742" spans="1:6" x14ac:dyDescent="0.55000000000000004">
      <c r="A742">
        <v>87</v>
      </c>
      <c r="B742" t="str">
        <f t="shared" si="13"/>
        <v>87_0</v>
      </c>
      <c r="C742" t="s">
        <v>126</v>
      </c>
      <c r="D742" t="s">
        <v>146</v>
      </c>
      <c r="E742" t="s">
        <v>139</v>
      </c>
      <c r="F742">
        <v>0</v>
      </c>
    </row>
    <row r="743" spans="1:6" x14ac:dyDescent="0.55000000000000004">
      <c r="A743">
        <v>87</v>
      </c>
      <c r="B743" t="str">
        <f t="shared" si="13"/>
        <v>87_0</v>
      </c>
      <c r="C743" t="s">
        <v>126</v>
      </c>
      <c r="D743" t="s">
        <v>147</v>
      </c>
      <c r="E743" t="s">
        <v>139</v>
      </c>
      <c r="F743">
        <v>0</v>
      </c>
    </row>
    <row r="744" spans="1:6" x14ac:dyDescent="0.55000000000000004">
      <c r="A744">
        <v>87</v>
      </c>
      <c r="B744" t="str">
        <f t="shared" si="13"/>
        <v>87_0</v>
      </c>
      <c r="C744" t="s">
        <v>126</v>
      </c>
      <c r="D744" t="s">
        <v>148</v>
      </c>
      <c r="E744" t="s">
        <v>139</v>
      </c>
      <c r="F744">
        <v>80</v>
      </c>
    </row>
    <row r="745" spans="1:6" x14ac:dyDescent="0.55000000000000004">
      <c r="A745">
        <v>87</v>
      </c>
      <c r="B745" t="str">
        <f t="shared" si="13"/>
        <v>87_0</v>
      </c>
      <c r="C745" t="s">
        <v>126</v>
      </c>
      <c r="D745" t="s">
        <v>149</v>
      </c>
      <c r="E745" t="s">
        <v>139</v>
      </c>
      <c r="F745">
        <v>0</v>
      </c>
    </row>
    <row r="746" spans="1:6" x14ac:dyDescent="0.55000000000000004">
      <c r="A746">
        <v>87</v>
      </c>
      <c r="B746" t="str">
        <f t="shared" si="13"/>
        <v>87_0</v>
      </c>
      <c r="C746" t="s">
        <v>126</v>
      </c>
      <c r="D746" t="s">
        <v>150</v>
      </c>
      <c r="E746" t="s">
        <v>139</v>
      </c>
      <c r="F746">
        <v>20</v>
      </c>
    </row>
    <row r="747" spans="1:6" x14ac:dyDescent="0.55000000000000004">
      <c r="A747">
        <v>87</v>
      </c>
      <c r="B747" t="str">
        <f t="shared" si="13"/>
        <v>87_0</v>
      </c>
      <c r="C747" t="s">
        <v>126</v>
      </c>
      <c r="D747" t="s">
        <v>152</v>
      </c>
      <c r="E747" t="s">
        <v>153</v>
      </c>
    </row>
    <row r="748" spans="1:6" x14ac:dyDescent="0.55000000000000004">
      <c r="A748">
        <v>87</v>
      </c>
      <c r="B748" t="str">
        <f t="shared" si="13"/>
        <v>87_0</v>
      </c>
      <c r="C748" t="s">
        <v>154</v>
      </c>
      <c r="D748" t="s">
        <v>155</v>
      </c>
      <c r="E748" t="s">
        <v>156</v>
      </c>
      <c r="F748">
        <v>21.3</v>
      </c>
    </row>
    <row r="749" spans="1:6" x14ac:dyDescent="0.55000000000000004">
      <c r="A749">
        <v>87</v>
      </c>
      <c r="B749" t="str">
        <f t="shared" si="13"/>
        <v>87_0</v>
      </c>
      <c r="C749" t="s">
        <v>154</v>
      </c>
      <c r="D749" t="s">
        <v>157</v>
      </c>
      <c r="E749" t="s">
        <v>158</v>
      </c>
      <c r="F749">
        <v>8.93</v>
      </c>
    </row>
    <row r="750" spans="1:6" x14ac:dyDescent="0.55000000000000004">
      <c r="A750">
        <v>87</v>
      </c>
      <c r="B750" t="str">
        <f t="shared" si="13"/>
        <v>87_0</v>
      </c>
      <c r="C750" t="s">
        <v>154</v>
      </c>
      <c r="D750" t="s">
        <v>159</v>
      </c>
      <c r="E750" t="s">
        <v>139</v>
      </c>
      <c r="F750">
        <v>100.6</v>
      </c>
    </row>
    <row r="751" spans="1:6" x14ac:dyDescent="0.55000000000000004">
      <c r="A751">
        <v>87</v>
      </c>
      <c r="B751" t="str">
        <f t="shared" si="13"/>
        <v>87_0</v>
      </c>
      <c r="C751" t="s">
        <v>154</v>
      </c>
      <c r="D751" t="s">
        <v>357</v>
      </c>
      <c r="E751" t="s">
        <v>161</v>
      </c>
      <c r="F751">
        <v>423.4</v>
      </c>
    </row>
    <row r="752" spans="1:6" x14ac:dyDescent="0.55000000000000004">
      <c r="A752">
        <f>A751</f>
        <v>87</v>
      </c>
      <c r="B752" t="str">
        <f>B751</f>
        <v>87_0</v>
      </c>
      <c r="C752" s="9" t="str">
        <f>C751</f>
        <v>Chemical</v>
      </c>
      <c r="D752" t="s">
        <v>356</v>
      </c>
      <c r="E752" t="s">
        <v>161</v>
      </c>
      <c r="F752">
        <f xml:space="preserve"> F751 / (1 + 0.021 * (F748 - 25))</f>
        <v>459.06971701181823</v>
      </c>
    </row>
    <row r="753" spans="1:7" x14ac:dyDescent="0.55000000000000004">
      <c r="A753">
        <v>87</v>
      </c>
      <c r="B753" t="str">
        <f t="shared" si="13"/>
        <v>87_0</v>
      </c>
      <c r="C753" t="s">
        <v>154</v>
      </c>
      <c r="D753" t="s">
        <v>162</v>
      </c>
      <c r="F753">
        <v>8.49</v>
      </c>
    </row>
    <row r="754" spans="1:7" x14ac:dyDescent="0.55000000000000004">
      <c r="A754">
        <v>87</v>
      </c>
      <c r="B754" t="str">
        <f t="shared" si="13"/>
        <v>87_0</v>
      </c>
      <c r="C754" t="s">
        <v>163</v>
      </c>
      <c r="D754" t="s">
        <v>168</v>
      </c>
      <c r="E754" t="s">
        <v>131</v>
      </c>
      <c r="F754">
        <v>1</v>
      </c>
    </row>
    <row r="755" spans="1:7" x14ac:dyDescent="0.55000000000000004">
      <c r="A755">
        <v>87</v>
      </c>
      <c r="B755" t="str">
        <f t="shared" si="13"/>
        <v>87_0</v>
      </c>
      <c r="C755" t="s">
        <v>163</v>
      </c>
      <c r="D755" t="s">
        <v>169</v>
      </c>
      <c r="F755" t="s">
        <v>187</v>
      </c>
    </row>
    <row r="756" spans="1:7" x14ac:dyDescent="0.55000000000000004">
      <c r="A756">
        <v>87</v>
      </c>
      <c r="B756" t="str">
        <f t="shared" si="13"/>
        <v>87_0</v>
      </c>
      <c r="C756" t="s">
        <v>163</v>
      </c>
      <c r="D756" t="s">
        <v>170</v>
      </c>
      <c r="E756" t="s">
        <v>139</v>
      </c>
      <c r="F756">
        <v>3</v>
      </c>
    </row>
    <row r="757" spans="1:7" x14ac:dyDescent="0.55000000000000004">
      <c r="A757">
        <v>87</v>
      </c>
      <c r="B757" t="str">
        <f t="shared" si="13"/>
        <v>87_0</v>
      </c>
      <c r="C757" t="s">
        <v>163</v>
      </c>
      <c r="D757" t="s">
        <v>171</v>
      </c>
    </row>
    <row r="758" spans="1:7" x14ac:dyDescent="0.55000000000000004">
      <c r="A758">
        <v>88</v>
      </c>
      <c r="B758" t="str">
        <f t="shared" si="13"/>
        <v>88_0</v>
      </c>
      <c r="C758" t="s">
        <v>126</v>
      </c>
      <c r="D758" t="s">
        <v>127</v>
      </c>
      <c r="E758" t="s">
        <v>128</v>
      </c>
      <c r="F758" s="1"/>
      <c r="G758" t="s">
        <v>129</v>
      </c>
    </row>
    <row r="759" spans="1:7" x14ac:dyDescent="0.55000000000000004">
      <c r="A759">
        <v>88</v>
      </c>
      <c r="B759" t="str">
        <f t="shared" si="13"/>
        <v>88_0</v>
      </c>
      <c r="C759" t="s">
        <v>126</v>
      </c>
      <c r="D759" s="11" t="s">
        <v>130</v>
      </c>
      <c r="E759" t="s">
        <v>131</v>
      </c>
      <c r="F759">
        <v>0</v>
      </c>
    </row>
    <row r="760" spans="1:7" x14ac:dyDescent="0.55000000000000004">
      <c r="A760">
        <v>88</v>
      </c>
      <c r="B760" t="str">
        <f t="shared" si="13"/>
        <v>88_0</v>
      </c>
      <c r="C760" t="s">
        <v>126</v>
      </c>
      <c r="D760" t="s">
        <v>132</v>
      </c>
      <c r="E760" t="s">
        <v>133</v>
      </c>
    </row>
    <row r="761" spans="1:7" x14ac:dyDescent="0.55000000000000004">
      <c r="A761">
        <v>88</v>
      </c>
      <c r="B761" t="str">
        <f t="shared" si="13"/>
        <v>88_0</v>
      </c>
      <c r="C761" t="s">
        <v>126</v>
      </c>
      <c r="D761" t="s">
        <v>134</v>
      </c>
      <c r="E761" t="s">
        <v>133</v>
      </c>
      <c r="F761">
        <v>1</v>
      </c>
    </row>
    <row r="762" spans="1:7" x14ac:dyDescent="0.55000000000000004">
      <c r="A762">
        <v>88</v>
      </c>
      <c r="B762" t="str">
        <f t="shared" si="13"/>
        <v>88_0</v>
      </c>
      <c r="C762" t="s">
        <v>126</v>
      </c>
      <c r="D762" t="s">
        <v>135</v>
      </c>
      <c r="E762" t="s">
        <v>136</v>
      </c>
      <c r="F762">
        <f>F761/10</f>
        <v>0.1</v>
      </c>
      <c r="G762" t="s">
        <v>137</v>
      </c>
    </row>
    <row r="763" spans="1:7" x14ac:dyDescent="0.55000000000000004">
      <c r="A763">
        <v>88</v>
      </c>
      <c r="B763" t="str">
        <f t="shared" si="13"/>
        <v>88_0</v>
      </c>
      <c r="C763" t="s">
        <v>126</v>
      </c>
      <c r="D763" s="2" t="s">
        <v>138</v>
      </c>
      <c r="E763" t="s">
        <v>139</v>
      </c>
      <c r="F763">
        <v>0</v>
      </c>
    </row>
    <row r="764" spans="1:7" x14ac:dyDescent="0.55000000000000004">
      <c r="A764">
        <v>88</v>
      </c>
      <c r="B764" t="str">
        <f t="shared" si="13"/>
        <v>88_0</v>
      </c>
      <c r="C764" t="s">
        <v>126</v>
      </c>
      <c r="D764" s="2" t="s">
        <v>140</v>
      </c>
    </row>
    <row r="765" spans="1:7" x14ac:dyDescent="0.55000000000000004">
      <c r="A765">
        <v>88</v>
      </c>
      <c r="B765" t="str">
        <f t="shared" si="13"/>
        <v>88_0</v>
      </c>
      <c r="C765" t="s">
        <v>126</v>
      </c>
      <c r="D765" s="2" t="s">
        <v>141</v>
      </c>
      <c r="E765" t="s">
        <v>139</v>
      </c>
      <c r="F765">
        <v>0</v>
      </c>
    </row>
    <row r="766" spans="1:7" x14ac:dyDescent="0.55000000000000004">
      <c r="A766">
        <v>88</v>
      </c>
      <c r="B766" t="str">
        <f t="shared" si="13"/>
        <v>88_0</v>
      </c>
      <c r="C766" t="s">
        <v>126</v>
      </c>
      <c r="D766" t="s">
        <v>142</v>
      </c>
      <c r="E766" t="s">
        <v>139</v>
      </c>
      <c r="F766">
        <v>100</v>
      </c>
    </row>
    <row r="767" spans="1:7" x14ac:dyDescent="0.55000000000000004">
      <c r="A767">
        <v>88</v>
      </c>
      <c r="B767" t="str">
        <f t="shared" si="13"/>
        <v>88_0</v>
      </c>
      <c r="C767" t="s">
        <v>126</v>
      </c>
      <c r="D767" t="s">
        <v>143</v>
      </c>
      <c r="E767" t="s">
        <v>131</v>
      </c>
      <c r="F767">
        <v>0</v>
      </c>
    </row>
    <row r="768" spans="1:7" x14ac:dyDescent="0.55000000000000004">
      <c r="A768">
        <v>88</v>
      </c>
      <c r="B768" t="str">
        <f t="shared" si="13"/>
        <v>88_0</v>
      </c>
      <c r="C768" t="s">
        <v>126</v>
      </c>
      <c r="D768" t="s">
        <v>144</v>
      </c>
      <c r="E768" t="s">
        <v>139</v>
      </c>
      <c r="F768">
        <v>0</v>
      </c>
    </row>
    <row r="769" spans="1:6" x14ac:dyDescent="0.55000000000000004">
      <c r="A769">
        <v>88</v>
      </c>
      <c r="B769" t="str">
        <f t="shared" si="13"/>
        <v>88_0</v>
      </c>
      <c r="C769" t="s">
        <v>126</v>
      </c>
      <c r="D769" t="s">
        <v>145</v>
      </c>
      <c r="E769" t="s">
        <v>139</v>
      </c>
      <c r="F769">
        <v>0</v>
      </c>
    </row>
    <row r="770" spans="1:6" x14ac:dyDescent="0.55000000000000004">
      <c r="A770">
        <v>88</v>
      </c>
      <c r="B770" t="str">
        <f t="shared" si="13"/>
        <v>88_0</v>
      </c>
      <c r="C770" t="s">
        <v>126</v>
      </c>
      <c r="D770" t="s">
        <v>146</v>
      </c>
      <c r="E770" t="s">
        <v>139</v>
      </c>
      <c r="F770">
        <v>0</v>
      </c>
    </row>
    <row r="771" spans="1:6" x14ac:dyDescent="0.55000000000000004">
      <c r="A771">
        <v>88</v>
      </c>
      <c r="B771" t="str">
        <f t="shared" si="13"/>
        <v>88_0</v>
      </c>
      <c r="C771" t="s">
        <v>126</v>
      </c>
      <c r="D771" t="s">
        <v>147</v>
      </c>
      <c r="E771" t="s">
        <v>139</v>
      </c>
      <c r="F771">
        <v>0</v>
      </c>
    </row>
    <row r="772" spans="1:6" x14ac:dyDescent="0.55000000000000004">
      <c r="A772">
        <v>88</v>
      </c>
      <c r="B772" t="str">
        <f t="shared" si="13"/>
        <v>88_0</v>
      </c>
      <c r="C772" t="s">
        <v>126</v>
      </c>
      <c r="D772" t="s">
        <v>148</v>
      </c>
      <c r="E772" t="s">
        <v>139</v>
      </c>
      <c r="F772">
        <v>100</v>
      </c>
    </row>
    <row r="773" spans="1:6" x14ac:dyDescent="0.55000000000000004">
      <c r="A773">
        <v>88</v>
      </c>
      <c r="B773" t="str">
        <f t="shared" si="13"/>
        <v>88_0</v>
      </c>
      <c r="C773" t="s">
        <v>126</v>
      </c>
      <c r="D773" t="s">
        <v>149</v>
      </c>
      <c r="E773" t="s">
        <v>139</v>
      </c>
      <c r="F773">
        <v>0</v>
      </c>
    </row>
    <row r="774" spans="1:6" x14ac:dyDescent="0.55000000000000004">
      <c r="A774">
        <v>88</v>
      </c>
      <c r="B774" t="str">
        <f t="shared" si="13"/>
        <v>88_0</v>
      </c>
      <c r="C774" t="s">
        <v>126</v>
      </c>
      <c r="D774" t="s">
        <v>150</v>
      </c>
      <c r="E774" t="s">
        <v>139</v>
      </c>
      <c r="F774">
        <v>0</v>
      </c>
    </row>
    <row r="775" spans="1:6" x14ac:dyDescent="0.55000000000000004">
      <c r="A775">
        <v>88</v>
      </c>
      <c r="B775" t="str">
        <f t="shared" si="13"/>
        <v>88_0</v>
      </c>
      <c r="C775" t="s">
        <v>126</v>
      </c>
      <c r="D775" t="s">
        <v>152</v>
      </c>
      <c r="E775" t="s">
        <v>153</v>
      </c>
    </row>
    <row r="776" spans="1:6" x14ac:dyDescent="0.55000000000000004">
      <c r="A776">
        <v>88</v>
      </c>
      <c r="B776" t="str">
        <f t="shared" si="13"/>
        <v>88_0</v>
      </c>
      <c r="C776" t="s">
        <v>154</v>
      </c>
      <c r="D776" t="s">
        <v>155</v>
      </c>
      <c r="E776" t="s">
        <v>156</v>
      </c>
      <c r="F776">
        <v>22.5</v>
      </c>
    </row>
    <row r="777" spans="1:6" x14ac:dyDescent="0.55000000000000004">
      <c r="A777">
        <v>88</v>
      </c>
      <c r="B777" t="str">
        <f t="shared" si="13"/>
        <v>88_0</v>
      </c>
      <c r="C777" t="s">
        <v>154</v>
      </c>
      <c r="D777" t="s">
        <v>157</v>
      </c>
      <c r="E777" t="s">
        <v>158</v>
      </c>
      <c r="F777">
        <v>9.42</v>
      </c>
    </row>
    <row r="778" spans="1:6" x14ac:dyDescent="0.55000000000000004">
      <c r="A778">
        <v>88</v>
      </c>
      <c r="B778" t="str">
        <f t="shared" si="13"/>
        <v>88_0</v>
      </c>
      <c r="C778" t="s">
        <v>154</v>
      </c>
      <c r="D778" t="s">
        <v>159</v>
      </c>
      <c r="E778" t="s">
        <v>139</v>
      </c>
      <c r="F778">
        <v>109.2</v>
      </c>
    </row>
    <row r="779" spans="1:6" x14ac:dyDescent="0.55000000000000004">
      <c r="A779">
        <v>88</v>
      </c>
      <c r="B779" t="str">
        <f t="shared" si="13"/>
        <v>88_0</v>
      </c>
      <c r="C779" t="s">
        <v>154</v>
      </c>
      <c r="D779" t="s">
        <v>357</v>
      </c>
      <c r="E779" t="s">
        <v>161</v>
      </c>
      <c r="F779">
        <v>431.8</v>
      </c>
    </row>
    <row r="780" spans="1:6" x14ac:dyDescent="0.55000000000000004">
      <c r="A780">
        <f>A779</f>
        <v>88</v>
      </c>
      <c r="B780" t="str">
        <f>B779</f>
        <v>88_0</v>
      </c>
      <c r="C780" s="9" t="str">
        <f>C779</f>
        <v>Chemical</v>
      </c>
      <c r="D780" t="s">
        <v>356</v>
      </c>
      <c r="E780" t="s">
        <v>161</v>
      </c>
      <c r="F780">
        <f xml:space="preserve"> F779 / (1 + 0.021 * (F776 - 25))</f>
        <v>455.72559366754621</v>
      </c>
    </row>
    <row r="781" spans="1:6" x14ac:dyDescent="0.55000000000000004">
      <c r="A781">
        <v>88</v>
      </c>
      <c r="B781" t="str">
        <f t="shared" si="13"/>
        <v>88_0</v>
      </c>
      <c r="C781" t="s">
        <v>154</v>
      </c>
      <c r="D781" t="s">
        <v>162</v>
      </c>
      <c r="F781">
        <v>8.75</v>
      </c>
    </row>
    <row r="782" spans="1:6" x14ac:dyDescent="0.55000000000000004">
      <c r="A782">
        <v>88</v>
      </c>
      <c r="B782" t="str">
        <f t="shared" ref="B782:B834" si="14">A782 &amp; "_0"</f>
        <v>88_0</v>
      </c>
      <c r="C782" t="s">
        <v>163</v>
      </c>
      <c r="D782" t="s">
        <v>168</v>
      </c>
      <c r="E782" t="s">
        <v>131</v>
      </c>
      <c r="F782">
        <v>0</v>
      </c>
    </row>
    <row r="783" spans="1:6" x14ac:dyDescent="0.55000000000000004">
      <c r="A783">
        <v>88</v>
      </c>
      <c r="B783" t="str">
        <f t="shared" si="14"/>
        <v>88_0</v>
      </c>
      <c r="C783" t="s">
        <v>163</v>
      </c>
      <c r="D783" t="s">
        <v>169</v>
      </c>
    </row>
    <row r="784" spans="1:6" x14ac:dyDescent="0.55000000000000004">
      <c r="A784">
        <v>88</v>
      </c>
      <c r="B784" t="str">
        <f t="shared" si="14"/>
        <v>88_0</v>
      </c>
      <c r="C784" t="s">
        <v>163</v>
      </c>
      <c r="D784" t="s">
        <v>170</v>
      </c>
      <c r="E784" t="s">
        <v>139</v>
      </c>
      <c r="F784">
        <v>10</v>
      </c>
    </row>
    <row r="785" spans="1:7" x14ac:dyDescent="0.55000000000000004">
      <c r="A785">
        <v>88</v>
      </c>
      <c r="B785" t="str">
        <f t="shared" si="14"/>
        <v>88_0</v>
      </c>
      <c r="C785" t="s">
        <v>163</v>
      </c>
      <c r="D785" t="s">
        <v>171</v>
      </c>
    </row>
    <row r="786" spans="1:7" x14ac:dyDescent="0.55000000000000004">
      <c r="A786">
        <v>89</v>
      </c>
      <c r="B786" t="str">
        <f t="shared" si="14"/>
        <v>89_0</v>
      </c>
      <c r="C786" t="s">
        <v>126</v>
      </c>
      <c r="D786" t="s">
        <v>127</v>
      </c>
      <c r="E786" t="s">
        <v>128</v>
      </c>
      <c r="F786" s="1"/>
      <c r="G786" t="s">
        <v>129</v>
      </c>
    </row>
    <row r="787" spans="1:7" x14ac:dyDescent="0.55000000000000004">
      <c r="A787">
        <v>89</v>
      </c>
      <c r="B787" t="str">
        <f t="shared" si="14"/>
        <v>89_0</v>
      </c>
      <c r="C787" t="s">
        <v>126</v>
      </c>
      <c r="D787" s="11" t="s">
        <v>130</v>
      </c>
      <c r="E787" t="s">
        <v>131</v>
      </c>
      <c r="F787">
        <v>1</v>
      </c>
    </row>
    <row r="788" spans="1:7" x14ac:dyDescent="0.55000000000000004">
      <c r="A788">
        <v>89</v>
      </c>
      <c r="B788" t="str">
        <f t="shared" si="14"/>
        <v>89_0</v>
      </c>
      <c r="C788" t="s">
        <v>126</v>
      </c>
      <c r="D788" t="s">
        <v>132</v>
      </c>
      <c r="E788" t="s">
        <v>133</v>
      </c>
    </row>
    <row r="789" spans="1:7" x14ac:dyDescent="0.55000000000000004">
      <c r="A789">
        <v>89</v>
      </c>
      <c r="B789" t="str">
        <f t="shared" si="14"/>
        <v>89_0</v>
      </c>
      <c r="C789" t="s">
        <v>126</v>
      </c>
      <c r="D789" t="s">
        <v>134</v>
      </c>
      <c r="E789" t="s">
        <v>133</v>
      </c>
      <c r="F789">
        <v>1.1000000000000001</v>
      </c>
    </row>
    <row r="790" spans="1:7" x14ac:dyDescent="0.55000000000000004">
      <c r="A790">
        <v>89</v>
      </c>
      <c r="B790" t="str">
        <f t="shared" si="14"/>
        <v>89_0</v>
      </c>
      <c r="C790" t="s">
        <v>126</v>
      </c>
      <c r="D790" t="s">
        <v>135</v>
      </c>
      <c r="E790" t="s">
        <v>136</v>
      </c>
      <c r="F790">
        <f>F789/10</f>
        <v>0.11000000000000001</v>
      </c>
      <c r="G790" t="s">
        <v>137</v>
      </c>
    </row>
    <row r="791" spans="1:7" x14ac:dyDescent="0.55000000000000004">
      <c r="A791">
        <v>89</v>
      </c>
      <c r="B791" t="str">
        <f t="shared" si="14"/>
        <v>89_0</v>
      </c>
      <c r="C791" t="s">
        <v>126</v>
      </c>
      <c r="D791" s="2" t="s">
        <v>138</v>
      </c>
      <c r="E791" t="s">
        <v>139</v>
      </c>
      <c r="F791">
        <v>100</v>
      </c>
    </row>
    <row r="792" spans="1:7" x14ac:dyDescent="0.55000000000000004">
      <c r="A792">
        <v>89</v>
      </c>
      <c r="B792" t="str">
        <f t="shared" si="14"/>
        <v>89_0</v>
      </c>
      <c r="C792" t="s">
        <v>126</v>
      </c>
      <c r="D792" s="2" t="s">
        <v>140</v>
      </c>
      <c r="F792" t="s">
        <v>172</v>
      </c>
    </row>
    <row r="793" spans="1:7" x14ac:dyDescent="0.55000000000000004">
      <c r="A793">
        <v>89</v>
      </c>
      <c r="B793" t="str">
        <f t="shared" si="14"/>
        <v>89_0</v>
      </c>
      <c r="C793" t="s">
        <v>126</v>
      </c>
      <c r="D793" s="2" t="s">
        <v>141</v>
      </c>
      <c r="E793" t="s">
        <v>139</v>
      </c>
      <c r="F793">
        <v>0</v>
      </c>
    </row>
    <row r="794" spans="1:7" x14ac:dyDescent="0.55000000000000004">
      <c r="A794">
        <v>89</v>
      </c>
      <c r="B794" t="str">
        <f t="shared" si="14"/>
        <v>89_0</v>
      </c>
      <c r="C794" t="s">
        <v>126</v>
      </c>
      <c r="D794" t="s">
        <v>142</v>
      </c>
      <c r="E794" t="s">
        <v>139</v>
      </c>
      <c r="F794">
        <v>0</v>
      </c>
    </row>
    <row r="795" spans="1:7" x14ac:dyDescent="0.55000000000000004">
      <c r="A795">
        <v>89</v>
      </c>
      <c r="B795" t="str">
        <f t="shared" si="14"/>
        <v>89_0</v>
      </c>
      <c r="C795" t="s">
        <v>126</v>
      </c>
      <c r="D795" t="s">
        <v>143</v>
      </c>
      <c r="E795" t="s">
        <v>131</v>
      </c>
      <c r="F795">
        <v>0</v>
      </c>
    </row>
    <row r="796" spans="1:7" x14ac:dyDescent="0.55000000000000004">
      <c r="A796">
        <v>89</v>
      </c>
      <c r="B796" t="str">
        <f t="shared" si="14"/>
        <v>89_0</v>
      </c>
      <c r="C796" t="s">
        <v>126</v>
      </c>
      <c r="D796" t="s">
        <v>144</v>
      </c>
      <c r="E796" t="s">
        <v>139</v>
      </c>
      <c r="F796">
        <v>0</v>
      </c>
    </row>
    <row r="797" spans="1:7" x14ac:dyDescent="0.55000000000000004">
      <c r="A797">
        <v>89</v>
      </c>
      <c r="B797" t="str">
        <f t="shared" si="14"/>
        <v>89_0</v>
      </c>
      <c r="C797" t="s">
        <v>126</v>
      </c>
      <c r="D797" t="s">
        <v>145</v>
      </c>
      <c r="E797" t="s">
        <v>139</v>
      </c>
      <c r="F797">
        <v>0</v>
      </c>
    </row>
    <row r="798" spans="1:7" x14ac:dyDescent="0.55000000000000004">
      <c r="A798">
        <v>89</v>
      </c>
      <c r="B798" t="str">
        <f t="shared" si="14"/>
        <v>89_0</v>
      </c>
      <c r="C798" t="s">
        <v>126</v>
      </c>
      <c r="D798" t="s">
        <v>146</v>
      </c>
      <c r="E798" t="s">
        <v>139</v>
      </c>
      <c r="F798">
        <v>0</v>
      </c>
    </row>
    <row r="799" spans="1:7" x14ac:dyDescent="0.55000000000000004">
      <c r="A799">
        <v>89</v>
      </c>
      <c r="B799" t="str">
        <f t="shared" si="14"/>
        <v>89_0</v>
      </c>
      <c r="C799" t="s">
        <v>126</v>
      </c>
      <c r="D799" t="s">
        <v>147</v>
      </c>
      <c r="E799" t="s">
        <v>139</v>
      </c>
      <c r="F799">
        <v>0</v>
      </c>
    </row>
    <row r="800" spans="1:7" x14ac:dyDescent="0.55000000000000004">
      <c r="A800">
        <v>89</v>
      </c>
      <c r="B800" t="str">
        <f t="shared" si="14"/>
        <v>89_0</v>
      </c>
      <c r="C800" t="s">
        <v>126</v>
      </c>
      <c r="D800" t="s">
        <v>148</v>
      </c>
      <c r="E800" t="s">
        <v>139</v>
      </c>
      <c r="F800">
        <v>0</v>
      </c>
    </row>
    <row r="801" spans="1:7" x14ac:dyDescent="0.55000000000000004">
      <c r="A801">
        <v>89</v>
      </c>
      <c r="B801" t="str">
        <f t="shared" si="14"/>
        <v>89_0</v>
      </c>
      <c r="C801" t="s">
        <v>126</v>
      </c>
      <c r="D801" t="s">
        <v>149</v>
      </c>
      <c r="E801" t="s">
        <v>139</v>
      </c>
      <c r="F801">
        <v>0</v>
      </c>
    </row>
    <row r="802" spans="1:7" x14ac:dyDescent="0.55000000000000004">
      <c r="A802">
        <v>89</v>
      </c>
      <c r="B802" t="str">
        <f t="shared" si="14"/>
        <v>89_0</v>
      </c>
      <c r="C802" t="s">
        <v>126</v>
      </c>
      <c r="D802" t="s">
        <v>150</v>
      </c>
      <c r="E802" t="s">
        <v>139</v>
      </c>
      <c r="F802">
        <v>100</v>
      </c>
    </row>
    <row r="803" spans="1:7" x14ac:dyDescent="0.55000000000000004">
      <c r="A803">
        <v>89</v>
      </c>
      <c r="B803" t="str">
        <f t="shared" si="14"/>
        <v>89_0</v>
      </c>
      <c r="C803" t="s">
        <v>126</v>
      </c>
      <c r="D803" t="s">
        <v>152</v>
      </c>
      <c r="E803" t="s">
        <v>153</v>
      </c>
    </row>
    <row r="804" spans="1:7" x14ac:dyDescent="0.55000000000000004">
      <c r="A804">
        <v>89</v>
      </c>
      <c r="B804" t="str">
        <f t="shared" si="14"/>
        <v>89_0</v>
      </c>
      <c r="C804" t="s">
        <v>154</v>
      </c>
      <c r="D804" t="s">
        <v>155</v>
      </c>
      <c r="E804" t="s">
        <v>156</v>
      </c>
      <c r="F804">
        <v>22</v>
      </c>
    </row>
    <row r="805" spans="1:7" x14ac:dyDescent="0.55000000000000004">
      <c r="A805">
        <v>89</v>
      </c>
      <c r="B805" t="str">
        <f t="shared" si="14"/>
        <v>89_0</v>
      </c>
      <c r="C805" t="s">
        <v>154</v>
      </c>
      <c r="D805" t="s">
        <v>157</v>
      </c>
      <c r="E805" t="s">
        <v>158</v>
      </c>
      <c r="F805">
        <v>10.92</v>
      </c>
    </row>
    <row r="806" spans="1:7" x14ac:dyDescent="0.55000000000000004">
      <c r="A806">
        <v>89</v>
      </c>
      <c r="B806" t="str">
        <f t="shared" si="14"/>
        <v>89_0</v>
      </c>
      <c r="C806" t="s">
        <v>154</v>
      </c>
      <c r="D806" t="s">
        <v>159</v>
      </c>
      <c r="E806" t="s">
        <v>139</v>
      </c>
      <c r="F806">
        <v>124.9</v>
      </c>
    </row>
    <row r="807" spans="1:7" x14ac:dyDescent="0.55000000000000004">
      <c r="A807">
        <v>89</v>
      </c>
      <c r="B807" t="str">
        <f t="shared" si="14"/>
        <v>89_0</v>
      </c>
      <c r="C807" t="s">
        <v>154</v>
      </c>
      <c r="D807" t="s">
        <v>357</v>
      </c>
      <c r="E807" t="s">
        <v>161</v>
      </c>
      <c r="F807">
        <v>427.3</v>
      </c>
    </row>
    <row r="808" spans="1:7" x14ac:dyDescent="0.55000000000000004">
      <c r="A808">
        <f>A807</f>
        <v>89</v>
      </c>
      <c r="B808" t="str">
        <f>B807</f>
        <v>89_0</v>
      </c>
      <c r="C808" s="9" t="str">
        <f>C807</f>
        <v>Chemical</v>
      </c>
      <c r="D808" t="s">
        <v>356</v>
      </c>
      <c r="E808" t="s">
        <v>161</v>
      </c>
      <c r="F808">
        <f xml:space="preserve"> F807 / (1 + 0.021 * (F804 - 25))</f>
        <v>456.0298826040555</v>
      </c>
    </row>
    <row r="809" spans="1:7" x14ac:dyDescent="0.55000000000000004">
      <c r="A809">
        <v>89</v>
      </c>
      <c r="B809" t="str">
        <f t="shared" si="14"/>
        <v>89_0</v>
      </c>
      <c r="C809" t="s">
        <v>154</v>
      </c>
      <c r="D809" t="s">
        <v>162</v>
      </c>
      <c r="F809">
        <v>8.91</v>
      </c>
    </row>
    <row r="810" spans="1:7" x14ac:dyDescent="0.55000000000000004">
      <c r="A810">
        <v>89</v>
      </c>
      <c r="B810" t="str">
        <f t="shared" si="14"/>
        <v>89_0</v>
      </c>
      <c r="C810" t="s">
        <v>163</v>
      </c>
      <c r="D810" t="s">
        <v>168</v>
      </c>
      <c r="E810" t="s">
        <v>131</v>
      </c>
      <c r="F810">
        <v>1</v>
      </c>
    </row>
    <row r="811" spans="1:7" x14ac:dyDescent="0.55000000000000004">
      <c r="A811">
        <v>89</v>
      </c>
      <c r="B811" t="str">
        <f t="shared" si="14"/>
        <v>89_0</v>
      </c>
      <c r="C811" t="s">
        <v>163</v>
      </c>
      <c r="D811" t="s">
        <v>169</v>
      </c>
      <c r="F811" t="s">
        <v>173</v>
      </c>
    </row>
    <row r="812" spans="1:7" x14ac:dyDescent="0.55000000000000004">
      <c r="A812">
        <v>89</v>
      </c>
      <c r="B812" t="str">
        <f t="shared" si="14"/>
        <v>89_0</v>
      </c>
      <c r="C812" t="s">
        <v>163</v>
      </c>
      <c r="D812" t="s">
        <v>170</v>
      </c>
      <c r="E812" t="s">
        <v>139</v>
      </c>
      <c r="F812">
        <v>3</v>
      </c>
    </row>
    <row r="813" spans="1:7" x14ac:dyDescent="0.55000000000000004">
      <c r="A813">
        <v>89</v>
      </c>
      <c r="B813" t="str">
        <f t="shared" si="14"/>
        <v>89_0</v>
      </c>
      <c r="C813" t="s">
        <v>163</v>
      </c>
      <c r="D813" t="s">
        <v>171</v>
      </c>
    </row>
    <row r="814" spans="1:7" x14ac:dyDescent="0.55000000000000004">
      <c r="A814">
        <v>90</v>
      </c>
      <c r="B814" t="str">
        <f t="shared" si="14"/>
        <v>90_0</v>
      </c>
      <c r="C814" t="s">
        <v>126</v>
      </c>
      <c r="D814" t="s">
        <v>127</v>
      </c>
      <c r="E814" t="s">
        <v>128</v>
      </c>
      <c r="F814" s="1"/>
      <c r="G814" t="s">
        <v>129</v>
      </c>
    </row>
    <row r="815" spans="1:7" x14ac:dyDescent="0.55000000000000004">
      <c r="A815">
        <v>90</v>
      </c>
      <c r="B815" t="str">
        <f t="shared" si="14"/>
        <v>90_0</v>
      </c>
      <c r="C815" t="s">
        <v>126</v>
      </c>
      <c r="D815" s="11" t="s">
        <v>130</v>
      </c>
      <c r="E815" t="s">
        <v>131</v>
      </c>
      <c r="F815">
        <v>1</v>
      </c>
    </row>
    <row r="816" spans="1:7" x14ac:dyDescent="0.55000000000000004">
      <c r="A816">
        <v>90</v>
      </c>
      <c r="B816" t="str">
        <f t="shared" si="14"/>
        <v>90_0</v>
      </c>
      <c r="C816" t="s">
        <v>126</v>
      </c>
      <c r="D816" t="s">
        <v>132</v>
      </c>
      <c r="E816" t="s">
        <v>133</v>
      </c>
    </row>
    <row r="817" spans="1:7" x14ac:dyDescent="0.55000000000000004">
      <c r="A817">
        <v>90</v>
      </c>
      <c r="B817" t="str">
        <f t="shared" si="14"/>
        <v>90_0</v>
      </c>
      <c r="C817" t="s">
        <v>126</v>
      </c>
      <c r="D817" t="s">
        <v>134</v>
      </c>
      <c r="E817" t="s">
        <v>133</v>
      </c>
      <c r="F817">
        <v>1</v>
      </c>
    </row>
    <row r="818" spans="1:7" x14ac:dyDescent="0.55000000000000004">
      <c r="A818">
        <v>90</v>
      </c>
      <c r="B818" t="str">
        <f t="shared" si="14"/>
        <v>90_0</v>
      </c>
      <c r="C818" t="s">
        <v>126</v>
      </c>
      <c r="D818" t="s">
        <v>135</v>
      </c>
      <c r="E818" t="s">
        <v>136</v>
      </c>
      <c r="F818">
        <f>F817/10</f>
        <v>0.1</v>
      </c>
      <c r="G818" t="s">
        <v>137</v>
      </c>
    </row>
    <row r="819" spans="1:7" x14ac:dyDescent="0.55000000000000004">
      <c r="A819">
        <v>90</v>
      </c>
      <c r="B819" t="str">
        <f t="shared" si="14"/>
        <v>90_0</v>
      </c>
      <c r="C819" t="s">
        <v>126</v>
      </c>
      <c r="D819" s="2" t="s">
        <v>138</v>
      </c>
      <c r="E819" t="s">
        <v>139</v>
      </c>
      <c r="F819">
        <v>100</v>
      </c>
    </row>
    <row r="820" spans="1:7" x14ac:dyDescent="0.55000000000000004">
      <c r="A820">
        <v>90</v>
      </c>
      <c r="B820" t="str">
        <f t="shared" si="14"/>
        <v>90_0</v>
      </c>
      <c r="C820" t="s">
        <v>126</v>
      </c>
      <c r="D820" s="2" t="s">
        <v>140</v>
      </c>
      <c r="F820" t="s">
        <v>172</v>
      </c>
    </row>
    <row r="821" spans="1:7" x14ac:dyDescent="0.55000000000000004">
      <c r="A821">
        <v>90</v>
      </c>
      <c r="B821" t="str">
        <f t="shared" si="14"/>
        <v>90_0</v>
      </c>
      <c r="C821" t="s">
        <v>126</v>
      </c>
      <c r="D821" s="2" t="s">
        <v>141</v>
      </c>
      <c r="E821" t="s">
        <v>139</v>
      </c>
      <c r="F821">
        <v>0</v>
      </c>
    </row>
    <row r="822" spans="1:7" x14ac:dyDescent="0.55000000000000004">
      <c r="A822">
        <v>90</v>
      </c>
      <c r="B822" t="str">
        <f t="shared" si="14"/>
        <v>90_0</v>
      </c>
      <c r="C822" t="s">
        <v>126</v>
      </c>
      <c r="D822" t="s">
        <v>142</v>
      </c>
      <c r="E822" t="s">
        <v>139</v>
      </c>
      <c r="F822">
        <v>0</v>
      </c>
    </row>
    <row r="823" spans="1:7" x14ac:dyDescent="0.55000000000000004">
      <c r="A823">
        <v>90</v>
      </c>
      <c r="B823" t="str">
        <f t="shared" si="14"/>
        <v>90_0</v>
      </c>
      <c r="C823" t="s">
        <v>126</v>
      </c>
      <c r="D823" t="s">
        <v>143</v>
      </c>
      <c r="E823" t="s">
        <v>131</v>
      </c>
      <c r="F823">
        <v>0</v>
      </c>
    </row>
    <row r="824" spans="1:7" x14ac:dyDescent="0.55000000000000004">
      <c r="A824">
        <v>90</v>
      </c>
      <c r="B824" t="str">
        <f t="shared" si="14"/>
        <v>90_0</v>
      </c>
      <c r="C824" t="s">
        <v>126</v>
      </c>
      <c r="D824" t="s">
        <v>144</v>
      </c>
      <c r="E824" t="s">
        <v>139</v>
      </c>
      <c r="F824">
        <v>0</v>
      </c>
    </row>
    <row r="825" spans="1:7" x14ac:dyDescent="0.55000000000000004">
      <c r="A825">
        <v>90</v>
      </c>
      <c r="B825" t="str">
        <f t="shared" si="14"/>
        <v>90_0</v>
      </c>
      <c r="C825" t="s">
        <v>126</v>
      </c>
      <c r="D825" t="s">
        <v>145</v>
      </c>
      <c r="E825" t="s">
        <v>139</v>
      </c>
      <c r="F825">
        <v>0</v>
      </c>
    </row>
    <row r="826" spans="1:7" x14ac:dyDescent="0.55000000000000004">
      <c r="A826">
        <v>90</v>
      </c>
      <c r="B826" t="str">
        <f t="shared" si="14"/>
        <v>90_0</v>
      </c>
      <c r="C826" t="s">
        <v>126</v>
      </c>
      <c r="D826" t="s">
        <v>146</v>
      </c>
      <c r="E826" t="s">
        <v>139</v>
      </c>
      <c r="F826">
        <v>0</v>
      </c>
    </row>
    <row r="827" spans="1:7" x14ac:dyDescent="0.55000000000000004">
      <c r="A827">
        <v>90</v>
      </c>
      <c r="B827" t="str">
        <f t="shared" si="14"/>
        <v>90_0</v>
      </c>
      <c r="C827" t="s">
        <v>126</v>
      </c>
      <c r="D827" t="s">
        <v>147</v>
      </c>
      <c r="E827" t="s">
        <v>139</v>
      </c>
      <c r="F827">
        <v>0</v>
      </c>
    </row>
    <row r="828" spans="1:7" x14ac:dyDescent="0.55000000000000004">
      <c r="A828">
        <v>90</v>
      </c>
      <c r="B828" t="str">
        <f t="shared" si="14"/>
        <v>90_0</v>
      </c>
      <c r="C828" t="s">
        <v>126</v>
      </c>
      <c r="D828" t="s">
        <v>148</v>
      </c>
      <c r="E828" t="s">
        <v>139</v>
      </c>
      <c r="F828">
        <v>0</v>
      </c>
    </row>
    <row r="829" spans="1:7" x14ac:dyDescent="0.55000000000000004">
      <c r="A829">
        <v>90</v>
      </c>
      <c r="B829" t="str">
        <f t="shared" si="14"/>
        <v>90_0</v>
      </c>
      <c r="C829" t="s">
        <v>126</v>
      </c>
      <c r="D829" t="s">
        <v>149</v>
      </c>
      <c r="E829" t="s">
        <v>139</v>
      </c>
      <c r="F829">
        <v>0</v>
      </c>
    </row>
    <row r="830" spans="1:7" x14ac:dyDescent="0.55000000000000004">
      <c r="A830">
        <v>90</v>
      </c>
      <c r="B830" t="str">
        <f t="shared" si="14"/>
        <v>90_0</v>
      </c>
      <c r="C830" t="s">
        <v>126</v>
      </c>
      <c r="D830" t="s">
        <v>150</v>
      </c>
      <c r="E830" t="s">
        <v>139</v>
      </c>
      <c r="F830">
        <v>100</v>
      </c>
    </row>
    <row r="831" spans="1:7" x14ac:dyDescent="0.55000000000000004">
      <c r="A831">
        <v>90</v>
      </c>
      <c r="B831" t="str">
        <f t="shared" si="14"/>
        <v>90_0</v>
      </c>
      <c r="C831" t="s">
        <v>126</v>
      </c>
      <c r="D831" t="s">
        <v>152</v>
      </c>
      <c r="E831" t="s">
        <v>153</v>
      </c>
    </row>
    <row r="832" spans="1:7" x14ac:dyDescent="0.55000000000000004">
      <c r="A832">
        <v>90</v>
      </c>
      <c r="B832" t="str">
        <f t="shared" si="14"/>
        <v>90_0</v>
      </c>
      <c r="C832" t="s">
        <v>154</v>
      </c>
      <c r="D832" t="s">
        <v>155</v>
      </c>
      <c r="E832" t="s">
        <v>156</v>
      </c>
      <c r="F832">
        <v>21.6</v>
      </c>
    </row>
    <row r="833" spans="1:7" x14ac:dyDescent="0.55000000000000004">
      <c r="A833">
        <v>90</v>
      </c>
      <c r="B833" t="str">
        <f t="shared" si="14"/>
        <v>90_0</v>
      </c>
      <c r="C833" t="s">
        <v>154</v>
      </c>
      <c r="D833" t="s">
        <v>157</v>
      </c>
      <c r="E833" t="s">
        <v>158</v>
      </c>
      <c r="F833">
        <v>11.06</v>
      </c>
    </row>
    <row r="834" spans="1:7" x14ac:dyDescent="0.55000000000000004">
      <c r="A834">
        <v>90</v>
      </c>
      <c r="B834" t="str">
        <f t="shared" si="14"/>
        <v>90_0</v>
      </c>
      <c r="C834" t="s">
        <v>154</v>
      </c>
      <c r="D834" t="s">
        <v>159</v>
      </c>
      <c r="E834" t="s">
        <v>139</v>
      </c>
      <c r="F834">
        <v>125.9</v>
      </c>
    </row>
    <row r="835" spans="1:7" x14ac:dyDescent="0.55000000000000004">
      <c r="A835">
        <v>90</v>
      </c>
      <c r="B835" t="str">
        <f t="shared" ref="B835:B886" si="15">A835 &amp; "_0"</f>
        <v>90_0</v>
      </c>
      <c r="C835" t="s">
        <v>154</v>
      </c>
      <c r="D835" t="s">
        <v>357</v>
      </c>
      <c r="E835" t="s">
        <v>161</v>
      </c>
      <c r="F835">
        <v>426.2</v>
      </c>
    </row>
    <row r="836" spans="1:7" x14ac:dyDescent="0.55000000000000004">
      <c r="A836">
        <f>A835</f>
        <v>90</v>
      </c>
      <c r="B836" t="str">
        <f>B835</f>
        <v>90_0</v>
      </c>
      <c r="C836" s="9" t="str">
        <f>C835</f>
        <v>Chemical</v>
      </c>
      <c r="D836" t="s">
        <v>356</v>
      </c>
      <c r="E836" t="s">
        <v>161</v>
      </c>
      <c r="F836">
        <f xml:space="preserve"> F835 / (1 + 0.021 * (F832 - 25))</f>
        <v>458.97049321559336</v>
      </c>
    </row>
    <row r="837" spans="1:7" x14ac:dyDescent="0.55000000000000004">
      <c r="A837">
        <v>90</v>
      </c>
      <c r="B837" t="str">
        <f t="shared" si="15"/>
        <v>90_0</v>
      </c>
      <c r="C837" t="s">
        <v>154</v>
      </c>
      <c r="D837" t="s">
        <v>162</v>
      </c>
      <c r="F837">
        <v>8.9</v>
      </c>
    </row>
    <row r="838" spans="1:7" x14ac:dyDescent="0.55000000000000004">
      <c r="A838">
        <v>90</v>
      </c>
      <c r="B838" t="str">
        <f t="shared" si="15"/>
        <v>90_0</v>
      </c>
      <c r="C838" t="s">
        <v>163</v>
      </c>
      <c r="D838" t="s">
        <v>168</v>
      </c>
      <c r="E838" t="s">
        <v>131</v>
      </c>
      <c r="F838">
        <v>0</v>
      </c>
    </row>
    <row r="839" spans="1:7" x14ac:dyDescent="0.55000000000000004">
      <c r="A839">
        <v>90</v>
      </c>
      <c r="B839" t="str">
        <f t="shared" si="15"/>
        <v>90_0</v>
      </c>
      <c r="C839" t="s">
        <v>163</v>
      </c>
      <c r="D839" t="s">
        <v>169</v>
      </c>
    </row>
    <row r="840" spans="1:7" x14ac:dyDescent="0.55000000000000004">
      <c r="A840">
        <v>90</v>
      </c>
      <c r="B840" t="str">
        <f t="shared" si="15"/>
        <v>90_0</v>
      </c>
      <c r="C840" t="s">
        <v>163</v>
      </c>
      <c r="D840" t="s">
        <v>170</v>
      </c>
      <c r="E840" t="s">
        <v>139</v>
      </c>
      <c r="F840">
        <v>10</v>
      </c>
    </row>
    <row r="841" spans="1:7" x14ac:dyDescent="0.55000000000000004">
      <c r="A841">
        <v>90</v>
      </c>
      <c r="B841" t="str">
        <f t="shared" si="15"/>
        <v>90_0</v>
      </c>
      <c r="C841" t="s">
        <v>163</v>
      </c>
      <c r="D841" t="s">
        <v>171</v>
      </c>
    </row>
    <row r="842" spans="1:7" x14ac:dyDescent="0.55000000000000004">
      <c r="A842">
        <v>91</v>
      </c>
      <c r="B842" t="str">
        <f t="shared" si="15"/>
        <v>91_0</v>
      </c>
      <c r="C842" t="s">
        <v>126</v>
      </c>
      <c r="D842" t="s">
        <v>127</v>
      </c>
      <c r="E842" t="s">
        <v>128</v>
      </c>
      <c r="F842" s="1"/>
      <c r="G842" t="s">
        <v>129</v>
      </c>
    </row>
    <row r="843" spans="1:7" x14ac:dyDescent="0.55000000000000004">
      <c r="A843">
        <v>91</v>
      </c>
      <c r="B843" t="str">
        <f t="shared" si="15"/>
        <v>91_0</v>
      </c>
      <c r="C843" t="s">
        <v>126</v>
      </c>
      <c r="D843" s="11" t="s">
        <v>130</v>
      </c>
      <c r="E843" t="s">
        <v>131</v>
      </c>
      <c r="F843">
        <v>1</v>
      </c>
    </row>
    <row r="844" spans="1:7" x14ac:dyDescent="0.55000000000000004">
      <c r="A844">
        <v>91</v>
      </c>
      <c r="B844" t="str">
        <f t="shared" si="15"/>
        <v>91_0</v>
      </c>
      <c r="C844" t="s">
        <v>126</v>
      </c>
      <c r="D844" t="s">
        <v>132</v>
      </c>
      <c r="E844" t="s">
        <v>133</v>
      </c>
    </row>
    <row r="845" spans="1:7" x14ac:dyDescent="0.55000000000000004">
      <c r="A845">
        <v>91</v>
      </c>
      <c r="B845" t="str">
        <f t="shared" si="15"/>
        <v>91_0</v>
      </c>
      <c r="C845" t="s">
        <v>126</v>
      </c>
      <c r="D845" t="s">
        <v>134</v>
      </c>
      <c r="E845" t="s">
        <v>133</v>
      </c>
      <c r="F845">
        <v>1.02</v>
      </c>
    </row>
    <row r="846" spans="1:7" x14ac:dyDescent="0.55000000000000004">
      <c r="A846">
        <v>91</v>
      </c>
      <c r="B846" t="str">
        <f t="shared" si="15"/>
        <v>91_0</v>
      </c>
      <c r="C846" t="s">
        <v>126</v>
      </c>
      <c r="D846" t="s">
        <v>135</v>
      </c>
      <c r="E846" t="s">
        <v>136</v>
      </c>
      <c r="F846">
        <f>F845/10</f>
        <v>0.10200000000000001</v>
      </c>
      <c r="G846" t="s">
        <v>137</v>
      </c>
    </row>
    <row r="847" spans="1:7" x14ac:dyDescent="0.55000000000000004">
      <c r="A847">
        <v>91</v>
      </c>
      <c r="B847" t="str">
        <f t="shared" si="15"/>
        <v>91_0</v>
      </c>
      <c r="C847" t="s">
        <v>126</v>
      </c>
      <c r="D847" s="2" t="s">
        <v>138</v>
      </c>
      <c r="E847" t="s">
        <v>139</v>
      </c>
      <c r="F847">
        <v>0</v>
      </c>
    </row>
    <row r="848" spans="1:7" x14ac:dyDescent="0.55000000000000004">
      <c r="A848">
        <v>91</v>
      </c>
      <c r="B848" t="str">
        <f t="shared" si="15"/>
        <v>91_0</v>
      </c>
      <c r="C848" t="s">
        <v>126</v>
      </c>
      <c r="D848" s="2" t="s">
        <v>140</v>
      </c>
    </row>
    <row r="849" spans="1:6" x14ac:dyDescent="0.55000000000000004">
      <c r="A849">
        <v>91</v>
      </c>
      <c r="B849" t="str">
        <f t="shared" si="15"/>
        <v>91_0</v>
      </c>
      <c r="C849" t="s">
        <v>126</v>
      </c>
      <c r="D849" s="2" t="s">
        <v>141</v>
      </c>
      <c r="E849" t="s">
        <v>139</v>
      </c>
      <c r="F849">
        <v>0</v>
      </c>
    </row>
    <row r="850" spans="1:6" x14ac:dyDescent="0.55000000000000004">
      <c r="A850">
        <v>91</v>
      </c>
      <c r="B850" t="str">
        <f t="shared" si="15"/>
        <v>91_0</v>
      </c>
      <c r="C850" t="s">
        <v>126</v>
      </c>
      <c r="D850" t="s">
        <v>142</v>
      </c>
      <c r="E850" t="s">
        <v>139</v>
      </c>
      <c r="F850">
        <v>100</v>
      </c>
    </row>
    <row r="851" spans="1:6" x14ac:dyDescent="0.55000000000000004">
      <c r="A851">
        <v>91</v>
      </c>
      <c r="B851" t="str">
        <f t="shared" si="15"/>
        <v>91_0</v>
      </c>
      <c r="C851" t="s">
        <v>126</v>
      </c>
      <c r="D851" t="s">
        <v>143</v>
      </c>
      <c r="E851" t="s">
        <v>131</v>
      </c>
      <c r="F851">
        <v>0</v>
      </c>
    </row>
    <row r="852" spans="1:6" x14ac:dyDescent="0.55000000000000004">
      <c r="A852">
        <v>91</v>
      </c>
      <c r="B852" t="str">
        <f t="shared" si="15"/>
        <v>91_0</v>
      </c>
      <c r="C852" t="s">
        <v>126</v>
      </c>
      <c r="D852" t="s">
        <v>144</v>
      </c>
      <c r="E852" t="s">
        <v>139</v>
      </c>
      <c r="F852">
        <v>0</v>
      </c>
    </row>
    <row r="853" spans="1:6" x14ac:dyDescent="0.55000000000000004">
      <c r="A853">
        <v>91</v>
      </c>
      <c r="B853" t="str">
        <f t="shared" si="15"/>
        <v>91_0</v>
      </c>
      <c r="C853" t="s">
        <v>126</v>
      </c>
      <c r="D853" t="s">
        <v>145</v>
      </c>
      <c r="E853" t="s">
        <v>139</v>
      </c>
      <c r="F853">
        <v>0</v>
      </c>
    </row>
    <row r="854" spans="1:6" x14ac:dyDescent="0.55000000000000004">
      <c r="A854">
        <v>91</v>
      </c>
      <c r="B854" t="str">
        <f t="shared" si="15"/>
        <v>91_0</v>
      </c>
      <c r="C854" t="s">
        <v>126</v>
      </c>
      <c r="D854" t="s">
        <v>146</v>
      </c>
      <c r="E854" t="s">
        <v>139</v>
      </c>
      <c r="F854">
        <v>20</v>
      </c>
    </row>
    <row r="855" spans="1:6" x14ac:dyDescent="0.55000000000000004">
      <c r="A855">
        <v>91</v>
      </c>
      <c r="B855" t="str">
        <f t="shared" si="15"/>
        <v>91_0</v>
      </c>
      <c r="C855" t="s">
        <v>126</v>
      </c>
      <c r="D855" t="s">
        <v>147</v>
      </c>
      <c r="E855" t="s">
        <v>139</v>
      </c>
      <c r="F855">
        <v>70</v>
      </c>
    </row>
    <row r="856" spans="1:6" x14ac:dyDescent="0.55000000000000004">
      <c r="A856">
        <v>91</v>
      </c>
      <c r="B856" t="str">
        <f t="shared" si="15"/>
        <v>91_0</v>
      </c>
      <c r="C856" t="s">
        <v>126</v>
      </c>
      <c r="D856" t="s">
        <v>148</v>
      </c>
      <c r="E856" t="s">
        <v>139</v>
      </c>
      <c r="F856">
        <v>10</v>
      </c>
    </row>
    <row r="857" spans="1:6" x14ac:dyDescent="0.55000000000000004">
      <c r="A857">
        <v>91</v>
      </c>
      <c r="B857" t="str">
        <f t="shared" si="15"/>
        <v>91_0</v>
      </c>
      <c r="C857" t="s">
        <v>126</v>
      </c>
      <c r="D857" t="s">
        <v>149</v>
      </c>
      <c r="E857" t="s">
        <v>139</v>
      </c>
      <c r="F857">
        <v>0</v>
      </c>
    </row>
    <row r="858" spans="1:6" x14ac:dyDescent="0.55000000000000004">
      <c r="A858">
        <v>91</v>
      </c>
      <c r="B858" t="str">
        <f t="shared" si="15"/>
        <v>91_0</v>
      </c>
      <c r="C858" t="s">
        <v>126</v>
      </c>
      <c r="D858" t="s">
        <v>150</v>
      </c>
      <c r="E858" t="s">
        <v>139</v>
      </c>
      <c r="F858">
        <v>0</v>
      </c>
    </row>
    <row r="859" spans="1:6" x14ac:dyDescent="0.55000000000000004">
      <c r="A859">
        <v>91</v>
      </c>
      <c r="B859" t="str">
        <f t="shared" si="15"/>
        <v>91_0</v>
      </c>
      <c r="C859" t="s">
        <v>126</v>
      </c>
      <c r="D859" t="s">
        <v>152</v>
      </c>
      <c r="E859" t="s">
        <v>153</v>
      </c>
    </row>
    <row r="860" spans="1:6" x14ac:dyDescent="0.55000000000000004">
      <c r="A860">
        <v>91</v>
      </c>
      <c r="B860" t="str">
        <f t="shared" si="15"/>
        <v>91_0</v>
      </c>
      <c r="C860" t="s">
        <v>154</v>
      </c>
      <c r="D860" t="s">
        <v>155</v>
      </c>
      <c r="E860" t="s">
        <v>156</v>
      </c>
      <c r="F860">
        <v>22.6</v>
      </c>
    </row>
    <row r="861" spans="1:6" x14ac:dyDescent="0.55000000000000004">
      <c r="A861">
        <v>91</v>
      </c>
      <c r="B861" t="str">
        <f t="shared" si="15"/>
        <v>91_0</v>
      </c>
      <c r="C861" t="s">
        <v>154</v>
      </c>
      <c r="D861" t="s">
        <v>157</v>
      </c>
      <c r="E861" t="s">
        <v>158</v>
      </c>
      <c r="F861">
        <v>11.08</v>
      </c>
    </row>
    <row r="862" spans="1:6" x14ac:dyDescent="0.55000000000000004">
      <c r="A862">
        <v>91</v>
      </c>
      <c r="B862" t="str">
        <f t="shared" si="15"/>
        <v>91_0</v>
      </c>
      <c r="C862" t="s">
        <v>154</v>
      </c>
      <c r="D862" t="s">
        <v>159</v>
      </c>
      <c r="E862" t="s">
        <v>139</v>
      </c>
      <c r="F862">
        <v>128.30000000000001</v>
      </c>
    </row>
    <row r="863" spans="1:6" x14ac:dyDescent="0.55000000000000004">
      <c r="A863">
        <v>91</v>
      </c>
      <c r="B863" t="str">
        <f t="shared" si="15"/>
        <v>91_0</v>
      </c>
      <c r="C863" t="s">
        <v>154</v>
      </c>
      <c r="D863" t="s">
        <v>357</v>
      </c>
      <c r="E863" t="s">
        <v>161</v>
      </c>
      <c r="F863">
        <v>441.3</v>
      </c>
    </row>
    <row r="864" spans="1:6" x14ac:dyDescent="0.55000000000000004">
      <c r="A864">
        <f>A863</f>
        <v>91</v>
      </c>
      <c r="B864" t="str">
        <f>B863</f>
        <v>91_0</v>
      </c>
      <c r="C864" s="9" t="str">
        <f>C863</f>
        <v>Chemical</v>
      </c>
      <c r="D864" t="s">
        <v>356</v>
      </c>
      <c r="E864" t="s">
        <v>161</v>
      </c>
      <c r="F864">
        <f xml:space="preserve"> F863 / (1 + 0.021 * (F860 - 25))</f>
        <v>464.72198820556025</v>
      </c>
    </row>
    <row r="865" spans="1:7" x14ac:dyDescent="0.55000000000000004">
      <c r="A865">
        <v>91</v>
      </c>
      <c r="B865" t="str">
        <f t="shared" si="15"/>
        <v>91_0</v>
      </c>
      <c r="C865" t="s">
        <v>154</v>
      </c>
      <c r="D865" t="s">
        <v>162</v>
      </c>
      <c r="F865">
        <v>8.9499999999999993</v>
      </c>
    </row>
    <row r="866" spans="1:7" x14ac:dyDescent="0.55000000000000004">
      <c r="A866">
        <v>91</v>
      </c>
      <c r="B866" t="str">
        <f t="shared" si="15"/>
        <v>91_0</v>
      </c>
      <c r="C866" t="s">
        <v>163</v>
      </c>
      <c r="D866" t="s">
        <v>168</v>
      </c>
      <c r="E866" t="s">
        <v>131</v>
      </c>
      <c r="F866">
        <v>0</v>
      </c>
    </row>
    <row r="867" spans="1:7" x14ac:dyDescent="0.55000000000000004">
      <c r="A867">
        <v>91</v>
      </c>
      <c r="B867" t="str">
        <f t="shared" si="15"/>
        <v>91_0</v>
      </c>
      <c r="C867" t="s">
        <v>163</v>
      </c>
      <c r="D867" t="s">
        <v>169</v>
      </c>
    </row>
    <row r="868" spans="1:7" x14ac:dyDescent="0.55000000000000004">
      <c r="A868">
        <v>91</v>
      </c>
      <c r="B868" t="str">
        <f t="shared" si="15"/>
        <v>91_0</v>
      </c>
      <c r="C868" t="s">
        <v>163</v>
      </c>
      <c r="D868" t="s">
        <v>170</v>
      </c>
      <c r="E868" t="s">
        <v>139</v>
      </c>
      <c r="F868">
        <v>20</v>
      </c>
    </row>
    <row r="869" spans="1:7" x14ac:dyDescent="0.55000000000000004">
      <c r="A869">
        <v>91</v>
      </c>
      <c r="B869" t="str">
        <f t="shared" si="15"/>
        <v>91_0</v>
      </c>
      <c r="C869" t="s">
        <v>163</v>
      </c>
      <c r="D869" t="s">
        <v>171</v>
      </c>
    </row>
    <row r="870" spans="1:7" x14ac:dyDescent="0.55000000000000004">
      <c r="A870">
        <v>92</v>
      </c>
      <c r="B870" t="str">
        <f t="shared" si="15"/>
        <v>92_0</v>
      </c>
      <c r="C870" t="s">
        <v>126</v>
      </c>
      <c r="D870" t="s">
        <v>127</v>
      </c>
      <c r="E870" t="s">
        <v>128</v>
      </c>
      <c r="F870" s="1"/>
      <c r="G870" t="s">
        <v>129</v>
      </c>
    </row>
    <row r="871" spans="1:7" x14ac:dyDescent="0.55000000000000004">
      <c r="A871">
        <v>92</v>
      </c>
      <c r="B871" t="str">
        <f t="shared" si="15"/>
        <v>92_0</v>
      </c>
      <c r="C871" t="s">
        <v>126</v>
      </c>
      <c r="D871" s="11" t="s">
        <v>130</v>
      </c>
      <c r="E871" t="s">
        <v>131</v>
      </c>
      <c r="F871">
        <v>1</v>
      </c>
    </row>
    <row r="872" spans="1:7" x14ac:dyDescent="0.55000000000000004">
      <c r="A872">
        <v>92</v>
      </c>
      <c r="B872" t="str">
        <f t="shared" si="15"/>
        <v>92_0</v>
      </c>
      <c r="C872" t="s">
        <v>126</v>
      </c>
      <c r="D872" t="s">
        <v>132</v>
      </c>
      <c r="E872" t="s">
        <v>133</v>
      </c>
    </row>
    <row r="873" spans="1:7" x14ac:dyDescent="0.55000000000000004">
      <c r="A873">
        <v>92</v>
      </c>
      <c r="B873" t="str">
        <f t="shared" si="15"/>
        <v>92_0</v>
      </c>
      <c r="C873" t="s">
        <v>126</v>
      </c>
      <c r="D873" t="s">
        <v>134</v>
      </c>
      <c r="E873" t="s">
        <v>133</v>
      </c>
      <c r="F873">
        <v>1.3</v>
      </c>
    </row>
    <row r="874" spans="1:7" x14ac:dyDescent="0.55000000000000004">
      <c r="A874">
        <v>92</v>
      </c>
      <c r="B874" t="str">
        <f t="shared" si="15"/>
        <v>92_0</v>
      </c>
      <c r="C874" t="s">
        <v>126</v>
      </c>
      <c r="D874" t="s">
        <v>135</v>
      </c>
      <c r="E874" t="s">
        <v>136</v>
      </c>
      <c r="F874">
        <f>F873/10</f>
        <v>0.13</v>
      </c>
      <c r="G874" t="s">
        <v>137</v>
      </c>
    </row>
    <row r="875" spans="1:7" x14ac:dyDescent="0.55000000000000004">
      <c r="A875">
        <v>92</v>
      </c>
      <c r="B875" t="str">
        <f t="shared" si="15"/>
        <v>92_0</v>
      </c>
      <c r="C875" t="s">
        <v>126</v>
      </c>
      <c r="D875" s="2" t="s">
        <v>138</v>
      </c>
      <c r="E875" t="s">
        <v>139</v>
      </c>
      <c r="F875">
        <v>100</v>
      </c>
    </row>
    <row r="876" spans="1:7" x14ac:dyDescent="0.55000000000000004">
      <c r="A876">
        <v>92</v>
      </c>
      <c r="B876" t="str">
        <f t="shared" si="15"/>
        <v>92_0</v>
      </c>
      <c r="C876" t="s">
        <v>126</v>
      </c>
      <c r="D876" s="2" t="s">
        <v>140</v>
      </c>
      <c r="F876" t="s">
        <v>172</v>
      </c>
    </row>
    <row r="877" spans="1:7" x14ac:dyDescent="0.55000000000000004">
      <c r="A877">
        <v>92</v>
      </c>
      <c r="B877" t="str">
        <f t="shared" si="15"/>
        <v>92_0</v>
      </c>
      <c r="C877" t="s">
        <v>126</v>
      </c>
      <c r="D877" s="2" t="s">
        <v>141</v>
      </c>
      <c r="E877" t="s">
        <v>139</v>
      </c>
      <c r="F877">
        <v>100</v>
      </c>
    </row>
    <row r="878" spans="1:7" x14ac:dyDescent="0.55000000000000004">
      <c r="A878">
        <v>92</v>
      </c>
      <c r="B878" t="str">
        <f t="shared" si="15"/>
        <v>92_0</v>
      </c>
      <c r="C878" t="s">
        <v>126</v>
      </c>
      <c r="D878" t="s">
        <v>142</v>
      </c>
      <c r="E878" t="s">
        <v>139</v>
      </c>
      <c r="F878">
        <v>0</v>
      </c>
    </row>
    <row r="879" spans="1:7" x14ac:dyDescent="0.55000000000000004">
      <c r="A879">
        <v>92</v>
      </c>
      <c r="B879" t="str">
        <f t="shared" si="15"/>
        <v>92_0</v>
      </c>
      <c r="C879" t="s">
        <v>126</v>
      </c>
      <c r="D879" t="s">
        <v>143</v>
      </c>
      <c r="E879" t="s">
        <v>131</v>
      </c>
      <c r="F879">
        <v>0</v>
      </c>
    </row>
    <row r="880" spans="1:7" x14ac:dyDescent="0.55000000000000004">
      <c r="A880">
        <v>92</v>
      </c>
      <c r="B880" t="str">
        <f t="shared" si="15"/>
        <v>92_0</v>
      </c>
      <c r="C880" t="s">
        <v>126</v>
      </c>
      <c r="D880" t="s">
        <v>144</v>
      </c>
      <c r="E880" t="s">
        <v>139</v>
      </c>
      <c r="F880">
        <v>0</v>
      </c>
    </row>
    <row r="881" spans="1:6" x14ac:dyDescent="0.55000000000000004">
      <c r="A881">
        <v>92</v>
      </c>
      <c r="B881" t="str">
        <f t="shared" si="15"/>
        <v>92_0</v>
      </c>
      <c r="C881" t="s">
        <v>126</v>
      </c>
      <c r="D881" t="s">
        <v>145</v>
      </c>
      <c r="E881" t="s">
        <v>139</v>
      </c>
      <c r="F881">
        <v>0</v>
      </c>
    </row>
    <row r="882" spans="1:6" x14ac:dyDescent="0.55000000000000004">
      <c r="A882">
        <v>92</v>
      </c>
      <c r="B882" t="str">
        <f t="shared" si="15"/>
        <v>92_0</v>
      </c>
      <c r="C882" t="s">
        <v>126</v>
      </c>
      <c r="D882" t="s">
        <v>146</v>
      </c>
      <c r="E882" t="s">
        <v>139</v>
      </c>
      <c r="F882">
        <v>0</v>
      </c>
    </row>
    <row r="883" spans="1:6" x14ac:dyDescent="0.55000000000000004">
      <c r="A883">
        <v>92</v>
      </c>
      <c r="B883" t="str">
        <f t="shared" si="15"/>
        <v>92_0</v>
      </c>
      <c r="C883" t="s">
        <v>126</v>
      </c>
      <c r="D883" t="s">
        <v>147</v>
      </c>
      <c r="E883" t="s">
        <v>139</v>
      </c>
      <c r="F883">
        <v>0</v>
      </c>
    </row>
    <row r="884" spans="1:6" x14ac:dyDescent="0.55000000000000004">
      <c r="A884">
        <v>92</v>
      </c>
      <c r="B884" t="str">
        <f t="shared" si="15"/>
        <v>92_0</v>
      </c>
      <c r="C884" t="s">
        <v>126</v>
      </c>
      <c r="D884" t="s">
        <v>148</v>
      </c>
      <c r="E884" t="s">
        <v>139</v>
      </c>
      <c r="F884">
        <v>5</v>
      </c>
    </row>
    <row r="885" spans="1:6" x14ac:dyDescent="0.55000000000000004">
      <c r="A885">
        <v>92</v>
      </c>
      <c r="B885" t="str">
        <f t="shared" si="15"/>
        <v>92_0</v>
      </c>
      <c r="C885" t="s">
        <v>126</v>
      </c>
      <c r="D885" t="s">
        <v>149</v>
      </c>
      <c r="E885" t="s">
        <v>139</v>
      </c>
      <c r="F885">
        <v>0</v>
      </c>
    </row>
    <row r="886" spans="1:6" x14ac:dyDescent="0.55000000000000004">
      <c r="A886">
        <v>92</v>
      </c>
      <c r="B886" t="str">
        <f t="shared" si="15"/>
        <v>92_0</v>
      </c>
      <c r="C886" t="s">
        <v>126</v>
      </c>
      <c r="D886" t="s">
        <v>150</v>
      </c>
      <c r="E886" t="s">
        <v>139</v>
      </c>
      <c r="F886">
        <v>95</v>
      </c>
    </row>
    <row r="887" spans="1:6" x14ac:dyDescent="0.55000000000000004">
      <c r="A887">
        <v>92</v>
      </c>
      <c r="B887" t="str">
        <f t="shared" ref="B887:B939" si="16">A887 &amp; "_0"</f>
        <v>92_0</v>
      </c>
      <c r="C887" t="s">
        <v>126</v>
      </c>
      <c r="D887" t="s">
        <v>152</v>
      </c>
      <c r="E887" t="s">
        <v>153</v>
      </c>
    </row>
    <row r="888" spans="1:6" x14ac:dyDescent="0.55000000000000004">
      <c r="A888">
        <v>92</v>
      </c>
      <c r="B888" t="str">
        <f t="shared" si="16"/>
        <v>92_0</v>
      </c>
      <c r="C888" t="s">
        <v>154</v>
      </c>
      <c r="D888" t="s">
        <v>155</v>
      </c>
      <c r="E888" t="s">
        <v>156</v>
      </c>
      <c r="F888">
        <v>22.8</v>
      </c>
    </row>
    <row r="889" spans="1:6" x14ac:dyDescent="0.55000000000000004">
      <c r="A889">
        <v>92</v>
      </c>
      <c r="B889" t="str">
        <f t="shared" si="16"/>
        <v>92_0</v>
      </c>
      <c r="C889" t="s">
        <v>154</v>
      </c>
      <c r="D889" t="s">
        <v>157</v>
      </c>
      <c r="E889" t="s">
        <v>158</v>
      </c>
      <c r="F889">
        <v>11.79</v>
      </c>
    </row>
    <row r="890" spans="1:6" x14ac:dyDescent="0.55000000000000004">
      <c r="A890">
        <v>92</v>
      </c>
      <c r="B890" t="str">
        <f t="shared" si="16"/>
        <v>92_0</v>
      </c>
      <c r="C890" t="s">
        <v>154</v>
      </c>
      <c r="D890" t="s">
        <v>159</v>
      </c>
      <c r="E890" t="s">
        <v>139</v>
      </c>
      <c r="F890">
        <v>137.6</v>
      </c>
    </row>
    <row r="891" spans="1:6" x14ac:dyDescent="0.55000000000000004">
      <c r="A891">
        <v>92</v>
      </c>
      <c r="B891" t="str">
        <f t="shared" si="16"/>
        <v>92_0</v>
      </c>
      <c r="C891" t="s">
        <v>154</v>
      </c>
      <c r="D891" t="s">
        <v>357</v>
      </c>
      <c r="E891" t="s">
        <v>161</v>
      </c>
      <c r="F891">
        <v>434.4</v>
      </c>
    </row>
    <row r="892" spans="1:6" x14ac:dyDescent="0.55000000000000004">
      <c r="A892">
        <f>A891</f>
        <v>92</v>
      </c>
      <c r="B892" t="str">
        <f>B891</f>
        <v>92_0</v>
      </c>
      <c r="C892" s="9" t="str">
        <f>C891</f>
        <v>Chemical</v>
      </c>
      <c r="D892" t="s">
        <v>356</v>
      </c>
      <c r="E892" t="s">
        <v>161</v>
      </c>
      <c r="F892">
        <f xml:space="preserve"> F891 / (1 + 0.021 * (F888 - 25))</f>
        <v>455.44139232543506</v>
      </c>
    </row>
    <row r="893" spans="1:6" x14ac:dyDescent="0.55000000000000004">
      <c r="A893">
        <v>92</v>
      </c>
      <c r="B893" t="str">
        <f t="shared" si="16"/>
        <v>92_0</v>
      </c>
      <c r="C893" t="s">
        <v>154</v>
      </c>
      <c r="D893" t="s">
        <v>162</v>
      </c>
      <c r="F893">
        <v>9.2100000000000009</v>
      </c>
    </row>
    <row r="894" spans="1:6" x14ac:dyDescent="0.55000000000000004">
      <c r="A894">
        <v>92</v>
      </c>
      <c r="B894" t="str">
        <f t="shared" si="16"/>
        <v>92_0</v>
      </c>
      <c r="C894" t="s">
        <v>163</v>
      </c>
      <c r="D894" t="s">
        <v>168</v>
      </c>
      <c r="E894" t="s">
        <v>131</v>
      </c>
      <c r="F894">
        <v>1</v>
      </c>
    </row>
    <row r="895" spans="1:6" x14ac:dyDescent="0.55000000000000004">
      <c r="A895">
        <v>92</v>
      </c>
      <c r="B895" t="str">
        <f t="shared" si="16"/>
        <v>92_0</v>
      </c>
      <c r="C895" t="s">
        <v>163</v>
      </c>
      <c r="D895" t="s">
        <v>169</v>
      </c>
      <c r="F895" t="s">
        <v>173</v>
      </c>
    </row>
    <row r="896" spans="1:6" x14ac:dyDescent="0.55000000000000004">
      <c r="A896">
        <v>92</v>
      </c>
      <c r="B896" t="str">
        <f t="shared" si="16"/>
        <v>92_0</v>
      </c>
      <c r="C896" t="s">
        <v>163</v>
      </c>
      <c r="D896" t="s">
        <v>170</v>
      </c>
      <c r="E896" t="s">
        <v>139</v>
      </c>
      <c r="F896">
        <v>10</v>
      </c>
    </row>
    <row r="897" spans="1:7" x14ac:dyDescent="0.55000000000000004">
      <c r="A897">
        <v>92</v>
      </c>
      <c r="B897" t="str">
        <f t="shared" si="16"/>
        <v>92_0</v>
      </c>
      <c r="C897" t="s">
        <v>163</v>
      </c>
      <c r="D897" t="s">
        <v>171</v>
      </c>
    </row>
    <row r="898" spans="1:7" x14ac:dyDescent="0.55000000000000004">
      <c r="A898">
        <v>93</v>
      </c>
      <c r="B898" t="str">
        <f t="shared" si="16"/>
        <v>93_0</v>
      </c>
      <c r="C898" t="s">
        <v>126</v>
      </c>
      <c r="D898" t="s">
        <v>127</v>
      </c>
      <c r="E898" t="s">
        <v>128</v>
      </c>
      <c r="F898" s="1"/>
      <c r="G898" t="s">
        <v>129</v>
      </c>
    </row>
    <row r="899" spans="1:7" x14ac:dyDescent="0.55000000000000004">
      <c r="A899">
        <v>93</v>
      </c>
      <c r="B899" t="str">
        <f t="shared" si="16"/>
        <v>93_0</v>
      </c>
      <c r="C899" t="s">
        <v>126</v>
      </c>
      <c r="D899" s="11" t="s">
        <v>130</v>
      </c>
      <c r="E899" t="s">
        <v>131</v>
      </c>
      <c r="F899">
        <v>1</v>
      </c>
    </row>
    <row r="900" spans="1:7" x14ac:dyDescent="0.55000000000000004">
      <c r="A900">
        <v>93</v>
      </c>
      <c r="B900" t="str">
        <f t="shared" si="16"/>
        <v>93_0</v>
      </c>
      <c r="C900" t="s">
        <v>126</v>
      </c>
      <c r="D900" t="s">
        <v>132</v>
      </c>
      <c r="E900" t="s">
        <v>133</v>
      </c>
    </row>
    <row r="901" spans="1:7" x14ac:dyDescent="0.55000000000000004">
      <c r="A901">
        <v>93</v>
      </c>
      <c r="B901" t="str">
        <f t="shared" si="16"/>
        <v>93_0</v>
      </c>
      <c r="C901" t="s">
        <v>126</v>
      </c>
      <c r="D901" t="s">
        <v>134</v>
      </c>
      <c r="E901" t="s">
        <v>133</v>
      </c>
      <c r="F901">
        <v>1</v>
      </c>
    </row>
    <row r="902" spans="1:7" x14ac:dyDescent="0.55000000000000004">
      <c r="A902">
        <v>93</v>
      </c>
      <c r="B902" t="str">
        <f t="shared" si="16"/>
        <v>93_0</v>
      </c>
      <c r="C902" t="s">
        <v>126</v>
      </c>
      <c r="D902" t="s">
        <v>135</v>
      </c>
      <c r="E902" t="s">
        <v>136</v>
      </c>
      <c r="F902">
        <f>F901/10</f>
        <v>0.1</v>
      </c>
      <c r="G902" t="s">
        <v>137</v>
      </c>
    </row>
    <row r="903" spans="1:7" x14ac:dyDescent="0.55000000000000004">
      <c r="A903">
        <v>93</v>
      </c>
      <c r="B903" t="str">
        <f t="shared" si="16"/>
        <v>93_0</v>
      </c>
      <c r="C903" t="s">
        <v>126</v>
      </c>
      <c r="D903" s="2" t="s">
        <v>138</v>
      </c>
      <c r="E903" t="s">
        <v>139</v>
      </c>
      <c r="F903">
        <v>100</v>
      </c>
    </row>
    <row r="904" spans="1:7" x14ac:dyDescent="0.55000000000000004">
      <c r="A904">
        <v>93</v>
      </c>
      <c r="B904" t="str">
        <f t="shared" si="16"/>
        <v>93_0</v>
      </c>
      <c r="C904" t="s">
        <v>126</v>
      </c>
      <c r="D904" s="2" t="s">
        <v>140</v>
      </c>
      <c r="F904" t="s">
        <v>191</v>
      </c>
    </row>
    <row r="905" spans="1:7" x14ac:dyDescent="0.55000000000000004">
      <c r="A905">
        <v>93</v>
      </c>
      <c r="B905" t="str">
        <f t="shared" si="16"/>
        <v>93_0</v>
      </c>
      <c r="C905" t="s">
        <v>126</v>
      </c>
      <c r="D905" s="2" t="s">
        <v>141</v>
      </c>
      <c r="E905" t="s">
        <v>139</v>
      </c>
      <c r="F905">
        <v>0</v>
      </c>
    </row>
    <row r="906" spans="1:7" x14ac:dyDescent="0.55000000000000004">
      <c r="A906">
        <v>93</v>
      </c>
      <c r="B906" t="str">
        <f t="shared" si="16"/>
        <v>93_0</v>
      </c>
      <c r="C906" t="s">
        <v>126</v>
      </c>
      <c r="D906" t="s">
        <v>142</v>
      </c>
      <c r="E906" t="s">
        <v>139</v>
      </c>
      <c r="F906">
        <v>0</v>
      </c>
    </row>
    <row r="907" spans="1:7" x14ac:dyDescent="0.55000000000000004">
      <c r="A907">
        <v>93</v>
      </c>
      <c r="B907" t="str">
        <f t="shared" si="16"/>
        <v>93_0</v>
      </c>
      <c r="C907" t="s">
        <v>126</v>
      </c>
      <c r="D907" t="s">
        <v>143</v>
      </c>
      <c r="E907" t="s">
        <v>131</v>
      </c>
      <c r="F907">
        <v>0</v>
      </c>
    </row>
    <row r="908" spans="1:7" x14ac:dyDescent="0.55000000000000004">
      <c r="A908">
        <v>93</v>
      </c>
      <c r="B908" t="str">
        <f t="shared" si="16"/>
        <v>93_0</v>
      </c>
      <c r="C908" t="s">
        <v>126</v>
      </c>
      <c r="D908" t="s">
        <v>144</v>
      </c>
      <c r="E908" t="s">
        <v>139</v>
      </c>
      <c r="F908">
        <v>0</v>
      </c>
    </row>
    <row r="909" spans="1:7" x14ac:dyDescent="0.55000000000000004">
      <c r="A909">
        <v>93</v>
      </c>
      <c r="B909" t="str">
        <f t="shared" si="16"/>
        <v>93_0</v>
      </c>
      <c r="C909" t="s">
        <v>126</v>
      </c>
      <c r="D909" t="s">
        <v>145</v>
      </c>
      <c r="E909" t="s">
        <v>139</v>
      </c>
      <c r="F909">
        <v>0</v>
      </c>
    </row>
    <row r="910" spans="1:7" x14ac:dyDescent="0.55000000000000004">
      <c r="A910">
        <v>93</v>
      </c>
      <c r="B910" t="str">
        <f t="shared" si="16"/>
        <v>93_0</v>
      </c>
      <c r="C910" t="s">
        <v>126</v>
      </c>
      <c r="D910" t="s">
        <v>146</v>
      </c>
      <c r="E910" t="s">
        <v>139</v>
      </c>
      <c r="F910">
        <v>0</v>
      </c>
    </row>
    <row r="911" spans="1:7" x14ac:dyDescent="0.55000000000000004">
      <c r="A911">
        <v>93</v>
      </c>
      <c r="B911" t="str">
        <f t="shared" si="16"/>
        <v>93_0</v>
      </c>
      <c r="C911" t="s">
        <v>126</v>
      </c>
      <c r="D911" t="s">
        <v>147</v>
      </c>
      <c r="E911" t="s">
        <v>139</v>
      </c>
      <c r="F911">
        <v>0</v>
      </c>
    </row>
    <row r="912" spans="1:7" x14ac:dyDescent="0.55000000000000004">
      <c r="A912">
        <v>93</v>
      </c>
      <c r="B912" t="str">
        <f t="shared" si="16"/>
        <v>93_0</v>
      </c>
      <c r="C912" t="s">
        <v>126</v>
      </c>
      <c r="D912" t="s">
        <v>148</v>
      </c>
      <c r="E912" t="s">
        <v>139</v>
      </c>
      <c r="F912">
        <v>0</v>
      </c>
    </row>
    <row r="913" spans="1:7" x14ac:dyDescent="0.55000000000000004">
      <c r="A913">
        <v>93</v>
      </c>
      <c r="B913" t="str">
        <f t="shared" si="16"/>
        <v>93_0</v>
      </c>
      <c r="C913" t="s">
        <v>126</v>
      </c>
      <c r="D913" t="s">
        <v>149</v>
      </c>
      <c r="E913" t="s">
        <v>139</v>
      </c>
      <c r="F913">
        <v>0</v>
      </c>
    </row>
    <row r="914" spans="1:7" x14ac:dyDescent="0.55000000000000004">
      <c r="A914">
        <v>93</v>
      </c>
      <c r="B914" t="str">
        <f t="shared" si="16"/>
        <v>93_0</v>
      </c>
      <c r="C914" t="s">
        <v>126</v>
      </c>
      <c r="D914" t="s">
        <v>150</v>
      </c>
      <c r="E914" t="s">
        <v>139</v>
      </c>
      <c r="F914">
        <v>100</v>
      </c>
    </row>
    <row r="915" spans="1:7" x14ac:dyDescent="0.55000000000000004">
      <c r="A915">
        <v>93</v>
      </c>
      <c r="B915" t="str">
        <f t="shared" si="16"/>
        <v>93_0</v>
      </c>
      <c r="C915" t="s">
        <v>126</v>
      </c>
      <c r="D915" t="s">
        <v>152</v>
      </c>
      <c r="E915" t="s">
        <v>153</v>
      </c>
    </row>
    <row r="916" spans="1:7" x14ac:dyDescent="0.55000000000000004">
      <c r="A916">
        <v>93</v>
      </c>
      <c r="B916" t="str">
        <f t="shared" si="16"/>
        <v>93_0</v>
      </c>
      <c r="C916" t="s">
        <v>154</v>
      </c>
      <c r="D916" t="s">
        <v>155</v>
      </c>
      <c r="E916" t="s">
        <v>156</v>
      </c>
      <c r="F916">
        <v>21.6</v>
      </c>
    </row>
    <row r="917" spans="1:7" x14ac:dyDescent="0.55000000000000004">
      <c r="A917">
        <v>93</v>
      </c>
      <c r="B917" t="str">
        <f t="shared" si="16"/>
        <v>93_0</v>
      </c>
      <c r="C917" t="s">
        <v>154</v>
      </c>
      <c r="D917" t="s">
        <v>157</v>
      </c>
      <c r="E917" t="s">
        <v>158</v>
      </c>
      <c r="F917">
        <v>10.61</v>
      </c>
    </row>
    <row r="918" spans="1:7" x14ac:dyDescent="0.55000000000000004">
      <c r="A918">
        <v>93</v>
      </c>
      <c r="B918" t="str">
        <f t="shared" si="16"/>
        <v>93_0</v>
      </c>
      <c r="C918" t="s">
        <v>154</v>
      </c>
      <c r="D918" t="s">
        <v>159</v>
      </c>
      <c r="E918" t="s">
        <v>139</v>
      </c>
      <c r="F918">
        <v>120.4</v>
      </c>
    </row>
    <row r="919" spans="1:7" x14ac:dyDescent="0.55000000000000004">
      <c r="A919">
        <v>93</v>
      </c>
      <c r="B919" t="str">
        <f t="shared" si="16"/>
        <v>93_0</v>
      </c>
      <c r="C919" t="s">
        <v>154</v>
      </c>
      <c r="D919" t="s">
        <v>357</v>
      </c>
      <c r="E919" t="s">
        <v>161</v>
      </c>
      <c r="F919">
        <v>424.8</v>
      </c>
    </row>
    <row r="920" spans="1:7" x14ac:dyDescent="0.55000000000000004">
      <c r="A920">
        <f>A919</f>
        <v>93</v>
      </c>
      <c r="B920" t="str">
        <f>B919</f>
        <v>93_0</v>
      </c>
      <c r="C920" s="9" t="str">
        <f>C919</f>
        <v>Chemical</v>
      </c>
      <c r="D920" t="s">
        <v>356</v>
      </c>
      <c r="E920" t="s">
        <v>161</v>
      </c>
      <c r="F920">
        <f xml:space="preserve"> F919 / (1 + 0.021 * (F916 - 25))</f>
        <v>457.46284729700625</v>
      </c>
    </row>
    <row r="921" spans="1:7" x14ac:dyDescent="0.55000000000000004">
      <c r="A921">
        <v>93</v>
      </c>
      <c r="B921" t="str">
        <f t="shared" si="16"/>
        <v>93_0</v>
      </c>
      <c r="C921" t="s">
        <v>154</v>
      </c>
      <c r="D921" t="s">
        <v>162</v>
      </c>
      <c r="F921">
        <v>9.02</v>
      </c>
    </row>
    <row r="922" spans="1:7" x14ac:dyDescent="0.55000000000000004">
      <c r="A922">
        <v>93</v>
      </c>
      <c r="B922" t="str">
        <f t="shared" si="16"/>
        <v>93_0</v>
      </c>
      <c r="C922" t="s">
        <v>163</v>
      </c>
      <c r="D922" t="s">
        <v>168</v>
      </c>
      <c r="E922" t="s">
        <v>131</v>
      </c>
      <c r="F922">
        <v>1</v>
      </c>
    </row>
    <row r="923" spans="1:7" x14ac:dyDescent="0.55000000000000004">
      <c r="A923">
        <v>93</v>
      </c>
      <c r="B923" t="str">
        <f t="shared" si="16"/>
        <v>93_0</v>
      </c>
      <c r="C923" t="s">
        <v>163</v>
      </c>
      <c r="D923" t="s">
        <v>169</v>
      </c>
      <c r="F923" t="s">
        <v>192</v>
      </c>
    </row>
    <row r="924" spans="1:7" x14ac:dyDescent="0.55000000000000004">
      <c r="A924">
        <v>93</v>
      </c>
      <c r="B924" t="str">
        <f t="shared" si="16"/>
        <v>93_0</v>
      </c>
      <c r="C924" t="s">
        <v>163</v>
      </c>
      <c r="D924" t="s">
        <v>170</v>
      </c>
      <c r="E924" t="s">
        <v>139</v>
      </c>
      <c r="F924">
        <v>25</v>
      </c>
    </row>
    <row r="925" spans="1:7" x14ac:dyDescent="0.55000000000000004">
      <c r="A925">
        <v>93</v>
      </c>
      <c r="B925" t="str">
        <f t="shared" si="16"/>
        <v>93_0</v>
      </c>
      <c r="C925" t="s">
        <v>163</v>
      </c>
      <c r="D925" t="s">
        <v>171</v>
      </c>
    </row>
    <row r="926" spans="1:7" x14ac:dyDescent="0.55000000000000004">
      <c r="A926">
        <v>94</v>
      </c>
      <c r="B926" t="str">
        <f t="shared" si="16"/>
        <v>94_0</v>
      </c>
      <c r="C926" t="s">
        <v>126</v>
      </c>
      <c r="D926" t="s">
        <v>127</v>
      </c>
      <c r="E926" t="s">
        <v>128</v>
      </c>
      <c r="F926" s="1"/>
      <c r="G926" t="s">
        <v>129</v>
      </c>
    </row>
    <row r="927" spans="1:7" x14ac:dyDescent="0.55000000000000004">
      <c r="A927">
        <v>94</v>
      </c>
      <c r="B927" t="str">
        <f t="shared" si="16"/>
        <v>94_0</v>
      </c>
      <c r="C927" t="s">
        <v>126</v>
      </c>
      <c r="D927" s="11" t="s">
        <v>130</v>
      </c>
      <c r="E927" t="s">
        <v>131</v>
      </c>
      <c r="F927">
        <v>1</v>
      </c>
    </row>
    <row r="928" spans="1:7" x14ac:dyDescent="0.55000000000000004">
      <c r="A928">
        <v>94</v>
      </c>
      <c r="B928" t="str">
        <f t="shared" si="16"/>
        <v>94_0</v>
      </c>
      <c r="C928" t="s">
        <v>126</v>
      </c>
      <c r="D928" t="s">
        <v>132</v>
      </c>
      <c r="E928" t="s">
        <v>133</v>
      </c>
    </row>
    <row r="929" spans="1:7" x14ac:dyDescent="0.55000000000000004">
      <c r="A929">
        <v>94</v>
      </c>
      <c r="B929" t="str">
        <f t="shared" si="16"/>
        <v>94_0</v>
      </c>
      <c r="C929" t="s">
        <v>126</v>
      </c>
      <c r="D929" t="s">
        <v>134</v>
      </c>
      <c r="E929" t="s">
        <v>133</v>
      </c>
      <c r="F929">
        <v>1.46</v>
      </c>
    </row>
    <row r="930" spans="1:7" x14ac:dyDescent="0.55000000000000004">
      <c r="A930">
        <v>94</v>
      </c>
      <c r="B930" t="str">
        <f t="shared" si="16"/>
        <v>94_0</v>
      </c>
      <c r="C930" t="s">
        <v>126</v>
      </c>
      <c r="D930" t="s">
        <v>135</v>
      </c>
      <c r="E930" t="s">
        <v>136</v>
      </c>
      <c r="F930">
        <f>F929/10</f>
        <v>0.14599999999999999</v>
      </c>
      <c r="G930" t="s">
        <v>137</v>
      </c>
    </row>
    <row r="931" spans="1:7" x14ac:dyDescent="0.55000000000000004">
      <c r="A931">
        <v>94</v>
      </c>
      <c r="B931" t="str">
        <f t="shared" si="16"/>
        <v>94_0</v>
      </c>
      <c r="C931" t="s">
        <v>126</v>
      </c>
      <c r="D931" s="2" t="s">
        <v>138</v>
      </c>
      <c r="E931" t="s">
        <v>139</v>
      </c>
      <c r="F931">
        <v>100</v>
      </c>
    </row>
    <row r="932" spans="1:7" x14ac:dyDescent="0.55000000000000004">
      <c r="A932">
        <v>94</v>
      </c>
      <c r="B932" t="str">
        <f t="shared" si="16"/>
        <v>94_0</v>
      </c>
      <c r="C932" t="s">
        <v>126</v>
      </c>
      <c r="D932" s="2" t="s">
        <v>140</v>
      </c>
      <c r="F932" t="s">
        <v>172</v>
      </c>
    </row>
    <row r="933" spans="1:7" x14ac:dyDescent="0.55000000000000004">
      <c r="A933">
        <v>94</v>
      </c>
      <c r="B933" t="str">
        <f t="shared" si="16"/>
        <v>94_0</v>
      </c>
      <c r="C933" t="s">
        <v>126</v>
      </c>
      <c r="D933" s="2" t="s">
        <v>141</v>
      </c>
      <c r="E933" t="s">
        <v>139</v>
      </c>
      <c r="F933">
        <v>30</v>
      </c>
    </row>
    <row r="934" spans="1:7" x14ac:dyDescent="0.55000000000000004">
      <c r="A934">
        <v>94</v>
      </c>
      <c r="B934" t="str">
        <f t="shared" si="16"/>
        <v>94_0</v>
      </c>
      <c r="C934" t="s">
        <v>126</v>
      </c>
      <c r="D934" t="s">
        <v>142</v>
      </c>
      <c r="E934" t="s">
        <v>139</v>
      </c>
      <c r="F934">
        <v>0</v>
      </c>
    </row>
    <row r="935" spans="1:7" x14ac:dyDescent="0.55000000000000004">
      <c r="A935">
        <v>94</v>
      </c>
      <c r="B935" t="str">
        <f t="shared" si="16"/>
        <v>94_0</v>
      </c>
      <c r="C935" t="s">
        <v>126</v>
      </c>
      <c r="D935" t="s">
        <v>143</v>
      </c>
      <c r="E935" t="s">
        <v>131</v>
      </c>
      <c r="F935">
        <v>0</v>
      </c>
    </row>
    <row r="936" spans="1:7" x14ac:dyDescent="0.55000000000000004">
      <c r="A936">
        <v>94</v>
      </c>
      <c r="B936" t="str">
        <f t="shared" si="16"/>
        <v>94_0</v>
      </c>
      <c r="C936" t="s">
        <v>126</v>
      </c>
      <c r="D936" t="s">
        <v>144</v>
      </c>
      <c r="E936" t="s">
        <v>139</v>
      </c>
      <c r="F936">
        <v>0</v>
      </c>
    </row>
    <row r="937" spans="1:7" x14ac:dyDescent="0.55000000000000004">
      <c r="A937">
        <v>94</v>
      </c>
      <c r="B937" t="str">
        <f t="shared" si="16"/>
        <v>94_0</v>
      </c>
      <c r="C937" t="s">
        <v>126</v>
      </c>
      <c r="D937" t="s">
        <v>145</v>
      </c>
      <c r="E937" t="s">
        <v>139</v>
      </c>
      <c r="F937">
        <v>0</v>
      </c>
    </row>
    <row r="938" spans="1:7" x14ac:dyDescent="0.55000000000000004">
      <c r="A938">
        <v>94</v>
      </c>
      <c r="B938" t="str">
        <f t="shared" si="16"/>
        <v>94_0</v>
      </c>
      <c r="C938" t="s">
        <v>126</v>
      </c>
      <c r="D938" t="s">
        <v>146</v>
      </c>
      <c r="E938" t="s">
        <v>139</v>
      </c>
      <c r="F938">
        <v>0</v>
      </c>
    </row>
    <row r="939" spans="1:7" x14ac:dyDescent="0.55000000000000004">
      <c r="A939">
        <v>94</v>
      </c>
      <c r="B939" t="str">
        <f t="shared" si="16"/>
        <v>94_0</v>
      </c>
      <c r="C939" t="s">
        <v>126</v>
      </c>
      <c r="D939" t="s">
        <v>147</v>
      </c>
      <c r="E939" t="s">
        <v>139</v>
      </c>
      <c r="F939">
        <v>0</v>
      </c>
    </row>
    <row r="940" spans="1:7" x14ac:dyDescent="0.55000000000000004">
      <c r="A940">
        <v>94</v>
      </c>
      <c r="B940" t="str">
        <f t="shared" ref="B940:B995" si="17">A940 &amp; "_0"</f>
        <v>94_0</v>
      </c>
      <c r="C940" t="s">
        <v>126</v>
      </c>
      <c r="D940" t="s">
        <v>148</v>
      </c>
      <c r="E940" t="s">
        <v>139</v>
      </c>
      <c r="F940">
        <v>10</v>
      </c>
    </row>
    <row r="941" spans="1:7" x14ac:dyDescent="0.55000000000000004">
      <c r="A941">
        <v>94</v>
      </c>
      <c r="B941" t="str">
        <f t="shared" si="17"/>
        <v>94_0</v>
      </c>
      <c r="C941" t="s">
        <v>126</v>
      </c>
      <c r="D941" t="s">
        <v>149</v>
      </c>
      <c r="E941" t="s">
        <v>139</v>
      </c>
      <c r="F941">
        <v>0</v>
      </c>
    </row>
    <row r="942" spans="1:7" x14ac:dyDescent="0.55000000000000004">
      <c r="A942">
        <v>94</v>
      </c>
      <c r="B942" t="str">
        <f t="shared" si="17"/>
        <v>94_0</v>
      </c>
      <c r="C942" t="s">
        <v>126</v>
      </c>
      <c r="D942" t="s">
        <v>150</v>
      </c>
      <c r="E942" t="s">
        <v>139</v>
      </c>
      <c r="F942">
        <v>90</v>
      </c>
    </row>
    <row r="943" spans="1:7" x14ac:dyDescent="0.55000000000000004">
      <c r="A943">
        <v>94</v>
      </c>
      <c r="B943" t="str">
        <f t="shared" si="17"/>
        <v>94_0</v>
      </c>
      <c r="C943" t="s">
        <v>126</v>
      </c>
      <c r="D943" t="s">
        <v>152</v>
      </c>
      <c r="E943" t="s">
        <v>153</v>
      </c>
    </row>
    <row r="944" spans="1:7" x14ac:dyDescent="0.55000000000000004">
      <c r="A944">
        <v>94</v>
      </c>
      <c r="B944" t="str">
        <f t="shared" si="17"/>
        <v>94_0</v>
      </c>
      <c r="C944" t="s">
        <v>154</v>
      </c>
      <c r="D944" t="s">
        <v>155</v>
      </c>
      <c r="E944" t="s">
        <v>156</v>
      </c>
      <c r="F944">
        <v>22.7</v>
      </c>
    </row>
    <row r="945" spans="1:7" x14ac:dyDescent="0.55000000000000004">
      <c r="A945">
        <v>94</v>
      </c>
      <c r="B945" t="str">
        <f t="shared" si="17"/>
        <v>94_0</v>
      </c>
      <c r="C945" t="s">
        <v>154</v>
      </c>
      <c r="D945" t="s">
        <v>157</v>
      </c>
      <c r="E945" t="s">
        <v>158</v>
      </c>
      <c r="F945">
        <v>11.73</v>
      </c>
    </row>
    <row r="946" spans="1:7" x14ac:dyDescent="0.55000000000000004">
      <c r="A946">
        <v>94</v>
      </c>
      <c r="B946" t="str">
        <f t="shared" si="17"/>
        <v>94_0</v>
      </c>
      <c r="C946" t="s">
        <v>154</v>
      </c>
      <c r="D946" t="s">
        <v>159</v>
      </c>
      <c r="E946" t="s">
        <v>139</v>
      </c>
      <c r="F946">
        <v>135.6</v>
      </c>
    </row>
    <row r="947" spans="1:7" x14ac:dyDescent="0.55000000000000004">
      <c r="A947">
        <v>94</v>
      </c>
      <c r="B947" t="str">
        <f t="shared" si="17"/>
        <v>94_0</v>
      </c>
      <c r="C947" t="s">
        <v>154</v>
      </c>
      <c r="D947" t="s">
        <v>357</v>
      </c>
      <c r="E947" t="s">
        <v>161</v>
      </c>
      <c r="F947">
        <v>434.3</v>
      </c>
    </row>
    <row r="948" spans="1:7" x14ac:dyDescent="0.55000000000000004">
      <c r="A948">
        <f>A947</f>
        <v>94</v>
      </c>
      <c r="B948" t="str">
        <f>B947</f>
        <v>94_0</v>
      </c>
      <c r="C948" s="9" t="str">
        <f>C947</f>
        <v>Chemical</v>
      </c>
      <c r="D948" t="s">
        <v>356</v>
      </c>
      <c r="E948" t="s">
        <v>161</v>
      </c>
      <c r="F948">
        <f xml:space="preserve"> F947 / (1 + 0.021 * (F944 - 25))</f>
        <v>456.34128401807294</v>
      </c>
    </row>
    <row r="949" spans="1:7" x14ac:dyDescent="0.55000000000000004">
      <c r="A949">
        <v>94</v>
      </c>
      <c r="B949" t="str">
        <f t="shared" si="17"/>
        <v>94_0</v>
      </c>
      <c r="C949" t="s">
        <v>154</v>
      </c>
      <c r="D949" t="s">
        <v>162</v>
      </c>
      <c r="F949">
        <v>9.1199999999999992</v>
      </c>
    </row>
    <row r="950" spans="1:7" x14ac:dyDescent="0.55000000000000004">
      <c r="A950">
        <v>94</v>
      </c>
      <c r="B950" t="str">
        <f t="shared" si="17"/>
        <v>94_0</v>
      </c>
      <c r="C950" t="s">
        <v>163</v>
      </c>
      <c r="D950" t="s">
        <v>168</v>
      </c>
      <c r="E950" t="s">
        <v>131</v>
      </c>
      <c r="F950">
        <v>0</v>
      </c>
    </row>
    <row r="951" spans="1:7" x14ac:dyDescent="0.55000000000000004">
      <c r="A951">
        <v>94</v>
      </c>
      <c r="B951" t="str">
        <f t="shared" si="17"/>
        <v>94_0</v>
      </c>
      <c r="C951" t="s">
        <v>163</v>
      </c>
      <c r="D951" t="s">
        <v>169</v>
      </c>
    </row>
    <row r="952" spans="1:7" x14ac:dyDescent="0.55000000000000004">
      <c r="A952">
        <v>94</v>
      </c>
      <c r="B952" t="str">
        <f t="shared" si="17"/>
        <v>94_0</v>
      </c>
      <c r="C952" t="s">
        <v>163</v>
      </c>
      <c r="D952" t="s">
        <v>170</v>
      </c>
      <c r="E952" t="s">
        <v>139</v>
      </c>
      <c r="F952">
        <v>30</v>
      </c>
    </row>
    <row r="953" spans="1:7" x14ac:dyDescent="0.55000000000000004">
      <c r="A953">
        <v>94</v>
      </c>
      <c r="B953" t="str">
        <f t="shared" si="17"/>
        <v>94_0</v>
      </c>
      <c r="C953" t="s">
        <v>163</v>
      </c>
      <c r="D953" t="s">
        <v>171</v>
      </c>
    </row>
    <row r="954" spans="1:7" x14ac:dyDescent="0.55000000000000004">
      <c r="A954">
        <v>95</v>
      </c>
      <c r="B954" t="str">
        <f t="shared" si="17"/>
        <v>95_0</v>
      </c>
      <c r="C954" t="s">
        <v>126</v>
      </c>
      <c r="D954" t="s">
        <v>127</v>
      </c>
      <c r="E954" t="s">
        <v>128</v>
      </c>
      <c r="F954" s="1"/>
      <c r="G954" t="s">
        <v>129</v>
      </c>
    </row>
    <row r="955" spans="1:7" x14ac:dyDescent="0.55000000000000004">
      <c r="A955">
        <v>95</v>
      </c>
      <c r="B955" t="str">
        <f t="shared" si="17"/>
        <v>95_0</v>
      </c>
      <c r="C955" t="s">
        <v>126</v>
      </c>
      <c r="D955" s="11" t="s">
        <v>130</v>
      </c>
      <c r="E955" t="s">
        <v>131</v>
      </c>
      <c r="F955">
        <v>0</v>
      </c>
    </row>
    <row r="956" spans="1:7" x14ac:dyDescent="0.55000000000000004">
      <c r="A956">
        <v>95</v>
      </c>
      <c r="B956" t="str">
        <f t="shared" si="17"/>
        <v>95_0</v>
      </c>
      <c r="C956" t="s">
        <v>126</v>
      </c>
      <c r="D956" t="s">
        <v>132</v>
      </c>
      <c r="E956" t="s">
        <v>133</v>
      </c>
    </row>
    <row r="957" spans="1:7" x14ac:dyDescent="0.55000000000000004">
      <c r="A957">
        <v>95</v>
      </c>
      <c r="B957" t="str">
        <f t="shared" si="17"/>
        <v>95_0</v>
      </c>
      <c r="C957" t="s">
        <v>126</v>
      </c>
      <c r="D957" t="s">
        <v>134</v>
      </c>
      <c r="E957" t="s">
        <v>133</v>
      </c>
      <c r="F957">
        <v>2</v>
      </c>
    </row>
    <row r="958" spans="1:7" x14ac:dyDescent="0.55000000000000004">
      <c r="A958">
        <v>95</v>
      </c>
      <c r="B958" t="str">
        <f t="shared" si="17"/>
        <v>95_0</v>
      </c>
      <c r="C958" t="s">
        <v>126</v>
      </c>
      <c r="D958" t="s">
        <v>135</v>
      </c>
      <c r="E958" t="s">
        <v>136</v>
      </c>
      <c r="F958">
        <f>F957/10</f>
        <v>0.2</v>
      </c>
      <c r="G958" t="s">
        <v>137</v>
      </c>
    </row>
    <row r="959" spans="1:7" x14ac:dyDescent="0.55000000000000004">
      <c r="A959">
        <v>95</v>
      </c>
      <c r="B959" t="str">
        <f t="shared" si="17"/>
        <v>95_0</v>
      </c>
      <c r="C959" t="s">
        <v>126</v>
      </c>
      <c r="D959" s="2" t="s">
        <v>138</v>
      </c>
      <c r="E959" t="s">
        <v>139</v>
      </c>
      <c r="F959">
        <v>100</v>
      </c>
    </row>
    <row r="960" spans="1:7" x14ac:dyDescent="0.55000000000000004">
      <c r="A960">
        <v>95</v>
      </c>
      <c r="B960" t="str">
        <f t="shared" si="17"/>
        <v>95_0</v>
      </c>
      <c r="C960" t="s">
        <v>126</v>
      </c>
      <c r="D960" s="2" t="s">
        <v>140</v>
      </c>
      <c r="F960" t="s">
        <v>172</v>
      </c>
    </row>
    <row r="961" spans="1:6" x14ac:dyDescent="0.55000000000000004">
      <c r="A961">
        <v>95</v>
      </c>
      <c r="B961" t="str">
        <f t="shared" si="17"/>
        <v>95_0</v>
      </c>
      <c r="C961" t="s">
        <v>126</v>
      </c>
      <c r="D961" s="2" t="s">
        <v>141</v>
      </c>
      <c r="E961" t="s">
        <v>139</v>
      </c>
      <c r="F961">
        <v>100</v>
      </c>
    </row>
    <row r="962" spans="1:6" x14ac:dyDescent="0.55000000000000004">
      <c r="A962">
        <v>95</v>
      </c>
      <c r="B962" t="str">
        <f t="shared" si="17"/>
        <v>95_0</v>
      </c>
      <c r="C962" t="s">
        <v>126</v>
      </c>
      <c r="D962" t="s">
        <v>142</v>
      </c>
      <c r="E962" t="s">
        <v>139</v>
      </c>
      <c r="F962">
        <v>100</v>
      </c>
    </row>
    <row r="963" spans="1:6" x14ac:dyDescent="0.55000000000000004">
      <c r="A963">
        <v>95</v>
      </c>
      <c r="B963" t="str">
        <f t="shared" si="17"/>
        <v>95_0</v>
      </c>
      <c r="C963" t="s">
        <v>126</v>
      </c>
      <c r="D963" t="s">
        <v>143</v>
      </c>
      <c r="E963" t="s">
        <v>131</v>
      </c>
      <c r="F963">
        <v>0</v>
      </c>
    </row>
    <row r="964" spans="1:6" x14ac:dyDescent="0.55000000000000004">
      <c r="A964">
        <v>95</v>
      </c>
      <c r="B964" t="str">
        <f t="shared" si="17"/>
        <v>95_0</v>
      </c>
      <c r="C964" t="s">
        <v>126</v>
      </c>
      <c r="D964" t="s">
        <v>144</v>
      </c>
      <c r="E964" t="s">
        <v>139</v>
      </c>
      <c r="F964">
        <v>0</v>
      </c>
    </row>
    <row r="965" spans="1:6" x14ac:dyDescent="0.55000000000000004">
      <c r="A965">
        <v>95</v>
      </c>
      <c r="B965" t="str">
        <f t="shared" si="17"/>
        <v>95_0</v>
      </c>
      <c r="C965" t="s">
        <v>126</v>
      </c>
      <c r="D965" t="s">
        <v>145</v>
      </c>
      <c r="E965" t="s">
        <v>139</v>
      </c>
      <c r="F965">
        <v>40</v>
      </c>
    </row>
    <row r="966" spans="1:6" x14ac:dyDescent="0.55000000000000004">
      <c r="A966">
        <v>95</v>
      </c>
      <c r="B966" t="str">
        <f t="shared" si="17"/>
        <v>95_0</v>
      </c>
      <c r="C966" t="s">
        <v>126</v>
      </c>
      <c r="D966" t="s">
        <v>146</v>
      </c>
      <c r="E966" t="s">
        <v>139</v>
      </c>
      <c r="F966">
        <v>0</v>
      </c>
    </row>
    <row r="967" spans="1:6" x14ac:dyDescent="0.55000000000000004">
      <c r="A967">
        <v>95</v>
      </c>
      <c r="B967" t="str">
        <f t="shared" si="17"/>
        <v>95_0</v>
      </c>
      <c r="C967" t="s">
        <v>126</v>
      </c>
      <c r="D967" t="s">
        <v>147</v>
      </c>
      <c r="E967" t="s">
        <v>139</v>
      </c>
      <c r="F967">
        <v>30</v>
      </c>
    </row>
    <row r="968" spans="1:6" x14ac:dyDescent="0.55000000000000004">
      <c r="A968">
        <v>95</v>
      </c>
      <c r="B968" t="str">
        <f t="shared" si="17"/>
        <v>95_0</v>
      </c>
      <c r="C968" t="s">
        <v>126</v>
      </c>
      <c r="D968" t="s">
        <v>148</v>
      </c>
      <c r="E968" t="s">
        <v>139</v>
      </c>
      <c r="F968">
        <v>30</v>
      </c>
    </row>
    <row r="969" spans="1:6" x14ac:dyDescent="0.55000000000000004">
      <c r="A969">
        <v>95</v>
      </c>
      <c r="B969" t="str">
        <f t="shared" si="17"/>
        <v>95_0</v>
      </c>
      <c r="C969" t="s">
        <v>126</v>
      </c>
      <c r="D969" t="s">
        <v>149</v>
      </c>
      <c r="E969" t="s">
        <v>139</v>
      </c>
      <c r="F969">
        <v>0</v>
      </c>
    </row>
    <row r="970" spans="1:6" x14ac:dyDescent="0.55000000000000004">
      <c r="A970">
        <v>95</v>
      </c>
      <c r="B970" t="str">
        <f t="shared" si="17"/>
        <v>95_0</v>
      </c>
      <c r="C970" t="s">
        <v>126</v>
      </c>
      <c r="D970" t="s">
        <v>150</v>
      </c>
      <c r="E970" t="s">
        <v>139</v>
      </c>
      <c r="F970">
        <v>0</v>
      </c>
    </row>
    <row r="971" spans="1:6" x14ac:dyDescent="0.55000000000000004">
      <c r="A971">
        <v>95</v>
      </c>
      <c r="B971" t="str">
        <f t="shared" si="17"/>
        <v>95_0</v>
      </c>
      <c r="C971" t="s">
        <v>126</v>
      </c>
      <c r="D971" t="s">
        <v>152</v>
      </c>
      <c r="E971" t="s">
        <v>153</v>
      </c>
    </row>
    <row r="972" spans="1:6" x14ac:dyDescent="0.55000000000000004">
      <c r="A972">
        <v>95</v>
      </c>
      <c r="B972" t="str">
        <f t="shared" si="17"/>
        <v>95_0</v>
      </c>
      <c r="C972" t="s">
        <v>154</v>
      </c>
      <c r="D972" t="s">
        <v>155</v>
      </c>
      <c r="E972" t="s">
        <v>156</v>
      </c>
      <c r="F972">
        <v>23</v>
      </c>
    </row>
    <row r="973" spans="1:6" x14ac:dyDescent="0.55000000000000004">
      <c r="A973">
        <v>95</v>
      </c>
      <c r="B973" t="str">
        <f t="shared" si="17"/>
        <v>95_0</v>
      </c>
      <c r="C973" t="s">
        <v>154</v>
      </c>
      <c r="D973" t="s">
        <v>157</v>
      </c>
      <c r="E973" t="s">
        <v>158</v>
      </c>
      <c r="F973">
        <v>9.64</v>
      </c>
    </row>
    <row r="974" spans="1:6" x14ac:dyDescent="0.55000000000000004">
      <c r="A974">
        <v>95</v>
      </c>
      <c r="B974" t="str">
        <f t="shared" si="17"/>
        <v>95_0</v>
      </c>
      <c r="C974" t="s">
        <v>154</v>
      </c>
      <c r="D974" t="s">
        <v>159</v>
      </c>
      <c r="E974" t="s">
        <v>139</v>
      </c>
      <c r="F974">
        <v>111.9</v>
      </c>
    </row>
    <row r="975" spans="1:6" x14ac:dyDescent="0.55000000000000004">
      <c r="A975">
        <v>95</v>
      </c>
      <c r="B975" t="str">
        <f t="shared" si="17"/>
        <v>95_0</v>
      </c>
      <c r="C975" t="s">
        <v>154</v>
      </c>
      <c r="D975" t="s">
        <v>357</v>
      </c>
      <c r="E975" t="s">
        <v>161</v>
      </c>
      <c r="F975">
        <v>443</v>
      </c>
    </row>
    <row r="976" spans="1:6" x14ac:dyDescent="0.55000000000000004">
      <c r="A976">
        <f>A975</f>
        <v>95</v>
      </c>
      <c r="B976" t="str">
        <f>B975</f>
        <v>95_0</v>
      </c>
      <c r="C976" s="9" t="str">
        <f>C975</f>
        <v>Chemical</v>
      </c>
      <c r="D976" t="s">
        <v>356</v>
      </c>
      <c r="E976" t="s">
        <v>161</v>
      </c>
      <c r="F976">
        <f xml:space="preserve"> F975 / (1 + 0.021 * (F972 - 25))</f>
        <v>462.42171189979126</v>
      </c>
    </row>
    <row r="977" spans="1:7" x14ac:dyDescent="0.55000000000000004">
      <c r="A977">
        <v>95</v>
      </c>
      <c r="B977" t="str">
        <f t="shared" si="17"/>
        <v>95_0</v>
      </c>
      <c r="C977" t="s">
        <v>154</v>
      </c>
      <c r="D977" t="s">
        <v>162</v>
      </c>
      <c r="F977">
        <v>8.69</v>
      </c>
    </row>
    <row r="978" spans="1:7" x14ac:dyDescent="0.55000000000000004">
      <c r="A978">
        <v>95</v>
      </c>
      <c r="B978" t="str">
        <f t="shared" si="17"/>
        <v>95_0</v>
      </c>
      <c r="C978" t="s">
        <v>163</v>
      </c>
      <c r="D978" t="s">
        <v>168</v>
      </c>
      <c r="E978" t="s">
        <v>131</v>
      </c>
      <c r="F978">
        <v>0</v>
      </c>
    </row>
    <row r="979" spans="1:7" x14ac:dyDescent="0.55000000000000004">
      <c r="A979">
        <v>95</v>
      </c>
      <c r="B979" t="str">
        <f t="shared" si="17"/>
        <v>95_0</v>
      </c>
      <c r="C979" t="s">
        <v>163</v>
      </c>
      <c r="D979" t="s">
        <v>169</v>
      </c>
    </row>
    <row r="980" spans="1:7" x14ac:dyDescent="0.55000000000000004">
      <c r="A980">
        <v>95</v>
      </c>
      <c r="B980" t="str">
        <f t="shared" si="17"/>
        <v>95_0</v>
      </c>
      <c r="C980" t="s">
        <v>163</v>
      </c>
      <c r="D980" t="s">
        <v>170</v>
      </c>
      <c r="E980" t="s">
        <v>139</v>
      </c>
      <c r="F980">
        <v>40</v>
      </c>
    </row>
    <row r="981" spans="1:7" x14ac:dyDescent="0.55000000000000004">
      <c r="A981">
        <v>95</v>
      </c>
      <c r="B981" t="str">
        <f t="shared" si="17"/>
        <v>95_0</v>
      </c>
      <c r="C981" t="s">
        <v>163</v>
      </c>
      <c r="D981" t="s">
        <v>171</v>
      </c>
    </row>
    <row r="982" spans="1:7" x14ac:dyDescent="0.55000000000000004">
      <c r="A982">
        <v>96</v>
      </c>
      <c r="B982" t="str">
        <f t="shared" si="17"/>
        <v>96_0</v>
      </c>
      <c r="C982" t="s">
        <v>126</v>
      </c>
      <c r="D982" t="s">
        <v>127</v>
      </c>
      <c r="E982" t="s">
        <v>128</v>
      </c>
      <c r="F982" s="1"/>
      <c r="G982" t="s">
        <v>129</v>
      </c>
    </row>
    <row r="983" spans="1:7" x14ac:dyDescent="0.55000000000000004">
      <c r="A983">
        <v>96</v>
      </c>
      <c r="B983" t="str">
        <f t="shared" si="17"/>
        <v>96_0</v>
      </c>
      <c r="C983" t="s">
        <v>126</v>
      </c>
      <c r="D983" s="11" t="s">
        <v>130</v>
      </c>
      <c r="E983" t="s">
        <v>131</v>
      </c>
      <c r="F983">
        <v>1</v>
      </c>
    </row>
    <row r="984" spans="1:7" x14ac:dyDescent="0.55000000000000004">
      <c r="A984">
        <v>96</v>
      </c>
      <c r="B984" t="str">
        <f t="shared" si="17"/>
        <v>96_0</v>
      </c>
      <c r="C984" t="s">
        <v>126</v>
      </c>
      <c r="D984" t="s">
        <v>132</v>
      </c>
      <c r="E984" t="s">
        <v>133</v>
      </c>
      <c r="F984">
        <v>2.9</v>
      </c>
    </row>
    <row r="985" spans="1:7" x14ac:dyDescent="0.55000000000000004">
      <c r="A985">
        <v>96</v>
      </c>
      <c r="B985" t="str">
        <f t="shared" si="17"/>
        <v>96_0</v>
      </c>
      <c r="C985" t="s">
        <v>126</v>
      </c>
      <c r="D985" t="s">
        <v>134</v>
      </c>
      <c r="E985" t="s">
        <v>133</v>
      </c>
      <c r="F985">
        <v>1.05</v>
      </c>
    </row>
    <row r="986" spans="1:7" x14ac:dyDescent="0.55000000000000004">
      <c r="A986">
        <v>96</v>
      </c>
      <c r="B986" t="str">
        <f t="shared" si="17"/>
        <v>96_0</v>
      </c>
      <c r="C986" t="s">
        <v>126</v>
      </c>
      <c r="D986" t="s">
        <v>135</v>
      </c>
      <c r="E986" t="s">
        <v>136</v>
      </c>
      <c r="F986">
        <f>F985/10</f>
        <v>0.10500000000000001</v>
      </c>
      <c r="G986" t="s">
        <v>137</v>
      </c>
    </row>
    <row r="987" spans="1:7" x14ac:dyDescent="0.55000000000000004">
      <c r="A987">
        <v>96</v>
      </c>
      <c r="B987" t="str">
        <f t="shared" si="17"/>
        <v>96_0</v>
      </c>
      <c r="C987" t="s">
        <v>126</v>
      </c>
      <c r="D987" s="2" t="s">
        <v>138</v>
      </c>
      <c r="E987" t="s">
        <v>139</v>
      </c>
      <c r="F987">
        <v>0</v>
      </c>
    </row>
    <row r="988" spans="1:7" x14ac:dyDescent="0.55000000000000004">
      <c r="A988">
        <v>96</v>
      </c>
      <c r="B988" t="str">
        <f t="shared" si="17"/>
        <v>96_0</v>
      </c>
      <c r="C988" t="s">
        <v>126</v>
      </c>
      <c r="D988" s="2" t="s">
        <v>140</v>
      </c>
      <c r="F988" t="s">
        <v>172</v>
      </c>
    </row>
    <row r="989" spans="1:7" x14ac:dyDescent="0.55000000000000004">
      <c r="A989">
        <v>96</v>
      </c>
      <c r="B989" t="str">
        <f t="shared" si="17"/>
        <v>96_0</v>
      </c>
      <c r="C989" t="s">
        <v>126</v>
      </c>
      <c r="D989" s="2" t="s">
        <v>141</v>
      </c>
      <c r="E989" t="s">
        <v>139</v>
      </c>
      <c r="F989">
        <v>100</v>
      </c>
    </row>
    <row r="990" spans="1:7" x14ac:dyDescent="0.55000000000000004">
      <c r="A990">
        <v>96</v>
      </c>
      <c r="B990" t="str">
        <f t="shared" si="17"/>
        <v>96_0</v>
      </c>
      <c r="C990" t="s">
        <v>126</v>
      </c>
      <c r="D990" t="s">
        <v>142</v>
      </c>
      <c r="E990" t="s">
        <v>139</v>
      </c>
      <c r="F990">
        <v>0</v>
      </c>
    </row>
    <row r="991" spans="1:7" x14ac:dyDescent="0.55000000000000004">
      <c r="A991">
        <v>96</v>
      </c>
      <c r="B991" t="str">
        <f t="shared" si="17"/>
        <v>96_0</v>
      </c>
      <c r="C991" t="s">
        <v>126</v>
      </c>
      <c r="D991" t="s">
        <v>143</v>
      </c>
      <c r="E991" t="s">
        <v>131</v>
      </c>
      <c r="F991">
        <v>0</v>
      </c>
    </row>
    <row r="992" spans="1:7" x14ac:dyDescent="0.55000000000000004">
      <c r="A992">
        <v>96</v>
      </c>
      <c r="B992" t="str">
        <f t="shared" si="17"/>
        <v>96_0</v>
      </c>
      <c r="C992" t="s">
        <v>126</v>
      </c>
      <c r="D992" t="s">
        <v>144</v>
      </c>
      <c r="E992" t="s">
        <v>139</v>
      </c>
      <c r="F992">
        <v>0</v>
      </c>
    </row>
    <row r="993" spans="1:6" x14ac:dyDescent="0.55000000000000004">
      <c r="A993">
        <v>96</v>
      </c>
      <c r="B993" t="str">
        <f t="shared" si="17"/>
        <v>96_0</v>
      </c>
      <c r="C993" t="s">
        <v>126</v>
      </c>
      <c r="D993" t="s">
        <v>145</v>
      </c>
      <c r="E993" t="s">
        <v>139</v>
      </c>
      <c r="F993">
        <v>0</v>
      </c>
    </row>
    <row r="994" spans="1:6" x14ac:dyDescent="0.55000000000000004">
      <c r="A994">
        <v>96</v>
      </c>
      <c r="B994" t="str">
        <f t="shared" si="17"/>
        <v>96_0</v>
      </c>
      <c r="C994" t="s">
        <v>126</v>
      </c>
      <c r="D994" t="s">
        <v>146</v>
      </c>
      <c r="E994" t="s">
        <v>139</v>
      </c>
      <c r="F994">
        <v>0</v>
      </c>
    </row>
    <row r="995" spans="1:6" x14ac:dyDescent="0.55000000000000004">
      <c r="A995">
        <v>96</v>
      </c>
      <c r="B995" t="str">
        <f t="shared" si="17"/>
        <v>96_0</v>
      </c>
      <c r="C995" t="s">
        <v>126</v>
      </c>
      <c r="D995" t="s">
        <v>147</v>
      </c>
      <c r="E995" t="s">
        <v>139</v>
      </c>
      <c r="F995">
        <v>0</v>
      </c>
    </row>
    <row r="996" spans="1:6" x14ac:dyDescent="0.55000000000000004">
      <c r="A996">
        <v>96</v>
      </c>
      <c r="B996" t="str">
        <f t="shared" ref="B996:B1051" si="18">A996 &amp; "_0"</f>
        <v>96_0</v>
      </c>
      <c r="C996" t="s">
        <v>126</v>
      </c>
      <c r="D996" t="s">
        <v>148</v>
      </c>
      <c r="E996" t="s">
        <v>139</v>
      </c>
      <c r="F996">
        <v>100</v>
      </c>
    </row>
    <row r="997" spans="1:6" x14ac:dyDescent="0.55000000000000004">
      <c r="A997">
        <v>96</v>
      </c>
      <c r="B997" t="str">
        <f t="shared" si="18"/>
        <v>96_0</v>
      </c>
      <c r="C997" t="s">
        <v>126</v>
      </c>
      <c r="D997" t="s">
        <v>149</v>
      </c>
      <c r="E997" t="s">
        <v>139</v>
      </c>
      <c r="F997">
        <v>0</v>
      </c>
    </row>
    <row r="998" spans="1:6" x14ac:dyDescent="0.55000000000000004">
      <c r="A998">
        <v>96</v>
      </c>
      <c r="B998" t="str">
        <f t="shared" si="18"/>
        <v>96_0</v>
      </c>
      <c r="C998" t="s">
        <v>126</v>
      </c>
      <c r="D998" t="s">
        <v>150</v>
      </c>
      <c r="E998" t="s">
        <v>139</v>
      </c>
      <c r="F998">
        <v>0</v>
      </c>
    </row>
    <row r="999" spans="1:6" x14ac:dyDescent="0.55000000000000004">
      <c r="A999">
        <v>96</v>
      </c>
      <c r="B999" t="str">
        <f t="shared" si="18"/>
        <v>96_0</v>
      </c>
      <c r="C999" t="s">
        <v>126</v>
      </c>
      <c r="D999" t="s">
        <v>152</v>
      </c>
      <c r="E999" t="s">
        <v>153</v>
      </c>
    </row>
    <row r="1000" spans="1:6" x14ac:dyDescent="0.55000000000000004">
      <c r="A1000">
        <v>96</v>
      </c>
      <c r="B1000" t="str">
        <f t="shared" si="18"/>
        <v>96_0</v>
      </c>
      <c r="C1000" t="s">
        <v>154</v>
      </c>
      <c r="D1000" t="s">
        <v>155</v>
      </c>
      <c r="E1000" t="s">
        <v>156</v>
      </c>
      <c r="F1000">
        <v>22.1</v>
      </c>
    </row>
    <row r="1001" spans="1:6" x14ac:dyDescent="0.55000000000000004">
      <c r="A1001">
        <v>96</v>
      </c>
      <c r="B1001" t="str">
        <f t="shared" si="18"/>
        <v>96_0</v>
      </c>
      <c r="C1001" t="s">
        <v>154</v>
      </c>
      <c r="D1001" t="s">
        <v>157</v>
      </c>
      <c r="E1001" t="s">
        <v>158</v>
      </c>
      <c r="F1001">
        <v>8.85</v>
      </c>
    </row>
    <row r="1002" spans="1:6" x14ac:dyDescent="0.55000000000000004">
      <c r="A1002">
        <v>96</v>
      </c>
      <c r="B1002" t="str">
        <f t="shared" si="18"/>
        <v>96_0</v>
      </c>
      <c r="C1002" t="s">
        <v>154</v>
      </c>
      <c r="D1002" t="s">
        <v>159</v>
      </c>
      <c r="E1002" t="s">
        <v>139</v>
      </c>
      <c r="F1002">
        <v>101.7</v>
      </c>
    </row>
    <row r="1003" spans="1:6" x14ac:dyDescent="0.55000000000000004">
      <c r="A1003">
        <v>96</v>
      </c>
      <c r="B1003" t="str">
        <f t="shared" si="18"/>
        <v>96_0</v>
      </c>
      <c r="C1003" t="s">
        <v>154</v>
      </c>
      <c r="D1003" t="s">
        <v>357</v>
      </c>
      <c r="E1003" t="s">
        <v>161</v>
      </c>
      <c r="F1003">
        <v>434.7</v>
      </c>
    </row>
    <row r="1004" spans="1:6" x14ac:dyDescent="0.55000000000000004">
      <c r="A1004">
        <f>A1003</f>
        <v>96</v>
      </c>
      <c r="B1004" t="str">
        <f>B1003</f>
        <v>96_0</v>
      </c>
      <c r="C1004" s="9" t="str">
        <f>C1003</f>
        <v>Chemical</v>
      </c>
      <c r="D1004" t="s">
        <v>356</v>
      </c>
      <c r="E1004" t="s">
        <v>161</v>
      </c>
      <c r="F1004">
        <f xml:space="preserve"> F1003 / (1 + 0.021 * (F1000 - 25))</f>
        <v>462.89000106484929</v>
      </c>
    </row>
    <row r="1005" spans="1:6" x14ac:dyDescent="0.55000000000000004">
      <c r="A1005">
        <v>96</v>
      </c>
      <c r="B1005" t="str">
        <f t="shared" si="18"/>
        <v>96_0</v>
      </c>
      <c r="C1005" t="s">
        <v>154</v>
      </c>
      <c r="D1005" t="s">
        <v>162</v>
      </c>
      <c r="F1005">
        <v>8.4600000000000009</v>
      </c>
    </row>
    <row r="1006" spans="1:6" x14ac:dyDescent="0.55000000000000004">
      <c r="A1006">
        <v>96</v>
      </c>
      <c r="B1006" t="str">
        <f t="shared" si="18"/>
        <v>96_0</v>
      </c>
      <c r="C1006" t="s">
        <v>163</v>
      </c>
      <c r="D1006" t="s">
        <v>168</v>
      </c>
      <c r="E1006" t="s">
        <v>131</v>
      </c>
      <c r="F1006">
        <v>0</v>
      </c>
    </row>
    <row r="1007" spans="1:6" x14ac:dyDescent="0.55000000000000004">
      <c r="A1007">
        <v>96</v>
      </c>
      <c r="B1007" t="str">
        <f t="shared" si="18"/>
        <v>96_0</v>
      </c>
      <c r="C1007" t="s">
        <v>163</v>
      </c>
      <c r="D1007" t="s">
        <v>169</v>
      </c>
    </row>
    <row r="1008" spans="1:6" x14ac:dyDescent="0.55000000000000004">
      <c r="A1008">
        <v>96</v>
      </c>
      <c r="B1008" t="str">
        <f t="shared" si="18"/>
        <v>96_0</v>
      </c>
      <c r="C1008" t="s">
        <v>163</v>
      </c>
      <c r="D1008" t="s">
        <v>170</v>
      </c>
      <c r="E1008" t="s">
        <v>139</v>
      </c>
      <c r="F1008">
        <v>3</v>
      </c>
    </row>
    <row r="1009" spans="1:7" x14ac:dyDescent="0.55000000000000004">
      <c r="A1009">
        <v>96</v>
      </c>
      <c r="B1009" t="str">
        <f t="shared" si="18"/>
        <v>96_0</v>
      </c>
      <c r="C1009" t="s">
        <v>163</v>
      </c>
      <c r="D1009" t="s">
        <v>171</v>
      </c>
    </row>
    <row r="1010" spans="1:7" x14ac:dyDescent="0.55000000000000004">
      <c r="A1010">
        <v>97</v>
      </c>
      <c r="B1010" t="str">
        <f t="shared" si="18"/>
        <v>97_0</v>
      </c>
      <c r="C1010" t="s">
        <v>126</v>
      </c>
      <c r="D1010" t="s">
        <v>127</v>
      </c>
      <c r="E1010" t="s">
        <v>128</v>
      </c>
      <c r="F1010" s="1"/>
      <c r="G1010" t="s">
        <v>129</v>
      </c>
    </row>
    <row r="1011" spans="1:7" x14ac:dyDescent="0.55000000000000004">
      <c r="A1011">
        <v>97</v>
      </c>
      <c r="B1011" t="str">
        <f t="shared" si="18"/>
        <v>97_0</v>
      </c>
      <c r="C1011" t="s">
        <v>126</v>
      </c>
      <c r="D1011" s="11" t="s">
        <v>130</v>
      </c>
      <c r="E1011" t="s">
        <v>131</v>
      </c>
      <c r="F1011">
        <v>1</v>
      </c>
    </row>
    <row r="1012" spans="1:7" x14ac:dyDescent="0.55000000000000004">
      <c r="A1012">
        <v>97</v>
      </c>
      <c r="B1012" t="str">
        <f t="shared" si="18"/>
        <v>97_0</v>
      </c>
      <c r="C1012" t="s">
        <v>126</v>
      </c>
      <c r="D1012" t="s">
        <v>132</v>
      </c>
      <c r="E1012" t="s">
        <v>133</v>
      </c>
    </row>
    <row r="1013" spans="1:7" x14ac:dyDescent="0.55000000000000004">
      <c r="A1013">
        <v>97</v>
      </c>
      <c r="B1013" t="str">
        <f t="shared" si="18"/>
        <v>97_0</v>
      </c>
      <c r="C1013" t="s">
        <v>126</v>
      </c>
      <c r="D1013" t="s">
        <v>134</v>
      </c>
      <c r="E1013" t="s">
        <v>133</v>
      </c>
      <c r="F1013">
        <v>1.6</v>
      </c>
    </row>
    <row r="1014" spans="1:7" x14ac:dyDescent="0.55000000000000004">
      <c r="A1014">
        <v>97</v>
      </c>
      <c r="B1014" t="str">
        <f t="shared" si="18"/>
        <v>97_0</v>
      </c>
      <c r="C1014" t="s">
        <v>126</v>
      </c>
      <c r="D1014" t="s">
        <v>135</v>
      </c>
      <c r="E1014" t="s">
        <v>136</v>
      </c>
      <c r="F1014">
        <f>F1013/10</f>
        <v>0.16</v>
      </c>
      <c r="G1014" t="s">
        <v>137</v>
      </c>
    </row>
    <row r="1015" spans="1:7" x14ac:dyDescent="0.55000000000000004">
      <c r="A1015">
        <v>97</v>
      </c>
      <c r="B1015" t="str">
        <f t="shared" si="18"/>
        <v>97_0</v>
      </c>
      <c r="C1015" t="s">
        <v>126</v>
      </c>
      <c r="D1015" s="2" t="s">
        <v>138</v>
      </c>
      <c r="E1015" t="s">
        <v>139</v>
      </c>
      <c r="F1015">
        <v>100</v>
      </c>
    </row>
    <row r="1016" spans="1:7" x14ac:dyDescent="0.55000000000000004">
      <c r="A1016">
        <v>97</v>
      </c>
      <c r="B1016" t="str">
        <f t="shared" si="18"/>
        <v>97_0</v>
      </c>
      <c r="C1016" t="s">
        <v>126</v>
      </c>
      <c r="D1016" s="2" t="s">
        <v>140</v>
      </c>
    </row>
    <row r="1017" spans="1:7" x14ac:dyDescent="0.55000000000000004">
      <c r="A1017">
        <v>97</v>
      </c>
      <c r="B1017" t="str">
        <f t="shared" si="18"/>
        <v>97_0</v>
      </c>
      <c r="C1017" t="s">
        <v>126</v>
      </c>
      <c r="D1017" s="2" t="s">
        <v>141</v>
      </c>
      <c r="E1017" t="s">
        <v>139</v>
      </c>
      <c r="F1017">
        <v>100</v>
      </c>
    </row>
    <row r="1018" spans="1:7" x14ac:dyDescent="0.55000000000000004">
      <c r="A1018">
        <v>97</v>
      </c>
      <c r="B1018" t="str">
        <f t="shared" si="18"/>
        <v>97_0</v>
      </c>
      <c r="C1018" t="s">
        <v>126</v>
      </c>
      <c r="D1018" t="s">
        <v>142</v>
      </c>
      <c r="E1018" t="s">
        <v>139</v>
      </c>
      <c r="F1018">
        <v>0</v>
      </c>
    </row>
    <row r="1019" spans="1:7" x14ac:dyDescent="0.55000000000000004">
      <c r="A1019">
        <v>97</v>
      </c>
      <c r="B1019" t="str">
        <f t="shared" si="18"/>
        <v>97_0</v>
      </c>
      <c r="C1019" t="s">
        <v>126</v>
      </c>
      <c r="D1019" t="s">
        <v>143</v>
      </c>
      <c r="E1019" t="s">
        <v>131</v>
      </c>
      <c r="F1019">
        <v>0</v>
      </c>
    </row>
    <row r="1020" spans="1:7" x14ac:dyDescent="0.55000000000000004">
      <c r="A1020">
        <v>97</v>
      </c>
      <c r="B1020" t="str">
        <f t="shared" si="18"/>
        <v>97_0</v>
      </c>
      <c r="C1020" t="s">
        <v>126</v>
      </c>
      <c r="D1020" t="s">
        <v>144</v>
      </c>
      <c r="E1020" t="s">
        <v>139</v>
      </c>
      <c r="F1020">
        <v>0</v>
      </c>
    </row>
    <row r="1021" spans="1:7" x14ac:dyDescent="0.55000000000000004">
      <c r="A1021">
        <v>97</v>
      </c>
      <c r="B1021" t="str">
        <f t="shared" si="18"/>
        <v>97_0</v>
      </c>
      <c r="C1021" t="s">
        <v>126</v>
      </c>
      <c r="D1021" t="s">
        <v>145</v>
      </c>
      <c r="E1021" t="s">
        <v>139</v>
      </c>
      <c r="F1021">
        <v>0</v>
      </c>
    </row>
    <row r="1022" spans="1:7" x14ac:dyDescent="0.55000000000000004">
      <c r="A1022">
        <v>97</v>
      </c>
      <c r="B1022" t="str">
        <f t="shared" si="18"/>
        <v>97_0</v>
      </c>
      <c r="C1022" t="s">
        <v>126</v>
      </c>
      <c r="D1022" t="s">
        <v>146</v>
      </c>
      <c r="E1022" t="s">
        <v>139</v>
      </c>
      <c r="F1022">
        <v>0</v>
      </c>
    </row>
    <row r="1023" spans="1:7" x14ac:dyDescent="0.55000000000000004">
      <c r="A1023">
        <v>97</v>
      </c>
      <c r="B1023" t="str">
        <f t="shared" si="18"/>
        <v>97_0</v>
      </c>
      <c r="C1023" t="s">
        <v>126</v>
      </c>
      <c r="D1023" t="s">
        <v>147</v>
      </c>
      <c r="E1023" t="s">
        <v>139</v>
      </c>
      <c r="F1023">
        <v>10</v>
      </c>
    </row>
    <row r="1024" spans="1:7" x14ac:dyDescent="0.55000000000000004">
      <c r="A1024">
        <v>97</v>
      </c>
      <c r="B1024" t="str">
        <f t="shared" si="18"/>
        <v>97_0</v>
      </c>
      <c r="C1024" t="s">
        <v>126</v>
      </c>
      <c r="D1024" t="s">
        <v>148</v>
      </c>
      <c r="E1024" t="s">
        <v>139</v>
      </c>
      <c r="F1024">
        <v>80</v>
      </c>
    </row>
    <row r="1025" spans="1:7" x14ac:dyDescent="0.55000000000000004">
      <c r="A1025">
        <v>97</v>
      </c>
      <c r="B1025" t="str">
        <f t="shared" si="18"/>
        <v>97_0</v>
      </c>
      <c r="C1025" t="s">
        <v>126</v>
      </c>
      <c r="D1025" t="s">
        <v>149</v>
      </c>
      <c r="E1025" t="s">
        <v>139</v>
      </c>
      <c r="F1025">
        <v>0</v>
      </c>
    </row>
    <row r="1026" spans="1:7" x14ac:dyDescent="0.55000000000000004">
      <c r="A1026">
        <v>97</v>
      </c>
      <c r="B1026" t="str">
        <f t="shared" si="18"/>
        <v>97_0</v>
      </c>
      <c r="C1026" t="s">
        <v>126</v>
      </c>
      <c r="D1026" t="s">
        <v>150</v>
      </c>
      <c r="E1026" t="s">
        <v>139</v>
      </c>
      <c r="F1026">
        <v>10</v>
      </c>
    </row>
    <row r="1027" spans="1:7" x14ac:dyDescent="0.55000000000000004">
      <c r="A1027">
        <v>97</v>
      </c>
      <c r="B1027" t="str">
        <f t="shared" si="18"/>
        <v>97_0</v>
      </c>
      <c r="C1027" t="s">
        <v>126</v>
      </c>
      <c r="D1027" t="s">
        <v>152</v>
      </c>
      <c r="E1027" t="s">
        <v>153</v>
      </c>
    </row>
    <row r="1028" spans="1:7" x14ac:dyDescent="0.55000000000000004">
      <c r="A1028">
        <v>97</v>
      </c>
      <c r="B1028" t="str">
        <f t="shared" si="18"/>
        <v>97_0</v>
      </c>
      <c r="C1028" t="s">
        <v>154</v>
      </c>
      <c r="D1028" t="s">
        <v>155</v>
      </c>
      <c r="E1028" t="s">
        <v>156</v>
      </c>
      <c r="F1028">
        <v>16.5</v>
      </c>
    </row>
    <row r="1029" spans="1:7" x14ac:dyDescent="0.55000000000000004">
      <c r="A1029">
        <v>97</v>
      </c>
      <c r="B1029" t="str">
        <f t="shared" si="18"/>
        <v>97_0</v>
      </c>
      <c r="C1029" t="s">
        <v>154</v>
      </c>
      <c r="D1029" t="s">
        <v>157</v>
      </c>
      <c r="E1029" t="s">
        <v>158</v>
      </c>
      <c r="F1029">
        <v>9.9700000000000006</v>
      </c>
    </row>
    <row r="1030" spans="1:7" x14ac:dyDescent="0.55000000000000004">
      <c r="A1030">
        <v>97</v>
      </c>
      <c r="B1030" t="str">
        <f t="shared" si="18"/>
        <v>97_0</v>
      </c>
      <c r="C1030" t="s">
        <v>154</v>
      </c>
      <c r="D1030" t="s">
        <v>159</v>
      </c>
      <c r="E1030" t="s">
        <v>139</v>
      </c>
      <c r="F1030">
        <v>102</v>
      </c>
    </row>
    <row r="1031" spans="1:7" x14ac:dyDescent="0.55000000000000004">
      <c r="A1031">
        <v>97</v>
      </c>
      <c r="B1031" t="str">
        <f t="shared" si="18"/>
        <v>97_0</v>
      </c>
      <c r="C1031" t="s">
        <v>154</v>
      </c>
      <c r="D1031" t="s">
        <v>357</v>
      </c>
      <c r="E1031" t="s">
        <v>161</v>
      </c>
      <c r="F1031">
        <v>132.80000000000001</v>
      </c>
    </row>
    <row r="1032" spans="1:7" x14ac:dyDescent="0.55000000000000004">
      <c r="A1032">
        <f>A1031</f>
        <v>97</v>
      </c>
      <c r="B1032" t="str">
        <f>B1031</f>
        <v>97_0</v>
      </c>
      <c r="C1032" s="9" t="str">
        <f>C1031</f>
        <v>Chemical</v>
      </c>
      <c r="D1032" t="s">
        <v>356</v>
      </c>
      <c r="E1032" t="s">
        <v>161</v>
      </c>
      <c r="F1032">
        <f xml:space="preserve"> F1031 / (1 + 0.021 * (F1028 - 25))</f>
        <v>161.65550821667682</v>
      </c>
    </row>
    <row r="1033" spans="1:7" x14ac:dyDescent="0.55000000000000004">
      <c r="A1033">
        <v>97</v>
      </c>
      <c r="B1033" t="str">
        <f t="shared" si="18"/>
        <v>97_0</v>
      </c>
      <c r="C1033" t="s">
        <v>154</v>
      </c>
      <c r="D1033" t="s">
        <v>162</v>
      </c>
      <c r="F1033">
        <v>8</v>
      </c>
    </row>
    <row r="1034" spans="1:7" x14ac:dyDescent="0.55000000000000004">
      <c r="A1034">
        <v>97</v>
      </c>
      <c r="B1034" t="str">
        <f t="shared" si="18"/>
        <v>97_0</v>
      </c>
      <c r="C1034" t="s">
        <v>163</v>
      </c>
      <c r="D1034" t="s">
        <v>168</v>
      </c>
      <c r="E1034" t="s">
        <v>131</v>
      </c>
      <c r="F1034">
        <v>1</v>
      </c>
    </row>
    <row r="1035" spans="1:7" x14ac:dyDescent="0.55000000000000004">
      <c r="A1035">
        <v>97</v>
      </c>
      <c r="B1035" t="str">
        <f t="shared" si="18"/>
        <v>97_0</v>
      </c>
      <c r="C1035" t="s">
        <v>163</v>
      </c>
      <c r="D1035" t="s">
        <v>169</v>
      </c>
    </row>
    <row r="1036" spans="1:7" x14ac:dyDescent="0.55000000000000004">
      <c r="A1036">
        <v>97</v>
      </c>
      <c r="B1036" t="str">
        <f t="shared" si="18"/>
        <v>97_0</v>
      </c>
      <c r="C1036" t="s">
        <v>163</v>
      </c>
      <c r="D1036" t="s">
        <v>170</v>
      </c>
      <c r="E1036" t="s">
        <v>139</v>
      </c>
      <c r="F1036">
        <v>30</v>
      </c>
    </row>
    <row r="1037" spans="1:7" x14ac:dyDescent="0.55000000000000004">
      <c r="A1037">
        <v>97</v>
      </c>
      <c r="B1037" t="str">
        <f t="shared" si="18"/>
        <v>97_0</v>
      </c>
      <c r="C1037" t="s">
        <v>163</v>
      </c>
      <c r="D1037" t="s">
        <v>171</v>
      </c>
    </row>
    <row r="1038" spans="1:7" x14ac:dyDescent="0.55000000000000004">
      <c r="A1038">
        <v>98</v>
      </c>
      <c r="B1038" t="str">
        <f t="shared" si="18"/>
        <v>98_0</v>
      </c>
      <c r="C1038" t="s">
        <v>126</v>
      </c>
      <c r="D1038" t="s">
        <v>127</v>
      </c>
      <c r="E1038" t="s">
        <v>128</v>
      </c>
      <c r="F1038" s="1"/>
      <c r="G1038" t="s">
        <v>129</v>
      </c>
    </row>
    <row r="1039" spans="1:7" x14ac:dyDescent="0.55000000000000004">
      <c r="A1039">
        <v>98</v>
      </c>
      <c r="B1039" t="str">
        <f t="shared" si="18"/>
        <v>98_0</v>
      </c>
      <c r="C1039" t="s">
        <v>126</v>
      </c>
      <c r="D1039" s="11" t="s">
        <v>130</v>
      </c>
      <c r="E1039" t="s">
        <v>131</v>
      </c>
      <c r="F1039">
        <v>1</v>
      </c>
    </row>
    <row r="1040" spans="1:7" x14ac:dyDescent="0.55000000000000004">
      <c r="A1040">
        <v>98</v>
      </c>
      <c r="B1040" t="str">
        <f t="shared" si="18"/>
        <v>98_0</v>
      </c>
      <c r="C1040" t="s">
        <v>126</v>
      </c>
      <c r="D1040" t="s">
        <v>132</v>
      </c>
      <c r="E1040" t="s">
        <v>133</v>
      </c>
    </row>
    <row r="1041" spans="1:7" x14ac:dyDescent="0.55000000000000004">
      <c r="A1041">
        <v>98</v>
      </c>
      <c r="B1041" t="str">
        <f t="shared" si="18"/>
        <v>98_0</v>
      </c>
      <c r="C1041" t="s">
        <v>126</v>
      </c>
      <c r="D1041" t="s">
        <v>134</v>
      </c>
      <c r="E1041" t="s">
        <v>133</v>
      </c>
      <c r="F1041">
        <v>2.8</v>
      </c>
    </row>
    <row r="1042" spans="1:7" x14ac:dyDescent="0.55000000000000004">
      <c r="A1042">
        <v>98</v>
      </c>
      <c r="B1042" t="str">
        <f t="shared" si="18"/>
        <v>98_0</v>
      </c>
      <c r="C1042" t="s">
        <v>126</v>
      </c>
      <c r="D1042" t="s">
        <v>135</v>
      </c>
      <c r="E1042" t="s">
        <v>136</v>
      </c>
      <c r="F1042">
        <f>F1041/10</f>
        <v>0.27999999999999997</v>
      </c>
      <c r="G1042" t="s">
        <v>137</v>
      </c>
    </row>
    <row r="1043" spans="1:7" x14ac:dyDescent="0.55000000000000004">
      <c r="A1043">
        <v>98</v>
      </c>
      <c r="B1043" t="str">
        <f t="shared" si="18"/>
        <v>98_0</v>
      </c>
      <c r="C1043" t="s">
        <v>126</v>
      </c>
      <c r="D1043" s="2" t="s">
        <v>138</v>
      </c>
      <c r="E1043" t="s">
        <v>139</v>
      </c>
      <c r="F1043">
        <v>100</v>
      </c>
    </row>
    <row r="1044" spans="1:7" x14ac:dyDescent="0.55000000000000004">
      <c r="A1044">
        <v>98</v>
      </c>
      <c r="B1044" t="str">
        <f t="shared" si="18"/>
        <v>98_0</v>
      </c>
      <c r="C1044" t="s">
        <v>126</v>
      </c>
      <c r="D1044" s="2" t="s">
        <v>140</v>
      </c>
    </row>
    <row r="1045" spans="1:7" x14ac:dyDescent="0.55000000000000004">
      <c r="A1045">
        <v>98</v>
      </c>
      <c r="B1045" t="str">
        <f t="shared" si="18"/>
        <v>98_0</v>
      </c>
      <c r="C1045" t="s">
        <v>126</v>
      </c>
      <c r="D1045" s="2" t="s">
        <v>141</v>
      </c>
      <c r="E1045" t="s">
        <v>139</v>
      </c>
      <c r="F1045">
        <v>80</v>
      </c>
    </row>
    <row r="1046" spans="1:7" x14ac:dyDescent="0.55000000000000004">
      <c r="A1046">
        <v>98</v>
      </c>
      <c r="B1046" t="str">
        <f t="shared" si="18"/>
        <v>98_0</v>
      </c>
      <c r="C1046" t="s">
        <v>126</v>
      </c>
      <c r="D1046" t="s">
        <v>142</v>
      </c>
      <c r="E1046" t="s">
        <v>139</v>
      </c>
      <c r="F1046">
        <v>0</v>
      </c>
    </row>
    <row r="1047" spans="1:7" x14ac:dyDescent="0.55000000000000004">
      <c r="A1047">
        <v>98</v>
      </c>
      <c r="B1047" t="str">
        <f t="shared" si="18"/>
        <v>98_0</v>
      </c>
      <c r="C1047" t="s">
        <v>126</v>
      </c>
      <c r="D1047" t="s">
        <v>143</v>
      </c>
      <c r="E1047" t="s">
        <v>131</v>
      </c>
      <c r="F1047">
        <v>0</v>
      </c>
    </row>
    <row r="1048" spans="1:7" x14ac:dyDescent="0.55000000000000004">
      <c r="A1048">
        <v>98</v>
      </c>
      <c r="B1048" t="str">
        <f t="shared" si="18"/>
        <v>98_0</v>
      </c>
      <c r="C1048" t="s">
        <v>126</v>
      </c>
      <c r="D1048" t="s">
        <v>144</v>
      </c>
      <c r="E1048" t="s">
        <v>139</v>
      </c>
      <c r="F1048">
        <v>0</v>
      </c>
    </row>
    <row r="1049" spans="1:7" x14ac:dyDescent="0.55000000000000004">
      <c r="A1049">
        <v>98</v>
      </c>
      <c r="B1049" t="str">
        <f t="shared" si="18"/>
        <v>98_0</v>
      </c>
      <c r="C1049" t="s">
        <v>126</v>
      </c>
      <c r="D1049" t="s">
        <v>145</v>
      </c>
      <c r="E1049" t="s">
        <v>139</v>
      </c>
      <c r="F1049">
        <v>50</v>
      </c>
    </row>
    <row r="1050" spans="1:7" x14ac:dyDescent="0.55000000000000004">
      <c r="A1050">
        <v>98</v>
      </c>
      <c r="B1050" t="str">
        <f t="shared" si="18"/>
        <v>98_0</v>
      </c>
      <c r="C1050" t="s">
        <v>126</v>
      </c>
      <c r="D1050" t="s">
        <v>146</v>
      </c>
      <c r="E1050" t="s">
        <v>139</v>
      </c>
      <c r="F1050">
        <v>0</v>
      </c>
    </row>
    <row r="1051" spans="1:7" x14ac:dyDescent="0.55000000000000004">
      <c r="A1051">
        <v>98</v>
      </c>
      <c r="B1051" t="str">
        <f t="shared" si="18"/>
        <v>98_0</v>
      </c>
      <c r="C1051" t="s">
        <v>126</v>
      </c>
      <c r="D1051" t="s">
        <v>147</v>
      </c>
      <c r="E1051" t="s">
        <v>139</v>
      </c>
      <c r="F1051">
        <v>0</v>
      </c>
    </row>
    <row r="1052" spans="1:7" x14ac:dyDescent="0.55000000000000004">
      <c r="A1052">
        <v>98</v>
      </c>
      <c r="B1052" t="str">
        <f t="shared" ref="B1052:B1107" si="19">A1052 &amp; "_0"</f>
        <v>98_0</v>
      </c>
      <c r="C1052" t="s">
        <v>126</v>
      </c>
      <c r="D1052" t="s">
        <v>148</v>
      </c>
      <c r="E1052" t="s">
        <v>139</v>
      </c>
      <c r="F1052">
        <v>50</v>
      </c>
    </row>
    <row r="1053" spans="1:7" x14ac:dyDescent="0.55000000000000004">
      <c r="A1053">
        <v>98</v>
      </c>
      <c r="B1053" t="str">
        <f t="shared" si="19"/>
        <v>98_0</v>
      </c>
      <c r="C1053" t="s">
        <v>126</v>
      </c>
      <c r="D1053" t="s">
        <v>149</v>
      </c>
      <c r="E1053" t="s">
        <v>139</v>
      </c>
      <c r="F1053">
        <v>0</v>
      </c>
    </row>
    <row r="1054" spans="1:7" x14ac:dyDescent="0.55000000000000004">
      <c r="A1054">
        <v>98</v>
      </c>
      <c r="B1054" t="str">
        <f t="shared" si="19"/>
        <v>98_0</v>
      </c>
      <c r="C1054" t="s">
        <v>126</v>
      </c>
      <c r="D1054" t="s">
        <v>150</v>
      </c>
      <c r="E1054" t="s">
        <v>139</v>
      </c>
      <c r="F1054">
        <v>0</v>
      </c>
    </row>
    <row r="1055" spans="1:7" x14ac:dyDescent="0.55000000000000004">
      <c r="A1055">
        <v>98</v>
      </c>
      <c r="B1055" t="str">
        <f t="shared" si="19"/>
        <v>98_0</v>
      </c>
      <c r="C1055" t="s">
        <v>126</v>
      </c>
      <c r="D1055" t="s">
        <v>152</v>
      </c>
      <c r="E1055" t="s">
        <v>153</v>
      </c>
    </row>
    <row r="1056" spans="1:7" x14ac:dyDescent="0.55000000000000004">
      <c r="A1056">
        <v>98</v>
      </c>
      <c r="B1056" t="str">
        <f t="shared" si="19"/>
        <v>98_0</v>
      </c>
      <c r="C1056" t="s">
        <v>154</v>
      </c>
      <c r="D1056" t="s">
        <v>155</v>
      </c>
      <c r="E1056" t="s">
        <v>156</v>
      </c>
      <c r="F1056">
        <v>16.8</v>
      </c>
    </row>
    <row r="1057" spans="1:7" x14ac:dyDescent="0.55000000000000004">
      <c r="A1057">
        <v>98</v>
      </c>
      <c r="B1057" t="str">
        <f t="shared" si="19"/>
        <v>98_0</v>
      </c>
      <c r="C1057" t="s">
        <v>154</v>
      </c>
      <c r="D1057" t="s">
        <v>157</v>
      </c>
      <c r="E1057" t="s">
        <v>158</v>
      </c>
      <c r="F1057">
        <v>9.81</v>
      </c>
    </row>
    <row r="1058" spans="1:7" x14ac:dyDescent="0.55000000000000004">
      <c r="A1058">
        <v>98</v>
      </c>
      <c r="B1058" t="str">
        <f t="shared" si="19"/>
        <v>98_0</v>
      </c>
      <c r="C1058" t="s">
        <v>154</v>
      </c>
      <c r="D1058" t="s">
        <v>159</v>
      </c>
      <c r="E1058" t="s">
        <v>139</v>
      </c>
      <c r="F1058">
        <v>101.1</v>
      </c>
    </row>
    <row r="1059" spans="1:7" x14ac:dyDescent="0.55000000000000004">
      <c r="A1059">
        <v>98</v>
      </c>
      <c r="B1059" t="str">
        <f t="shared" si="19"/>
        <v>98_0</v>
      </c>
      <c r="C1059" t="s">
        <v>154</v>
      </c>
      <c r="D1059" t="s">
        <v>357</v>
      </c>
      <c r="E1059" t="s">
        <v>161</v>
      </c>
      <c r="F1059">
        <v>134.5</v>
      </c>
    </row>
    <row r="1060" spans="1:7" x14ac:dyDescent="0.55000000000000004">
      <c r="A1060">
        <f>A1059</f>
        <v>98</v>
      </c>
      <c r="B1060" t="str">
        <f>B1059</f>
        <v>98_0</v>
      </c>
      <c r="C1060" s="9" t="str">
        <f>C1059</f>
        <v>Chemical</v>
      </c>
      <c r="D1060" t="s">
        <v>356</v>
      </c>
      <c r="E1060" t="s">
        <v>161</v>
      </c>
      <c r="F1060">
        <f xml:space="preserve"> F1059 / (1 + 0.021 * (F1056 - 25))</f>
        <v>162.47885962792947</v>
      </c>
    </row>
    <row r="1061" spans="1:7" x14ac:dyDescent="0.55000000000000004">
      <c r="A1061">
        <v>98</v>
      </c>
      <c r="B1061" t="str">
        <f t="shared" si="19"/>
        <v>98_0</v>
      </c>
      <c r="C1061" t="s">
        <v>154</v>
      </c>
      <c r="D1061" t="s">
        <v>162</v>
      </c>
      <c r="F1061">
        <v>7.95</v>
      </c>
    </row>
    <row r="1062" spans="1:7" x14ac:dyDescent="0.55000000000000004">
      <c r="A1062">
        <v>98</v>
      </c>
      <c r="B1062" t="str">
        <f t="shared" si="19"/>
        <v>98_0</v>
      </c>
      <c r="C1062" t="s">
        <v>163</v>
      </c>
      <c r="D1062" t="s">
        <v>168</v>
      </c>
      <c r="E1062" t="s">
        <v>131</v>
      </c>
      <c r="F1062">
        <v>1</v>
      </c>
    </row>
    <row r="1063" spans="1:7" x14ac:dyDescent="0.55000000000000004">
      <c r="A1063">
        <v>98</v>
      </c>
      <c r="B1063" t="str">
        <f t="shared" si="19"/>
        <v>98_0</v>
      </c>
      <c r="C1063" t="s">
        <v>163</v>
      </c>
      <c r="D1063" t="s">
        <v>169</v>
      </c>
    </row>
    <row r="1064" spans="1:7" x14ac:dyDescent="0.55000000000000004">
      <c r="A1064">
        <v>98</v>
      </c>
      <c r="B1064" t="str">
        <f t="shared" si="19"/>
        <v>98_0</v>
      </c>
      <c r="C1064" t="s">
        <v>163</v>
      </c>
      <c r="D1064" t="s">
        <v>170</v>
      </c>
      <c r="E1064" t="s">
        <v>139</v>
      </c>
      <c r="F1064">
        <v>10</v>
      </c>
    </row>
    <row r="1065" spans="1:7" x14ac:dyDescent="0.55000000000000004">
      <c r="A1065">
        <v>98</v>
      </c>
      <c r="B1065" t="str">
        <f t="shared" si="19"/>
        <v>98_0</v>
      </c>
      <c r="C1065" t="s">
        <v>163</v>
      </c>
      <c r="D1065" t="s">
        <v>171</v>
      </c>
    </row>
    <row r="1066" spans="1:7" x14ac:dyDescent="0.55000000000000004">
      <c r="A1066">
        <v>99</v>
      </c>
      <c r="B1066" t="str">
        <f t="shared" si="19"/>
        <v>99_0</v>
      </c>
      <c r="C1066" t="s">
        <v>126</v>
      </c>
      <c r="D1066" t="s">
        <v>127</v>
      </c>
      <c r="E1066" t="s">
        <v>128</v>
      </c>
      <c r="F1066" s="1"/>
      <c r="G1066" t="s">
        <v>129</v>
      </c>
    </row>
    <row r="1067" spans="1:7" x14ac:dyDescent="0.55000000000000004">
      <c r="A1067">
        <v>99</v>
      </c>
      <c r="B1067" t="str">
        <f t="shared" si="19"/>
        <v>99_0</v>
      </c>
      <c r="C1067" t="s">
        <v>126</v>
      </c>
      <c r="D1067" s="11" t="s">
        <v>130</v>
      </c>
      <c r="E1067" t="s">
        <v>131</v>
      </c>
      <c r="F1067">
        <v>1</v>
      </c>
    </row>
    <row r="1068" spans="1:7" x14ac:dyDescent="0.55000000000000004">
      <c r="A1068">
        <v>99</v>
      </c>
      <c r="B1068" t="str">
        <f t="shared" si="19"/>
        <v>99_0</v>
      </c>
      <c r="C1068" t="s">
        <v>126</v>
      </c>
      <c r="D1068" t="s">
        <v>132</v>
      </c>
      <c r="E1068" t="s">
        <v>133</v>
      </c>
      <c r="F1068">
        <v>7.6</v>
      </c>
      <c r="G1068" t="s">
        <v>175</v>
      </c>
    </row>
    <row r="1069" spans="1:7" x14ac:dyDescent="0.55000000000000004">
      <c r="A1069">
        <v>99</v>
      </c>
      <c r="B1069" t="str">
        <f t="shared" si="19"/>
        <v>99_0</v>
      </c>
      <c r="C1069" t="s">
        <v>126</v>
      </c>
      <c r="D1069" t="s">
        <v>134</v>
      </c>
      <c r="E1069" t="s">
        <v>133</v>
      </c>
      <c r="F1069">
        <v>0.65</v>
      </c>
    </row>
    <row r="1070" spans="1:7" x14ac:dyDescent="0.55000000000000004">
      <c r="A1070">
        <v>99</v>
      </c>
      <c r="B1070" t="str">
        <f t="shared" si="19"/>
        <v>99_0</v>
      </c>
      <c r="C1070" t="s">
        <v>126</v>
      </c>
      <c r="D1070" t="s">
        <v>135</v>
      </c>
      <c r="E1070" t="s">
        <v>136</v>
      </c>
      <c r="F1070">
        <f>F1069/10</f>
        <v>6.5000000000000002E-2</v>
      </c>
      <c r="G1070" t="s">
        <v>137</v>
      </c>
    </row>
    <row r="1071" spans="1:7" x14ac:dyDescent="0.55000000000000004">
      <c r="A1071">
        <v>99</v>
      </c>
      <c r="B1071" t="str">
        <f t="shared" si="19"/>
        <v>99_0</v>
      </c>
      <c r="C1071" t="s">
        <v>126</v>
      </c>
      <c r="D1071" s="2" t="s">
        <v>138</v>
      </c>
      <c r="E1071" t="s">
        <v>139</v>
      </c>
      <c r="F1071">
        <v>30</v>
      </c>
      <c r="G1071" t="s">
        <v>193</v>
      </c>
    </row>
    <row r="1072" spans="1:7" x14ac:dyDescent="0.55000000000000004">
      <c r="A1072">
        <v>99</v>
      </c>
      <c r="B1072" t="str">
        <f t="shared" si="19"/>
        <v>99_0</v>
      </c>
      <c r="C1072" t="s">
        <v>126</v>
      </c>
      <c r="D1072" s="2" t="s">
        <v>140</v>
      </c>
    </row>
    <row r="1073" spans="1:7" x14ac:dyDescent="0.55000000000000004">
      <c r="A1073">
        <v>99</v>
      </c>
      <c r="B1073" t="str">
        <f t="shared" si="19"/>
        <v>99_0</v>
      </c>
      <c r="C1073" t="s">
        <v>126</v>
      </c>
      <c r="D1073" s="2" t="s">
        <v>141</v>
      </c>
      <c r="E1073" t="s">
        <v>139</v>
      </c>
      <c r="F1073">
        <v>100</v>
      </c>
      <c r="G1073" t="s">
        <v>193</v>
      </c>
    </row>
    <row r="1074" spans="1:7" x14ac:dyDescent="0.55000000000000004">
      <c r="A1074">
        <v>99</v>
      </c>
      <c r="B1074" t="str">
        <f t="shared" si="19"/>
        <v>99_0</v>
      </c>
      <c r="C1074" t="s">
        <v>126</v>
      </c>
      <c r="D1074" t="s">
        <v>142</v>
      </c>
      <c r="E1074" t="s">
        <v>139</v>
      </c>
      <c r="F1074">
        <v>0</v>
      </c>
    </row>
    <row r="1075" spans="1:7" x14ac:dyDescent="0.55000000000000004">
      <c r="A1075">
        <v>99</v>
      </c>
      <c r="B1075" t="str">
        <f t="shared" si="19"/>
        <v>99_0</v>
      </c>
      <c r="C1075" t="s">
        <v>126</v>
      </c>
      <c r="D1075" t="s">
        <v>143</v>
      </c>
      <c r="E1075" t="s">
        <v>131</v>
      </c>
      <c r="F1075">
        <v>0</v>
      </c>
    </row>
    <row r="1076" spans="1:7" x14ac:dyDescent="0.55000000000000004">
      <c r="A1076">
        <v>99</v>
      </c>
      <c r="B1076" t="str">
        <f t="shared" si="19"/>
        <v>99_0</v>
      </c>
      <c r="C1076" t="s">
        <v>126</v>
      </c>
      <c r="D1076" t="s">
        <v>144</v>
      </c>
      <c r="E1076" t="s">
        <v>139</v>
      </c>
      <c r="F1076">
        <v>0</v>
      </c>
    </row>
    <row r="1077" spans="1:7" x14ac:dyDescent="0.55000000000000004">
      <c r="A1077">
        <v>99</v>
      </c>
      <c r="B1077" t="str">
        <f t="shared" si="19"/>
        <v>99_0</v>
      </c>
      <c r="C1077" t="s">
        <v>126</v>
      </c>
      <c r="D1077" t="s">
        <v>145</v>
      </c>
      <c r="E1077" t="s">
        <v>139</v>
      </c>
      <c r="F1077">
        <v>0</v>
      </c>
    </row>
    <row r="1078" spans="1:7" x14ac:dyDescent="0.55000000000000004">
      <c r="A1078">
        <v>99</v>
      </c>
      <c r="B1078" t="str">
        <f t="shared" si="19"/>
        <v>99_0</v>
      </c>
      <c r="C1078" t="s">
        <v>126</v>
      </c>
      <c r="D1078" t="s">
        <v>146</v>
      </c>
      <c r="E1078" t="s">
        <v>139</v>
      </c>
      <c r="F1078">
        <v>0</v>
      </c>
    </row>
    <row r="1079" spans="1:7" x14ac:dyDescent="0.55000000000000004">
      <c r="A1079">
        <v>99</v>
      </c>
      <c r="B1079" t="str">
        <f t="shared" si="19"/>
        <v>99_0</v>
      </c>
      <c r="C1079" t="s">
        <v>126</v>
      </c>
      <c r="D1079" t="s">
        <v>147</v>
      </c>
      <c r="E1079" t="s">
        <v>139</v>
      </c>
      <c r="F1079">
        <v>0</v>
      </c>
    </row>
    <row r="1080" spans="1:7" x14ac:dyDescent="0.55000000000000004">
      <c r="A1080">
        <v>99</v>
      </c>
      <c r="B1080" t="str">
        <f t="shared" si="19"/>
        <v>99_0</v>
      </c>
      <c r="C1080" t="s">
        <v>126</v>
      </c>
      <c r="D1080" t="s">
        <v>148</v>
      </c>
      <c r="E1080" t="s">
        <v>139</v>
      </c>
      <c r="F1080">
        <v>100</v>
      </c>
    </row>
    <row r="1081" spans="1:7" x14ac:dyDescent="0.55000000000000004">
      <c r="A1081">
        <v>99</v>
      </c>
      <c r="B1081" t="str">
        <f t="shared" si="19"/>
        <v>99_0</v>
      </c>
      <c r="C1081" t="s">
        <v>126</v>
      </c>
      <c r="D1081" t="s">
        <v>149</v>
      </c>
      <c r="E1081" t="s">
        <v>139</v>
      </c>
      <c r="F1081">
        <v>0</v>
      </c>
    </row>
    <row r="1082" spans="1:7" x14ac:dyDescent="0.55000000000000004">
      <c r="A1082">
        <v>99</v>
      </c>
      <c r="B1082" t="str">
        <f t="shared" si="19"/>
        <v>99_0</v>
      </c>
      <c r="C1082" t="s">
        <v>126</v>
      </c>
      <c r="D1082" t="s">
        <v>150</v>
      </c>
      <c r="E1082" t="s">
        <v>139</v>
      </c>
      <c r="F1082">
        <v>0</v>
      </c>
    </row>
    <row r="1083" spans="1:7" x14ac:dyDescent="0.55000000000000004">
      <c r="A1083">
        <v>99</v>
      </c>
      <c r="B1083" t="str">
        <f t="shared" si="19"/>
        <v>99_0</v>
      </c>
      <c r="C1083" t="s">
        <v>126</v>
      </c>
      <c r="D1083" t="s">
        <v>152</v>
      </c>
      <c r="E1083" t="s">
        <v>153</v>
      </c>
    </row>
    <row r="1084" spans="1:7" x14ac:dyDescent="0.55000000000000004">
      <c r="A1084">
        <v>99</v>
      </c>
      <c r="B1084" t="str">
        <f t="shared" si="19"/>
        <v>99_0</v>
      </c>
      <c r="C1084" t="s">
        <v>154</v>
      </c>
      <c r="D1084" t="s">
        <v>155</v>
      </c>
      <c r="E1084" t="s">
        <v>156</v>
      </c>
      <c r="F1084">
        <v>16.3</v>
      </c>
    </row>
    <row r="1085" spans="1:7" x14ac:dyDescent="0.55000000000000004">
      <c r="A1085">
        <v>99</v>
      </c>
      <c r="B1085" t="str">
        <f t="shared" si="19"/>
        <v>99_0</v>
      </c>
      <c r="C1085" t="s">
        <v>154</v>
      </c>
      <c r="D1085" t="s">
        <v>157</v>
      </c>
      <c r="E1085" t="s">
        <v>158</v>
      </c>
      <c r="F1085">
        <v>9.7100000000000009</v>
      </c>
    </row>
    <row r="1086" spans="1:7" x14ac:dyDescent="0.55000000000000004">
      <c r="A1086">
        <v>99</v>
      </c>
      <c r="B1086" t="str">
        <f t="shared" si="19"/>
        <v>99_0</v>
      </c>
      <c r="C1086" t="s">
        <v>154</v>
      </c>
      <c r="D1086" t="s">
        <v>159</v>
      </c>
      <c r="E1086" t="s">
        <v>139</v>
      </c>
      <c r="F1086">
        <v>99.1</v>
      </c>
    </row>
    <row r="1087" spans="1:7" x14ac:dyDescent="0.55000000000000004">
      <c r="A1087">
        <v>99</v>
      </c>
      <c r="B1087" t="str">
        <f t="shared" si="19"/>
        <v>99_0</v>
      </c>
      <c r="C1087" t="s">
        <v>154</v>
      </c>
      <c r="D1087" t="s">
        <v>357</v>
      </c>
      <c r="E1087" t="s">
        <v>161</v>
      </c>
      <c r="F1087">
        <v>132.5</v>
      </c>
    </row>
    <row r="1088" spans="1:7" x14ac:dyDescent="0.55000000000000004">
      <c r="A1088">
        <f>A1087</f>
        <v>99</v>
      </c>
      <c r="B1088" t="str">
        <f>B1087</f>
        <v>99_0</v>
      </c>
      <c r="C1088" s="9" t="str">
        <f>C1087</f>
        <v>Chemical</v>
      </c>
      <c r="D1088" t="s">
        <v>356</v>
      </c>
      <c r="E1088" t="s">
        <v>161</v>
      </c>
      <c r="F1088">
        <f xml:space="preserve"> F1087 / (1 + 0.021 * (F1084 - 25))</f>
        <v>162.11917288633305</v>
      </c>
    </row>
    <row r="1089" spans="1:7" x14ac:dyDescent="0.55000000000000004">
      <c r="A1089">
        <v>99</v>
      </c>
      <c r="B1089" t="str">
        <f t="shared" si="19"/>
        <v>99_0</v>
      </c>
      <c r="C1089" t="s">
        <v>154</v>
      </c>
      <c r="D1089" t="s">
        <v>162</v>
      </c>
      <c r="F1089">
        <v>8.56</v>
      </c>
    </row>
    <row r="1090" spans="1:7" x14ac:dyDescent="0.55000000000000004">
      <c r="A1090">
        <v>99</v>
      </c>
      <c r="B1090" t="str">
        <f t="shared" si="19"/>
        <v>99_0</v>
      </c>
      <c r="C1090" t="s">
        <v>163</v>
      </c>
      <c r="D1090" t="s">
        <v>168</v>
      </c>
      <c r="E1090" t="s">
        <v>131</v>
      </c>
      <c r="F1090">
        <v>0</v>
      </c>
    </row>
    <row r="1091" spans="1:7" x14ac:dyDescent="0.55000000000000004">
      <c r="A1091">
        <v>99</v>
      </c>
      <c r="B1091" t="str">
        <f t="shared" si="19"/>
        <v>99_0</v>
      </c>
      <c r="C1091" t="s">
        <v>163</v>
      </c>
      <c r="D1091" t="s">
        <v>169</v>
      </c>
    </row>
    <row r="1092" spans="1:7" x14ac:dyDescent="0.55000000000000004">
      <c r="A1092">
        <v>99</v>
      </c>
      <c r="B1092" t="str">
        <f t="shared" si="19"/>
        <v>99_0</v>
      </c>
      <c r="C1092" t="s">
        <v>163</v>
      </c>
      <c r="D1092" t="s">
        <v>170</v>
      </c>
      <c r="E1092" t="s">
        <v>139</v>
      </c>
      <c r="F1092">
        <v>5</v>
      </c>
    </row>
    <row r="1093" spans="1:7" x14ac:dyDescent="0.55000000000000004">
      <c r="A1093">
        <v>99</v>
      </c>
      <c r="B1093" t="str">
        <f t="shared" si="19"/>
        <v>99_0</v>
      </c>
      <c r="C1093" t="s">
        <v>163</v>
      </c>
      <c r="D1093" t="s">
        <v>171</v>
      </c>
    </row>
    <row r="1094" spans="1:7" x14ac:dyDescent="0.55000000000000004">
      <c r="A1094">
        <v>100</v>
      </c>
      <c r="B1094" t="str">
        <f t="shared" si="19"/>
        <v>100_0</v>
      </c>
      <c r="C1094" t="s">
        <v>126</v>
      </c>
      <c r="D1094" t="s">
        <v>127</v>
      </c>
      <c r="E1094" t="s">
        <v>128</v>
      </c>
      <c r="F1094" s="1"/>
      <c r="G1094" t="s">
        <v>129</v>
      </c>
    </row>
    <row r="1095" spans="1:7" x14ac:dyDescent="0.55000000000000004">
      <c r="A1095">
        <v>100</v>
      </c>
      <c r="B1095" t="str">
        <f t="shared" si="19"/>
        <v>100_0</v>
      </c>
      <c r="C1095" t="s">
        <v>126</v>
      </c>
      <c r="D1095" s="11" t="s">
        <v>130</v>
      </c>
      <c r="E1095" t="s">
        <v>131</v>
      </c>
      <c r="F1095">
        <v>1</v>
      </c>
    </row>
    <row r="1096" spans="1:7" x14ac:dyDescent="0.55000000000000004">
      <c r="A1096">
        <v>100</v>
      </c>
      <c r="B1096" t="str">
        <f t="shared" si="19"/>
        <v>100_0</v>
      </c>
      <c r="C1096" t="s">
        <v>126</v>
      </c>
      <c r="D1096" t="s">
        <v>132</v>
      </c>
      <c r="E1096" t="s">
        <v>133</v>
      </c>
    </row>
    <row r="1097" spans="1:7" x14ac:dyDescent="0.55000000000000004">
      <c r="A1097">
        <v>100</v>
      </c>
      <c r="B1097" t="str">
        <f t="shared" si="19"/>
        <v>100_0</v>
      </c>
      <c r="C1097" t="s">
        <v>126</v>
      </c>
      <c r="D1097" t="s">
        <v>134</v>
      </c>
      <c r="E1097" t="s">
        <v>133</v>
      </c>
      <c r="F1097">
        <v>2</v>
      </c>
    </row>
    <row r="1098" spans="1:7" x14ac:dyDescent="0.55000000000000004">
      <c r="A1098">
        <v>100</v>
      </c>
      <c r="B1098" t="str">
        <f t="shared" si="19"/>
        <v>100_0</v>
      </c>
      <c r="C1098" t="s">
        <v>126</v>
      </c>
      <c r="D1098" t="s">
        <v>135</v>
      </c>
      <c r="E1098" t="s">
        <v>136</v>
      </c>
      <c r="F1098">
        <f>F1097/10</f>
        <v>0.2</v>
      </c>
      <c r="G1098" t="s">
        <v>137</v>
      </c>
    </row>
    <row r="1099" spans="1:7" x14ac:dyDescent="0.55000000000000004">
      <c r="A1099">
        <v>100</v>
      </c>
      <c r="B1099" t="str">
        <f t="shared" si="19"/>
        <v>100_0</v>
      </c>
      <c r="C1099" t="s">
        <v>126</v>
      </c>
      <c r="D1099" s="2" t="s">
        <v>138</v>
      </c>
      <c r="E1099" t="s">
        <v>139</v>
      </c>
      <c r="F1099">
        <v>100</v>
      </c>
    </row>
    <row r="1100" spans="1:7" x14ac:dyDescent="0.55000000000000004">
      <c r="A1100">
        <v>100</v>
      </c>
      <c r="B1100" t="str">
        <f t="shared" si="19"/>
        <v>100_0</v>
      </c>
      <c r="C1100" t="s">
        <v>126</v>
      </c>
      <c r="D1100" s="2" t="s">
        <v>140</v>
      </c>
    </row>
    <row r="1101" spans="1:7" x14ac:dyDescent="0.55000000000000004">
      <c r="A1101">
        <v>100</v>
      </c>
      <c r="B1101" t="str">
        <f t="shared" si="19"/>
        <v>100_0</v>
      </c>
      <c r="C1101" t="s">
        <v>126</v>
      </c>
      <c r="D1101" s="2" t="s">
        <v>141</v>
      </c>
      <c r="E1101" t="s">
        <v>139</v>
      </c>
      <c r="F1101">
        <v>100</v>
      </c>
    </row>
    <row r="1102" spans="1:7" x14ac:dyDescent="0.55000000000000004">
      <c r="A1102">
        <v>100</v>
      </c>
      <c r="B1102" t="str">
        <f t="shared" si="19"/>
        <v>100_0</v>
      </c>
      <c r="C1102" t="s">
        <v>126</v>
      </c>
      <c r="D1102" t="s">
        <v>142</v>
      </c>
      <c r="E1102" t="s">
        <v>139</v>
      </c>
      <c r="F1102">
        <v>0</v>
      </c>
    </row>
    <row r="1103" spans="1:7" x14ac:dyDescent="0.55000000000000004">
      <c r="A1103">
        <v>100</v>
      </c>
      <c r="B1103" t="str">
        <f t="shared" si="19"/>
        <v>100_0</v>
      </c>
      <c r="C1103" t="s">
        <v>126</v>
      </c>
      <c r="D1103" t="s">
        <v>143</v>
      </c>
      <c r="E1103" t="s">
        <v>131</v>
      </c>
      <c r="F1103">
        <v>0</v>
      </c>
    </row>
    <row r="1104" spans="1:7" x14ac:dyDescent="0.55000000000000004">
      <c r="A1104">
        <v>100</v>
      </c>
      <c r="B1104" t="str">
        <f t="shared" si="19"/>
        <v>100_0</v>
      </c>
      <c r="C1104" t="s">
        <v>126</v>
      </c>
      <c r="D1104" t="s">
        <v>144</v>
      </c>
      <c r="E1104" t="s">
        <v>139</v>
      </c>
      <c r="F1104">
        <v>0</v>
      </c>
    </row>
    <row r="1105" spans="1:6" x14ac:dyDescent="0.55000000000000004">
      <c r="A1105">
        <v>100</v>
      </c>
      <c r="B1105" t="str">
        <f t="shared" si="19"/>
        <v>100_0</v>
      </c>
      <c r="C1105" t="s">
        <v>126</v>
      </c>
      <c r="D1105" t="s">
        <v>145</v>
      </c>
      <c r="E1105" t="s">
        <v>139</v>
      </c>
      <c r="F1105">
        <v>0</v>
      </c>
    </row>
    <row r="1106" spans="1:6" x14ac:dyDescent="0.55000000000000004">
      <c r="A1106">
        <v>100</v>
      </c>
      <c r="B1106" t="str">
        <f t="shared" si="19"/>
        <v>100_0</v>
      </c>
      <c r="C1106" t="s">
        <v>126</v>
      </c>
      <c r="D1106" t="s">
        <v>146</v>
      </c>
      <c r="E1106" t="s">
        <v>139</v>
      </c>
      <c r="F1106">
        <v>0</v>
      </c>
    </row>
    <row r="1107" spans="1:6" x14ac:dyDescent="0.55000000000000004">
      <c r="A1107">
        <v>100</v>
      </c>
      <c r="B1107" t="str">
        <f t="shared" si="19"/>
        <v>100_0</v>
      </c>
      <c r="C1107" t="s">
        <v>126</v>
      </c>
      <c r="D1107" t="s">
        <v>147</v>
      </c>
      <c r="E1107" t="s">
        <v>139</v>
      </c>
      <c r="F1107">
        <v>0</v>
      </c>
    </row>
    <row r="1108" spans="1:6" x14ac:dyDescent="0.55000000000000004">
      <c r="A1108">
        <v>100</v>
      </c>
      <c r="B1108" t="str">
        <f t="shared" ref="B1108:B1163" si="20">A1108 &amp; "_0"</f>
        <v>100_0</v>
      </c>
      <c r="C1108" t="s">
        <v>126</v>
      </c>
      <c r="D1108" t="s">
        <v>148</v>
      </c>
      <c r="E1108" t="s">
        <v>139</v>
      </c>
      <c r="F1108">
        <v>0</v>
      </c>
    </row>
    <row r="1109" spans="1:6" x14ac:dyDescent="0.55000000000000004">
      <c r="A1109">
        <v>100</v>
      </c>
      <c r="B1109" t="str">
        <f t="shared" si="20"/>
        <v>100_0</v>
      </c>
      <c r="C1109" t="s">
        <v>126</v>
      </c>
      <c r="D1109" t="s">
        <v>149</v>
      </c>
      <c r="E1109" t="s">
        <v>139</v>
      </c>
      <c r="F1109">
        <v>0</v>
      </c>
    </row>
    <row r="1110" spans="1:6" x14ac:dyDescent="0.55000000000000004">
      <c r="A1110">
        <v>100</v>
      </c>
      <c r="B1110" t="str">
        <f t="shared" si="20"/>
        <v>100_0</v>
      </c>
      <c r="C1110" t="s">
        <v>126</v>
      </c>
      <c r="D1110" t="s">
        <v>150</v>
      </c>
      <c r="E1110" t="s">
        <v>139</v>
      </c>
      <c r="F1110">
        <v>100</v>
      </c>
    </row>
    <row r="1111" spans="1:6" x14ac:dyDescent="0.55000000000000004">
      <c r="A1111">
        <v>100</v>
      </c>
      <c r="B1111" t="str">
        <f t="shared" si="20"/>
        <v>100_0</v>
      </c>
      <c r="C1111" t="s">
        <v>126</v>
      </c>
      <c r="D1111" t="s">
        <v>152</v>
      </c>
      <c r="E1111" t="s">
        <v>153</v>
      </c>
    </row>
    <row r="1112" spans="1:6" x14ac:dyDescent="0.55000000000000004">
      <c r="A1112">
        <v>100</v>
      </c>
      <c r="B1112" t="str">
        <f t="shared" si="20"/>
        <v>100_0</v>
      </c>
      <c r="C1112" t="s">
        <v>154</v>
      </c>
      <c r="D1112" t="s">
        <v>155</v>
      </c>
      <c r="E1112" t="s">
        <v>156</v>
      </c>
      <c r="F1112">
        <v>17.7</v>
      </c>
    </row>
    <row r="1113" spans="1:6" x14ac:dyDescent="0.55000000000000004">
      <c r="A1113">
        <v>100</v>
      </c>
      <c r="B1113" t="str">
        <f t="shared" si="20"/>
        <v>100_0</v>
      </c>
      <c r="C1113" t="s">
        <v>154</v>
      </c>
      <c r="D1113" t="s">
        <v>157</v>
      </c>
      <c r="E1113" t="s">
        <v>158</v>
      </c>
      <c r="F1113">
        <v>8.66</v>
      </c>
    </row>
    <row r="1114" spans="1:6" x14ac:dyDescent="0.55000000000000004">
      <c r="A1114">
        <v>100</v>
      </c>
      <c r="B1114" t="str">
        <f t="shared" si="20"/>
        <v>100_0</v>
      </c>
      <c r="C1114" t="s">
        <v>154</v>
      </c>
      <c r="D1114" t="s">
        <v>159</v>
      </c>
      <c r="E1114" t="s">
        <v>139</v>
      </c>
      <c r="F1114">
        <v>91.3</v>
      </c>
    </row>
    <row r="1115" spans="1:6" x14ac:dyDescent="0.55000000000000004">
      <c r="A1115">
        <v>100</v>
      </c>
      <c r="B1115" t="str">
        <f t="shared" si="20"/>
        <v>100_0</v>
      </c>
      <c r="C1115" t="s">
        <v>154</v>
      </c>
      <c r="D1115" t="s">
        <v>357</v>
      </c>
      <c r="E1115" t="s">
        <v>161</v>
      </c>
      <c r="F1115">
        <v>142.30000000000001</v>
      </c>
    </row>
    <row r="1116" spans="1:6" x14ac:dyDescent="0.55000000000000004">
      <c r="A1116">
        <f>A1115</f>
        <v>100</v>
      </c>
      <c r="B1116" t="str">
        <f>B1115</f>
        <v>100_0</v>
      </c>
      <c r="C1116" s="9" t="str">
        <f>C1115</f>
        <v>Chemical</v>
      </c>
      <c r="D1116" t="s">
        <v>356</v>
      </c>
      <c r="E1116" t="s">
        <v>161</v>
      </c>
      <c r="F1116">
        <f xml:space="preserve"> F1115 / (1 + 0.021 * (F1112 - 25))</f>
        <v>168.06424943899847</v>
      </c>
    </row>
    <row r="1117" spans="1:6" x14ac:dyDescent="0.55000000000000004">
      <c r="A1117">
        <v>100</v>
      </c>
      <c r="B1117" t="str">
        <f t="shared" si="20"/>
        <v>100_0</v>
      </c>
      <c r="C1117" t="s">
        <v>154</v>
      </c>
      <c r="D1117" t="s">
        <v>162</v>
      </c>
      <c r="F1117">
        <v>7.4</v>
      </c>
    </row>
    <row r="1118" spans="1:6" x14ac:dyDescent="0.55000000000000004">
      <c r="A1118">
        <v>100</v>
      </c>
      <c r="B1118" t="str">
        <f t="shared" si="20"/>
        <v>100_0</v>
      </c>
      <c r="C1118" t="s">
        <v>163</v>
      </c>
      <c r="D1118" t="s">
        <v>168</v>
      </c>
      <c r="E1118" t="s">
        <v>131</v>
      </c>
      <c r="F1118">
        <v>1</v>
      </c>
    </row>
    <row r="1119" spans="1:6" x14ac:dyDescent="0.55000000000000004">
      <c r="A1119">
        <v>100</v>
      </c>
      <c r="B1119" t="str">
        <f t="shared" si="20"/>
        <v>100_0</v>
      </c>
      <c r="C1119" t="s">
        <v>163</v>
      </c>
      <c r="D1119" t="s">
        <v>169</v>
      </c>
    </row>
    <row r="1120" spans="1:6" x14ac:dyDescent="0.55000000000000004">
      <c r="A1120">
        <v>100</v>
      </c>
      <c r="B1120" t="str">
        <f t="shared" si="20"/>
        <v>100_0</v>
      </c>
      <c r="C1120" t="s">
        <v>163</v>
      </c>
      <c r="D1120" t="s">
        <v>170</v>
      </c>
      <c r="E1120" t="s">
        <v>139</v>
      </c>
      <c r="F1120">
        <v>10</v>
      </c>
    </row>
    <row r="1121" spans="1:7" x14ac:dyDescent="0.55000000000000004">
      <c r="A1121">
        <v>100</v>
      </c>
      <c r="B1121" t="str">
        <f t="shared" si="20"/>
        <v>100_0</v>
      </c>
      <c r="C1121" t="s">
        <v>163</v>
      </c>
      <c r="D1121" t="s">
        <v>171</v>
      </c>
    </row>
    <row r="1122" spans="1:7" x14ac:dyDescent="0.55000000000000004">
      <c r="A1122">
        <v>101</v>
      </c>
      <c r="B1122" t="str">
        <f t="shared" si="20"/>
        <v>101_0</v>
      </c>
      <c r="C1122" t="s">
        <v>126</v>
      </c>
      <c r="D1122" t="s">
        <v>127</v>
      </c>
      <c r="E1122" t="s">
        <v>128</v>
      </c>
      <c r="F1122" s="1"/>
      <c r="G1122" t="s">
        <v>129</v>
      </c>
    </row>
    <row r="1123" spans="1:7" x14ac:dyDescent="0.55000000000000004">
      <c r="A1123">
        <v>101</v>
      </c>
      <c r="B1123" t="str">
        <f t="shared" si="20"/>
        <v>101_0</v>
      </c>
      <c r="C1123" t="s">
        <v>126</v>
      </c>
      <c r="D1123" s="11" t="s">
        <v>130</v>
      </c>
      <c r="E1123" t="s">
        <v>131</v>
      </c>
      <c r="F1123">
        <v>1</v>
      </c>
    </row>
    <row r="1124" spans="1:7" x14ac:dyDescent="0.55000000000000004">
      <c r="A1124">
        <v>101</v>
      </c>
      <c r="B1124" t="str">
        <f t="shared" si="20"/>
        <v>101_0</v>
      </c>
      <c r="C1124" t="s">
        <v>126</v>
      </c>
      <c r="D1124" t="s">
        <v>132</v>
      </c>
      <c r="E1124" t="s">
        <v>133</v>
      </c>
      <c r="F1124">
        <v>7.6</v>
      </c>
      <c r="G1124" t="s">
        <v>175</v>
      </c>
    </row>
    <row r="1125" spans="1:7" x14ac:dyDescent="0.55000000000000004">
      <c r="A1125">
        <v>101</v>
      </c>
      <c r="B1125" t="str">
        <f t="shared" si="20"/>
        <v>101_0</v>
      </c>
      <c r="C1125" t="s">
        <v>126</v>
      </c>
      <c r="D1125" t="s">
        <v>134</v>
      </c>
      <c r="E1125" t="s">
        <v>133</v>
      </c>
      <c r="F1125">
        <v>0.6</v>
      </c>
    </row>
    <row r="1126" spans="1:7" x14ac:dyDescent="0.55000000000000004">
      <c r="A1126">
        <v>101</v>
      </c>
      <c r="B1126" t="str">
        <f t="shared" si="20"/>
        <v>101_0</v>
      </c>
      <c r="C1126" t="s">
        <v>126</v>
      </c>
      <c r="D1126" t="s">
        <v>135</v>
      </c>
      <c r="E1126" t="s">
        <v>136</v>
      </c>
      <c r="F1126">
        <f>F1125/10</f>
        <v>0.06</v>
      </c>
      <c r="G1126" t="s">
        <v>137</v>
      </c>
    </row>
    <row r="1127" spans="1:7" x14ac:dyDescent="0.55000000000000004">
      <c r="A1127">
        <v>101</v>
      </c>
      <c r="B1127" t="str">
        <f t="shared" si="20"/>
        <v>101_0</v>
      </c>
      <c r="C1127" t="s">
        <v>126</v>
      </c>
      <c r="D1127" s="2" t="s">
        <v>138</v>
      </c>
      <c r="E1127" t="s">
        <v>139</v>
      </c>
      <c r="F1127">
        <v>80</v>
      </c>
    </row>
    <row r="1128" spans="1:7" x14ac:dyDescent="0.55000000000000004">
      <c r="A1128">
        <v>101</v>
      </c>
      <c r="B1128" t="str">
        <f t="shared" si="20"/>
        <v>101_0</v>
      </c>
      <c r="C1128" t="s">
        <v>126</v>
      </c>
      <c r="D1128" s="2" t="s">
        <v>140</v>
      </c>
    </row>
    <row r="1129" spans="1:7" x14ac:dyDescent="0.55000000000000004">
      <c r="A1129">
        <v>101</v>
      </c>
      <c r="B1129" t="str">
        <f t="shared" si="20"/>
        <v>101_0</v>
      </c>
      <c r="C1129" t="s">
        <v>126</v>
      </c>
      <c r="D1129" s="2" t="s">
        <v>141</v>
      </c>
      <c r="E1129" t="s">
        <v>139</v>
      </c>
      <c r="F1129">
        <v>30</v>
      </c>
    </row>
    <row r="1130" spans="1:7" x14ac:dyDescent="0.55000000000000004">
      <c r="A1130">
        <v>101</v>
      </c>
      <c r="B1130" t="str">
        <f t="shared" si="20"/>
        <v>101_0</v>
      </c>
      <c r="C1130" t="s">
        <v>126</v>
      </c>
      <c r="D1130" t="s">
        <v>142</v>
      </c>
      <c r="E1130" t="s">
        <v>139</v>
      </c>
      <c r="F1130">
        <v>0</v>
      </c>
    </row>
    <row r="1131" spans="1:7" x14ac:dyDescent="0.55000000000000004">
      <c r="A1131">
        <v>101</v>
      </c>
      <c r="B1131" t="str">
        <f t="shared" si="20"/>
        <v>101_0</v>
      </c>
      <c r="C1131" t="s">
        <v>126</v>
      </c>
      <c r="D1131" t="s">
        <v>143</v>
      </c>
      <c r="E1131" t="s">
        <v>131</v>
      </c>
      <c r="F1131">
        <v>0</v>
      </c>
    </row>
    <row r="1132" spans="1:7" x14ac:dyDescent="0.55000000000000004">
      <c r="A1132">
        <v>101</v>
      </c>
      <c r="B1132" t="str">
        <f t="shared" si="20"/>
        <v>101_0</v>
      </c>
      <c r="C1132" t="s">
        <v>126</v>
      </c>
      <c r="D1132" t="s">
        <v>144</v>
      </c>
      <c r="E1132" t="s">
        <v>139</v>
      </c>
      <c r="F1132">
        <v>0</v>
      </c>
    </row>
    <row r="1133" spans="1:7" x14ac:dyDescent="0.55000000000000004">
      <c r="A1133">
        <v>101</v>
      </c>
      <c r="B1133" t="str">
        <f t="shared" si="20"/>
        <v>101_0</v>
      </c>
      <c r="C1133" t="s">
        <v>126</v>
      </c>
      <c r="D1133" t="s">
        <v>145</v>
      </c>
      <c r="E1133" t="s">
        <v>139</v>
      </c>
      <c r="F1133">
        <v>0</v>
      </c>
    </row>
    <row r="1134" spans="1:7" x14ac:dyDescent="0.55000000000000004">
      <c r="A1134">
        <v>101</v>
      </c>
      <c r="B1134" t="str">
        <f t="shared" si="20"/>
        <v>101_0</v>
      </c>
      <c r="C1134" t="s">
        <v>126</v>
      </c>
      <c r="D1134" t="s">
        <v>146</v>
      </c>
      <c r="E1134" t="s">
        <v>139</v>
      </c>
      <c r="F1134">
        <v>0</v>
      </c>
    </row>
    <row r="1135" spans="1:7" x14ac:dyDescent="0.55000000000000004">
      <c r="A1135">
        <v>101</v>
      </c>
      <c r="B1135" t="str">
        <f t="shared" si="20"/>
        <v>101_0</v>
      </c>
      <c r="C1135" t="s">
        <v>126</v>
      </c>
      <c r="D1135" t="s">
        <v>147</v>
      </c>
      <c r="E1135" t="s">
        <v>139</v>
      </c>
      <c r="F1135">
        <v>0</v>
      </c>
    </row>
    <row r="1136" spans="1:7" x14ac:dyDescent="0.55000000000000004">
      <c r="A1136">
        <v>101</v>
      </c>
      <c r="B1136" t="str">
        <f t="shared" si="20"/>
        <v>101_0</v>
      </c>
      <c r="C1136" t="s">
        <v>126</v>
      </c>
      <c r="D1136" t="s">
        <v>148</v>
      </c>
      <c r="E1136" t="s">
        <v>139</v>
      </c>
      <c r="F1136">
        <v>20</v>
      </c>
    </row>
    <row r="1137" spans="1:7" x14ac:dyDescent="0.55000000000000004">
      <c r="A1137">
        <v>101</v>
      </c>
      <c r="B1137" t="str">
        <f t="shared" si="20"/>
        <v>101_0</v>
      </c>
      <c r="C1137" t="s">
        <v>126</v>
      </c>
      <c r="D1137" t="s">
        <v>149</v>
      </c>
      <c r="E1137" t="s">
        <v>139</v>
      </c>
      <c r="F1137">
        <v>0</v>
      </c>
    </row>
    <row r="1138" spans="1:7" x14ac:dyDescent="0.55000000000000004">
      <c r="A1138">
        <v>101</v>
      </c>
      <c r="B1138" t="str">
        <f t="shared" si="20"/>
        <v>101_0</v>
      </c>
      <c r="C1138" t="s">
        <v>126</v>
      </c>
      <c r="D1138" t="s">
        <v>150</v>
      </c>
      <c r="E1138" t="s">
        <v>139</v>
      </c>
      <c r="F1138">
        <v>80</v>
      </c>
    </row>
    <row r="1139" spans="1:7" x14ac:dyDescent="0.55000000000000004">
      <c r="A1139">
        <v>101</v>
      </c>
      <c r="B1139" t="str">
        <f t="shared" si="20"/>
        <v>101_0</v>
      </c>
      <c r="C1139" t="s">
        <v>126</v>
      </c>
      <c r="D1139" t="s">
        <v>152</v>
      </c>
      <c r="E1139" t="s">
        <v>153</v>
      </c>
    </row>
    <row r="1140" spans="1:7" x14ac:dyDescent="0.55000000000000004">
      <c r="A1140">
        <v>101</v>
      </c>
      <c r="B1140" t="str">
        <f t="shared" si="20"/>
        <v>101_0</v>
      </c>
      <c r="C1140" t="s">
        <v>154</v>
      </c>
      <c r="D1140" t="s">
        <v>155</v>
      </c>
      <c r="E1140" t="s">
        <v>156</v>
      </c>
      <c r="F1140">
        <v>16.899999999999999</v>
      </c>
    </row>
    <row r="1141" spans="1:7" x14ac:dyDescent="0.55000000000000004">
      <c r="A1141">
        <v>101</v>
      </c>
      <c r="B1141" t="str">
        <f t="shared" si="20"/>
        <v>101_0</v>
      </c>
      <c r="C1141" t="s">
        <v>154</v>
      </c>
      <c r="D1141" t="s">
        <v>157</v>
      </c>
      <c r="E1141" t="s">
        <v>158</v>
      </c>
      <c r="F1141">
        <v>9.4</v>
      </c>
    </row>
    <row r="1142" spans="1:7" x14ac:dyDescent="0.55000000000000004">
      <c r="A1142">
        <v>101</v>
      </c>
      <c r="B1142" t="str">
        <f t="shared" si="20"/>
        <v>101_0</v>
      </c>
      <c r="C1142" t="s">
        <v>154</v>
      </c>
      <c r="D1142" t="s">
        <v>159</v>
      </c>
      <c r="E1142" t="s">
        <v>139</v>
      </c>
      <c r="F1142">
        <v>97.1</v>
      </c>
    </row>
    <row r="1143" spans="1:7" x14ac:dyDescent="0.55000000000000004">
      <c r="A1143">
        <v>101</v>
      </c>
      <c r="B1143" t="str">
        <f t="shared" si="20"/>
        <v>101_0</v>
      </c>
      <c r="C1143" t="s">
        <v>154</v>
      </c>
      <c r="D1143" t="s">
        <v>357</v>
      </c>
      <c r="E1143" t="s">
        <v>161</v>
      </c>
      <c r="F1143">
        <v>135.80000000000001</v>
      </c>
    </row>
    <row r="1144" spans="1:7" x14ac:dyDescent="0.55000000000000004">
      <c r="A1144">
        <f>A1143</f>
        <v>101</v>
      </c>
      <c r="B1144" t="str">
        <f>B1143</f>
        <v>101_0</v>
      </c>
      <c r="C1144" s="9" t="str">
        <f>C1143</f>
        <v>Chemical</v>
      </c>
      <c r="D1144" t="s">
        <v>356</v>
      </c>
      <c r="E1144" t="s">
        <v>161</v>
      </c>
      <c r="F1144">
        <f xml:space="preserve"> F1143 / (1 + 0.021 * (F1140 - 25))</f>
        <v>163.63417279190267</v>
      </c>
    </row>
    <row r="1145" spans="1:7" x14ac:dyDescent="0.55000000000000004">
      <c r="A1145">
        <v>101</v>
      </c>
      <c r="B1145" t="str">
        <f t="shared" si="20"/>
        <v>101_0</v>
      </c>
      <c r="C1145" t="s">
        <v>154</v>
      </c>
      <c r="D1145" t="s">
        <v>162</v>
      </c>
      <c r="F1145">
        <v>7.75</v>
      </c>
    </row>
    <row r="1146" spans="1:7" x14ac:dyDescent="0.55000000000000004">
      <c r="A1146">
        <v>101</v>
      </c>
      <c r="B1146" t="str">
        <f t="shared" si="20"/>
        <v>101_0</v>
      </c>
      <c r="C1146" t="s">
        <v>163</v>
      </c>
      <c r="D1146" t="s">
        <v>168</v>
      </c>
      <c r="E1146" t="s">
        <v>131</v>
      </c>
      <c r="F1146">
        <v>1</v>
      </c>
    </row>
    <row r="1147" spans="1:7" x14ac:dyDescent="0.55000000000000004">
      <c r="A1147">
        <v>101</v>
      </c>
      <c r="B1147" t="str">
        <f t="shared" si="20"/>
        <v>101_0</v>
      </c>
      <c r="C1147" t="s">
        <v>163</v>
      </c>
      <c r="D1147" t="s">
        <v>169</v>
      </c>
    </row>
    <row r="1148" spans="1:7" x14ac:dyDescent="0.55000000000000004">
      <c r="A1148">
        <v>101</v>
      </c>
      <c r="B1148" t="str">
        <f t="shared" si="20"/>
        <v>101_0</v>
      </c>
      <c r="C1148" t="s">
        <v>163</v>
      </c>
      <c r="D1148" t="s">
        <v>170</v>
      </c>
      <c r="E1148" t="s">
        <v>139</v>
      </c>
      <c r="F1148">
        <v>20</v>
      </c>
      <c r="G1148" t="s">
        <v>194</v>
      </c>
    </row>
    <row r="1149" spans="1:7" x14ac:dyDescent="0.55000000000000004">
      <c r="A1149">
        <v>101</v>
      </c>
      <c r="B1149" t="str">
        <f t="shared" si="20"/>
        <v>101_0</v>
      </c>
      <c r="C1149" t="s">
        <v>163</v>
      </c>
      <c r="D1149" t="s">
        <v>171</v>
      </c>
    </row>
    <row r="1150" spans="1:7" x14ac:dyDescent="0.55000000000000004">
      <c r="A1150">
        <v>102</v>
      </c>
      <c r="B1150" t="str">
        <f t="shared" si="20"/>
        <v>102_0</v>
      </c>
      <c r="C1150" t="s">
        <v>126</v>
      </c>
      <c r="D1150" t="s">
        <v>127</v>
      </c>
      <c r="E1150" t="s">
        <v>128</v>
      </c>
      <c r="F1150" s="1"/>
      <c r="G1150" t="s">
        <v>129</v>
      </c>
    </row>
    <row r="1151" spans="1:7" x14ac:dyDescent="0.55000000000000004">
      <c r="A1151">
        <v>102</v>
      </c>
      <c r="B1151" t="str">
        <f t="shared" si="20"/>
        <v>102_0</v>
      </c>
      <c r="C1151" t="s">
        <v>126</v>
      </c>
      <c r="D1151" s="11" t="s">
        <v>130</v>
      </c>
      <c r="E1151" t="s">
        <v>131</v>
      </c>
      <c r="F1151">
        <v>1</v>
      </c>
    </row>
    <row r="1152" spans="1:7" x14ac:dyDescent="0.55000000000000004">
      <c r="A1152">
        <v>102</v>
      </c>
      <c r="B1152" t="str">
        <f t="shared" si="20"/>
        <v>102_0</v>
      </c>
      <c r="C1152" t="s">
        <v>126</v>
      </c>
      <c r="D1152" t="s">
        <v>132</v>
      </c>
      <c r="E1152" t="s">
        <v>133</v>
      </c>
    </row>
    <row r="1153" spans="1:7" x14ac:dyDescent="0.55000000000000004">
      <c r="A1153">
        <v>102</v>
      </c>
      <c r="B1153" t="str">
        <f t="shared" si="20"/>
        <v>102_0</v>
      </c>
      <c r="C1153" t="s">
        <v>126</v>
      </c>
      <c r="D1153" t="s">
        <v>134</v>
      </c>
      <c r="E1153" t="s">
        <v>133</v>
      </c>
      <c r="F1153">
        <v>2.9</v>
      </c>
    </row>
    <row r="1154" spans="1:7" x14ac:dyDescent="0.55000000000000004">
      <c r="A1154">
        <v>102</v>
      </c>
      <c r="B1154" t="str">
        <f t="shared" si="20"/>
        <v>102_0</v>
      </c>
      <c r="C1154" t="s">
        <v>126</v>
      </c>
      <c r="D1154" t="s">
        <v>135</v>
      </c>
      <c r="E1154" t="s">
        <v>136</v>
      </c>
      <c r="F1154">
        <f>F1153/10</f>
        <v>0.28999999999999998</v>
      </c>
      <c r="G1154" t="s">
        <v>137</v>
      </c>
    </row>
    <row r="1155" spans="1:7" x14ac:dyDescent="0.55000000000000004">
      <c r="A1155">
        <v>102</v>
      </c>
      <c r="B1155" t="str">
        <f t="shared" si="20"/>
        <v>102_0</v>
      </c>
      <c r="C1155" t="s">
        <v>126</v>
      </c>
      <c r="D1155" s="2" t="s">
        <v>138</v>
      </c>
      <c r="E1155" t="s">
        <v>139</v>
      </c>
      <c r="F1155">
        <v>100</v>
      </c>
    </row>
    <row r="1156" spans="1:7" x14ac:dyDescent="0.55000000000000004">
      <c r="A1156">
        <v>102</v>
      </c>
      <c r="B1156" t="str">
        <f t="shared" si="20"/>
        <v>102_0</v>
      </c>
      <c r="C1156" t="s">
        <v>126</v>
      </c>
      <c r="D1156" s="2" t="s">
        <v>140</v>
      </c>
    </row>
    <row r="1157" spans="1:7" x14ac:dyDescent="0.55000000000000004">
      <c r="A1157">
        <v>102</v>
      </c>
      <c r="B1157" t="str">
        <f t="shared" si="20"/>
        <v>102_0</v>
      </c>
      <c r="C1157" t="s">
        <v>126</v>
      </c>
      <c r="D1157" s="2" t="s">
        <v>141</v>
      </c>
      <c r="E1157" t="s">
        <v>139</v>
      </c>
      <c r="F1157">
        <v>100</v>
      </c>
    </row>
    <row r="1158" spans="1:7" x14ac:dyDescent="0.55000000000000004">
      <c r="A1158">
        <v>102</v>
      </c>
      <c r="B1158" t="str">
        <f t="shared" si="20"/>
        <v>102_0</v>
      </c>
      <c r="C1158" t="s">
        <v>126</v>
      </c>
      <c r="D1158" t="s">
        <v>142</v>
      </c>
      <c r="E1158" t="s">
        <v>139</v>
      </c>
      <c r="F1158">
        <v>0</v>
      </c>
    </row>
    <row r="1159" spans="1:7" x14ac:dyDescent="0.55000000000000004">
      <c r="A1159">
        <v>102</v>
      </c>
      <c r="B1159" t="str">
        <f t="shared" si="20"/>
        <v>102_0</v>
      </c>
      <c r="C1159" t="s">
        <v>126</v>
      </c>
      <c r="D1159" t="s">
        <v>143</v>
      </c>
      <c r="E1159" t="s">
        <v>131</v>
      </c>
      <c r="F1159">
        <v>0</v>
      </c>
    </row>
    <row r="1160" spans="1:7" x14ac:dyDescent="0.55000000000000004">
      <c r="A1160">
        <v>102</v>
      </c>
      <c r="B1160" t="str">
        <f t="shared" si="20"/>
        <v>102_0</v>
      </c>
      <c r="C1160" t="s">
        <v>126</v>
      </c>
      <c r="D1160" t="s">
        <v>144</v>
      </c>
      <c r="E1160" t="s">
        <v>139</v>
      </c>
      <c r="F1160">
        <v>0</v>
      </c>
    </row>
    <row r="1161" spans="1:7" x14ac:dyDescent="0.55000000000000004">
      <c r="A1161">
        <v>102</v>
      </c>
      <c r="B1161" t="str">
        <f t="shared" si="20"/>
        <v>102_0</v>
      </c>
      <c r="C1161" t="s">
        <v>126</v>
      </c>
      <c r="D1161" t="s">
        <v>145</v>
      </c>
      <c r="E1161" t="s">
        <v>139</v>
      </c>
      <c r="F1161">
        <v>80</v>
      </c>
    </row>
    <row r="1162" spans="1:7" x14ac:dyDescent="0.55000000000000004">
      <c r="A1162">
        <v>102</v>
      </c>
      <c r="B1162" t="str">
        <f t="shared" si="20"/>
        <v>102_0</v>
      </c>
      <c r="C1162" t="s">
        <v>126</v>
      </c>
      <c r="D1162" t="s">
        <v>146</v>
      </c>
      <c r="E1162" t="s">
        <v>139</v>
      </c>
      <c r="F1162">
        <v>0</v>
      </c>
    </row>
    <row r="1163" spans="1:7" x14ac:dyDescent="0.55000000000000004">
      <c r="A1163">
        <v>102</v>
      </c>
      <c r="B1163" t="str">
        <f t="shared" si="20"/>
        <v>102_0</v>
      </c>
      <c r="C1163" t="s">
        <v>126</v>
      </c>
      <c r="D1163" t="s">
        <v>147</v>
      </c>
      <c r="E1163" t="s">
        <v>139</v>
      </c>
      <c r="F1163">
        <v>0</v>
      </c>
    </row>
    <row r="1164" spans="1:7" x14ac:dyDescent="0.55000000000000004">
      <c r="A1164">
        <v>102</v>
      </c>
      <c r="B1164" t="str">
        <f t="shared" ref="B1164:B1219" si="21">A1164 &amp; "_0"</f>
        <v>102_0</v>
      </c>
      <c r="C1164" t="s">
        <v>126</v>
      </c>
      <c r="D1164" t="s">
        <v>148</v>
      </c>
      <c r="E1164" t="s">
        <v>139</v>
      </c>
      <c r="F1164">
        <v>20</v>
      </c>
    </row>
    <row r="1165" spans="1:7" x14ac:dyDescent="0.55000000000000004">
      <c r="A1165">
        <v>102</v>
      </c>
      <c r="B1165" t="str">
        <f t="shared" si="21"/>
        <v>102_0</v>
      </c>
      <c r="C1165" t="s">
        <v>126</v>
      </c>
      <c r="D1165" t="s">
        <v>149</v>
      </c>
      <c r="E1165" t="s">
        <v>139</v>
      </c>
      <c r="F1165">
        <v>0</v>
      </c>
    </row>
    <row r="1166" spans="1:7" x14ac:dyDescent="0.55000000000000004">
      <c r="A1166">
        <v>102</v>
      </c>
      <c r="B1166" t="str">
        <f t="shared" si="21"/>
        <v>102_0</v>
      </c>
      <c r="C1166" t="s">
        <v>126</v>
      </c>
      <c r="D1166" t="s">
        <v>150</v>
      </c>
      <c r="E1166" t="s">
        <v>139</v>
      </c>
      <c r="F1166">
        <v>0</v>
      </c>
    </row>
    <row r="1167" spans="1:7" x14ac:dyDescent="0.55000000000000004">
      <c r="A1167">
        <v>102</v>
      </c>
      <c r="B1167" t="str">
        <f t="shared" si="21"/>
        <v>102_0</v>
      </c>
      <c r="C1167" t="s">
        <v>126</v>
      </c>
      <c r="D1167" t="s">
        <v>152</v>
      </c>
      <c r="E1167" t="s">
        <v>153</v>
      </c>
    </row>
    <row r="1168" spans="1:7" x14ac:dyDescent="0.55000000000000004">
      <c r="A1168">
        <v>102</v>
      </c>
      <c r="B1168" t="str">
        <f t="shared" si="21"/>
        <v>102_0</v>
      </c>
      <c r="C1168" t="s">
        <v>154</v>
      </c>
      <c r="D1168" t="s">
        <v>155</v>
      </c>
      <c r="E1168" t="s">
        <v>156</v>
      </c>
      <c r="F1168">
        <v>16.600000000000001</v>
      </c>
    </row>
    <row r="1169" spans="1:7" x14ac:dyDescent="0.55000000000000004">
      <c r="A1169">
        <v>102</v>
      </c>
      <c r="B1169" t="str">
        <f t="shared" si="21"/>
        <v>102_0</v>
      </c>
      <c r="C1169" t="s">
        <v>154</v>
      </c>
      <c r="D1169" t="s">
        <v>157</v>
      </c>
      <c r="E1169" t="s">
        <v>158</v>
      </c>
      <c r="F1169">
        <v>9.59</v>
      </c>
    </row>
    <row r="1170" spans="1:7" x14ac:dyDescent="0.55000000000000004">
      <c r="A1170">
        <v>102</v>
      </c>
      <c r="B1170" t="str">
        <f t="shared" si="21"/>
        <v>102_0</v>
      </c>
      <c r="C1170" t="s">
        <v>154</v>
      </c>
      <c r="D1170" t="s">
        <v>159</v>
      </c>
      <c r="E1170" t="s">
        <v>139</v>
      </c>
      <c r="F1170">
        <v>98.4</v>
      </c>
    </row>
    <row r="1171" spans="1:7" x14ac:dyDescent="0.55000000000000004">
      <c r="A1171">
        <v>102</v>
      </c>
      <c r="B1171" t="str">
        <f t="shared" si="21"/>
        <v>102_0</v>
      </c>
      <c r="C1171" t="s">
        <v>154</v>
      </c>
      <c r="D1171" t="s">
        <v>357</v>
      </c>
      <c r="E1171" t="s">
        <v>161</v>
      </c>
      <c r="F1171">
        <v>133</v>
      </c>
    </row>
    <row r="1172" spans="1:7" x14ac:dyDescent="0.55000000000000004">
      <c r="A1172">
        <f>A1171</f>
        <v>102</v>
      </c>
      <c r="B1172" t="str">
        <f>B1171</f>
        <v>102_0</v>
      </c>
      <c r="C1172" s="9" t="str">
        <f>C1171</f>
        <v>Chemical</v>
      </c>
      <c r="D1172" t="s">
        <v>356</v>
      </c>
      <c r="E1172" t="s">
        <v>161</v>
      </c>
      <c r="F1172">
        <f xml:space="preserve"> F1171 / (1 + 0.021 * (F1168 - 25))</f>
        <v>161.48615832928607</v>
      </c>
    </row>
    <row r="1173" spans="1:7" x14ac:dyDescent="0.55000000000000004">
      <c r="A1173">
        <v>102</v>
      </c>
      <c r="B1173" t="str">
        <f t="shared" si="21"/>
        <v>102_0</v>
      </c>
      <c r="C1173" t="s">
        <v>154</v>
      </c>
      <c r="D1173" t="s">
        <v>162</v>
      </c>
      <c r="F1173">
        <v>7.82</v>
      </c>
    </row>
    <row r="1174" spans="1:7" x14ac:dyDescent="0.55000000000000004">
      <c r="A1174">
        <v>102</v>
      </c>
      <c r="B1174" t="str">
        <f t="shared" si="21"/>
        <v>102_0</v>
      </c>
      <c r="C1174" t="s">
        <v>163</v>
      </c>
      <c r="D1174" t="s">
        <v>168</v>
      </c>
      <c r="E1174" t="s">
        <v>131</v>
      </c>
      <c r="F1174">
        <v>0</v>
      </c>
    </row>
    <row r="1175" spans="1:7" x14ac:dyDescent="0.55000000000000004">
      <c r="A1175">
        <v>102</v>
      </c>
      <c r="B1175" t="str">
        <f t="shared" si="21"/>
        <v>102_0</v>
      </c>
      <c r="C1175" t="s">
        <v>163</v>
      </c>
      <c r="D1175" t="s">
        <v>169</v>
      </c>
    </row>
    <row r="1176" spans="1:7" x14ac:dyDescent="0.55000000000000004">
      <c r="A1176">
        <v>102</v>
      </c>
      <c r="B1176" t="str">
        <f t="shared" si="21"/>
        <v>102_0</v>
      </c>
      <c r="C1176" t="s">
        <v>163</v>
      </c>
      <c r="D1176" t="s">
        <v>170</v>
      </c>
      <c r="E1176" t="s">
        <v>139</v>
      </c>
      <c r="F1176">
        <v>10</v>
      </c>
    </row>
    <row r="1177" spans="1:7" x14ac:dyDescent="0.55000000000000004">
      <c r="A1177">
        <v>102</v>
      </c>
      <c r="B1177" t="str">
        <f t="shared" si="21"/>
        <v>102_0</v>
      </c>
      <c r="C1177" t="s">
        <v>163</v>
      </c>
      <c r="D1177" t="s">
        <v>171</v>
      </c>
    </row>
    <row r="1178" spans="1:7" x14ac:dyDescent="0.55000000000000004">
      <c r="A1178">
        <v>103</v>
      </c>
      <c r="B1178" t="str">
        <f t="shared" si="21"/>
        <v>103_0</v>
      </c>
      <c r="C1178" t="s">
        <v>126</v>
      </c>
      <c r="D1178" t="s">
        <v>127</v>
      </c>
      <c r="E1178" t="s">
        <v>128</v>
      </c>
      <c r="F1178" s="1"/>
      <c r="G1178" t="s">
        <v>129</v>
      </c>
    </row>
    <row r="1179" spans="1:7" x14ac:dyDescent="0.55000000000000004">
      <c r="A1179">
        <v>103</v>
      </c>
      <c r="B1179" t="str">
        <f t="shared" si="21"/>
        <v>103_0</v>
      </c>
      <c r="C1179" t="s">
        <v>126</v>
      </c>
      <c r="D1179" s="11" t="s">
        <v>130</v>
      </c>
      <c r="E1179" t="s">
        <v>131</v>
      </c>
      <c r="F1179">
        <v>1</v>
      </c>
    </row>
    <row r="1180" spans="1:7" x14ac:dyDescent="0.55000000000000004">
      <c r="A1180">
        <v>103</v>
      </c>
      <c r="B1180" t="str">
        <f t="shared" si="21"/>
        <v>103_0</v>
      </c>
      <c r="C1180" t="s">
        <v>126</v>
      </c>
      <c r="D1180" t="s">
        <v>132</v>
      </c>
      <c r="E1180" t="s">
        <v>133</v>
      </c>
    </row>
    <row r="1181" spans="1:7" x14ac:dyDescent="0.55000000000000004">
      <c r="A1181">
        <v>103</v>
      </c>
      <c r="B1181" t="str">
        <f t="shared" si="21"/>
        <v>103_0</v>
      </c>
      <c r="C1181" t="s">
        <v>126</v>
      </c>
      <c r="D1181" t="s">
        <v>134</v>
      </c>
      <c r="E1181" t="s">
        <v>133</v>
      </c>
      <c r="F1181">
        <v>1.7</v>
      </c>
    </row>
    <row r="1182" spans="1:7" x14ac:dyDescent="0.55000000000000004">
      <c r="A1182">
        <v>103</v>
      </c>
      <c r="B1182" t="str">
        <f t="shared" si="21"/>
        <v>103_0</v>
      </c>
      <c r="C1182" t="s">
        <v>126</v>
      </c>
      <c r="D1182" t="s">
        <v>135</v>
      </c>
      <c r="E1182" t="s">
        <v>136</v>
      </c>
      <c r="F1182">
        <f>F1181/10</f>
        <v>0.16999999999999998</v>
      </c>
      <c r="G1182" t="s">
        <v>137</v>
      </c>
    </row>
    <row r="1183" spans="1:7" x14ac:dyDescent="0.55000000000000004">
      <c r="A1183">
        <v>103</v>
      </c>
      <c r="B1183" t="str">
        <f t="shared" si="21"/>
        <v>103_0</v>
      </c>
      <c r="C1183" t="s">
        <v>126</v>
      </c>
      <c r="D1183" s="2" t="s">
        <v>138</v>
      </c>
      <c r="E1183" t="s">
        <v>139</v>
      </c>
      <c r="F1183">
        <v>0</v>
      </c>
    </row>
    <row r="1184" spans="1:7" x14ac:dyDescent="0.55000000000000004">
      <c r="A1184">
        <v>103</v>
      </c>
      <c r="B1184" t="str">
        <f t="shared" si="21"/>
        <v>103_0</v>
      </c>
      <c r="C1184" t="s">
        <v>126</v>
      </c>
      <c r="D1184" s="2" t="s">
        <v>140</v>
      </c>
    </row>
    <row r="1185" spans="1:7" x14ac:dyDescent="0.55000000000000004">
      <c r="A1185">
        <v>103</v>
      </c>
      <c r="B1185" t="str">
        <f t="shared" si="21"/>
        <v>103_0</v>
      </c>
      <c r="C1185" t="s">
        <v>126</v>
      </c>
      <c r="D1185" s="2" t="s">
        <v>141</v>
      </c>
      <c r="E1185" t="s">
        <v>139</v>
      </c>
      <c r="F1185">
        <v>0</v>
      </c>
    </row>
    <row r="1186" spans="1:7" x14ac:dyDescent="0.55000000000000004">
      <c r="A1186">
        <v>103</v>
      </c>
      <c r="B1186" t="str">
        <f t="shared" si="21"/>
        <v>103_0</v>
      </c>
      <c r="C1186" t="s">
        <v>126</v>
      </c>
      <c r="D1186" t="s">
        <v>142</v>
      </c>
      <c r="E1186" t="s">
        <v>139</v>
      </c>
      <c r="F1186">
        <v>0</v>
      </c>
    </row>
    <row r="1187" spans="1:7" x14ac:dyDescent="0.55000000000000004">
      <c r="A1187">
        <v>103</v>
      </c>
      <c r="B1187" t="str">
        <f t="shared" si="21"/>
        <v>103_0</v>
      </c>
      <c r="C1187" t="s">
        <v>126</v>
      </c>
      <c r="D1187" t="s">
        <v>143</v>
      </c>
      <c r="E1187" t="s">
        <v>131</v>
      </c>
      <c r="F1187">
        <v>0</v>
      </c>
    </row>
    <row r="1188" spans="1:7" x14ac:dyDescent="0.55000000000000004">
      <c r="A1188">
        <v>103</v>
      </c>
      <c r="B1188" t="str">
        <f t="shared" si="21"/>
        <v>103_0</v>
      </c>
      <c r="C1188" t="s">
        <v>126</v>
      </c>
      <c r="D1188" t="s">
        <v>144</v>
      </c>
      <c r="E1188" t="s">
        <v>139</v>
      </c>
      <c r="F1188">
        <v>0</v>
      </c>
    </row>
    <row r="1189" spans="1:7" x14ac:dyDescent="0.55000000000000004">
      <c r="A1189">
        <v>103</v>
      </c>
      <c r="B1189" t="str">
        <f t="shared" si="21"/>
        <v>103_0</v>
      </c>
      <c r="C1189" t="s">
        <v>126</v>
      </c>
      <c r="D1189" t="s">
        <v>145</v>
      </c>
      <c r="E1189" t="s">
        <v>139</v>
      </c>
      <c r="F1189">
        <v>5</v>
      </c>
    </row>
    <row r="1190" spans="1:7" x14ac:dyDescent="0.55000000000000004">
      <c r="A1190">
        <v>103</v>
      </c>
      <c r="B1190" t="str">
        <f t="shared" si="21"/>
        <v>103_0</v>
      </c>
      <c r="C1190" t="s">
        <v>126</v>
      </c>
      <c r="D1190" t="s">
        <v>146</v>
      </c>
      <c r="E1190" t="s">
        <v>139</v>
      </c>
      <c r="F1190">
        <v>0</v>
      </c>
    </row>
    <row r="1191" spans="1:7" x14ac:dyDescent="0.55000000000000004">
      <c r="A1191">
        <v>103</v>
      </c>
      <c r="B1191" t="str">
        <f t="shared" si="21"/>
        <v>103_0</v>
      </c>
      <c r="C1191" t="s">
        <v>126</v>
      </c>
      <c r="D1191" t="s">
        <v>147</v>
      </c>
      <c r="E1191" t="s">
        <v>139</v>
      </c>
      <c r="F1191">
        <v>45</v>
      </c>
      <c r="G1191" t="s">
        <v>195</v>
      </c>
    </row>
    <row r="1192" spans="1:7" x14ac:dyDescent="0.55000000000000004">
      <c r="A1192">
        <v>103</v>
      </c>
      <c r="B1192" t="str">
        <f t="shared" si="21"/>
        <v>103_0</v>
      </c>
      <c r="C1192" t="s">
        <v>126</v>
      </c>
      <c r="D1192" t="s">
        <v>148</v>
      </c>
      <c r="E1192" t="s">
        <v>139</v>
      </c>
      <c r="F1192">
        <v>50</v>
      </c>
    </row>
    <row r="1193" spans="1:7" x14ac:dyDescent="0.55000000000000004">
      <c r="A1193">
        <v>103</v>
      </c>
      <c r="B1193" t="str">
        <f t="shared" si="21"/>
        <v>103_0</v>
      </c>
      <c r="C1193" t="s">
        <v>126</v>
      </c>
      <c r="D1193" t="s">
        <v>149</v>
      </c>
      <c r="E1193" t="s">
        <v>139</v>
      </c>
      <c r="F1193">
        <v>0</v>
      </c>
    </row>
    <row r="1194" spans="1:7" x14ac:dyDescent="0.55000000000000004">
      <c r="A1194">
        <v>103</v>
      </c>
      <c r="B1194" t="str">
        <f t="shared" si="21"/>
        <v>103_0</v>
      </c>
      <c r="C1194" t="s">
        <v>126</v>
      </c>
      <c r="D1194" t="s">
        <v>150</v>
      </c>
      <c r="E1194" t="s">
        <v>139</v>
      </c>
      <c r="F1194">
        <v>0</v>
      </c>
    </row>
    <row r="1195" spans="1:7" x14ac:dyDescent="0.55000000000000004">
      <c r="A1195">
        <v>103</v>
      </c>
      <c r="B1195" t="str">
        <f t="shared" si="21"/>
        <v>103_0</v>
      </c>
      <c r="C1195" t="s">
        <v>126</v>
      </c>
      <c r="D1195" t="s">
        <v>152</v>
      </c>
      <c r="E1195" t="s">
        <v>153</v>
      </c>
    </row>
    <row r="1196" spans="1:7" x14ac:dyDescent="0.55000000000000004">
      <c r="A1196">
        <v>103</v>
      </c>
      <c r="B1196" t="str">
        <f t="shared" si="21"/>
        <v>103_0</v>
      </c>
      <c r="C1196" t="s">
        <v>154</v>
      </c>
      <c r="D1196" t="s">
        <v>155</v>
      </c>
      <c r="E1196" t="s">
        <v>156</v>
      </c>
      <c r="F1196">
        <v>17</v>
      </c>
    </row>
    <row r="1197" spans="1:7" x14ac:dyDescent="0.55000000000000004">
      <c r="A1197">
        <v>103</v>
      </c>
      <c r="B1197" t="str">
        <f t="shared" si="21"/>
        <v>103_0</v>
      </c>
      <c r="C1197" t="s">
        <v>154</v>
      </c>
      <c r="D1197" t="s">
        <v>157</v>
      </c>
      <c r="E1197" t="s">
        <v>158</v>
      </c>
      <c r="F1197">
        <v>9.91</v>
      </c>
    </row>
    <row r="1198" spans="1:7" x14ac:dyDescent="0.55000000000000004">
      <c r="A1198">
        <v>103</v>
      </c>
      <c r="B1198" t="str">
        <f t="shared" si="21"/>
        <v>103_0</v>
      </c>
      <c r="C1198" t="s">
        <v>154</v>
      </c>
      <c r="D1198" t="s">
        <v>159</v>
      </c>
      <c r="E1198" t="s">
        <v>139</v>
      </c>
      <c r="F1198">
        <v>102.5</v>
      </c>
    </row>
    <row r="1199" spans="1:7" x14ac:dyDescent="0.55000000000000004">
      <c r="A1199">
        <v>103</v>
      </c>
      <c r="B1199" t="str">
        <f t="shared" si="21"/>
        <v>103_0</v>
      </c>
      <c r="C1199" t="s">
        <v>154</v>
      </c>
      <c r="D1199" t="s">
        <v>357</v>
      </c>
      <c r="E1199" t="s">
        <v>161</v>
      </c>
      <c r="F1199">
        <v>130.4</v>
      </c>
    </row>
    <row r="1200" spans="1:7" x14ac:dyDescent="0.55000000000000004">
      <c r="A1200">
        <f>A1199</f>
        <v>103</v>
      </c>
      <c r="B1200" t="str">
        <f>B1199</f>
        <v>103_0</v>
      </c>
      <c r="C1200" s="9" t="str">
        <f>C1199</f>
        <v>Chemical</v>
      </c>
      <c r="D1200" t="s">
        <v>356</v>
      </c>
      <c r="E1200" t="s">
        <v>161</v>
      </c>
      <c r="F1200">
        <f xml:space="preserve"> F1199 / (1 + 0.021 * (F1196 - 25))</f>
        <v>156.73076923076925</v>
      </c>
    </row>
    <row r="1201" spans="1:7" x14ac:dyDescent="0.55000000000000004">
      <c r="A1201">
        <v>103</v>
      </c>
      <c r="B1201" t="str">
        <f t="shared" si="21"/>
        <v>103_0</v>
      </c>
      <c r="C1201" t="s">
        <v>154</v>
      </c>
      <c r="D1201" t="s">
        <v>162</v>
      </c>
      <c r="F1201">
        <v>7.61</v>
      </c>
    </row>
    <row r="1202" spans="1:7" x14ac:dyDescent="0.55000000000000004">
      <c r="A1202">
        <v>103</v>
      </c>
      <c r="B1202" t="str">
        <f t="shared" si="21"/>
        <v>103_0</v>
      </c>
      <c r="C1202" t="s">
        <v>163</v>
      </c>
      <c r="D1202" t="s">
        <v>168</v>
      </c>
      <c r="E1202" t="s">
        <v>131</v>
      </c>
      <c r="F1202">
        <v>0</v>
      </c>
    </row>
    <row r="1203" spans="1:7" x14ac:dyDescent="0.55000000000000004">
      <c r="A1203">
        <v>103</v>
      </c>
      <c r="B1203" t="str">
        <f t="shared" si="21"/>
        <v>103_0</v>
      </c>
      <c r="C1203" t="s">
        <v>163</v>
      </c>
      <c r="D1203" t="s">
        <v>169</v>
      </c>
    </row>
    <row r="1204" spans="1:7" x14ac:dyDescent="0.55000000000000004">
      <c r="A1204">
        <v>103</v>
      </c>
      <c r="B1204" t="str">
        <f t="shared" si="21"/>
        <v>103_0</v>
      </c>
      <c r="C1204" t="s">
        <v>163</v>
      </c>
      <c r="D1204" t="s">
        <v>170</v>
      </c>
      <c r="E1204" t="s">
        <v>139</v>
      </c>
      <c r="F1204">
        <v>3</v>
      </c>
    </row>
    <row r="1205" spans="1:7" x14ac:dyDescent="0.55000000000000004">
      <c r="A1205">
        <v>103</v>
      </c>
      <c r="B1205" t="str">
        <f t="shared" si="21"/>
        <v>103_0</v>
      </c>
      <c r="C1205" t="s">
        <v>163</v>
      </c>
      <c r="D1205" t="s">
        <v>171</v>
      </c>
    </row>
    <row r="1206" spans="1:7" x14ac:dyDescent="0.55000000000000004">
      <c r="A1206">
        <v>104</v>
      </c>
      <c r="B1206" t="str">
        <f t="shared" si="21"/>
        <v>104_0</v>
      </c>
      <c r="C1206" t="s">
        <v>126</v>
      </c>
      <c r="D1206" t="s">
        <v>127</v>
      </c>
      <c r="E1206" t="s">
        <v>128</v>
      </c>
      <c r="F1206" s="1"/>
      <c r="G1206" t="s">
        <v>129</v>
      </c>
    </row>
    <row r="1207" spans="1:7" x14ac:dyDescent="0.55000000000000004">
      <c r="A1207">
        <v>104</v>
      </c>
      <c r="B1207" t="str">
        <f t="shared" si="21"/>
        <v>104_0</v>
      </c>
      <c r="C1207" t="s">
        <v>126</v>
      </c>
      <c r="D1207" s="11" t="s">
        <v>130</v>
      </c>
      <c r="E1207" t="s">
        <v>131</v>
      </c>
      <c r="F1207">
        <v>1</v>
      </c>
    </row>
    <row r="1208" spans="1:7" x14ac:dyDescent="0.55000000000000004">
      <c r="A1208">
        <v>104</v>
      </c>
      <c r="B1208" t="str">
        <f t="shared" si="21"/>
        <v>104_0</v>
      </c>
      <c r="C1208" t="s">
        <v>126</v>
      </c>
      <c r="D1208" t="s">
        <v>132</v>
      </c>
      <c r="E1208" t="s">
        <v>133</v>
      </c>
    </row>
    <row r="1209" spans="1:7" x14ac:dyDescent="0.55000000000000004">
      <c r="A1209">
        <v>104</v>
      </c>
      <c r="B1209" t="str">
        <f t="shared" si="21"/>
        <v>104_0</v>
      </c>
      <c r="C1209" t="s">
        <v>126</v>
      </c>
      <c r="D1209" t="s">
        <v>134</v>
      </c>
      <c r="E1209" t="s">
        <v>133</v>
      </c>
      <c r="F1209">
        <v>3</v>
      </c>
    </row>
    <row r="1210" spans="1:7" x14ac:dyDescent="0.55000000000000004">
      <c r="A1210">
        <v>104</v>
      </c>
      <c r="B1210" t="str">
        <f t="shared" si="21"/>
        <v>104_0</v>
      </c>
      <c r="C1210" t="s">
        <v>126</v>
      </c>
      <c r="D1210" t="s">
        <v>135</v>
      </c>
      <c r="E1210" t="s">
        <v>136</v>
      </c>
      <c r="F1210">
        <f>F1209/10</f>
        <v>0.3</v>
      </c>
      <c r="G1210" t="s">
        <v>137</v>
      </c>
    </row>
    <row r="1211" spans="1:7" x14ac:dyDescent="0.55000000000000004">
      <c r="A1211">
        <v>104</v>
      </c>
      <c r="B1211" t="str">
        <f t="shared" si="21"/>
        <v>104_0</v>
      </c>
      <c r="C1211" t="s">
        <v>126</v>
      </c>
      <c r="D1211" s="2" t="s">
        <v>138</v>
      </c>
      <c r="E1211" t="s">
        <v>139</v>
      </c>
      <c r="F1211">
        <v>100</v>
      </c>
    </row>
    <row r="1212" spans="1:7" x14ac:dyDescent="0.55000000000000004">
      <c r="A1212">
        <v>104</v>
      </c>
      <c r="B1212" t="str">
        <f t="shared" si="21"/>
        <v>104_0</v>
      </c>
      <c r="C1212" t="s">
        <v>126</v>
      </c>
      <c r="D1212" s="2" t="s">
        <v>140</v>
      </c>
    </row>
    <row r="1213" spans="1:7" x14ac:dyDescent="0.55000000000000004">
      <c r="A1213">
        <v>104</v>
      </c>
      <c r="B1213" t="str">
        <f t="shared" si="21"/>
        <v>104_0</v>
      </c>
      <c r="C1213" t="s">
        <v>126</v>
      </c>
      <c r="D1213" s="2" t="s">
        <v>141</v>
      </c>
      <c r="E1213" t="s">
        <v>139</v>
      </c>
      <c r="F1213">
        <v>20</v>
      </c>
    </row>
    <row r="1214" spans="1:7" x14ac:dyDescent="0.55000000000000004">
      <c r="A1214">
        <v>104</v>
      </c>
      <c r="B1214" t="str">
        <f t="shared" si="21"/>
        <v>104_0</v>
      </c>
      <c r="C1214" t="s">
        <v>126</v>
      </c>
      <c r="D1214" t="s">
        <v>142</v>
      </c>
      <c r="E1214" t="s">
        <v>139</v>
      </c>
      <c r="F1214">
        <v>0</v>
      </c>
    </row>
    <row r="1215" spans="1:7" x14ac:dyDescent="0.55000000000000004">
      <c r="A1215">
        <v>104</v>
      </c>
      <c r="B1215" t="str">
        <f t="shared" si="21"/>
        <v>104_0</v>
      </c>
      <c r="C1215" t="s">
        <v>126</v>
      </c>
      <c r="D1215" t="s">
        <v>143</v>
      </c>
      <c r="E1215" t="s">
        <v>131</v>
      </c>
      <c r="F1215">
        <v>0</v>
      </c>
    </row>
    <row r="1216" spans="1:7" x14ac:dyDescent="0.55000000000000004">
      <c r="A1216">
        <v>104</v>
      </c>
      <c r="B1216" t="str">
        <f t="shared" si="21"/>
        <v>104_0</v>
      </c>
      <c r="C1216" t="s">
        <v>126</v>
      </c>
      <c r="D1216" t="s">
        <v>144</v>
      </c>
      <c r="E1216" t="s">
        <v>139</v>
      </c>
      <c r="F1216">
        <v>0</v>
      </c>
    </row>
    <row r="1217" spans="1:6" x14ac:dyDescent="0.55000000000000004">
      <c r="A1217">
        <v>104</v>
      </c>
      <c r="B1217" t="str">
        <f t="shared" si="21"/>
        <v>104_0</v>
      </c>
      <c r="C1217" t="s">
        <v>126</v>
      </c>
      <c r="D1217" t="s">
        <v>145</v>
      </c>
      <c r="E1217" t="s">
        <v>139</v>
      </c>
      <c r="F1217">
        <v>0</v>
      </c>
    </row>
    <row r="1218" spans="1:6" x14ac:dyDescent="0.55000000000000004">
      <c r="A1218">
        <v>104</v>
      </c>
      <c r="B1218" t="str">
        <f t="shared" si="21"/>
        <v>104_0</v>
      </c>
      <c r="C1218" t="s">
        <v>126</v>
      </c>
      <c r="D1218" t="s">
        <v>146</v>
      </c>
      <c r="E1218" t="s">
        <v>139</v>
      </c>
      <c r="F1218">
        <v>0</v>
      </c>
    </row>
    <row r="1219" spans="1:6" x14ac:dyDescent="0.55000000000000004">
      <c r="A1219">
        <v>104</v>
      </c>
      <c r="B1219" t="str">
        <f t="shared" si="21"/>
        <v>104_0</v>
      </c>
      <c r="C1219" t="s">
        <v>126</v>
      </c>
      <c r="D1219" t="s">
        <v>147</v>
      </c>
      <c r="E1219" t="s">
        <v>139</v>
      </c>
      <c r="F1219">
        <v>0</v>
      </c>
    </row>
    <row r="1220" spans="1:6" x14ac:dyDescent="0.55000000000000004">
      <c r="A1220">
        <v>104</v>
      </c>
      <c r="B1220" t="str">
        <f t="shared" ref="B1220:B1275" si="22">A1220 &amp; "_0"</f>
        <v>104_0</v>
      </c>
      <c r="C1220" t="s">
        <v>126</v>
      </c>
      <c r="D1220" t="s">
        <v>148</v>
      </c>
      <c r="E1220" t="s">
        <v>139</v>
      </c>
      <c r="F1220">
        <v>0</v>
      </c>
    </row>
    <row r="1221" spans="1:6" x14ac:dyDescent="0.55000000000000004">
      <c r="A1221">
        <v>104</v>
      </c>
      <c r="B1221" t="str">
        <f t="shared" si="22"/>
        <v>104_0</v>
      </c>
      <c r="C1221" t="s">
        <v>126</v>
      </c>
      <c r="D1221" t="s">
        <v>149</v>
      </c>
      <c r="E1221" t="s">
        <v>139</v>
      </c>
      <c r="F1221">
        <v>0</v>
      </c>
    </row>
    <row r="1222" spans="1:6" x14ac:dyDescent="0.55000000000000004">
      <c r="A1222">
        <v>104</v>
      </c>
      <c r="B1222" t="str">
        <f t="shared" si="22"/>
        <v>104_0</v>
      </c>
      <c r="C1222" t="s">
        <v>126</v>
      </c>
      <c r="D1222" t="s">
        <v>150</v>
      </c>
      <c r="E1222" t="s">
        <v>139</v>
      </c>
      <c r="F1222">
        <v>100</v>
      </c>
    </row>
    <row r="1223" spans="1:6" x14ac:dyDescent="0.55000000000000004">
      <c r="A1223">
        <v>104</v>
      </c>
      <c r="B1223" t="str">
        <f t="shared" si="22"/>
        <v>104_0</v>
      </c>
      <c r="C1223" t="s">
        <v>126</v>
      </c>
      <c r="D1223" t="s">
        <v>152</v>
      </c>
      <c r="E1223" t="s">
        <v>153</v>
      </c>
    </row>
    <row r="1224" spans="1:6" x14ac:dyDescent="0.55000000000000004">
      <c r="A1224">
        <v>104</v>
      </c>
      <c r="B1224" t="str">
        <f t="shared" si="22"/>
        <v>104_0</v>
      </c>
      <c r="C1224" t="s">
        <v>154</v>
      </c>
      <c r="D1224" t="s">
        <v>155</v>
      </c>
      <c r="E1224" t="s">
        <v>156</v>
      </c>
      <c r="F1224">
        <v>18.100000000000001</v>
      </c>
    </row>
    <row r="1225" spans="1:6" x14ac:dyDescent="0.55000000000000004">
      <c r="A1225">
        <v>104</v>
      </c>
      <c r="B1225" t="str">
        <f t="shared" si="22"/>
        <v>104_0</v>
      </c>
      <c r="C1225" t="s">
        <v>154</v>
      </c>
      <c r="D1225" t="s">
        <v>157</v>
      </c>
      <c r="E1225" t="s">
        <v>158</v>
      </c>
      <c r="F1225">
        <v>9.61</v>
      </c>
    </row>
    <row r="1226" spans="1:6" x14ac:dyDescent="0.55000000000000004">
      <c r="A1226">
        <v>104</v>
      </c>
      <c r="B1226" t="str">
        <f t="shared" si="22"/>
        <v>104_0</v>
      </c>
      <c r="C1226" t="s">
        <v>154</v>
      </c>
      <c r="D1226" t="s">
        <v>159</v>
      </c>
      <c r="E1226" t="s">
        <v>139</v>
      </c>
      <c r="F1226">
        <v>101.8</v>
      </c>
    </row>
    <row r="1227" spans="1:6" x14ac:dyDescent="0.55000000000000004">
      <c r="A1227">
        <v>104</v>
      </c>
      <c r="B1227" t="str">
        <f t="shared" si="22"/>
        <v>104_0</v>
      </c>
      <c r="C1227" t="s">
        <v>154</v>
      </c>
      <c r="D1227" t="s">
        <v>357</v>
      </c>
      <c r="E1227" t="s">
        <v>161</v>
      </c>
      <c r="F1227">
        <v>138.30000000000001</v>
      </c>
    </row>
    <row r="1228" spans="1:6" x14ac:dyDescent="0.55000000000000004">
      <c r="A1228">
        <f>A1227</f>
        <v>104</v>
      </c>
      <c r="B1228" t="str">
        <f>B1227</f>
        <v>104_0</v>
      </c>
      <c r="C1228" s="9" t="str">
        <f>C1227</f>
        <v>Chemical</v>
      </c>
      <c r="D1228" t="s">
        <v>356</v>
      </c>
      <c r="E1228" t="s">
        <v>161</v>
      </c>
      <c r="F1228">
        <f xml:space="preserve"> F1227 / (1 + 0.021 * (F1224 - 25))</f>
        <v>161.73546953572682</v>
      </c>
    </row>
    <row r="1229" spans="1:6" x14ac:dyDescent="0.55000000000000004">
      <c r="A1229">
        <v>104</v>
      </c>
      <c r="B1229" t="str">
        <f t="shared" si="22"/>
        <v>104_0</v>
      </c>
      <c r="C1229" t="s">
        <v>154</v>
      </c>
      <c r="D1229" t="s">
        <v>162</v>
      </c>
      <c r="F1229">
        <v>8.2100000000000009</v>
      </c>
    </row>
    <row r="1230" spans="1:6" x14ac:dyDescent="0.55000000000000004">
      <c r="A1230">
        <v>104</v>
      </c>
      <c r="B1230" t="str">
        <f t="shared" si="22"/>
        <v>104_0</v>
      </c>
      <c r="C1230" t="s">
        <v>163</v>
      </c>
      <c r="D1230" t="s">
        <v>168</v>
      </c>
      <c r="E1230" t="s">
        <v>131</v>
      </c>
      <c r="F1230">
        <v>1</v>
      </c>
    </row>
    <row r="1231" spans="1:6" x14ac:dyDescent="0.55000000000000004">
      <c r="A1231">
        <v>104</v>
      </c>
      <c r="B1231" t="str">
        <f t="shared" si="22"/>
        <v>104_0</v>
      </c>
      <c r="C1231" t="s">
        <v>163</v>
      </c>
      <c r="D1231" t="s">
        <v>169</v>
      </c>
    </row>
    <row r="1232" spans="1:6" x14ac:dyDescent="0.55000000000000004">
      <c r="A1232">
        <v>104</v>
      </c>
      <c r="B1232" t="str">
        <f t="shared" si="22"/>
        <v>104_0</v>
      </c>
      <c r="C1232" t="s">
        <v>163</v>
      </c>
      <c r="D1232" t="s">
        <v>170</v>
      </c>
      <c r="E1232" t="s">
        <v>139</v>
      </c>
      <c r="F1232">
        <v>10</v>
      </c>
    </row>
    <row r="1233" spans="1:7" x14ac:dyDescent="0.55000000000000004">
      <c r="A1233">
        <v>104</v>
      </c>
      <c r="B1233" t="str">
        <f t="shared" si="22"/>
        <v>104_0</v>
      </c>
      <c r="C1233" t="s">
        <v>163</v>
      </c>
      <c r="D1233" t="s">
        <v>171</v>
      </c>
    </row>
    <row r="1234" spans="1:7" x14ac:dyDescent="0.55000000000000004">
      <c r="A1234">
        <v>105</v>
      </c>
      <c r="B1234" t="str">
        <f t="shared" si="22"/>
        <v>105_0</v>
      </c>
      <c r="C1234" t="s">
        <v>126</v>
      </c>
      <c r="D1234" t="s">
        <v>127</v>
      </c>
      <c r="E1234" t="s">
        <v>128</v>
      </c>
      <c r="F1234" s="1"/>
      <c r="G1234" t="s">
        <v>129</v>
      </c>
    </row>
    <row r="1235" spans="1:7" x14ac:dyDescent="0.55000000000000004">
      <c r="A1235">
        <v>105</v>
      </c>
      <c r="B1235" t="str">
        <f t="shared" si="22"/>
        <v>105_0</v>
      </c>
      <c r="C1235" t="s">
        <v>126</v>
      </c>
      <c r="D1235" s="11" t="s">
        <v>130</v>
      </c>
      <c r="E1235" t="s">
        <v>131</v>
      </c>
      <c r="F1235">
        <v>1</v>
      </c>
    </row>
    <row r="1236" spans="1:7" x14ac:dyDescent="0.55000000000000004">
      <c r="A1236">
        <v>105</v>
      </c>
      <c r="B1236" t="str">
        <f t="shared" si="22"/>
        <v>105_0</v>
      </c>
      <c r="C1236" t="s">
        <v>126</v>
      </c>
      <c r="D1236" t="s">
        <v>132</v>
      </c>
      <c r="E1236" t="s">
        <v>133</v>
      </c>
    </row>
    <row r="1237" spans="1:7" x14ac:dyDescent="0.55000000000000004">
      <c r="A1237">
        <v>105</v>
      </c>
      <c r="B1237" t="str">
        <f t="shared" si="22"/>
        <v>105_0</v>
      </c>
      <c r="C1237" t="s">
        <v>126</v>
      </c>
      <c r="D1237" t="s">
        <v>134</v>
      </c>
      <c r="E1237" t="s">
        <v>133</v>
      </c>
      <c r="F1237">
        <v>2</v>
      </c>
    </row>
    <row r="1238" spans="1:7" x14ac:dyDescent="0.55000000000000004">
      <c r="A1238">
        <v>105</v>
      </c>
      <c r="B1238" t="str">
        <f t="shared" si="22"/>
        <v>105_0</v>
      </c>
      <c r="C1238" t="s">
        <v>126</v>
      </c>
      <c r="D1238" t="s">
        <v>135</v>
      </c>
      <c r="E1238" t="s">
        <v>136</v>
      </c>
      <c r="F1238">
        <f>F1237/10</f>
        <v>0.2</v>
      </c>
      <c r="G1238" t="s">
        <v>137</v>
      </c>
    </row>
    <row r="1239" spans="1:7" x14ac:dyDescent="0.55000000000000004">
      <c r="A1239">
        <v>105</v>
      </c>
      <c r="B1239" t="str">
        <f t="shared" si="22"/>
        <v>105_0</v>
      </c>
      <c r="C1239" t="s">
        <v>126</v>
      </c>
      <c r="D1239" s="2" t="s">
        <v>138</v>
      </c>
      <c r="E1239" t="s">
        <v>139</v>
      </c>
      <c r="F1239">
        <v>100</v>
      </c>
    </row>
    <row r="1240" spans="1:7" x14ac:dyDescent="0.55000000000000004">
      <c r="A1240">
        <v>105</v>
      </c>
      <c r="B1240" t="str">
        <f t="shared" si="22"/>
        <v>105_0</v>
      </c>
      <c r="C1240" t="s">
        <v>126</v>
      </c>
      <c r="D1240" s="2" t="s">
        <v>140</v>
      </c>
    </row>
    <row r="1241" spans="1:7" x14ac:dyDescent="0.55000000000000004">
      <c r="A1241">
        <v>105</v>
      </c>
      <c r="B1241" t="str">
        <f t="shared" si="22"/>
        <v>105_0</v>
      </c>
      <c r="C1241" t="s">
        <v>126</v>
      </c>
      <c r="D1241" s="2" t="s">
        <v>141</v>
      </c>
      <c r="E1241" t="s">
        <v>139</v>
      </c>
      <c r="F1241">
        <v>100</v>
      </c>
    </row>
    <row r="1242" spans="1:7" x14ac:dyDescent="0.55000000000000004">
      <c r="A1242">
        <v>105</v>
      </c>
      <c r="B1242" t="str">
        <f t="shared" si="22"/>
        <v>105_0</v>
      </c>
      <c r="C1242" t="s">
        <v>126</v>
      </c>
      <c r="D1242" t="s">
        <v>142</v>
      </c>
      <c r="E1242" t="s">
        <v>139</v>
      </c>
      <c r="F1242">
        <v>0</v>
      </c>
    </row>
    <row r="1243" spans="1:7" x14ac:dyDescent="0.55000000000000004">
      <c r="A1243">
        <v>105</v>
      </c>
      <c r="B1243" t="str">
        <f t="shared" si="22"/>
        <v>105_0</v>
      </c>
      <c r="C1243" t="s">
        <v>126</v>
      </c>
      <c r="D1243" t="s">
        <v>143</v>
      </c>
      <c r="E1243" t="s">
        <v>131</v>
      </c>
      <c r="F1243">
        <v>0</v>
      </c>
    </row>
    <row r="1244" spans="1:7" x14ac:dyDescent="0.55000000000000004">
      <c r="A1244">
        <v>105</v>
      </c>
      <c r="B1244" t="str">
        <f t="shared" si="22"/>
        <v>105_0</v>
      </c>
      <c r="C1244" t="s">
        <v>126</v>
      </c>
      <c r="D1244" t="s">
        <v>144</v>
      </c>
      <c r="E1244" t="s">
        <v>139</v>
      </c>
      <c r="F1244">
        <v>0</v>
      </c>
    </row>
    <row r="1245" spans="1:7" x14ac:dyDescent="0.55000000000000004">
      <c r="A1245">
        <v>105</v>
      </c>
      <c r="B1245" t="str">
        <f t="shared" si="22"/>
        <v>105_0</v>
      </c>
      <c r="C1245" t="s">
        <v>126</v>
      </c>
      <c r="D1245" t="s">
        <v>145</v>
      </c>
      <c r="E1245" t="s">
        <v>139</v>
      </c>
      <c r="F1245">
        <v>60</v>
      </c>
    </row>
    <row r="1246" spans="1:7" x14ac:dyDescent="0.55000000000000004">
      <c r="A1246">
        <v>105</v>
      </c>
      <c r="B1246" t="str">
        <f t="shared" si="22"/>
        <v>105_0</v>
      </c>
      <c r="C1246" t="s">
        <v>126</v>
      </c>
      <c r="D1246" t="s">
        <v>146</v>
      </c>
      <c r="E1246" t="s">
        <v>139</v>
      </c>
      <c r="F1246">
        <v>0</v>
      </c>
    </row>
    <row r="1247" spans="1:7" x14ac:dyDescent="0.55000000000000004">
      <c r="A1247">
        <v>105</v>
      </c>
      <c r="B1247" t="str">
        <f t="shared" si="22"/>
        <v>105_0</v>
      </c>
      <c r="C1247" t="s">
        <v>126</v>
      </c>
      <c r="D1247" t="s">
        <v>147</v>
      </c>
      <c r="E1247" t="s">
        <v>139</v>
      </c>
      <c r="F1247">
        <v>0</v>
      </c>
    </row>
    <row r="1248" spans="1:7" x14ac:dyDescent="0.55000000000000004">
      <c r="A1248">
        <v>105</v>
      </c>
      <c r="B1248" t="str">
        <f t="shared" si="22"/>
        <v>105_0</v>
      </c>
      <c r="C1248" t="s">
        <v>126</v>
      </c>
      <c r="D1248" t="s">
        <v>148</v>
      </c>
      <c r="E1248" t="s">
        <v>139</v>
      </c>
      <c r="F1248">
        <v>40</v>
      </c>
    </row>
    <row r="1249" spans="1:7" x14ac:dyDescent="0.55000000000000004">
      <c r="A1249">
        <v>105</v>
      </c>
      <c r="B1249" t="str">
        <f t="shared" si="22"/>
        <v>105_0</v>
      </c>
      <c r="C1249" t="s">
        <v>126</v>
      </c>
      <c r="D1249" t="s">
        <v>149</v>
      </c>
      <c r="E1249" t="s">
        <v>139</v>
      </c>
      <c r="F1249">
        <v>0</v>
      </c>
    </row>
    <row r="1250" spans="1:7" x14ac:dyDescent="0.55000000000000004">
      <c r="A1250">
        <v>105</v>
      </c>
      <c r="B1250" t="str">
        <f t="shared" si="22"/>
        <v>105_0</v>
      </c>
      <c r="C1250" t="s">
        <v>126</v>
      </c>
      <c r="D1250" t="s">
        <v>150</v>
      </c>
      <c r="E1250" t="s">
        <v>139</v>
      </c>
      <c r="F1250">
        <v>0</v>
      </c>
    </row>
    <row r="1251" spans="1:7" x14ac:dyDescent="0.55000000000000004">
      <c r="A1251">
        <v>105</v>
      </c>
      <c r="B1251" t="str">
        <f t="shared" si="22"/>
        <v>105_0</v>
      </c>
      <c r="C1251" t="s">
        <v>126</v>
      </c>
      <c r="D1251" t="s">
        <v>152</v>
      </c>
      <c r="E1251" t="s">
        <v>153</v>
      </c>
    </row>
    <row r="1252" spans="1:7" x14ac:dyDescent="0.55000000000000004">
      <c r="A1252">
        <v>105</v>
      </c>
      <c r="B1252" t="str">
        <f t="shared" si="22"/>
        <v>105_0</v>
      </c>
      <c r="C1252" t="s">
        <v>154</v>
      </c>
      <c r="D1252" t="s">
        <v>155</v>
      </c>
      <c r="E1252" t="s">
        <v>156</v>
      </c>
      <c r="F1252">
        <v>16.600000000000001</v>
      </c>
    </row>
    <row r="1253" spans="1:7" x14ac:dyDescent="0.55000000000000004">
      <c r="A1253">
        <v>105</v>
      </c>
      <c r="B1253" t="str">
        <f t="shared" si="22"/>
        <v>105_0</v>
      </c>
      <c r="C1253" t="s">
        <v>154</v>
      </c>
      <c r="D1253" t="s">
        <v>157</v>
      </c>
      <c r="E1253" t="s">
        <v>158</v>
      </c>
      <c r="F1253">
        <v>9.9</v>
      </c>
    </row>
    <row r="1254" spans="1:7" x14ac:dyDescent="0.55000000000000004">
      <c r="A1254">
        <v>105</v>
      </c>
      <c r="B1254" t="str">
        <f t="shared" si="22"/>
        <v>105_0</v>
      </c>
      <c r="C1254" t="s">
        <v>154</v>
      </c>
      <c r="D1254" t="s">
        <v>159</v>
      </c>
      <c r="E1254" t="s">
        <v>139</v>
      </c>
      <c r="F1254">
        <v>101.5</v>
      </c>
    </row>
    <row r="1255" spans="1:7" x14ac:dyDescent="0.55000000000000004">
      <c r="A1255">
        <v>105</v>
      </c>
      <c r="B1255" t="str">
        <f t="shared" si="22"/>
        <v>105_0</v>
      </c>
      <c r="C1255" t="s">
        <v>154</v>
      </c>
      <c r="D1255" t="s">
        <v>357</v>
      </c>
      <c r="E1255" t="s">
        <v>161</v>
      </c>
      <c r="F1255">
        <v>133.30000000000001</v>
      </c>
    </row>
    <row r="1256" spans="1:7" x14ac:dyDescent="0.55000000000000004">
      <c r="A1256">
        <f>A1255</f>
        <v>105</v>
      </c>
      <c r="B1256" t="str">
        <f>B1255</f>
        <v>105_0</v>
      </c>
      <c r="C1256" s="9" t="str">
        <f>C1255</f>
        <v>Chemical</v>
      </c>
      <c r="D1256" t="s">
        <v>356</v>
      </c>
      <c r="E1256" t="s">
        <v>161</v>
      </c>
      <c r="F1256">
        <f xml:space="preserve"> F1255 / (1 + 0.021 * (F1252 - 25))</f>
        <v>161.85041282175814</v>
      </c>
    </row>
    <row r="1257" spans="1:7" x14ac:dyDescent="0.55000000000000004">
      <c r="A1257">
        <v>105</v>
      </c>
      <c r="B1257" t="str">
        <f t="shared" si="22"/>
        <v>105_0</v>
      </c>
      <c r="C1257" t="s">
        <v>154</v>
      </c>
      <c r="D1257" t="s">
        <v>162</v>
      </c>
      <c r="F1257">
        <v>8.02</v>
      </c>
    </row>
    <row r="1258" spans="1:7" x14ac:dyDescent="0.55000000000000004">
      <c r="A1258">
        <v>105</v>
      </c>
      <c r="B1258" t="str">
        <f t="shared" si="22"/>
        <v>105_0</v>
      </c>
      <c r="C1258" t="s">
        <v>163</v>
      </c>
      <c r="D1258" t="s">
        <v>168</v>
      </c>
      <c r="E1258" t="s">
        <v>131</v>
      </c>
      <c r="F1258">
        <v>0</v>
      </c>
    </row>
    <row r="1259" spans="1:7" x14ac:dyDescent="0.55000000000000004">
      <c r="A1259">
        <v>105</v>
      </c>
      <c r="B1259" t="str">
        <f t="shared" si="22"/>
        <v>105_0</v>
      </c>
      <c r="C1259" t="s">
        <v>163</v>
      </c>
      <c r="D1259" t="s">
        <v>169</v>
      </c>
    </row>
    <row r="1260" spans="1:7" x14ac:dyDescent="0.55000000000000004">
      <c r="A1260">
        <v>105</v>
      </c>
      <c r="B1260" t="str">
        <f t="shared" si="22"/>
        <v>105_0</v>
      </c>
      <c r="C1260" t="s">
        <v>163</v>
      </c>
      <c r="D1260" t="s">
        <v>170</v>
      </c>
      <c r="E1260" t="s">
        <v>139</v>
      </c>
      <c r="F1260">
        <v>20</v>
      </c>
    </row>
    <row r="1261" spans="1:7" x14ac:dyDescent="0.55000000000000004">
      <c r="A1261">
        <v>105</v>
      </c>
      <c r="B1261" t="str">
        <f t="shared" si="22"/>
        <v>105_0</v>
      </c>
      <c r="C1261" t="s">
        <v>163</v>
      </c>
      <c r="D1261" t="s">
        <v>171</v>
      </c>
    </row>
    <row r="1262" spans="1:7" x14ac:dyDescent="0.55000000000000004">
      <c r="A1262">
        <v>106</v>
      </c>
      <c r="B1262" t="str">
        <f t="shared" si="22"/>
        <v>106_0</v>
      </c>
      <c r="C1262" t="s">
        <v>126</v>
      </c>
      <c r="D1262" t="s">
        <v>127</v>
      </c>
      <c r="E1262" t="s">
        <v>128</v>
      </c>
      <c r="F1262" s="1"/>
      <c r="G1262" t="s">
        <v>129</v>
      </c>
    </row>
    <row r="1263" spans="1:7" x14ac:dyDescent="0.55000000000000004">
      <c r="A1263">
        <v>106</v>
      </c>
      <c r="B1263" t="str">
        <f t="shared" si="22"/>
        <v>106_0</v>
      </c>
      <c r="C1263" t="s">
        <v>126</v>
      </c>
      <c r="D1263" s="11" t="s">
        <v>130</v>
      </c>
      <c r="E1263" t="s">
        <v>131</v>
      </c>
      <c r="F1263">
        <v>1</v>
      </c>
    </row>
    <row r="1264" spans="1:7" x14ac:dyDescent="0.55000000000000004">
      <c r="A1264">
        <v>106</v>
      </c>
      <c r="B1264" t="str">
        <f t="shared" si="22"/>
        <v>106_0</v>
      </c>
      <c r="C1264" t="s">
        <v>126</v>
      </c>
      <c r="D1264" t="s">
        <v>132</v>
      </c>
      <c r="E1264" t="s">
        <v>133</v>
      </c>
    </row>
    <row r="1265" spans="1:7" x14ac:dyDescent="0.55000000000000004">
      <c r="A1265">
        <v>106</v>
      </c>
      <c r="B1265" t="str">
        <f t="shared" si="22"/>
        <v>106_0</v>
      </c>
      <c r="C1265" t="s">
        <v>126</v>
      </c>
      <c r="D1265" t="s">
        <v>134</v>
      </c>
      <c r="E1265" t="s">
        <v>133</v>
      </c>
      <c r="F1265">
        <v>1</v>
      </c>
    </row>
    <row r="1266" spans="1:7" x14ac:dyDescent="0.55000000000000004">
      <c r="A1266">
        <v>106</v>
      </c>
      <c r="B1266" t="str">
        <f t="shared" si="22"/>
        <v>106_0</v>
      </c>
      <c r="C1266" t="s">
        <v>126</v>
      </c>
      <c r="D1266" t="s">
        <v>135</v>
      </c>
      <c r="E1266" t="s">
        <v>136</v>
      </c>
      <c r="F1266">
        <f>F1265/10</f>
        <v>0.1</v>
      </c>
      <c r="G1266" t="s">
        <v>137</v>
      </c>
    </row>
    <row r="1267" spans="1:7" x14ac:dyDescent="0.55000000000000004">
      <c r="A1267">
        <v>106</v>
      </c>
      <c r="B1267" t="str">
        <f t="shared" si="22"/>
        <v>106_0</v>
      </c>
      <c r="C1267" t="s">
        <v>126</v>
      </c>
      <c r="D1267" s="2" t="s">
        <v>138</v>
      </c>
      <c r="E1267" t="s">
        <v>139</v>
      </c>
      <c r="F1267">
        <v>50</v>
      </c>
    </row>
    <row r="1268" spans="1:7" x14ac:dyDescent="0.55000000000000004">
      <c r="A1268">
        <v>106</v>
      </c>
      <c r="B1268" t="str">
        <f t="shared" si="22"/>
        <v>106_0</v>
      </c>
      <c r="C1268" t="s">
        <v>126</v>
      </c>
      <c r="D1268" s="2" t="s">
        <v>140</v>
      </c>
    </row>
    <row r="1269" spans="1:7" x14ac:dyDescent="0.55000000000000004">
      <c r="A1269">
        <v>106</v>
      </c>
      <c r="B1269" t="str">
        <f t="shared" si="22"/>
        <v>106_0</v>
      </c>
      <c r="C1269" t="s">
        <v>126</v>
      </c>
      <c r="D1269" s="2" t="s">
        <v>141</v>
      </c>
      <c r="E1269" t="s">
        <v>139</v>
      </c>
      <c r="F1269">
        <v>0</v>
      </c>
    </row>
    <row r="1270" spans="1:7" x14ac:dyDescent="0.55000000000000004">
      <c r="A1270">
        <v>106</v>
      </c>
      <c r="B1270" t="str">
        <f t="shared" si="22"/>
        <v>106_0</v>
      </c>
      <c r="C1270" t="s">
        <v>126</v>
      </c>
      <c r="D1270" t="s">
        <v>142</v>
      </c>
      <c r="E1270" t="s">
        <v>139</v>
      </c>
      <c r="F1270">
        <v>0</v>
      </c>
    </row>
    <row r="1271" spans="1:7" x14ac:dyDescent="0.55000000000000004">
      <c r="A1271">
        <v>106</v>
      </c>
      <c r="B1271" t="str">
        <f t="shared" si="22"/>
        <v>106_0</v>
      </c>
      <c r="C1271" t="s">
        <v>126</v>
      </c>
      <c r="D1271" t="s">
        <v>143</v>
      </c>
      <c r="E1271" t="s">
        <v>131</v>
      </c>
      <c r="F1271">
        <v>0</v>
      </c>
    </row>
    <row r="1272" spans="1:7" x14ac:dyDescent="0.55000000000000004">
      <c r="A1272">
        <v>106</v>
      </c>
      <c r="B1272" t="str">
        <f t="shared" si="22"/>
        <v>106_0</v>
      </c>
      <c r="C1272" t="s">
        <v>126</v>
      </c>
      <c r="D1272" t="s">
        <v>144</v>
      </c>
      <c r="E1272" t="s">
        <v>139</v>
      </c>
      <c r="F1272">
        <v>0</v>
      </c>
    </row>
    <row r="1273" spans="1:7" x14ac:dyDescent="0.55000000000000004">
      <c r="A1273">
        <v>106</v>
      </c>
      <c r="B1273" t="str">
        <f t="shared" si="22"/>
        <v>106_0</v>
      </c>
      <c r="C1273" t="s">
        <v>126</v>
      </c>
      <c r="D1273" t="s">
        <v>145</v>
      </c>
      <c r="E1273" t="s">
        <v>139</v>
      </c>
      <c r="F1273">
        <v>0</v>
      </c>
    </row>
    <row r="1274" spans="1:7" x14ac:dyDescent="0.55000000000000004">
      <c r="A1274">
        <v>106</v>
      </c>
      <c r="B1274" t="str">
        <f t="shared" si="22"/>
        <v>106_0</v>
      </c>
      <c r="C1274" t="s">
        <v>126</v>
      </c>
      <c r="D1274" t="s">
        <v>146</v>
      </c>
      <c r="E1274" t="s">
        <v>139</v>
      </c>
      <c r="F1274">
        <v>0</v>
      </c>
    </row>
    <row r="1275" spans="1:7" x14ac:dyDescent="0.55000000000000004">
      <c r="A1275">
        <v>106</v>
      </c>
      <c r="B1275" t="str">
        <f t="shared" si="22"/>
        <v>106_0</v>
      </c>
      <c r="C1275" t="s">
        <v>126</v>
      </c>
      <c r="D1275" t="s">
        <v>147</v>
      </c>
      <c r="E1275" t="s">
        <v>139</v>
      </c>
      <c r="F1275">
        <v>5</v>
      </c>
    </row>
    <row r="1276" spans="1:7" x14ac:dyDescent="0.55000000000000004">
      <c r="A1276">
        <v>106</v>
      </c>
      <c r="B1276" t="str">
        <f t="shared" ref="B1276:B1331" si="23">A1276 &amp; "_0"</f>
        <v>106_0</v>
      </c>
      <c r="C1276" t="s">
        <v>126</v>
      </c>
      <c r="D1276" t="s">
        <v>148</v>
      </c>
      <c r="E1276" t="s">
        <v>139</v>
      </c>
      <c r="F1276">
        <v>95</v>
      </c>
    </row>
    <row r="1277" spans="1:7" x14ac:dyDescent="0.55000000000000004">
      <c r="A1277">
        <v>106</v>
      </c>
      <c r="B1277" t="str">
        <f t="shared" si="23"/>
        <v>106_0</v>
      </c>
      <c r="C1277" t="s">
        <v>126</v>
      </c>
      <c r="D1277" t="s">
        <v>149</v>
      </c>
      <c r="E1277" t="s">
        <v>139</v>
      </c>
      <c r="F1277">
        <v>0</v>
      </c>
    </row>
    <row r="1278" spans="1:7" x14ac:dyDescent="0.55000000000000004">
      <c r="A1278">
        <v>106</v>
      </c>
      <c r="B1278" t="str">
        <f t="shared" si="23"/>
        <v>106_0</v>
      </c>
      <c r="C1278" t="s">
        <v>126</v>
      </c>
      <c r="D1278" t="s">
        <v>150</v>
      </c>
      <c r="E1278" t="s">
        <v>139</v>
      </c>
      <c r="F1278">
        <v>0</v>
      </c>
    </row>
    <row r="1279" spans="1:7" x14ac:dyDescent="0.55000000000000004">
      <c r="A1279">
        <v>106</v>
      </c>
      <c r="B1279" t="str">
        <f t="shared" si="23"/>
        <v>106_0</v>
      </c>
      <c r="C1279" t="s">
        <v>126</v>
      </c>
      <c r="D1279" t="s">
        <v>152</v>
      </c>
      <c r="E1279" t="s">
        <v>153</v>
      </c>
    </row>
    <row r="1280" spans="1:7" x14ac:dyDescent="0.55000000000000004">
      <c r="A1280">
        <v>106</v>
      </c>
      <c r="B1280" t="str">
        <f t="shared" si="23"/>
        <v>106_0</v>
      </c>
      <c r="C1280" t="s">
        <v>154</v>
      </c>
      <c r="D1280" t="s">
        <v>155</v>
      </c>
      <c r="E1280" t="s">
        <v>156</v>
      </c>
      <c r="F1280">
        <v>16.8</v>
      </c>
    </row>
    <row r="1281" spans="1:7" x14ac:dyDescent="0.55000000000000004">
      <c r="A1281">
        <v>106</v>
      </c>
      <c r="B1281" t="str">
        <f t="shared" si="23"/>
        <v>106_0</v>
      </c>
      <c r="C1281" t="s">
        <v>154</v>
      </c>
      <c r="D1281" t="s">
        <v>157</v>
      </c>
      <c r="E1281" t="s">
        <v>158</v>
      </c>
      <c r="F1281">
        <v>10.06</v>
      </c>
    </row>
    <row r="1282" spans="1:7" x14ac:dyDescent="0.55000000000000004">
      <c r="A1282">
        <v>106</v>
      </c>
      <c r="B1282" t="str">
        <f t="shared" si="23"/>
        <v>106_0</v>
      </c>
      <c r="C1282" t="s">
        <v>154</v>
      </c>
      <c r="D1282" t="s">
        <v>159</v>
      </c>
      <c r="E1282" t="s">
        <v>139</v>
      </c>
      <c r="F1282">
        <v>103.6</v>
      </c>
    </row>
    <row r="1283" spans="1:7" x14ac:dyDescent="0.55000000000000004">
      <c r="A1283">
        <v>106</v>
      </c>
      <c r="B1283" t="str">
        <f t="shared" si="23"/>
        <v>106_0</v>
      </c>
      <c r="C1283" t="s">
        <v>154</v>
      </c>
      <c r="D1283" t="s">
        <v>357</v>
      </c>
      <c r="E1283" t="s">
        <v>161</v>
      </c>
      <c r="F1283">
        <v>131.30000000000001</v>
      </c>
    </row>
    <row r="1284" spans="1:7" x14ac:dyDescent="0.55000000000000004">
      <c r="A1284">
        <f>A1283</f>
        <v>106</v>
      </c>
      <c r="B1284" t="str">
        <f>B1283</f>
        <v>106_0</v>
      </c>
      <c r="C1284" s="9" t="str">
        <f>C1283</f>
        <v>Chemical</v>
      </c>
      <c r="D1284" t="s">
        <v>356</v>
      </c>
      <c r="E1284" t="s">
        <v>161</v>
      </c>
      <c r="F1284">
        <f xml:space="preserve"> F1283 / (1 + 0.021 * (F1280 - 25))</f>
        <v>158.61319159217203</v>
      </c>
    </row>
    <row r="1285" spans="1:7" x14ac:dyDescent="0.55000000000000004">
      <c r="A1285">
        <v>106</v>
      </c>
      <c r="B1285" t="str">
        <f t="shared" si="23"/>
        <v>106_0</v>
      </c>
      <c r="C1285" t="s">
        <v>154</v>
      </c>
      <c r="D1285" t="s">
        <v>162</v>
      </c>
      <c r="F1285">
        <v>7.98</v>
      </c>
    </row>
    <row r="1286" spans="1:7" x14ac:dyDescent="0.55000000000000004">
      <c r="A1286">
        <v>106</v>
      </c>
      <c r="B1286" t="str">
        <f t="shared" si="23"/>
        <v>106_0</v>
      </c>
      <c r="C1286" t="s">
        <v>163</v>
      </c>
      <c r="D1286" t="s">
        <v>168</v>
      </c>
      <c r="E1286" t="s">
        <v>131</v>
      </c>
      <c r="F1286">
        <v>1</v>
      </c>
    </row>
    <row r="1287" spans="1:7" x14ac:dyDescent="0.55000000000000004">
      <c r="A1287">
        <v>106</v>
      </c>
      <c r="B1287" t="str">
        <f t="shared" si="23"/>
        <v>106_0</v>
      </c>
      <c r="C1287" t="s">
        <v>163</v>
      </c>
      <c r="D1287" t="s">
        <v>169</v>
      </c>
    </row>
    <row r="1288" spans="1:7" x14ac:dyDescent="0.55000000000000004">
      <c r="A1288">
        <v>106</v>
      </c>
      <c r="B1288" t="str">
        <f t="shared" si="23"/>
        <v>106_0</v>
      </c>
      <c r="C1288" t="s">
        <v>163</v>
      </c>
      <c r="D1288" t="s">
        <v>170</v>
      </c>
      <c r="E1288" t="s">
        <v>139</v>
      </c>
      <c r="F1288">
        <v>2</v>
      </c>
    </row>
    <row r="1289" spans="1:7" x14ac:dyDescent="0.55000000000000004">
      <c r="A1289">
        <v>106</v>
      </c>
      <c r="B1289" t="str">
        <f t="shared" si="23"/>
        <v>106_0</v>
      </c>
      <c r="C1289" t="s">
        <v>163</v>
      </c>
      <c r="D1289" t="s">
        <v>171</v>
      </c>
    </row>
    <row r="1290" spans="1:7" x14ac:dyDescent="0.55000000000000004">
      <c r="A1290">
        <v>107</v>
      </c>
      <c r="B1290" t="str">
        <f t="shared" si="23"/>
        <v>107_0</v>
      </c>
      <c r="C1290" t="s">
        <v>126</v>
      </c>
      <c r="D1290" t="s">
        <v>127</v>
      </c>
      <c r="E1290" t="s">
        <v>128</v>
      </c>
      <c r="F1290" s="1"/>
      <c r="G1290" t="s">
        <v>129</v>
      </c>
    </row>
    <row r="1291" spans="1:7" x14ac:dyDescent="0.55000000000000004">
      <c r="A1291">
        <v>107</v>
      </c>
      <c r="B1291" t="str">
        <f t="shared" si="23"/>
        <v>107_0</v>
      </c>
      <c r="C1291" t="s">
        <v>126</v>
      </c>
      <c r="D1291" s="11" t="s">
        <v>130</v>
      </c>
      <c r="E1291" t="s">
        <v>131</v>
      </c>
      <c r="F1291">
        <v>1</v>
      </c>
    </row>
    <row r="1292" spans="1:7" x14ac:dyDescent="0.55000000000000004">
      <c r="A1292">
        <v>107</v>
      </c>
      <c r="B1292" t="str">
        <f t="shared" si="23"/>
        <v>107_0</v>
      </c>
      <c r="C1292" t="s">
        <v>126</v>
      </c>
      <c r="D1292" t="s">
        <v>132</v>
      </c>
      <c r="E1292" t="s">
        <v>133</v>
      </c>
    </row>
    <row r="1293" spans="1:7" x14ac:dyDescent="0.55000000000000004">
      <c r="A1293">
        <v>107</v>
      </c>
      <c r="B1293" t="str">
        <f t="shared" si="23"/>
        <v>107_0</v>
      </c>
      <c r="C1293" t="s">
        <v>126</v>
      </c>
      <c r="D1293" t="s">
        <v>134</v>
      </c>
      <c r="E1293" t="s">
        <v>133</v>
      </c>
      <c r="F1293">
        <v>0.8</v>
      </c>
    </row>
    <row r="1294" spans="1:7" x14ac:dyDescent="0.55000000000000004">
      <c r="A1294">
        <v>107</v>
      </c>
      <c r="B1294" t="str">
        <f t="shared" si="23"/>
        <v>107_0</v>
      </c>
      <c r="C1294" t="s">
        <v>126</v>
      </c>
      <c r="D1294" t="s">
        <v>135</v>
      </c>
      <c r="E1294" t="s">
        <v>136</v>
      </c>
      <c r="F1294">
        <f>F1293/10</f>
        <v>0.08</v>
      </c>
      <c r="G1294" t="s">
        <v>137</v>
      </c>
    </row>
    <row r="1295" spans="1:7" x14ac:dyDescent="0.55000000000000004">
      <c r="A1295">
        <v>107</v>
      </c>
      <c r="B1295" t="str">
        <f t="shared" si="23"/>
        <v>107_0</v>
      </c>
      <c r="C1295" t="s">
        <v>126</v>
      </c>
      <c r="D1295" s="2" t="s">
        <v>138</v>
      </c>
      <c r="E1295" t="s">
        <v>139</v>
      </c>
      <c r="F1295">
        <v>0</v>
      </c>
    </row>
    <row r="1296" spans="1:7" x14ac:dyDescent="0.55000000000000004">
      <c r="A1296">
        <v>107</v>
      </c>
      <c r="B1296" t="str">
        <f t="shared" si="23"/>
        <v>107_0</v>
      </c>
      <c r="C1296" t="s">
        <v>126</v>
      </c>
      <c r="D1296" s="2" t="s">
        <v>140</v>
      </c>
    </row>
    <row r="1297" spans="1:6" x14ac:dyDescent="0.55000000000000004">
      <c r="A1297">
        <v>107</v>
      </c>
      <c r="B1297" t="str">
        <f t="shared" si="23"/>
        <v>107_0</v>
      </c>
      <c r="C1297" t="s">
        <v>126</v>
      </c>
      <c r="D1297" s="2" t="s">
        <v>141</v>
      </c>
      <c r="E1297" t="s">
        <v>139</v>
      </c>
      <c r="F1297">
        <v>0</v>
      </c>
    </row>
    <row r="1298" spans="1:6" x14ac:dyDescent="0.55000000000000004">
      <c r="A1298">
        <v>107</v>
      </c>
      <c r="B1298" t="str">
        <f t="shared" si="23"/>
        <v>107_0</v>
      </c>
      <c r="C1298" t="s">
        <v>126</v>
      </c>
      <c r="D1298" t="s">
        <v>142</v>
      </c>
      <c r="E1298" t="s">
        <v>139</v>
      </c>
      <c r="F1298">
        <v>0</v>
      </c>
    </row>
    <row r="1299" spans="1:6" x14ac:dyDescent="0.55000000000000004">
      <c r="A1299">
        <v>107</v>
      </c>
      <c r="B1299" t="str">
        <f t="shared" si="23"/>
        <v>107_0</v>
      </c>
      <c r="C1299" t="s">
        <v>126</v>
      </c>
      <c r="D1299" t="s">
        <v>143</v>
      </c>
      <c r="E1299" t="s">
        <v>131</v>
      </c>
      <c r="F1299">
        <v>0</v>
      </c>
    </row>
    <row r="1300" spans="1:6" x14ac:dyDescent="0.55000000000000004">
      <c r="A1300">
        <v>107</v>
      </c>
      <c r="B1300" t="str">
        <f t="shared" si="23"/>
        <v>107_0</v>
      </c>
      <c r="C1300" t="s">
        <v>126</v>
      </c>
      <c r="D1300" t="s">
        <v>144</v>
      </c>
      <c r="E1300" t="s">
        <v>139</v>
      </c>
      <c r="F1300">
        <v>0</v>
      </c>
    </row>
    <row r="1301" spans="1:6" x14ac:dyDescent="0.55000000000000004">
      <c r="A1301">
        <v>107</v>
      </c>
      <c r="B1301" t="str">
        <f t="shared" si="23"/>
        <v>107_0</v>
      </c>
      <c r="C1301" t="s">
        <v>126</v>
      </c>
      <c r="D1301" t="s">
        <v>145</v>
      </c>
      <c r="E1301" t="s">
        <v>139</v>
      </c>
      <c r="F1301">
        <v>0</v>
      </c>
    </row>
    <row r="1302" spans="1:6" x14ac:dyDescent="0.55000000000000004">
      <c r="A1302">
        <v>107</v>
      </c>
      <c r="B1302" t="str">
        <f t="shared" si="23"/>
        <v>107_0</v>
      </c>
      <c r="C1302" t="s">
        <v>126</v>
      </c>
      <c r="D1302" t="s">
        <v>146</v>
      </c>
      <c r="E1302" t="s">
        <v>139</v>
      </c>
      <c r="F1302">
        <v>0</v>
      </c>
    </row>
    <row r="1303" spans="1:6" x14ac:dyDescent="0.55000000000000004">
      <c r="A1303">
        <v>107</v>
      </c>
      <c r="B1303" t="str">
        <f t="shared" si="23"/>
        <v>107_0</v>
      </c>
      <c r="C1303" t="s">
        <v>126</v>
      </c>
      <c r="D1303" t="s">
        <v>147</v>
      </c>
      <c r="E1303" t="s">
        <v>139</v>
      </c>
      <c r="F1303">
        <v>50</v>
      </c>
    </row>
    <row r="1304" spans="1:6" x14ac:dyDescent="0.55000000000000004">
      <c r="A1304">
        <v>107</v>
      </c>
      <c r="B1304" t="str">
        <f t="shared" si="23"/>
        <v>107_0</v>
      </c>
      <c r="C1304" t="s">
        <v>126</v>
      </c>
      <c r="D1304" t="s">
        <v>148</v>
      </c>
      <c r="E1304" t="s">
        <v>139</v>
      </c>
      <c r="F1304">
        <v>50</v>
      </c>
    </row>
    <row r="1305" spans="1:6" x14ac:dyDescent="0.55000000000000004">
      <c r="A1305">
        <v>107</v>
      </c>
      <c r="B1305" t="str">
        <f t="shared" si="23"/>
        <v>107_0</v>
      </c>
      <c r="C1305" t="s">
        <v>126</v>
      </c>
      <c r="D1305" t="s">
        <v>149</v>
      </c>
      <c r="E1305" t="s">
        <v>139</v>
      </c>
      <c r="F1305">
        <v>0</v>
      </c>
    </row>
    <row r="1306" spans="1:6" x14ac:dyDescent="0.55000000000000004">
      <c r="A1306">
        <v>107</v>
      </c>
      <c r="B1306" t="str">
        <f t="shared" si="23"/>
        <v>107_0</v>
      </c>
      <c r="C1306" t="s">
        <v>126</v>
      </c>
      <c r="D1306" t="s">
        <v>150</v>
      </c>
      <c r="E1306" t="s">
        <v>139</v>
      </c>
      <c r="F1306">
        <v>0</v>
      </c>
    </row>
    <row r="1307" spans="1:6" x14ac:dyDescent="0.55000000000000004">
      <c r="A1307">
        <v>107</v>
      </c>
      <c r="B1307" t="str">
        <f t="shared" si="23"/>
        <v>107_0</v>
      </c>
      <c r="C1307" t="s">
        <v>126</v>
      </c>
      <c r="D1307" t="s">
        <v>152</v>
      </c>
      <c r="E1307" t="s">
        <v>153</v>
      </c>
    </row>
    <row r="1308" spans="1:6" x14ac:dyDescent="0.55000000000000004">
      <c r="A1308">
        <v>107</v>
      </c>
      <c r="B1308" t="str">
        <f t="shared" si="23"/>
        <v>107_0</v>
      </c>
      <c r="C1308" t="s">
        <v>154</v>
      </c>
      <c r="D1308" t="s">
        <v>155</v>
      </c>
      <c r="E1308" t="s">
        <v>156</v>
      </c>
      <c r="F1308">
        <v>18</v>
      </c>
    </row>
    <row r="1309" spans="1:6" x14ac:dyDescent="0.55000000000000004">
      <c r="A1309">
        <v>107</v>
      </c>
      <c r="B1309" t="str">
        <f t="shared" si="23"/>
        <v>107_0</v>
      </c>
      <c r="C1309" t="s">
        <v>154</v>
      </c>
      <c r="D1309" t="s">
        <v>157</v>
      </c>
      <c r="E1309" t="s">
        <v>158</v>
      </c>
      <c r="F1309">
        <v>9.66</v>
      </c>
    </row>
    <row r="1310" spans="1:6" x14ac:dyDescent="0.55000000000000004">
      <c r="A1310">
        <v>107</v>
      </c>
      <c r="B1310" t="str">
        <f t="shared" si="23"/>
        <v>107_0</v>
      </c>
      <c r="C1310" t="s">
        <v>154</v>
      </c>
      <c r="D1310" t="s">
        <v>159</v>
      </c>
      <c r="E1310" t="s">
        <v>139</v>
      </c>
      <c r="F1310">
        <v>101.8</v>
      </c>
    </row>
    <row r="1311" spans="1:6" x14ac:dyDescent="0.55000000000000004">
      <c r="A1311">
        <v>107</v>
      </c>
      <c r="B1311" t="str">
        <f t="shared" si="23"/>
        <v>107_0</v>
      </c>
      <c r="C1311" t="s">
        <v>154</v>
      </c>
      <c r="D1311" t="s">
        <v>357</v>
      </c>
      <c r="E1311" t="s">
        <v>161</v>
      </c>
      <c r="F1311">
        <v>137.69999999999999</v>
      </c>
    </row>
    <row r="1312" spans="1:6" x14ac:dyDescent="0.55000000000000004">
      <c r="A1312">
        <f>A1311</f>
        <v>107</v>
      </c>
      <c r="B1312" t="str">
        <f>B1311</f>
        <v>107_0</v>
      </c>
      <c r="C1312" s="9" t="str">
        <f>C1311</f>
        <v>Chemical</v>
      </c>
      <c r="D1312" t="s">
        <v>356</v>
      </c>
      <c r="E1312" t="s">
        <v>161</v>
      </c>
      <c r="F1312">
        <f xml:space="preserve"> F1311 / (1 + 0.021 * (F1308 - 25))</f>
        <v>161.43024618991794</v>
      </c>
    </row>
    <row r="1313" spans="1:7" x14ac:dyDescent="0.55000000000000004">
      <c r="A1313">
        <v>107</v>
      </c>
      <c r="B1313" t="str">
        <f t="shared" si="23"/>
        <v>107_0</v>
      </c>
      <c r="C1313" t="s">
        <v>154</v>
      </c>
      <c r="D1313" t="s">
        <v>162</v>
      </c>
      <c r="F1313">
        <v>7.89</v>
      </c>
    </row>
    <row r="1314" spans="1:7" x14ac:dyDescent="0.55000000000000004">
      <c r="A1314">
        <v>107</v>
      </c>
      <c r="B1314" t="str">
        <f t="shared" si="23"/>
        <v>107_0</v>
      </c>
      <c r="C1314" t="s">
        <v>163</v>
      </c>
      <c r="D1314" t="s">
        <v>168</v>
      </c>
      <c r="E1314" t="s">
        <v>131</v>
      </c>
      <c r="F1314">
        <v>0</v>
      </c>
    </row>
    <row r="1315" spans="1:7" x14ac:dyDescent="0.55000000000000004">
      <c r="A1315">
        <v>107</v>
      </c>
      <c r="B1315" t="str">
        <f t="shared" si="23"/>
        <v>107_0</v>
      </c>
      <c r="C1315" t="s">
        <v>163</v>
      </c>
      <c r="D1315" t="s">
        <v>169</v>
      </c>
    </row>
    <row r="1316" spans="1:7" x14ac:dyDescent="0.55000000000000004">
      <c r="A1316">
        <v>107</v>
      </c>
      <c r="B1316" t="str">
        <f t="shared" si="23"/>
        <v>107_0</v>
      </c>
      <c r="C1316" t="s">
        <v>163</v>
      </c>
      <c r="D1316" t="s">
        <v>170</v>
      </c>
      <c r="E1316" t="s">
        <v>139</v>
      </c>
      <c r="F1316">
        <v>0</v>
      </c>
    </row>
    <row r="1317" spans="1:7" x14ac:dyDescent="0.55000000000000004">
      <c r="A1317">
        <v>107</v>
      </c>
      <c r="B1317" t="str">
        <f t="shared" si="23"/>
        <v>107_0</v>
      </c>
      <c r="C1317" t="s">
        <v>163</v>
      </c>
      <c r="D1317" t="s">
        <v>171</v>
      </c>
    </row>
    <row r="1318" spans="1:7" x14ac:dyDescent="0.55000000000000004">
      <c r="A1318">
        <v>108</v>
      </c>
      <c r="B1318" t="str">
        <f t="shared" si="23"/>
        <v>108_0</v>
      </c>
      <c r="C1318" t="s">
        <v>126</v>
      </c>
      <c r="D1318" t="s">
        <v>127</v>
      </c>
      <c r="E1318" t="s">
        <v>128</v>
      </c>
      <c r="F1318" s="1"/>
      <c r="G1318" t="s">
        <v>129</v>
      </c>
    </row>
    <row r="1319" spans="1:7" x14ac:dyDescent="0.55000000000000004">
      <c r="A1319">
        <v>108</v>
      </c>
      <c r="B1319" t="str">
        <f t="shared" si="23"/>
        <v>108_0</v>
      </c>
      <c r="C1319" t="s">
        <v>126</v>
      </c>
      <c r="D1319" s="11" t="s">
        <v>130</v>
      </c>
      <c r="E1319" t="s">
        <v>131</v>
      </c>
      <c r="F1319">
        <v>1</v>
      </c>
    </row>
    <row r="1320" spans="1:7" x14ac:dyDescent="0.55000000000000004">
      <c r="A1320">
        <v>108</v>
      </c>
      <c r="B1320" t="str">
        <f t="shared" si="23"/>
        <v>108_0</v>
      </c>
      <c r="C1320" t="s">
        <v>126</v>
      </c>
      <c r="D1320" t="s">
        <v>132</v>
      </c>
      <c r="E1320" t="s">
        <v>133</v>
      </c>
    </row>
    <row r="1321" spans="1:7" x14ac:dyDescent="0.55000000000000004">
      <c r="A1321">
        <v>108</v>
      </c>
      <c r="B1321" t="str">
        <f t="shared" si="23"/>
        <v>108_0</v>
      </c>
      <c r="C1321" t="s">
        <v>126</v>
      </c>
      <c r="D1321" t="s">
        <v>134</v>
      </c>
      <c r="E1321" t="s">
        <v>133</v>
      </c>
      <c r="F1321">
        <v>1.5</v>
      </c>
    </row>
    <row r="1322" spans="1:7" x14ac:dyDescent="0.55000000000000004">
      <c r="A1322">
        <v>108</v>
      </c>
      <c r="B1322" t="str">
        <f t="shared" si="23"/>
        <v>108_0</v>
      </c>
      <c r="C1322" t="s">
        <v>126</v>
      </c>
      <c r="D1322" t="s">
        <v>135</v>
      </c>
      <c r="E1322" t="s">
        <v>136</v>
      </c>
      <c r="F1322">
        <f>F1321/10</f>
        <v>0.15</v>
      </c>
      <c r="G1322" t="s">
        <v>137</v>
      </c>
    </row>
    <row r="1323" spans="1:7" x14ac:dyDescent="0.55000000000000004">
      <c r="A1323">
        <v>108</v>
      </c>
      <c r="B1323" t="str">
        <f t="shared" si="23"/>
        <v>108_0</v>
      </c>
      <c r="C1323" t="s">
        <v>126</v>
      </c>
      <c r="D1323" s="2" t="s">
        <v>138</v>
      </c>
      <c r="E1323" t="s">
        <v>139</v>
      </c>
      <c r="F1323">
        <v>0</v>
      </c>
    </row>
    <row r="1324" spans="1:7" x14ac:dyDescent="0.55000000000000004">
      <c r="A1324">
        <v>108</v>
      </c>
      <c r="B1324" t="str">
        <f t="shared" si="23"/>
        <v>108_0</v>
      </c>
      <c r="C1324" t="s">
        <v>126</v>
      </c>
      <c r="D1324" s="2" t="s">
        <v>140</v>
      </c>
    </row>
    <row r="1325" spans="1:7" x14ac:dyDescent="0.55000000000000004">
      <c r="A1325">
        <v>108</v>
      </c>
      <c r="B1325" t="str">
        <f t="shared" si="23"/>
        <v>108_0</v>
      </c>
      <c r="C1325" t="s">
        <v>126</v>
      </c>
      <c r="D1325" s="2" t="s">
        <v>141</v>
      </c>
      <c r="E1325" t="s">
        <v>139</v>
      </c>
      <c r="F1325">
        <v>0</v>
      </c>
    </row>
    <row r="1326" spans="1:7" x14ac:dyDescent="0.55000000000000004">
      <c r="A1326">
        <v>108</v>
      </c>
      <c r="B1326" t="str">
        <f t="shared" si="23"/>
        <v>108_0</v>
      </c>
      <c r="C1326" t="s">
        <v>126</v>
      </c>
      <c r="D1326" t="s">
        <v>142</v>
      </c>
      <c r="E1326" t="s">
        <v>139</v>
      </c>
      <c r="F1326">
        <v>0</v>
      </c>
    </row>
    <row r="1327" spans="1:7" x14ac:dyDescent="0.55000000000000004">
      <c r="A1327">
        <v>108</v>
      </c>
      <c r="B1327" t="str">
        <f t="shared" si="23"/>
        <v>108_0</v>
      </c>
      <c r="C1327" t="s">
        <v>126</v>
      </c>
      <c r="D1327" t="s">
        <v>143</v>
      </c>
      <c r="E1327" t="s">
        <v>131</v>
      </c>
      <c r="F1327">
        <v>0</v>
      </c>
    </row>
    <row r="1328" spans="1:7" x14ac:dyDescent="0.55000000000000004">
      <c r="A1328">
        <v>108</v>
      </c>
      <c r="B1328" t="str">
        <f t="shared" si="23"/>
        <v>108_0</v>
      </c>
      <c r="C1328" t="s">
        <v>126</v>
      </c>
      <c r="D1328" t="s">
        <v>144</v>
      </c>
      <c r="E1328" t="s">
        <v>139</v>
      </c>
      <c r="F1328">
        <v>0</v>
      </c>
    </row>
    <row r="1329" spans="1:6" x14ac:dyDescent="0.55000000000000004">
      <c r="A1329">
        <v>108</v>
      </c>
      <c r="B1329" t="str">
        <f t="shared" si="23"/>
        <v>108_0</v>
      </c>
      <c r="C1329" t="s">
        <v>126</v>
      </c>
      <c r="D1329" t="s">
        <v>145</v>
      </c>
      <c r="E1329" t="s">
        <v>139</v>
      </c>
      <c r="F1329">
        <v>0</v>
      </c>
    </row>
    <row r="1330" spans="1:6" x14ac:dyDescent="0.55000000000000004">
      <c r="A1330">
        <v>108</v>
      </c>
      <c r="B1330" t="str">
        <f t="shared" si="23"/>
        <v>108_0</v>
      </c>
      <c r="C1330" t="s">
        <v>126</v>
      </c>
      <c r="D1330" t="s">
        <v>146</v>
      </c>
      <c r="E1330" t="s">
        <v>139</v>
      </c>
      <c r="F1330">
        <v>0</v>
      </c>
    </row>
    <row r="1331" spans="1:6" x14ac:dyDescent="0.55000000000000004">
      <c r="A1331">
        <v>108</v>
      </c>
      <c r="B1331" t="str">
        <f t="shared" si="23"/>
        <v>108_0</v>
      </c>
      <c r="C1331" t="s">
        <v>126</v>
      </c>
      <c r="D1331" t="s">
        <v>147</v>
      </c>
      <c r="E1331" t="s">
        <v>139</v>
      </c>
      <c r="F1331">
        <v>0</v>
      </c>
    </row>
    <row r="1332" spans="1:6" x14ac:dyDescent="0.55000000000000004">
      <c r="A1332">
        <v>108</v>
      </c>
      <c r="B1332" t="str">
        <f t="shared" ref="B1332:B1415" si="24">A1332 &amp; "_0"</f>
        <v>108_0</v>
      </c>
      <c r="C1332" t="s">
        <v>126</v>
      </c>
      <c r="D1332" t="s">
        <v>148</v>
      </c>
      <c r="E1332" t="s">
        <v>139</v>
      </c>
      <c r="F1332">
        <v>100</v>
      </c>
    </row>
    <row r="1333" spans="1:6" x14ac:dyDescent="0.55000000000000004">
      <c r="A1333">
        <v>108</v>
      </c>
      <c r="B1333" t="str">
        <f t="shared" si="24"/>
        <v>108_0</v>
      </c>
      <c r="C1333" t="s">
        <v>126</v>
      </c>
      <c r="D1333" t="s">
        <v>149</v>
      </c>
      <c r="E1333" t="s">
        <v>139</v>
      </c>
      <c r="F1333">
        <v>0</v>
      </c>
    </row>
    <row r="1334" spans="1:6" x14ac:dyDescent="0.55000000000000004">
      <c r="A1334">
        <v>108</v>
      </c>
      <c r="B1334" t="str">
        <f t="shared" si="24"/>
        <v>108_0</v>
      </c>
      <c r="C1334" t="s">
        <v>126</v>
      </c>
      <c r="D1334" t="s">
        <v>150</v>
      </c>
      <c r="E1334" t="s">
        <v>139</v>
      </c>
      <c r="F1334">
        <v>0</v>
      </c>
    </row>
    <row r="1335" spans="1:6" x14ac:dyDescent="0.55000000000000004">
      <c r="A1335">
        <v>108</v>
      </c>
      <c r="B1335" t="str">
        <f t="shared" si="24"/>
        <v>108_0</v>
      </c>
      <c r="C1335" t="s">
        <v>126</v>
      </c>
      <c r="D1335" t="s">
        <v>152</v>
      </c>
      <c r="E1335" t="s">
        <v>153</v>
      </c>
    </row>
    <row r="1336" spans="1:6" x14ac:dyDescent="0.55000000000000004">
      <c r="A1336">
        <v>108</v>
      </c>
      <c r="B1336" t="str">
        <f t="shared" si="24"/>
        <v>108_0</v>
      </c>
      <c r="C1336" t="s">
        <v>154</v>
      </c>
      <c r="D1336" t="s">
        <v>155</v>
      </c>
      <c r="E1336" t="s">
        <v>156</v>
      </c>
      <c r="F1336">
        <v>16.899999999999999</v>
      </c>
    </row>
    <row r="1337" spans="1:6" x14ac:dyDescent="0.55000000000000004">
      <c r="A1337">
        <v>108</v>
      </c>
      <c r="B1337" t="str">
        <f t="shared" si="24"/>
        <v>108_0</v>
      </c>
      <c r="C1337" t="s">
        <v>154</v>
      </c>
      <c r="D1337" t="s">
        <v>157</v>
      </c>
      <c r="E1337" t="s">
        <v>158</v>
      </c>
      <c r="F1337">
        <v>10.31</v>
      </c>
    </row>
    <row r="1338" spans="1:6" x14ac:dyDescent="0.55000000000000004">
      <c r="A1338">
        <v>108</v>
      </c>
      <c r="B1338" t="str">
        <f t="shared" si="24"/>
        <v>108_0</v>
      </c>
      <c r="C1338" t="s">
        <v>154</v>
      </c>
      <c r="D1338" t="s">
        <v>159</v>
      </c>
      <c r="E1338" t="s">
        <v>139</v>
      </c>
      <c r="F1338">
        <v>106.5</v>
      </c>
    </row>
    <row r="1339" spans="1:6" x14ac:dyDescent="0.55000000000000004">
      <c r="A1339">
        <v>108</v>
      </c>
      <c r="B1339" t="str">
        <f t="shared" si="24"/>
        <v>108_0</v>
      </c>
      <c r="C1339" t="s">
        <v>154</v>
      </c>
      <c r="D1339" t="s">
        <v>357</v>
      </c>
      <c r="E1339" t="s">
        <v>161</v>
      </c>
      <c r="F1339">
        <v>145.19999999999999</v>
      </c>
    </row>
    <row r="1340" spans="1:6" x14ac:dyDescent="0.55000000000000004">
      <c r="A1340">
        <f>A1339</f>
        <v>108</v>
      </c>
      <c r="B1340" t="str">
        <f>B1339</f>
        <v>108_0</v>
      </c>
      <c r="C1340" s="9" t="str">
        <f>C1339</f>
        <v>Chemical</v>
      </c>
      <c r="D1340" t="s">
        <v>356</v>
      </c>
      <c r="E1340" t="s">
        <v>161</v>
      </c>
      <c r="F1340">
        <f xml:space="preserve"> F1339 / (1 + 0.021 * (F1336 - 25))</f>
        <v>174.96083865525966</v>
      </c>
    </row>
    <row r="1341" spans="1:6" x14ac:dyDescent="0.55000000000000004">
      <c r="A1341">
        <v>108</v>
      </c>
      <c r="B1341" t="str">
        <f t="shared" si="24"/>
        <v>108_0</v>
      </c>
      <c r="C1341" t="s">
        <v>154</v>
      </c>
      <c r="D1341" t="s">
        <v>162</v>
      </c>
      <c r="F1341">
        <v>6.44</v>
      </c>
    </row>
    <row r="1342" spans="1:6" x14ac:dyDescent="0.55000000000000004">
      <c r="A1342">
        <v>108</v>
      </c>
      <c r="B1342" t="str">
        <f t="shared" si="24"/>
        <v>108_0</v>
      </c>
      <c r="C1342" t="s">
        <v>163</v>
      </c>
      <c r="D1342" t="s">
        <v>168</v>
      </c>
      <c r="E1342" t="s">
        <v>131</v>
      </c>
      <c r="F1342">
        <v>0</v>
      </c>
    </row>
    <row r="1343" spans="1:6" x14ac:dyDescent="0.55000000000000004">
      <c r="A1343">
        <v>108</v>
      </c>
      <c r="B1343" t="str">
        <f t="shared" si="24"/>
        <v>108_0</v>
      </c>
      <c r="C1343" t="s">
        <v>163</v>
      </c>
      <c r="D1343" t="s">
        <v>169</v>
      </c>
    </row>
    <row r="1344" spans="1:6" x14ac:dyDescent="0.55000000000000004">
      <c r="A1344">
        <v>108</v>
      </c>
      <c r="B1344" t="str">
        <f t="shared" si="24"/>
        <v>108_0</v>
      </c>
      <c r="C1344" t="s">
        <v>163</v>
      </c>
      <c r="D1344" t="s">
        <v>170</v>
      </c>
      <c r="E1344" t="s">
        <v>139</v>
      </c>
      <c r="F1344">
        <v>0</v>
      </c>
    </row>
    <row r="1345" spans="1:7" x14ac:dyDescent="0.55000000000000004">
      <c r="A1345">
        <v>108</v>
      </c>
      <c r="B1345" t="str">
        <f t="shared" si="24"/>
        <v>108_0</v>
      </c>
      <c r="C1345" t="s">
        <v>163</v>
      </c>
      <c r="D1345" t="s">
        <v>171</v>
      </c>
    </row>
    <row r="1346" spans="1:7" x14ac:dyDescent="0.55000000000000004">
      <c r="A1346">
        <v>109</v>
      </c>
      <c r="B1346" t="str">
        <f t="shared" si="24"/>
        <v>109_0</v>
      </c>
      <c r="C1346" t="s">
        <v>126</v>
      </c>
      <c r="D1346" t="s">
        <v>127</v>
      </c>
      <c r="E1346" t="s">
        <v>128</v>
      </c>
      <c r="F1346" s="1"/>
      <c r="G1346" t="s">
        <v>129</v>
      </c>
    </row>
    <row r="1347" spans="1:7" x14ac:dyDescent="0.55000000000000004">
      <c r="A1347">
        <v>109</v>
      </c>
      <c r="B1347" t="str">
        <f t="shared" si="24"/>
        <v>109_0</v>
      </c>
      <c r="C1347" t="s">
        <v>126</v>
      </c>
      <c r="D1347" s="11" t="s">
        <v>130</v>
      </c>
      <c r="E1347" t="s">
        <v>131</v>
      </c>
      <c r="F1347">
        <v>1</v>
      </c>
    </row>
    <row r="1348" spans="1:7" x14ac:dyDescent="0.55000000000000004">
      <c r="A1348">
        <v>109</v>
      </c>
      <c r="B1348" t="str">
        <f t="shared" si="24"/>
        <v>109_0</v>
      </c>
      <c r="C1348" t="s">
        <v>126</v>
      </c>
      <c r="D1348" t="s">
        <v>132</v>
      </c>
      <c r="E1348" t="s">
        <v>133</v>
      </c>
    </row>
    <row r="1349" spans="1:7" x14ac:dyDescent="0.55000000000000004">
      <c r="A1349">
        <v>109</v>
      </c>
      <c r="B1349" t="str">
        <f t="shared" si="24"/>
        <v>109_0</v>
      </c>
      <c r="C1349" t="s">
        <v>126</v>
      </c>
      <c r="D1349" t="s">
        <v>134</v>
      </c>
      <c r="E1349" t="s">
        <v>133</v>
      </c>
      <c r="F1349">
        <v>1.5</v>
      </c>
    </row>
    <row r="1350" spans="1:7" x14ac:dyDescent="0.55000000000000004">
      <c r="A1350">
        <v>109</v>
      </c>
      <c r="B1350" t="str">
        <f t="shared" si="24"/>
        <v>109_0</v>
      </c>
      <c r="C1350" t="s">
        <v>126</v>
      </c>
      <c r="D1350" t="s">
        <v>135</v>
      </c>
      <c r="E1350" t="s">
        <v>136</v>
      </c>
      <c r="F1350">
        <f>F1349/10</f>
        <v>0.15</v>
      </c>
    </row>
    <row r="1351" spans="1:7" x14ac:dyDescent="0.55000000000000004">
      <c r="A1351">
        <v>109</v>
      </c>
      <c r="B1351" t="str">
        <f t="shared" si="24"/>
        <v>109_0</v>
      </c>
      <c r="C1351" t="s">
        <v>126</v>
      </c>
      <c r="D1351" s="2" t="s">
        <v>138</v>
      </c>
      <c r="E1351" t="s">
        <v>139</v>
      </c>
      <c r="F1351">
        <v>100</v>
      </c>
    </row>
    <row r="1352" spans="1:7" x14ac:dyDescent="0.55000000000000004">
      <c r="A1352">
        <v>109</v>
      </c>
      <c r="B1352" t="str">
        <f t="shared" si="24"/>
        <v>109_0</v>
      </c>
      <c r="C1352" t="s">
        <v>126</v>
      </c>
      <c r="D1352" s="2" t="s">
        <v>140</v>
      </c>
    </row>
    <row r="1353" spans="1:7" x14ac:dyDescent="0.55000000000000004">
      <c r="A1353">
        <v>109</v>
      </c>
      <c r="B1353" t="str">
        <f t="shared" si="24"/>
        <v>109_0</v>
      </c>
      <c r="C1353" t="s">
        <v>126</v>
      </c>
      <c r="D1353" s="2" t="s">
        <v>141</v>
      </c>
      <c r="E1353" t="s">
        <v>139</v>
      </c>
      <c r="F1353">
        <v>100</v>
      </c>
    </row>
    <row r="1354" spans="1:7" x14ac:dyDescent="0.55000000000000004">
      <c r="A1354">
        <v>109</v>
      </c>
      <c r="B1354" t="str">
        <f t="shared" si="24"/>
        <v>109_0</v>
      </c>
      <c r="C1354" t="s">
        <v>126</v>
      </c>
      <c r="D1354" t="s">
        <v>142</v>
      </c>
      <c r="E1354" t="s">
        <v>139</v>
      </c>
      <c r="F1354">
        <v>0</v>
      </c>
    </row>
    <row r="1355" spans="1:7" x14ac:dyDescent="0.55000000000000004">
      <c r="A1355">
        <v>109</v>
      </c>
      <c r="B1355" t="str">
        <f t="shared" si="24"/>
        <v>109_0</v>
      </c>
      <c r="C1355" t="s">
        <v>126</v>
      </c>
      <c r="D1355" t="s">
        <v>143</v>
      </c>
      <c r="E1355" t="s">
        <v>131</v>
      </c>
      <c r="F1355">
        <v>0</v>
      </c>
    </row>
    <row r="1356" spans="1:7" x14ac:dyDescent="0.55000000000000004">
      <c r="A1356">
        <v>109</v>
      </c>
      <c r="B1356" t="str">
        <f t="shared" si="24"/>
        <v>109_0</v>
      </c>
      <c r="C1356" t="s">
        <v>126</v>
      </c>
      <c r="D1356" t="s">
        <v>144</v>
      </c>
      <c r="E1356" t="s">
        <v>139</v>
      </c>
      <c r="F1356">
        <v>0</v>
      </c>
    </row>
    <row r="1357" spans="1:7" x14ac:dyDescent="0.55000000000000004">
      <c r="A1357">
        <v>109</v>
      </c>
      <c r="B1357" t="str">
        <f t="shared" si="24"/>
        <v>109_0</v>
      </c>
      <c r="C1357" t="s">
        <v>126</v>
      </c>
      <c r="D1357" t="s">
        <v>145</v>
      </c>
      <c r="E1357" t="s">
        <v>139</v>
      </c>
      <c r="F1357">
        <v>30</v>
      </c>
    </row>
    <row r="1358" spans="1:7" x14ac:dyDescent="0.55000000000000004">
      <c r="A1358">
        <v>109</v>
      </c>
      <c r="B1358" t="str">
        <f t="shared" si="24"/>
        <v>109_0</v>
      </c>
      <c r="C1358" t="s">
        <v>126</v>
      </c>
      <c r="D1358" t="s">
        <v>146</v>
      </c>
      <c r="E1358" t="s">
        <v>139</v>
      </c>
      <c r="F1358">
        <v>0</v>
      </c>
    </row>
    <row r="1359" spans="1:7" x14ac:dyDescent="0.55000000000000004">
      <c r="A1359">
        <v>109</v>
      </c>
      <c r="B1359" t="str">
        <f t="shared" si="24"/>
        <v>109_0</v>
      </c>
      <c r="C1359" t="s">
        <v>126</v>
      </c>
      <c r="D1359" t="s">
        <v>147</v>
      </c>
      <c r="E1359" t="s">
        <v>139</v>
      </c>
      <c r="F1359">
        <v>0</v>
      </c>
    </row>
    <row r="1360" spans="1:7" x14ac:dyDescent="0.55000000000000004">
      <c r="A1360">
        <v>109</v>
      </c>
      <c r="B1360" t="str">
        <f t="shared" si="24"/>
        <v>109_0</v>
      </c>
      <c r="C1360" t="s">
        <v>126</v>
      </c>
      <c r="D1360" t="s">
        <v>148</v>
      </c>
      <c r="E1360" t="s">
        <v>139</v>
      </c>
      <c r="F1360">
        <v>70</v>
      </c>
    </row>
    <row r="1361" spans="1:7" x14ac:dyDescent="0.55000000000000004">
      <c r="A1361">
        <v>109</v>
      </c>
      <c r="B1361" t="str">
        <f t="shared" si="24"/>
        <v>109_0</v>
      </c>
      <c r="C1361" t="s">
        <v>126</v>
      </c>
      <c r="D1361" t="s">
        <v>149</v>
      </c>
      <c r="E1361" t="s">
        <v>139</v>
      </c>
      <c r="F1361">
        <v>0</v>
      </c>
    </row>
    <row r="1362" spans="1:7" x14ac:dyDescent="0.55000000000000004">
      <c r="A1362">
        <v>109</v>
      </c>
      <c r="B1362" t="str">
        <f t="shared" si="24"/>
        <v>109_0</v>
      </c>
      <c r="C1362" t="s">
        <v>126</v>
      </c>
      <c r="D1362" t="s">
        <v>150</v>
      </c>
      <c r="E1362" t="s">
        <v>139</v>
      </c>
      <c r="F1362">
        <v>0</v>
      </c>
    </row>
    <row r="1363" spans="1:7" x14ac:dyDescent="0.55000000000000004">
      <c r="A1363">
        <v>109</v>
      </c>
      <c r="B1363" t="str">
        <f t="shared" si="24"/>
        <v>109_0</v>
      </c>
      <c r="C1363" t="s">
        <v>126</v>
      </c>
      <c r="D1363" t="s">
        <v>152</v>
      </c>
      <c r="E1363" t="s">
        <v>153</v>
      </c>
    </row>
    <row r="1364" spans="1:7" x14ac:dyDescent="0.55000000000000004">
      <c r="A1364">
        <v>109</v>
      </c>
      <c r="B1364" t="str">
        <f t="shared" si="24"/>
        <v>109_0</v>
      </c>
      <c r="C1364" t="s">
        <v>154</v>
      </c>
      <c r="D1364" t="s">
        <v>155</v>
      </c>
      <c r="E1364" t="s">
        <v>156</v>
      </c>
      <c r="F1364">
        <v>16.3</v>
      </c>
    </row>
    <row r="1365" spans="1:7" x14ac:dyDescent="0.55000000000000004">
      <c r="A1365">
        <v>109</v>
      </c>
      <c r="B1365" t="str">
        <f t="shared" si="24"/>
        <v>109_0</v>
      </c>
      <c r="C1365" t="s">
        <v>154</v>
      </c>
      <c r="D1365" t="s">
        <v>157</v>
      </c>
      <c r="E1365" t="s">
        <v>158</v>
      </c>
      <c r="F1365">
        <v>9.2100000000000009</v>
      </c>
    </row>
    <row r="1366" spans="1:7" x14ac:dyDescent="0.55000000000000004">
      <c r="A1366">
        <v>109</v>
      </c>
      <c r="B1366" t="str">
        <f t="shared" si="24"/>
        <v>109_0</v>
      </c>
      <c r="C1366" t="s">
        <v>154</v>
      </c>
      <c r="D1366" t="s">
        <v>159</v>
      </c>
      <c r="E1366" t="s">
        <v>139</v>
      </c>
      <c r="F1366">
        <v>93.8</v>
      </c>
    </row>
    <row r="1367" spans="1:7" x14ac:dyDescent="0.55000000000000004">
      <c r="A1367">
        <v>109</v>
      </c>
      <c r="B1367" t="str">
        <f t="shared" si="24"/>
        <v>109_0</v>
      </c>
      <c r="C1367" t="s">
        <v>154</v>
      </c>
      <c r="D1367" t="s">
        <v>357</v>
      </c>
      <c r="E1367" t="s">
        <v>161</v>
      </c>
      <c r="F1367">
        <v>61.9</v>
      </c>
    </row>
    <row r="1368" spans="1:7" x14ac:dyDescent="0.55000000000000004">
      <c r="A1368">
        <f>A1367</f>
        <v>109</v>
      </c>
      <c r="B1368" t="str">
        <f>B1367</f>
        <v>109_0</v>
      </c>
      <c r="C1368" s="9" t="str">
        <f>C1367</f>
        <v>Chemical</v>
      </c>
      <c r="D1368" t="s">
        <v>356</v>
      </c>
      <c r="E1368" t="s">
        <v>161</v>
      </c>
      <c r="F1368">
        <f xml:space="preserve"> F1367 / (1 + 0.021 * (F1364 - 25))</f>
        <v>75.737183408785015</v>
      </c>
    </row>
    <row r="1369" spans="1:7" x14ac:dyDescent="0.55000000000000004">
      <c r="A1369">
        <v>109</v>
      </c>
      <c r="B1369" t="str">
        <f t="shared" si="24"/>
        <v>109_0</v>
      </c>
      <c r="C1369" t="s">
        <v>154</v>
      </c>
      <c r="D1369" t="s">
        <v>162</v>
      </c>
      <c r="F1369">
        <v>8.2799999999999994</v>
      </c>
    </row>
    <row r="1370" spans="1:7" x14ac:dyDescent="0.55000000000000004">
      <c r="A1370">
        <v>109</v>
      </c>
      <c r="B1370" t="str">
        <f t="shared" si="24"/>
        <v>109_0</v>
      </c>
      <c r="C1370" t="s">
        <v>163</v>
      </c>
      <c r="D1370" t="s">
        <v>168</v>
      </c>
      <c r="E1370" t="s">
        <v>131</v>
      </c>
      <c r="F1370">
        <v>0</v>
      </c>
    </row>
    <row r="1371" spans="1:7" x14ac:dyDescent="0.55000000000000004">
      <c r="A1371">
        <v>109</v>
      </c>
      <c r="B1371" t="str">
        <f t="shared" si="24"/>
        <v>109_0</v>
      </c>
      <c r="C1371" t="s">
        <v>163</v>
      </c>
      <c r="D1371" t="s">
        <v>169</v>
      </c>
    </row>
    <row r="1372" spans="1:7" x14ac:dyDescent="0.55000000000000004">
      <c r="A1372">
        <v>109</v>
      </c>
      <c r="B1372" t="str">
        <f t="shared" si="24"/>
        <v>109_0</v>
      </c>
      <c r="C1372" t="s">
        <v>163</v>
      </c>
      <c r="D1372" t="s">
        <v>170</v>
      </c>
      <c r="E1372" t="s">
        <v>139</v>
      </c>
      <c r="F1372">
        <v>40</v>
      </c>
    </row>
    <row r="1373" spans="1:7" x14ac:dyDescent="0.55000000000000004">
      <c r="A1373">
        <v>109</v>
      </c>
      <c r="B1373" t="str">
        <f t="shared" si="24"/>
        <v>109_0</v>
      </c>
      <c r="C1373" t="s">
        <v>163</v>
      </c>
      <c r="D1373" t="s">
        <v>171</v>
      </c>
    </row>
    <row r="1374" spans="1:7" x14ac:dyDescent="0.55000000000000004">
      <c r="A1374">
        <v>109</v>
      </c>
      <c r="B1374" t="str">
        <f>A1374 &amp; "_1"</f>
        <v>109_1</v>
      </c>
      <c r="C1374" t="s">
        <v>126</v>
      </c>
      <c r="D1374" t="s">
        <v>127</v>
      </c>
      <c r="E1374" t="s">
        <v>128</v>
      </c>
      <c r="F1374" s="1"/>
      <c r="G1374" t="s">
        <v>129</v>
      </c>
    </row>
    <row r="1375" spans="1:7" x14ac:dyDescent="0.55000000000000004">
      <c r="A1375">
        <v>109</v>
      </c>
      <c r="B1375" t="str">
        <f t="shared" ref="B1375:B1401" si="25">A1375 &amp; "_1"</f>
        <v>109_1</v>
      </c>
      <c r="C1375" t="s">
        <v>126</v>
      </c>
      <c r="D1375" s="11" t="s">
        <v>130</v>
      </c>
      <c r="E1375" t="s">
        <v>131</v>
      </c>
      <c r="F1375">
        <v>1</v>
      </c>
    </row>
    <row r="1376" spans="1:7" x14ac:dyDescent="0.55000000000000004">
      <c r="A1376">
        <v>109</v>
      </c>
      <c r="B1376" t="str">
        <f t="shared" si="25"/>
        <v>109_1</v>
      </c>
      <c r="C1376" t="s">
        <v>126</v>
      </c>
      <c r="D1376" t="s">
        <v>132</v>
      </c>
      <c r="E1376" t="s">
        <v>133</v>
      </c>
    </row>
    <row r="1377" spans="1:7" x14ac:dyDescent="0.55000000000000004">
      <c r="A1377">
        <v>109</v>
      </c>
      <c r="B1377" t="str">
        <f t="shared" si="25"/>
        <v>109_1</v>
      </c>
      <c r="C1377" t="s">
        <v>126</v>
      </c>
      <c r="D1377" t="s">
        <v>134</v>
      </c>
      <c r="E1377" t="s">
        <v>133</v>
      </c>
      <c r="F1377">
        <v>1.45</v>
      </c>
    </row>
    <row r="1378" spans="1:7" x14ac:dyDescent="0.55000000000000004">
      <c r="A1378">
        <v>109</v>
      </c>
      <c r="B1378" t="str">
        <f t="shared" si="25"/>
        <v>109_1</v>
      </c>
      <c r="C1378" t="s">
        <v>126</v>
      </c>
      <c r="D1378" t="s">
        <v>135</v>
      </c>
      <c r="E1378" t="s">
        <v>136</v>
      </c>
      <c r="F1378">
        <f>F1377/10</f>
        <v>0.14499999999999999</v>
      </c>
      <c r="G1378" t="s">
        <v>137</v>
      </c>
    </row>
    <row r="1379" spans="1:7" x14ac:dyDescent="0.55000000000000004">
      <c r="A1379">
        <v>109</v>
      </c>
      <c r="B1379" t="str">
        <f t="shared" si="25"/>
        <v>109_1</v>
      </c>
      <c r="C1379" t="s">
        <v>126</v>
      </c>
      <c r="D1379" s="2" t="s">
        <v>138</v>
      </c>
      <c r="E1379" t="s">
        <v>139</v>
      </c>
      <c r="F1379">
        <v>100</v>
      </c>
    </row>
    <row r="1380" spans="1:7" x14ac:dyDescent="0.55000000000000004">
      <c r="A1380">
        <v>109</v>
      </c>
      <c r="B1380" t="str">
        <f t="shared" si="25"/>
        <v>109_1</v>
      </c>
      <c r="C1380" t="s">
        <v>126</v>
      </c>
      <c r="D1380" s="2" t="s">
        <v>140</v>
      </c>
      <c r="F1380" t="s">
        <v>172</v>
      </c>
    </row>
    <row r="1381" spans="1:7" x14ac:dyDescent="0.55000000000000004">
      <c r="A1381">
        <v>109</v>
      </c>
      <c r="B1381" t="str">
        <f t="shared" si="25"/>
        <v>109_1</v>
      </c>
      <c r="C1381" t="s">
        <v>126</v>
      </c>
      <c r="D1381" s="2" t="s">
        <v>141</v>
      </c>
      <c r="E1381" t="s">
        <v>139</v>
      </c>
      <c r="F1381">
        <v>100</v>
      </c>
    </row>
    <row r="1382" spans="1:7" x14ac:dyDescent="0.55000000000000004">
      <c r="A1382">
        <v>109</v>
      </c>
      <c r="B1382" t="str">
        <f t="shared" si="25"/>
        <v>109_1</v>
      </c>
      <c r="C1382" t="s">
        <v>126</v>
      </c>
      <c r="D1382" t="s">
        <v>142</v>
      </c>
      <c r="E1382" t="s">
        <v>139</v>
      </c>
      <c r="F1382">
        <v>0</v>
      </c>
    </row>
    <row r="1383" spans="1:7" x14ac:dyDescent="0.55000000000000004">
      <c r="A1383">
        <v>109</v>
      </c>
      <c r="B1383" t="str">
        <f t="shared" si="25"/>
        <v>109_1</v>
      </c>
      <c r="C1383" t="s">
        <v>126</v>
      </c>
      <c r="D1383" t="s">
        <v>143</v>
      </c>
      <c r="E1383" t="s">
        <v>131</v>
      </c>
      <c r="F1383">
        <v>0</v>
      </c>
    </row>
    <row r="1384" spans="1:7" x14ac:dyDescent="0.55000000000000004">
      <c r="A1384">
        <v>109</v>
      </c>
      <c r="B1384" t="str">
        <f t="shared" si="25"/>
        <v>109_1</v>
      </c>
      <c r="C1384" t="s">
        <v>126</v>
      </c>
      <c r="D1384" t="s">
        <v>144</v>
      </c>
      <c r="E1384" t="s">
        <v>139</v>
      </c>
      <c r="F1384">
        <v>0</v>
      </c>
    </row>
    <row r="1385" spans="1:7" x14ac:dyDescent="0.55000000000000004">
      <c r="A1385">
        <v>109</v>
      </c>
      <c r="B1385" t="str">
        <f t="shared" si="25"/>
        <v>109_1</v>
      </c>
      <c r="C1385" t="s">
        <v>126</v>
      </c>
      <c r="D1385" t="s">
        <v>145</v>
      </c>
      <c r="E1385" t="s">
        <v>139</v>
      </c>
      <c r="F1385">
        <v>30</v>
      </c>
    </row>
    <row r="1386" spans="1:7" x14ac:dyDescent="0.55000000000000004">
      <c r="A1386">
        <v>109</v>
      </c>
      <c r="B1386" t="str">
        <f t="shared" si="25"/>
        <v>109_1</v>
      </c>
      <c r="C1386" t="s">
        <v>126</v>
      </c>
      <c r="D1386" t="s">
        <v>146</v>
      </c>
      <c r="E1386" t="s">
        <v>139</v>
      </c>
      <c r="F1386">
        <v>0</v>
      </c>
    </row>
    <row r="1387" spans="1:7" x14ac:dyDescent="0.55000000000000004">
      <c r="A1387">
        <v>109</v>
      </c>
      <c r="B1387" t="str">
        <f t="shared" si="25"/>
        <v>109_1</v>
      </c>
      <c r="C1387" t="s">
        <v>126</v>
      </c>
      <c r="D1387" t="s">
        <v>147</v>
      </c>
      <c r="E1387" t="s">
        <v>139</v>
      </c>
      <c r="F1387">
        <v>0</v>
      </c>
    </row>
    <row r="1388" spans="1:7" x14ac:dyDescent="0.55000000000000004">
      <c r="A1388">
        <v>109</v>
      </c>
      <c r="B1388" t="str">
        <f t="shared" si="25"/>
        <v>109_1</v>
      </c>
      <c r="C1388" t="s">
        <v>126</v>
      </c>
      <c r="D1388" t="s">
        <v>148</v>
      </c>
      <c r="E1388" t="s">
        <v>139</v>
      </c>
      <c r="F1388">
        <v>70</v>
      </c>
    </row>
    <row r="1389" spans="1:7" x14ac:dyDescent="0.55000000000000004">
      <c r="A1389">
        <v>109</v>
      </c>
      <c r="B1389" t="str">
        <f t="shared" si="25"/>
        <v>109_1</v>
      </c>
      <c r="C1389" t="s">
        <v>126</v>
      </c>
      <c r="D1389" t="s">
        <v>149</v>
      </c>
      <c r="E1389" t="s">
        <v>139</v>
      </c>
      <c r="F1389">
        <v>0</v>
      </c>
    </row>
    <row r="1390" spans="1:7" x14ac:dyDescent="0.55000000000000004">
      <c r="A1390">
        <v>109</v>
      </c>
      <c r="B1390" t="str">
        <f t="shared" si="25"/>
        <v>109_1</v>
      </c>
      <c r="C1390" t="s">
        <v>126</v>
      </c>
      <c r="D1390" t="s">
        <v>150</v>
      </c>
      <c r="E1390" t="s">
        <v>139</v>
      </c>
      <c r="F1390">
        <v>0</v>
      </c>
    </row>
    <row r="1391" spans="1:7" x14ac:dyDescent="0.55000000000000004">
      <c r="A1391">
        <v>109</v>
      </c>
      <c r="B1391" t="str">
        <f t="shared" si="25"/>
        <v>109_1</v>
      </c>
      <c r="C1391" t="s">
        <v>126</v>
      </c>
      <c r="D1391" t="s">
        <v>152</v>
      </c>
      <c r="E1391" t="s">
        <v>153</v>
      </c>
    </row>
    <row r="1392" spans="1:7" x14ac:dyDescent="0.55000000000000004">
      <c r="A1392">
        <v>109</v>
      </c>
      <c r="B1392" t="str">
        <f t="shared" si="25"/>
        <v>109_1</v>
      </c>
      <c r="C1392" t="s">
        <v>154</v>
      </c>
      <c r="D1392" t="s">
        <v>155</v>
      </c>
      <c r="E1392" t="s">
        <v>156</v>
      </c>
      <c r="F1392">
        <v>20.6</v>
      </c>
    </row>
    <row r="1393" spans="1:7" x14ac:dyDescent="0.55000000000000004">
      <c r="A1393">
        <v>109</v>
      </c>
      <c r="B1393" t="str">
        <f t="shared" si="25"/>
        <v>109_1</v>
      </c>
      <c r="C1393" t="s">
        <v>154</v>
      </c>
      <c r="D1393" t="s">
        <v>157</v>
      </c>
      <c r="E1393" t="s">
        <v>158</v>
      </c>
      <c r="F1393">
        <v>8.85</v>
      </c>
    </row>
    <row r="1394" spans="1:7" x14ac:dyDescent="0.55000000000000004">
      <c r="A1394">
        <v>109</v>
      </c>
      <c r="B1394" t="str">
        <f t="shared" si="25"/>
        <v>109_1</v>
      </c>
      <c r="C1394" t="s">
        <v>154</v>
      </c>
      <c r="D1394" t="s">
        <v>159</v>
      </c>
      <c r="E1394" t="s">
        <v>139</v>
      </c>
      <c r="F1394">
        <v>98.7</v>
      </c>
    </row>
    <row r="1395" spans="1:7" x14ac:dyDescent="0.55000000000000004">
      <c r="A1395">
        <v>109</v>
      </c>
      <c r="B1395" t="str">
        <f t="shared" si="25"/>
        <v>109_1</v>
      </c>
      <c r="C1395" t="s">
        <v>154</v>
      </c>
      <c r="D1395" t="s">
        <v>357</v>
      </c>
      <c r="E1395" t="s">
        <v>161</v>
      </c>
      <c r="F1395">
        <v>69.8</v>
      </c>
    </row>
    <row r="1396" spans="1:7" x14ac:dyDescent="0.55000000000000004">
      <c r="A1396">
        <f>A1395</f>
        <v>109</v>
      </c>
      <c r="B1396" t="str">
        <f>B1395</f>
        <v>109_1</v>
      </c>
      <c r="C1396" s="9" t="str">
        <f>C1395</f>
        <v>Chemical</v>
      </c>
      <c r="D1396" t="s">
        <v>356</v>
      </c>
      <c r="E1396" t="s">
        <v>161</v>
      </c>
      <c r="F1396">
        <f xml:space="preserve"> F1395 / (1 + 0.021 * (F1392 - 25))</f>
        <v>76.906126046716622</v>
      </c>
    </row>
    <row r="1397" spans="1:7" x14ac:dyDescent="0.55000000000000004">
      <c r="A1397">
        <v>109</v>
      </c>
      <c r="B1397" t="str">
        <f t="shared" si="25"/>
        <v>109_1</v>
      </c>
      <c r="C1397" t="s">
        <v>154</v>
      </c>
      <c r="D1397" t="s">
        <v>162</v>
      </c>
      <c r="F1397">
        <v>8.5299999999999994</v>
      </c>
    </row>
    <row r="1398" spans="1:7" x14ac:dyDescent="0.55000000000000004">
      <c r="A1398">
        <v>109</v>
      </c>
      <c r="B1398" t="str">
        <f t="shared" si="25"/>
        <v>109_1</v>
      </c>
      <c r="C1398" t="s">
        <v>163</v>
      </c>
      <c r="D1398" t="s">
        <v>168</v>
      </c>
      <c r="E1398" t="s">
        <v>131</v>
      </c>
      <c r="F1398">
        <v>0</v>
      </c>
    </row>
    <row r="1399" spans="1:7" x14ac:dyDescent="0.55000000000000004">
      <c r="A1399">
        <v>109</v>
      </c>
      <c r="B1399" t="str">
        <f t="shared" si="25"/>
        <v>109_1</v>
      </c>
      <c r="C1399" t="s">
        <v>163</v>
      </c>
      <c r="D1399" t="s">
        <v>169</v>
      </c>
    </row>
    <row r="1400" spans="1:7" x14ac:dyDescent="0.55000000000000004">
      <c r="A1400">
        <v>109</v>
      </c>
      <c r="B1400" t="str">
        <f t="shared" si="25"/>
        <v>109_1</v>
      </c>
      <c r="C1400" t="s">
        <v>163</v>
      </c>
      <c r="D1400" t="s">
        <v>170</v>
      </c>
      <c r="E1400" t="s">
        <v>139</v>
      </c>
      <c r="F1400">
        <v>40</v>
      </c>
    </row>
    <row r="1401" spans="1:7" x14ac:dyDescent="0.55000000000000004">
      <c r="A1401">
        <v>109</v>
      </c>
      <c r="B1401" t="str">
        <f t="shared" si="25"/>
        <v>109_1</v>
      </c>
      <c r="C1401" t="s">
        <v>163</v>
      </c>
      <c r="D1401" t="s">
        <v>171</v>
      </c>
    </row>
    <row r="1402" spans="1:7" x14ac:dyDescent="0.55000000000000004">
      <c r="A1402">
        <v>110</v>
      </c>
      <c r="B1402" t="str">
        <f t="shared" si="24"/>
        <v>110_0</v>
      </c>
      <c r="C1402" t="s">
        <v>126</v>
      </c>
      <c r="D1402" t="s">
        <v>127</v>
      </c>
      <c r="E1402" t="s">
        <v>128</v>
      </c>
      <c r="G1402" t="s">
        <v>129</v>
      </c>
    </row>
    <row r="1403" spans="1:7" x14ac:dyDescent="0.55000000000000004">
      <c r="A1403">
        <v>110</v>
      </c>
      <c r="B1403" t="str">
        <f t="shared" si="24"/>
        <v>110_0</v>
      </c>
      <c r="C1403" t="s">
        <v>126</v>
      </c>
      <c r="D1403" s="11" t="s">
        <v>130</v>
      </c>
      <c r="E1403" t="s">
        <v>131</v>
      </c>
      <c r="F1403">
        <v>1</v>
      </c>
    </row>
    <row r="1404" spans="1:7" x14ac:dyDescent="0.55000000000000004">
      <c r="A1404">
        <v>110</v>
      </c>
      <c r="B1404" t="str">
        <f t="shared" si="24"/>
        <v>110_0</v>
      </c>
      <c r="C1404" t="s">
        <v>126</v>
      </c>
      <c r="D1404" t="s">
        <v>132</v>
      </c>
      <c r="E1404" t="s">
        <v>133</v>
      </c>
    </row>
    <row r="1405" spans="1:7" x14ac:dyDescent="0.55000000000000004">
      <c r="A1405">
        <v>110</v>
      </c>
      <c r="B1405" t="str">
        <f t="shared" si="24"/>
        <v>110_0</v>
      </c>
      <c r="C1405" t="s">
        <v>126</v>
      </c>
      <c r="D1405" t="s">
        <v>134</v>
      </c>
      <c r="E1405" t="s">
        <v>133</v>
      </c>
      <c r="F1405">
        <v>0.6</v>
      </c>
    </row>
    <row r="1406" spans="1:7" x14ac:dyDescent="0.55000000000000004">
      <c r="A1406">
        <v>110</v>
      </c>
      <c r="B1406" t="str">
        <f t="shared" si="24"/>
        <v>110_0</v>
      </c>
      <c r="C1406" t="s">
        <v>126</v>
      </c>
      <c r="D1406" t="s">
        <v>135</v>
      </c>
      <c r="E1406" t="s">
        <v>136</v>
      </c>
      <c r="F1406">
        <f>F1405/10</f>
        <v>0.06</v>
      </c>
    </row>
    <row r="1407" spans="1:7" x14ac:dyDescent="0.55000000000000004">
      <c r="A1407">
        <v>110</v>
      </c>
      <c r="B1407" t="str">
        <f t="shared" si="24"/>
        <v>110_0</v>
      </c>
      <c r="C1407" t="s">
        <v>126</v>
      </c>
      <c r="D1407" s="2" t="s">
        <v>138</v>
      </c>
      <c r="E1407" t="s">
        <v>139</v>
      </c>
      <c r="F1407">
        <v>100</v>
      </c>
    </row>
    <row r="1408" spans="1:7" x14ac:dyDescent="0.55000000000000004">
      <c r="A1408">
        <v>110</v>
      </c>
      <c r="B1408" t="str">
        <f t="shared" si="24"/>
        <v>110_0</v>
      </c>
      <c r="C1408" t="s">
        <v>126</v>
      </c>
      <c r="D1408" s="2" t="s">
        <v>140</v>
      </c>
    </row>
    <row r="1409" spans="1:6" x14ac:dyDescent="0.55000000000000004">
      <c r="A1409">
        <v>110</v>
      </c>
      <c r="B1409" t="str">
        <f t="shared" si="24"/>
        <v>110_0</v>
      </c>
      <c r="C1409" t="s">
        <v>126</v>
      </c>
      <c r="D1409" s="2" t="s">
        <v>141</v>
      </c>
      <c r="E1409" t="s">
        <v>139</v>
      </c>
      <c r="F1409">
        <v>80</v>
      </c>
    </row>
    <row r="1410" spans="1:6" x14ac:dyDescent="0.55000000000000004">
      <c r="A1410">
        <v>110</v>
      </c>
      <c r="B1410" t="str">
        <f t="shared" si="24"/>
        <v>110_0</v>
      </c>
      <c r="C1410" t="s">
        <v>126</v>
      </c>
      <c r="D1410" t="s">
        <v>142</v>
      </c>
      <c r="E1410" t="s">
        <v>139</v>
      </c>
      <c r="F1410">
        <v>0</v>
      </c>
    </row>
    <row r="1411" spans="1:6" x14ac:dyDescent="0.55000000000000004">
      <c r="A1411">
        <v>110</v>
      </c>
      <c r="B1411" t="str">
        <f t="shared" si="24"/>
        <v>110_0</v>
      </c>
      <c r="C1411" t="s">
        <v>126</v>
      </c>
      <c r="D1411" t="s">
        <v>143</v>
      </c>
      <c r="E1411" t="s">
        <v>131</v>
      </c>
      <c r="F1411">
        <v>0</v>
      </c>
    </row>
    <row r="1412" spans="1:6" x14ac:dyDescent="0.55000000000000004">
      <c r="A1412">
        <v>110</v>
      </c>
      <c r="B1412" t="str">
        <f t="shared" si="24"/>
        <v>110_0</v>
      </c>
      <c r="C1412" t="s">
        <v>126</v>
      </c>
      <c r="D1412" t="s">
        <v>144</v>
      </c>
      <c r="E1412" t="s">
        <v>139</v>
      </c>
      <c r="F1412">
        <v>0</v>
      </c>
    </row>
    <row r="1413" spans="1:6" x14ac:dyDescent="0.55000000000000004">
      <c r="A1413">
        <v>110</v>
      </c>
      <c r="B1413" t="str">
        <f t="shared" si="24"/>
        <v>110_0</v>
      </c>
      <c r="C1413" t="s">
        <v>126</v>
      </c>
      <c r="D1413" t="s">
        <v>145</v>
      </c>
      <c r="E1413" t="s">
        <v>139</v>
      </c>
      <c r="F1413">
        <v>0</v>
      </c>
    </row>
    <row r="1414" spans="1:6" x14ac:dyDescent="0.55000000000000004">
      <c r="A1414">
        <v>110</v>
      </c>
      <c r="B1414" t="str">
        <f t="shared" si="24"/>
        <v>110_0</v>
      </c>
      <c r="C1414" t="s">
        <v>126</v>
      </c>
      <c r="D1414" t="s">
        <v>146</v>
      </c>
      <c r="E1414" t="s">
        <v>139</v>
      </c>
      <c r="F1414">
        <v>0</v>
      </c>
    </row>
    <row r="1415" spans="1:6" x14ac:dyDescent="0.55000000000000004">
      <c r="A1415">
        <v>110</v>
      </c>
      <c r="B1415" t="str">
        <f t="shared" si="24"/>
        <v>110_0</v>
      </c>
      <c r="C1415" t="s">
        <v>126</v>
      </c>
      <c r="D1415" t="s">
        <v>147</v>
      </c>
      <c r="E1415" t="s">
        <v>139</v>
      </c>
      <c r="F1415">
        <v>0</v>
      </c>
    </row>
    <row r="1416" spans="1:6" x14ac:dyDescent="0.55000000000000004">
      <c r="A1416">
        <v>110</v>
      </c>
      <c r="B1416" t="str">
        <f t="shared" ref="B1416:B1499" si="26">A1416 &amp; "_0"</f>
        <v>110_0</v>
      </c>
      <c r="C1416" t="s">
        <v>126</v>
      </c>
      <c r="D1416" t="s">
        <v>148</v>
      </c>
      <c r="E1416" t="s">
        <v>139</v>
      </c>
      <c r="F1416">
        <v>90</v>
      </c>
    </row>
    <row r="1417" spans="1:6" x14ac:dyDescent="0.55000000000000004">
      <c r="A1417">
        <v>110</v>
      </c>
      <c r="B1417" t="str">
        <f t="shared" si="26"/>
        <v>110_0</v>
      </c>
      <c r="C1417" t="s">
        <v>126</v>
      </c>
      <c r="D1417" t="s">
        <v>149</v>
      </c>
      <c r="E1417" t="s">
        <v>139</v>
      </c>
      <c r="F1417">
        <v>0</v>
      </c>
    </row>
    <row r="1418" spans="1:6" x14ac:dyDescent="0.55000000000000004">
      <c r="A1418">
        <v>110</v>
      </c>
      <c r="B1418" t="str">
        <f t="shared" si="26"/>
        <v>110_0</v>
      </c>
      <c r="C1418" t="s">
        <v>126</v>
      </c>
      <c r="D1418" t="s">
        <v>150</v>
      </c>
      <c r="E1418" t="s">
        <v>139</v>
      </c>
      <c r="F1418">
        <v>10</v>
      </c>
    </row>
    <row r="1419" spans="1:6" x14ac:dyDescent="0.55000000000000004">
      <c r="A1419">
        <v>110</v>
      </c>
      <c r="B1419" t="str">
        <f t="shared" si="26"/>
        <v>110_0</v>
      </c>
      <c r="C1419" t="s">
        <v>126</v>
      </c>
      <c r="D1419" t="s">
        <v>152</v>
      </c>
      <c r="E1419" t="s">
        <v>153</v>
      </c>
    </row>
    <row r="1420" spans="1:6" x14ac:dyDescent="0.55000000000000004">
      <c r="A1420">
        <v>110</v>
      </c>
      <c r="B1420" t="str">
        <f t="shared" si="26"/>
        <v>110_0</v>
      </c>
      <c r="C1420" t="s">
        <v>154</v>
      </c>
      <c r="D1420" t="s">
        <v>155</v>
      </c>
      <c r="E1420" t="s">
        <v>156</v>
      </c>
      <c r="F1420">
        <v>16.3</v>
      </c>
    </row>
    <row r="1421" spans="1:6" x14ac:dyDescent="0.55000000000000004">
      <c r="A1421">
        <v>110</v>
      </c>
      <c r="B1421" t="str">
        <f t="shared" si="26"/>
        <v>110_0</v>
      </c>
      <c r="C1421" t="s">
        <v>154</v>
      </c>
      <c r="D1421" t="s">
        <v>157</v>
      </c>
      <c r="E1421" t="s">
        <v>158</v>
      </c>
      <c r="F1421">
        <v>9.61</v>
      </c>
    </row>
    <row r="1422" spans="1:6" x14ac:dyDescent="0.55000000000000004">
      <c r="A1422">
        <v>110</v>
      </c>
      <c r="B1422" t="str">
        <f t="shared" si="26"/>
        <v>110_0</v>
      </c>
      <c r="C1422" t="s">
        <v>154</v>
      </c>
      <c r="D1422" t="s">
        <v>159</v>
      </c>
      <c r="E1422" t="s">
        <v>139</v>
      </c>
      <c r="F1422">
        <v>98</v>
      </c>
    </row>
    <row r="1423" spans="1:6" x14ac:dyDescent="0.55000000000000004">
      <c r="A1423">
        <v>110</v>
      </c>
      <c r="B1423" t="str">
        <f t="shared" si="26"/>
        <v>110_0</v>
      </c>
      <c r="C1423" t="s">
        <v>154</v>
      </c>
      <c r="D1423" t="s">
        <v>357</v>
      </c>
      <c r="E1423" t="s">
        <v>161</v>
      </c>
      <c r="F1423">
        <v>62.2</v>
      </c>
    </row>
    <row r="1424" spans="1:6" x14ac:dyDescent="0.55000000000000004">
      <c r="A1424">
        <f>A1423</f>
        <v>110</v>
      </c>
      <c r="B1424" t="str">
        <f>B1423</f>
        <v>110_0</v>
      </c>
      <c r="C1424" s="9" t="str">
        <f>C1423</f>
        <v>Chemical</v>
      </c>
      <c r="D1424" t="s">
        <v>356</v>
      </c>
      <c r="E1424" t="s">
        <v>161</v>
      </c>
      <c r="F1424">
        <f xml:space="preserve"> F1423 / (1 + 0.021 * (F1420 - 25))</f>
        <v>76.104245687018235</v>
      </c>
    </row>
    <row r="1425" spans="1:7" x14ac:dyDescent="0.55000000000000004">
      <c r="A1425">
        <v>110</v>
      </c>
      <c r="B1425" t="str">
        <f t="shared" si="26"/>
        <v>110_0</v>
      </c>
      <c r="C1425" t="s">
        <v>154</v>
      </c>
      <c r="D1425" t="s">
        <v>162</v>
      </c>
      <c r="F1425">
        <v>8.35</v>
      </c>
    </row>
    <row r="1426" spans="1:7" x14ac:dyDescent="0.55000000000000004">
      <c r="A1426">
        <v>110</v>
      </c>
      <c r="B1426" t="str">
        <f t="shared" si="26"/>
        <v>110_0</v>
      </c>
      <c r="C1426" t="s">
        <v>163</v>
      </c>
      <c r="D1426" t="s">
        <v>168</v>
      </c>
      <c r="E1426" t="s">
        <v>131</v>
      </c>
      <c r="F1426">
        <v>0</v>
      </c>
    </row>
    <row r="1427" spans="1:7" x14ac:dyDescent="0.55000000000000004">
      <c r="A1427">
        <v>110</v>
      </c>
      <c r="B1427" t="str">
        <f t="shared" si="26"/>
        <v>110_0</v>
      </c>
      <c r="C1427" t="s">
        <v>163</v>
      </c>
      <c r="D1427" t="s">
        <v>169</v>
      </c>
    </row>
    <row r="1428" spans="1:7" x14ac:dyDescent="0.55000000000000004">
      <c r="A1428">
        <v>110</v>
      </c>
      <c r="B1428" t="str">
        <f t="shared" si="26"/>
        <v>110_0</v>
      </c>
      <c r="C1428" t="s">
        <v>163</v>
      </c>
      <c r="D1428" t="s">
        <v>170</v>
      </c>
      <c r="E1428" t="s">
        <v>139</v>
      </c>
      <c r="F1428">
        <v>10</v>
      </c>
    </row>
    <row r="1429" spans="1:7" x14ac:dyDescent="0.55000000000000004">
      <c r="A1429">
        <v>110</v>
      </c>
      <c r="B1429" t="str">
        <f t="shared" si="26"/>
        <v>110_0</v>
      </c>
      <c r="C1429" t="s">
        <v>163</v>
      </c>
      <c r="D1429" t="s">
        <v>171</v>
      </c>
    </row>
    <row r="1430" spans="1:7" x14ac:dyDescent="0.55000000000000004">
      <c r="A1430">
        <v>111</v>
      </c>
      <c r="B1430" t="str">
        <f t="shared" si="26"/>
        <v>111_0</v>
      </c>
      <c r="C1430" t="s">
        <v>126</v>
      </c>
      <c r="D1430" t="s">
        <v>127</v>
      </c>
      <c r="E1430" t="s">
        <v>128</v>
      </c>
      <c r="G1430" t="s">
        <v>129</v>
      </c>
    </row>
    <row r="1431" spans="1:7" x14ac:dyDescent="0.55000000000000004">
      <c r="A1431">
        <v>111</v>
      </c>
      <c r="B1431" t="str">
        <f t="shared" si="26"/>
        <v>111_0</v>
      </c>
      <c r="C1431" t="s">
        <v>126</v>
      </c>
      <c r="D1431" s="11" t="s">
        <v>130</v>
      </c>
      <c r="E1431" t="s">
        <v>131</v>
      </c>
      <c r="F1431">
        <v>1</v>
      </c>
    </row>
    <row r="1432" spans="1:7" x14ac:dyDescent="0.55000000000000004">
      <c r="A1432">
        <v>111</v>
      </c>
      <c r="B1432" t="str">
        <f t="shared" si="26"/>
        <v>111_0</v>
      </c>
      <c r="C1432" t="s">
        <v>126</v>
      </c>
      <c r="D1432" t="s">
        <v>132</v>
      </c>
      <c r="E1432" t="s">
        <v>133</v>
      </c>
    </row>
    <row r="1433" spans="1:7" x14ac:dyDescent="0.55000000000000004">
      <c r="A1433">
        <v>111</v>
      </c>
      <c r="B1433" t="str">
        <f t="shared" si="26"/>
        <v>111_0</v>
      </c>
      <c r="C1433" t="s">
        <v>126</v>
      </c>
      <c r="D1433" t="s">
        <v>134</v>
      </c>
      <c r="E1433" t="s">
        <v>133</v>
      </c>
      <c r="F1433">
        <v>3</v>
      </c>
    </row>
    <row r="1434" spans="1:7" x14ac:dyDescent="0.55000000000000004">
      <c r="A1434">
        <v>111</v>
      </c>
      <c r="B1434" t="str">
        <f t="shared" si="26"/>
        <v>111_0</v>
      </c>
      <c r="C1434" t="s">
        <v>126</v>
      </c>
      <c r="D1434" t="s">
        <v>135</v>
      </c>
      <c r="E1434" t="s">
        <v>136</v>
      </c>
      <c r="F1434">
        <f>F1433/10</f>
        <v>0.3</v>
      </c>
    </row>
    <row r="1435" spans="1:7" x14ac:dyDescent="0.55000000000000004">
      <c r="A1435">
        <v>111</v>
      </c>
      <c r="B1435" t="str">
        <f t="shared" si="26"/>
        <v>111_0</v>
      </c>
      <c r="C1435" t="s">
        <v>126</v>
      </c>
      <c r="D1435" s="2" t="s">
        <v>138</v>
      </c>
      <c r="E1435" t="s">
        <v>139</v>
      </c>
      <c r="F1435">
        <v>100</v>
      </c>
    </row>
    <row r="1436" spans="1:7" x14ac:dyDescent="0.55000000000000004">
      <c r="A1436">
        <v>111</v>
      </c>
      <c r="B1436" t="str">
        <f t="shared" si="26"/>
        <v>111_0</v>
      </c>
      <c r="C1436" t="s">
        <v>126</v>
      </c>
      <c r="D1436" s="2" t="s">
        <v>140</v>
      </c>
    </row>
    <row r="1437" spans="1:7" x14ac:dyDescent="0.55000000000000004">
      <c r="A1437">
        <v>111</v>
      </c>
      <c r="B1437" t="str">
        <f t="shared" si="26"/>
        <v>111_0</v>
      </c>
      <c r="C1437" t="s">
        <v>126</v>
      </c>
      <c r="D1437" s="2" t="s">
        <v>141</v>
      </c>
      <c r="E1437" t="s">
        <v>139</v>
      </c>
      <c r="F1437">
        <v>0</v>
      </c>
    </row>
    <row r="1438" spans="1:7" x14ac:dyDescent="0.55000000000000004">
      <c r="A1438">
        <v>111</v>
      </c>
      <c r="B1438" t="str">
        <f t="shared" si="26"/>
        <v>111_0</v>
      </c>
      <c r="C1438" t="s">
        <v>126</v>
      </c>
      <c r="D1438" t="s">
        <v>142</v>
      </c>
      <c r="E1438" t="s">
        <v>139</v>
      </c>
      <c r="F1438">
        <v>0</v>
      </c>
    </row>
    <row r="1439" spans="1:7" x14ac:dyDescent="0.55000000000000004">
      <c r="A1439">
        <v>111</v>
      </c>
      <c r="B1439" t="str">
        <f t="shared" si="26"/>
        <v>111_0</v>
      </c>
      <c r="C1439" t="s">
        <v>126</v>
      </c>
      <c r="D1439" t="s">
        <v>143</v>
      </c>
      <c r="E1439" t="s">
        <v>131</v>
      </c>
      <c r="F1439">
        <v>0</v>
      </c>
    </row>
    <row r="1440" spans="1:7" x14ac:dyDescent="0.55000000000000004">
      <c r="A1440">
        <v>111</v>
      </c>
      <c r="B1440" t="str">
        <f t="shared" si="26"/>
        <v>111_0</v>
      </c>
      <c r="C1440" t="s">
        <v>126</v>
      </c>
      <c r="D1440" t="s">
        <v>144</v>
      </c>
      <c r="E1440" t="s">
        <v>139</v>
      </c>
      <c r="F1440">
        <v>0</v>
      </c>
    </row>
    <row r="1441" spans="1:6" x14ac:dyDescent="0.55000000000000004">
      <c r="A1441">
        <v>111</v>
      </c>
      <c r="B1441" t="str">
        <f t="shared" si="26"/>
        <v>111_0</v>
      </c>
      <c r="C1441" t="s">
        <v>126</v>
      </c>
      <c r="D1441" t="s">
        <v>145</v>
      </c>
      <c r="E1441" t="s">
        <v>139</v>
      </c>
      <c r="F1441">
        <v>0</v>
      </c>
    </row>
    <row r="1442" spans="1:6" x14ac:dyDescent="0.55000000000000004">
      <c r="A1442">
        <v>111</v>
      </c>
      <c r="B1442" t="str">
        <f t="shared" si="26"/>
        <v>111_0</v>
      </c>
      <c r="C1442" t="s">
        <v>126</v>
      </c>
      <c r="D1442" t="s">
        <v>146</v>
      </c>
      <c r="E1442" t="s">
        <v>139</v>
      </c>
      <c r="F1442">
        <v>0</v>
      </c>
    </row>
    <row r="1443" spans="1:6" x14ac:dyDescent="0.55000000000000004">
      <c r="A1443">
        <v>111</v>
      </c>
      <c r="B1443" t="str">
        <f t="shared" si="26"/>
        <v>111_0</v>
      </c>
      <c r="C1443" t="s">
        <v>126</v>
      </c>
      <c r="D1443" t="s">
        <v>147</v>
      </c>
      <c r="E1443" t="s">
        <v>139</v>
      </c>
      <c r="F1443">
        <v>0</v>
      </c>
    </row>
    <row r="1444" spans="1:6" x14ac:dyDescent="0.55000000000000004">
      <c r="A1444">
        <v>111</v>
      </c>
      <c r="B1444" t="str">
        <f t="shared" si="26"/>
        <v>111_0</v>
      </c>
      <c r="C1444" t="s">
        <v>126</v>
      </c>
      <c r="D1444" t="s">
        <v>148</v>
      </c>
      <c r="E1444" t="s">
        <v>139</v>
      </c>
      <c r="F1444">
        <v>0</v>
      </c>
    </row>
    <row r="1445" spans="1:6" x14ac:dyDescent="0.55000000000000004">
      <c r="A1445">
        <v>111</v>
      </c>
      <c r="B1445" t="str">
        <f t="shared" si="26"/>
        <v>111_0</v>
      </c>
      <c r="C1445" t="s">
        <v>126</v>
      </c>
      <c r="D1445" t="s">
        <v>149</v>
      </c>
      <c r="E1445" t="s">
        <v>139</v>
      </c>
      <c r="F1445">
        <v>0</v>
      </c>
    </row>
    <row r="1446" spans="1:6" x14ac:dyDescent="0.55000000000000004">
      <c r="A1446">
        <v>111</v>
      </c>
      <c r="B1446" t="str">
        <f t="shared" si="26"/>
        <v>111_0</v>
      </c>
      <c r="C1446" t="s">
        <v>126</v>
      </c>
      <c r="D1446" t="s">
        <v>150</v>
      </c>
      <c r="E1446" t="s">
        <v>139</v>
      </c>
      <c r="F1446">
        <v>100</v>
      </c>
    </row>
    <row r="1447" spans="1:6" x14ac:dyDescent="0.55000000000000004">
      <c r="A1447">
        <v>111</v>
      </c>
      <c r="B1447" t="str">
        <f t="shared" si="26"/>
        <v>111_0</v>
      </c>
      <c r="C1447" t="s">
        <v>126</v>
      </c>
      <c r="D1447" t="s">
        <v>152</v>
      </c>
      <c r="E1447" t="s">
        <v>153</v>
      </c>
    </row>
    <row r="1448" spans="1:6" x14ac:dyDescent="0.55000000000000004">
      <c r="A1448">
        <v>111</v>
      </c>
      <c r="B1448" t="str">
        <f t="shared" si="26"/>
        <v>111_0</v>
      </c>
      <c r="C1448" t="s">
        <v>154</v>
      </c>
      <c r="D1448" t="s">
        <v>155</v>
      </c>
      <c r="E1448" t="s">
        <v>156</v>
      </c>
      <c r="F1448">
        <v>16.600000000000001</v>
      </c>
    </row>
    <row r="1449" spans="1:6" x14ac:dyDescent="0.55000000000000004">
      <c r="A1449">
        <v>111</v>
      </c>
      <c r="B1449" t="str">
        <f t="shared" si="26"/>
        <v>111_0</v>
      </c>
      <c r="C1449" t="s">
        <v>154</v>
      </c>
      <c r="D1449" t="s">
        <v>157</v>
      </c>
      <c r="E1449" t="s">
        <v>158</v>
      </c>
      <c r="F1449">
        <v>9.43</v>
      </c>
    </row>
    <row r="1450" spans="1:6" x14ac:dyDescent="0.55000000000000004">
      <c r="A1450">
        <v>111</v>
      </c>
      <c r="B1450" t="str">
        <f t="shared" si="26"/>
        <v>111_0</v>
      </c>
      <c r="C1450" t="s">
        <v>154</v>
      </c>
      <c r="D1450" t="s">
        <v>159</v>
      </c>
      <c r="E1450" t="s">
        <v>139</v>
      </c>
      <c r="F1450">
        <v>96.8</v>
      </c>
    </row>
    <row r="1451" spans="1:6" x14ac:dyDescent="0.55000000000000004">
      <c r="A1451">
        <v>111</v>
      </c>
      <c r="B1451" t="str">
        <f t="shared" si="26"/>
        <v>111_0</v>
      </c>
      <c r="C1451" t="s">
        <v>154</v>
      </c>
      <c r="D1451" t="s">
        <v>357</v>
      </c>
      <c r="E1451" t="s">
        <v>161</v>
      </c>
      <c r="F1451">
        <v>62.6</v>
      </c>
    </row>
    <row r="1452" spans="1:6" x14ac:dyDescent="0.55000000000000004">
      <c r="A1452">
        <f>A1451</f>
        <v>111</v>
      </c>
      <c r="B1452" t="str">
        <f>B1451</f>
        <v>111_0</v>
      </c>
      <c r="C1452" s="9" t="str">
        <f>C1451</f>
        <v>Chemical</v>
      </c>
      <c r="D1452" t="s">
        <v>356</v>
      </c>
      <c r="E1452" t="s">
        <v>161</v>
      </c>
      <c r="F1452">
        <f xml:space="preserve"> F1451 / (1 + 0.021 * (F1448 - 25))</f>
        <v>76.00777076250607</v>
      </c>
    </row>
    <row r="1453" spans="1:6" x14ac:dyDescent="0.55000000000000004">
      <c r="A1453">
        <v>111</v>
      </c>
      <c r="B1453" t="str">
        <f t="shared" si="26"/>
        <v>111_0</v>
      </c>
      <c r="C1453" t="s">
        <v>154</v>
      </c>
      <c r="D1453" t="s">
        <v>162</v>
      </c>
      <c r="F1453">
        <v>8.3000000000000007</v>
      </c>
    </row>
    <row r="1454" spans="1:6" x14ac:dyDescent="0.55000000000000004">
      <c r="A1454">
        <v>111</v>
      </c>
      <c r="B1454" t="str">
        <f t="shared" si="26"/>
        <v>111_0</v>
      </c>
      <c r="C1454" t="s">
        <v>163</v>
      </c>
      <c r="D1454" t="s">
        <v>168</v>
      </c>
      <c r="E1454" t="s">
        <v>131</v>
      </c>
      <c r="F1454">
        <v>1</v>
      </c>
    </row>
    <row r="1455" spans="1:6" x14ac:dyDescent="0.55000000000000004">
      <c r="A1455">
        <v>111</v>
      </c>
      <c r="B1455" t="str">
        <f t="shared" si="26"/>
        <v>111_0</v>
      </c>
      <c r="C1455" t="s">
        <v>163</v>
      </c>
      <c r="D1455" t="s">
        <v>169</v>
      </c>
    </row>
    <row r="1456" spans="1:6" x14ac:dyDescent="0.55000000000000004">
      <c r="A1456">
        <v>111</v>
      </c>
      <c r="B1456" t="str">
        <f t="shared" si="26"/>
        <v>111_0</v>
      </c>
      <c r="C1456" t="s">
        <v>163</v>
      </c>
      <c r="D1456" t="s">
        <v>170</v>
      </c>
      <c r="E1456" t="s">
        <v>139</v>
      </c>
      <c r="F1456">
        <v>0</v>
      </c>
    </row>
    <row r="1457" spans="1:7" x14ac:dyDescent="0.55000000000000004">
      <c r="A1457">
        <v>111</v>
      </c>
      <c r="B1457" t="str">
        <f t="shared" si="26"/>
        <v>111_0</v>
      </c>
      <c r="C1457" t="s">
        <v>163</v>
      </c>
      <c r="D1457" t="s">
        <v>171</v>
      </c>
    </row>
    <row r="1458" spans="1:7" x14ac:dyDescent="0.55000000000000004">
      <c r="A1458">
        <v>111</v>
      </c>
      <c r="B1458" t="str">
        <f>A1458 &amp; "_1"</f>
        <v>111_1</v>
      </c>
      <c r="C1458" t="s">
        <v>126</v>
      </c>
      <c r="D1458" t="s">
        <v>127</v>
      </c>
      <c r="E1458" t="s">
        <v>128</v>
      </c>
      <c r="F1458" s="1"/>
      <c r="G1458" t="s">
        <v>129</v>
      </c>
    </row>
    <row r="1459" spans="1:7" x14ac:dyDescent="0.55000000000000004">
      <c r="A1459">
        <v>111</v>
      </c>
      <c r="B1459" t="str">
        <f t="shared" ref="B1459:B1485" si="27">A1459 &amp; "_1"</f>
        <v>111_1</v>
      </c>
      <c r="C1459" t="s">
        <v>126</v>
      </c>
      <c r="D1459" s="11" t="s">
        <v>130</v>
      </c>
      <c r="E1459" t="s">
        <v>131</v>
      </c>
      <c r="F1459">
        <v>1</v>
      </c>
    </row>
    <row r="1460" spans="1:7" x14ac:dyDescent="0.55000000000000004">
      <c r="A1460">
        <v>111</v>
      </c>
      <c r="B1460" t="str">
        <f t="shared" si="27"/>
        <v>111_1</v>
      </c>
      <c r="C1460" t="s">
        <v>126</v>
      </c>
      <c r="D1460" t="s">
        <v>132</v>
      </c>
      <c r="E1460" t="s">
        <v>133</v>
      </c>
    </row>
    <row r="1461" spans="1:7" x14ac:dyDescent="0.55000000000000004">
      <c r="A1461">
        <v>111</v>
      </c>
      <c r="B1461" t="str">
        <f t="shared" si="27"/>
        <v>111_1</v>
      </c>
      <c r="C1461" t="s">
        <v>126</v>
      </c>
      <c r="D1461" t="s">
        <v>134</v>
      </c>
      <c r="E1461" t="s">
        <v>133</v>
      </c>
      <c r="F1461">
        <v>2.4</v>
      </c>
    </row>
    <row r="1462" spans="1:7" x14ac:dyDescent="0.55000000000000004">
      <c r="A1462">
        <v>111</v>
      </c>
      <c r="B1462" t="str">
        <f t="shared" si="27"/>
        <v>111_1</v>
      </c>
      <c r="C1462" t="s">
        <v>126</v>
      </c>
      <c r="D1462" t="s">
        <v>135</v>
      </c>
      <c r="E1462" t="s">
        <v>136</v>
      </c>
      <c r="F1462">
        <f>F1461/10</f>
        <v>0.24</v>
      </c>
      <c r="G1462" t="s">
        <v>137</v>
      </c>
    </row>
    <row r="1463" spans="1:7" x14ac:dyDescent="0.55000000000000004">
      <c r="A1463">
        <v>111</v>
      </c>
      <c r="B1463" t="str">
        <f t="shared" si="27"/>
        <v>111_1</v>
      </c>
      <c r="C1463" t="s">
        <v>126</v>
      </c>
      <c r="D1463" s="2" t="s">
        <v>138</v>
      </c>
      <c r="E1463" t="s">
        <v>139</v>
      </c>
      <c r="F1463">
        <v>100</v>
      </c>
    </row>
    <row r="1464" spans="1:7" x14ac:dyDescent="0.55000000000000004">
      <c r="A1464">
        <v>111</v>
      </c>
      <c r="B1464" t="str">
        <f t="shared" si="27"/>
        <v>111_1</v>
      </c>
      <c r="C1464" t="s">
        <v>126</v>
      </c>
      <c r="D1464" s="2" t="s">
        <v>140</v>
      </c>
      <c r="F1464" t="s">
        <v>182</v>
      </c>
    </row>
    <row r="1465" spans="1:7" x14ac:dyDescent="0.55000000000000004">
      <c r="A1465">
        <v>111</v>
      </c>
      <c r="B1465" t="str">
        <f t="shared" si="27"/>
        <v>111_1</v>
      </c>
      <c r="C1465" t="s">
        <v>126</v>
      </c>
      <c r="D1465" s="2" t="s">
        <v>141</v>
      </c>
      <c r="E1465" t="s">
        <v>139</v>
      </c>
      <c r="F1465">
        <v>0</v>
      </c>
    </row>
    <row r="1466" spans="1:7" x14ac:dyDescent="0.55000000000000004">
      <c r="A1466">
        <v>111</v>
      </c>
      <c r="B1466" t="str">
        <f t="shared" si="27"/>
        <v>111_1</v>
      </c>
      <c r="C1466" t="s">
        <v>126</v>
      </c>
      <c r="D1466" t="s">
        <v>142</v>
      </c>
      <c r="E1466" t="s">
        <v>139</v>
      </c>
      <c r="F1466">
        <v>0</v>
      </c>
    </row>
    <row r="1467" spans="1:7" x14ac:dyDescent="0.55000000000000004">
      <c r="A1467">
        <v>111</v>
      </c>
      <c r="B1467" t="str">
        <f t="shared" si="27"/>
        <v>111_1</v>
      </c>
      <c r="C1467" t="s">
        <v>126</v>
      </c>
      <c r="D1467" t="s">
        <v>143</v>
      </c>
      <c r="E1467" t="s">
        <v>131</v>
      </c>
      <c r="F1467">
        <v>0</v>
      </c>
    </row>
    <row r="1468" spans="1:7" x14ac:dyDescent="0.55000000000000004">
      <c r="A1468">
        <v>111</v>
      </c>
      <c r="B1468" t="str">
        <f t="shared" si="27"/>
        <v>111_1</v>
      </c>
      <c r="C1468" t="s">
        <v>126</v>
      </c>
      <c r="D1468" t="s">
        <v>144</v>
      </c>
      <c r="E1468" t="s">
        <v>139</v>
      </c>
      <c r="F1468">
        <v>0</v>
      </c>
    </row>
    <row r="1469" spans="1:7" x14ac:dyDescent="0.55000000000000004">
      <c r="A1469">
        <v>111</v>
      </c>
      <c r="B1469" t="str">
        <f t="shared" si="27"/>
        <v>111_1</v>
      </c>
      <c r="C1469" t="s">
        <v>126</v>
      </c>
      <c r="D1469" t="s">
        <v>145</v>
      </c>
      <c r="E1469" t="s">
        <v>139</v>
      </c>
      <c r="F1469">
        <v>0</v>
      </c>
    </row>
    <row r="1470" spans="1:7" x14ac:dyDescent="0.55000000000000004">
      <c r="A1470">
        <v>111</v>
      </c>
      <c r="B1470" t="str">
        <f t="shared" si="27"/>
        <v>111_1</v>
      </c>
      <c r="C1470" t="s">
        <v>126</v>
      </c>
      <c r="D1470" t="s">
        <v>146</v>
      </c>
      <c r="E1470" t="s">
        <v>139</v>
      </c>
      <c r="F1470">
        <v>0</v>
      </c>
    </row>
    <row r="1471" spans="1:7" x14ac:dyDescent="0.55000000000000004">
      <c r="A1471">
        <v>111</v>
      </c>
      <c r="B1471" t="str">
        <f t="shared" si="27"/>
        <v>111_1</v>
      </c>
      <c r="C1471" t="s">
        <v>126</v>
      </c>
      <c r="D1471" t="s">
        <v>147</v>
      </c>
      <c r="E1471" t="s">
        <v>139</v>
      </c>
      <c r="F1471">
        <v>0</v>
      </c>
    </row>
    <row r="1472" spans="1:7" x14ac:dyDescent="0.55000000000000004">
      <c r="A1472">
        <v>111</v>
      </c>
      <c r="B1472" t="str">
        <f t="shared" si="27"/>
        <v>111_1</v>
      </c>
      <c r="C1472" t="s">
        <v>126</v>
      </c>
      <c r="D1472" t="s">
        <v>148</v>
      </c>
      <c r="E1472" t="s">
        <v>139</v>
      </c>
      <c r="F1472">
        <v>0</v>
      </c>
    </row>
    <row r="1473" spans="1:7" x14ac:dyDescent="0.55000000000000004">
      <c r="A1473">
        <v>111</v>
      </c>
      <c r="B1473" t="str">
        <f t="shared" si="27"/>
        <v>111_1</v>
      </c>
      <c r="C1473" t="s">
        <v>126</v>
      </c>
      <c r="D1473" t="s">
        <v>149</v>
      </c>
      <c r="E1473" t="s">
        <v>139</v>
      </c>
      <c r="F1473">
        <v>0</v>
      </c>
    </row>
    <row r="1474" spans="1:7" x14ac:dyDescent="0.55000000000000004">
      <c r="A1474">
        <v>111</v>
      </c>
      <c r="B1474" t="str">
        <f t="shared" si="27"/>
        <v>111_1</v>
      </c>
      <c r="C1474" t="s">
        <v>126</v>
      </c>
      <c r="D1474" t="s">
        <v>150</v>
      </c>
      <c r="E1474" t="s">
        <v>139</v>
      </c>
      <c r="F1474">
        <v>100</v>
      </c>
    </row>
    <row r="1475" spans="1:7" x14ac:dyDescent="0.55000000000000004">
      <c r="A1475">
        <v>111</v>
      </c>
      <c r="B1475" t="str">
        <f t="shared" si="27"/>
        <v>111_1</v>
      </c>
      <c r="C1475" t="s">
        <v>126</v>
      </c>
      <c r="D1475" t="s">
        <v>152</v>
      </c>
      <c r="E1475" t="s">
        <v>153</v>
      </c>
    </row>
    <row r="1476" spans="1:7" x14ac:dyDescent="0.55000000000000004">
      <c r="A1476">
        <v>111</v>
      </c>
      <c r="B1476" t="str">
        <f t="shared" si="27"/>
        <v>111_1</v>
      </c>
      <c r="C1476" t="s">
        <v>154</v>
      </c>
      <c r="D1476" t="s">
        <v>155</v>
      </c>
      <c r="E1476" t="s">
        <v>156</v>
      </c>
      <c r="F1476">
        <v>21.4</v>
      </c>
    </row>
    <row r="1477" spans="1:7" x14ac:dyDescent="0.55000000000000004">
      <c r="A1477">
        <v>111</v>
      </c>
      <c r="B1477" t="str">
        <f t="shared" si="27"/>
        <v>111_1</v>
      </c>
      <c r="C1477" t="s">
        <v>154</v>
      </c>
      <c r="D1477" t="s">
        <v>157</v>
      </c>
      <c r="E1477" t="s">
        <v>158</v>
      </c>
      <c r="F1477">
        <v>9.19</v>
      </c>
    </row>
    <row r="1478" spans="1:7" x14ac:dyDescent="0.55000000000000004">
      <c r="A1478">
        <v>111</v>
      </c>
      <c r="B1478" t="str">
        <f t="shared" si="27"/>
        <v>111_1</v>
      </c>
      <c r="C1478" t="s">
        <v>154</v>
      </c>
      <c r="D1478" t="s">
        <v>159</v>
      </c>
      <c r="E1478" t="s">
        <v>139</v>
      </c>
      <c r="F1478">
        <v>104</v>
      </c>
    </row>
    <row r="1479" spans="1:7" x14ac:dyDescent="0.55000000000000004">
      <c r="A1479">
        <v>111</v>
      </c>
      <c r="B1479" t="str">
        <f t="shared" si="27"/>
        <v>111_1</v>
      </c>
      <c r="C1479" t="s">
        <v>154</v>
      </c>
      <c r="D1479" t="s">
        <v>357</v>
      </c>
      <c r="E1479" t="s">
        <v>161</v>
      </c>
      <c r="F1479">
        <v>70.900000000000006</v>
      </c>
    </row>
    <row r="1480" spans="1:7" x14ac:dyDescent="0.55000000000000004">
      <c r="A1480">
        <f>A1479</f>
        <v>111</v>
      </c>
      <c r="B1480" t="str">
        <f>B1479</f>
        <v>111_1</v>
      </c>
      <c r="C1480" s="9" t="str">
        <f>C1479</f>
        <v>Chemical</v>
      </c>
      <c r="D1480" t="s">
        <v>356</v>
      </c>
      <c r="E1480" t="s">
        <v>161</v>
      </c>
      <c r="F1480">
        <f xml:space="preserve"> F1479 / (1 + 0.021 * (F1476 - 25))</f>
        <v>76.698398961488536</v>
      </c>
    </row>
    <row r="1481" spans="1:7" x14ac:dyDescent="0.55000000000000004">
      <c r="A1481">
        <v>111</v>
      </c>
      <c r="B1481" t="str">
        <f t="shared" si="27"/>
        <v>111_1</v>
      </c>
      <c r="C1481" t="s">
        <v>154</v>
      </c>
      <c r="D1481" t="s">
        <v>162</v>
      </c>
      <c r="F1481">
        <v>8.48</v>
      </c>
    </row>
    <row r="1482" spans="1:7" x14ac:dyDescent="0.55000000000000004">
      <c r="A1482">
        <v>111</v>
      </c>
      <c r="B1482" t="str">
        <f t="shared" si="27"/>
        <v>111_1</v>
      </c>
      <c r="C1482" t="s">
        <v>163</v>
      </c>
      <c r="D1482" t="s">
        <v>168</v>
      </c>
      <c r="E1482" t="s">
        <v>131</v>
      </c>
      <c r="F1482">
        <v>1</v>
      </c>
    </row>
    <row r="1483" spans="1:7" x14ac:dyDescent="0.55000000000000004">
      <c r="A1483">
        <v>111</v>
      </c>
      <c r="B1483" t="str">
        <f t="shared" si="27"/>
        <v>111_1</v>
      </c>
      <c r="C1483" t="s">
        <v>163</v>
      </c>
      <c r="D1483" t="s">
        <v>169</v>
      </c>
    </row>
    <row r="1484" spans="1:7" x14ac:dyDescent="0.55000000000000004">
      <c r="A1484">
        <v>111</v>
      </c>
      <c r="B1484" t="str">
        <f t="shared" si="27"/>
        <v>111_1</v>
      </c>
      <c r="C1484" t="s">
        <v>163</v>
      </c>
      <c r="D1484" t="s">
        <v>170</v>
      </c>
      <c r="E1484" t="s">
        <v>139</v>
      </c>
      <c r="F1484">
        <v>0</v>
      </c>
    </row>
    <row r="1485" spans="1:7" x14ac:dyDescent="0.55000000000000004">
      <c r="A1485">
        <v>111</v>
      </c>
      <c r="B1485" t="str">
        <f t="shared" si="27"/>
        <v>111_1</v>
      </c>
      <c r="C1485" t="s">
        <v>163</v>
      </c>
      <c r="D1485" t="s">
        <v>171</v>
      </c>
    </row>
    <row r="1486" spans="1:7" x14ac:dyDescent="0.55000000000000004">
      <c r="A1486">
        <v>112</v>
      </c>
      <c r="B1486" t="str">
        <f t="shared" si="26"/>
        <v>112_0</v>
      </c>
      <c r="C1486" t="s">
        <v>126</v>
      </c>
      <c r="D1486" t="s">
        <v>127</v>
      </c>
      <c r="E1486" t="s">
        <v>128</v>
      </c>
      <c r="G1486" t="s">
        <v>129</v>
      </c>
    </row>
    <row r="1487" spans="1:7" x14ac:dyDescent="0.55000000000000004">
      <c r="A1487">
        <v>112</v>
      </c>
      <c r="B1487" t="str">
        <f t="shared" si="26"/>
        <v>112_0</v>
      </c>
      <c r="C1487" t="s">
        <v>126</v>
      </c>
      <c r="D1487" s="11" t="s">
        <v>130</v>
      </c>
      <c r="E1487" t="s">
        <v>131</v>
      </c>
      <c r="F1487">
        <v>1</v>
      </c>
    </row>
    <row r="1488" spans="1:7" x14ac:dyDescent="0.55000000000000004">
      <c r="A1488">
        <v>112</v>
      </c>
      <c r="B1488" t="str">
        <f t="shared" si="26"/>
        <v>112_0</v>
      </c>
      <c r="C1488" t="s">
        <v>126</v>
      </c>
      <c r="D1488" t="s">
        <v>132</v>
      </c>
      <c r="E1488" t="s">
        <v>133</v>
      </c>
    </row>
    <row r="1489" spans="1:6" x14ac:dyDescent="0.55000000000000004">
      <c r="A1489">
        <v>112</v>
      </c>
      <c r="B1489" t="str">
        <f t="shared" si="26"/>
        <v>112_0</v>
      </c>
      <c r="C1489" t="s">
        <v>126</v>
      </c>
      <c r="D1489" t="s">
        <v>134</v>
      </c>
      <c r="E1489" t="s">
        <v>133</v>
      </c>
      <c r="F1489">
        <v>0.5</v>
      </c>
    </row>
    <row r="1490" spans="1:6" x14ac:dyDescent="0.55000000000000004">
      <c r="A1490">
        <v>112</v>
      </c>
      <c r="B1490" t="str">
        <f t="shared" si="26"/>
        <v>112_0</v>
      </c>
      <c r="C1490" t="s">
        <v>126</v>
      </c>
      <c r="D1490" t="s">
        <v>135</v>
      </c>
      <c r="E1490" t="s">
        <v>136</v>
      </c>
      <c r="F1490">
        <f>F1489/10</f>
        <v>0.05</v>
      </c>
    </row>
    <row r="1491" spans="1:6" x14ac:dyDescent="0.55000000000000004">
      <c r="A1491">
        <v>112</v>
      </c>
      <c r="B1491" t="str">
        <f t="shared" si="26"/>
        <v>112_0</v>
      </c>
      <c r="C1491" t="s">
        <v>126</v>
      </c>
      <c r="D1491" s="2" t="s">
        <v>138</v>
      </c>
      <c r="E1491" t="s">
        <v>139</v>
      </c>
      <c r="F1491">
        <v>0</v>
      </c>
    </row>
    <row r="1492" spans="1:6" x14ac:dyDescent="0.55000000000000004">
      <c r="A1492">
        <v>112</v>
      </c>
      <c r="B1492" t="str">
        <f t="shared" si="26"/>
        <v>112_0</v>
      </c>
      <c r="C1492" t="s">
        <v>126</v>
      </c>
      <c r="D1492" s="2" t="s">
        <v>140</v>
      </c>
    </row>
    <row r="1493" spans="1:6" x14ac:dyDescent="0.55000000000000004">
      <c r="A1493">
        <v>112</v>
      </c>
      <c r="B1493" t="str">
        <f t="shared" si="26"/>
        <v>112_0</v>
      </c>
      <c r="C1493" t="s">
        <v>126</v>
      </c>
      <c r="D1493" s="2" t="s">
        <v>141</v>
      </c>
      <c r="E1493" t="s">
        <v>139</v>
      </c>
      <c r="F1493">
        <v>0</v>
      </c>
    </row>
    <row r="1494" spans="1:6" x14ac:dyDescent="0.55000000000000004">
      <c r="A1494">
        <v>112</v>
      </c>
      <c r="B1494" t="str">
        <f t="shared" si="26"/>
        <v>112_0</v>
      </c>
      <c r="C1494" t="s">
        <v>126</v>
      </c>
      <c r="D1494" t="s">
        <v>142</v>
      </c>
      <c r="E1494" t="s">
        <v>139</v>
      </c>
      <c r="F1494">
        <v>0</v>
      </c>
    </row>
    <row r="1495" spans="1:6" x14ac:dyDescent="0.55000000000000004">
      <c r="A1495">
        <v>112</v>
      </c>
      <c r="B1495" t="str">
        <f t="shared" si="26"/>
        <v>112_0</v>
      </c>
      <c r="C1495" t="s">
        <v>126</v>
      </c>
      <c r="D1495" t="s">
        <v>143</v>
      </c>
      <c r="E1495" t="s">
        <v>131</v>
      </c>
      <c r="F1495">
        <v>0</v>
      </c>
    </row>
    <row r="1496" spans="1:6" x14ac:dyDescent="0.55000000000000004">
      <c r="A1496">
        <v>112</v>
      </c>
      <c r="B1496" t="str">
        <f t="shared" si="26"/>
        <v>112_0</v>
      </c>
      <c r="C1496" t="s">
        <v>126</v>
      </c>
      <c r="D1496" t="s">
        <v>144</v>
      </c>
      <c r="E1496" t="s">
        <v>139</v>
      </c>
      <c r="F1496">
        <v>0</v>
      </c>
    </row>
    <row r="1497" spans="1:6" x14ac:dyDescent="0.55000000000000004">
      <c r="A1497">
        <v>112</v>
      </c>
      <c r="B1497" t="str">
        <f t="shared" si="26"/>
        <v>112_0</v>
      </c>
      <c r="C1497" t="s">
        <v>126</v>
      </c>
      <c r="D1497" t="s">
        <v>145</v>
      </c>
      <c r="E1497" t="s">
        <v>139</v>
      </c>
      <c r="F1497">
        <v>0</v>
      </c>
    </row>
    <row r="1498" spans="1:6" x14ac:dyDescent="0.55000000000000004">
      <c r="A1498">
        <v>112</v>
      </c>
      <c r="B1498" t="str">
        <f t="shared" si="26"/>
        <v>112_0</v>
      </c>
      <c r="C1498" t="s">
        <v>126</v>
      </c>
      <c r="D1498" t="s">
        <v>146</v>
      </c>
      <c r="E1498" t="s">
        <v>139</v>
      </c>
      <c r="F1498">
        <v>0</v>
      </c>
    </row>
    <row r="1499" spans="1:6" x14ac:dyDescent="0.55000000000000004">
      <c r="A1499">
        <v>112</v>
      </c>
      <c r="B1499" t="str">
        <f t="shared" si="26"/>
        <v>112_0</v>
      </c>
      <c r="C1499" t="s">
        <v>126</v>
      </c>
      <c r="D1499" t="s">
        <v>147</v>
      </c>
      <c r="E1499" t="s">
        <v>139</v>
      </c>
      <c r="F1499">
        <v>0</v>
      </c>
    </row>
    <row r="1500" spans="1:6" x14ac:dyDescent="0.55000000000000004">
      <c r="A1500">
        <v>112</v>
      </c>
      <c r="B1500" t="str">
        <f t="shared" ref="B1500:B1555" si="28">A1500 &amp; "_0"</f>
        <v>112_0</v>
      </c>
      <c r="C1500" t="s">
        <v>126</v>
      </c>
      <c r="D1500" t="s">
        <v>148</v>
      </c>
      <c r="E1500" t="s">
        <v>139</v>
      </c>
      <c r="F1500">
        <v>0</v>
      </c>
    </row>
    <row r="1501" spans="1:6" x14ac:dyDescent="0.55000000000000004">
      <c r="A1501">
        <v>112</v>
      </c>
      <c r="B1501" t="str">
        <f t="shared" si="28"/>
        <v>112_0</v>
      </c>
      <c r="C1501" t="s">
        <v>126</v>
      </c>
      <c r="D1501" t="s">
        <v>149</v>
      </c>
      <c r="E1501" t="s">
        <v>139</v>
      </c>
      <c r="F1501">
        <v>100</v>
      </c>
    </row>
    <row r="1502" spans="1:6" x14ac:dyDescent="0.55000000000000004">
      <c r="A1502">
        <v>112</v>
      </c>
      <c r="B1502" t="str">
        <f t="shared" si="28"/>
        <v>112_0</v>
      </c>
      <c r="C1502" t="s">
        <v>126</v>
      </c>
      <c r="D1502" t="s">
        <v>150</v>
      </c>
      <c r="E1502" t="s">
        <v>139</v>
      </c>
      <c r="F1502">
        <v>0</v>
      </c>
    </row>
    <row r="1503" spans="1:6" x14ac:dyDescent="0.55000000000000004">
      <c r="A1503">
        <v>112</v>
      </c>
      <c r="B1503" t="str">
        <f t="shared" si="28"/>
        <v>112_0</v>
      </c>
      <c r="C1503" t="s">
        <v>126</v>
      </c>
      <c r="D1503" t="s">
        <v>152</v>
      </c>
      <c r="E1503" t="s">
        <v>153</v>
      </c>
    </row>
    <row r="1504" spans="1:6" x14ac:dyDescent="0.55000000000000004">
      <c r="A1504">
        <v>112</v>
      </c>
      <c r="B1504" t="str">
        <f t="shared" si="28"/>
        <v>112_0</v>
      </c>
      <c r="C1504" t="s">
        <v>154</v>
      </c>
      <c r="D1504" t="s">
        <v>155</v>
      </c>
      <c r="E1504" t="s">
        <v>156</v>
      </c>
      <c r="F1504">
        <v>20.3</v>
      </c>
    </row>
    <row r="1505" spans="1:7" x14ac:dyDescent="0.55000000000000004">
      <c r="A1505">
        <v>112</v>
      </c>
      <c r="B1505" t="str">
        <f t="shared" si="28"/>
        <v>112_0</v>
      </c>
      <c r="C1505" t="s">
        <v>154</v>
      </c>
      <c r="D1505" t="s">
        <v>157</v>
      </c>
      <c r="E1505" t="s">
        <v>158</v>
      </c>
      <c r="F1505">
        <v>9.32</v>
      </c>
    </row>
    <row r="1506" spans="1:7" x14ac:dyDescent="0.55000000000000004">
      <c r="A1506">
        <v>112</v>
      </c>
      <c r="B1506" t="str">
        <f t="shared" si="28"/>
        <v>112_0</v>
      </c>
      <c r="C1506" t="s">
        <v>154</v>
      </c>
      <c r="D1506" t="s">
        <v>159</v>
      </c>
      <c r="E1506" t="s">
        <v>139</v>
      </c>
      <c r="F1506">
        <v>102.8</v>
      </c>
    </row>
    <row r="1507" spans="1:7" x14ac:dyDescent="0.55000000000000004">
      <c r="A1507">
        <v>112</v>
      </c>
      <c r="B1507" t="str">
        <f t="shared" si="28"/>
        <v>112_0</v>
      </c>
      <c r="C1507" t="s">
        <v>154</v>
      </c>
      <c r="D1507" t="s">
        <v>357</v>
      </c>
      <c r="E1507" t="s">
        <v>161</v>
      </c>
      <c r="F1507">
        <v>69.2</v>
      </c>
    </row>
    <row r="1508" spans="1:7" x14ac:dyDescent="0.55000000000000004">
      <c r="A1508">
        <f>A1507</f>
        <v>112</v>
      </c>
      <c r="B1508" t="str">
        <f>B1507</f>
        <v>112_0</v>
      </c>
      <c r="C1508" s="9" t="str">
        <f>C1507</f>
        <v>Chemical</v>
      </c>
      <c r="D1508" t="s">
        <v>356</v>
      </c>
      <c r="E1508" t="s">
        <v>161</v>
      </c>
      <c r="F1508">
        <f xml:space="preserve"> F1507 / (1 + 0.021 * (F1504 - 25))</f>
        <v>76.777987351603244</v>
      </c>
    </row>
    <row r="1509" spans="1:7" x14ac:dyDescent="0.55000000000000004">
      <c r="A1509">
        <v>112</v>
      </c>
      <c r="B1509" t="str">
        <f t="shared" si="28"/>
        <v>112_0</v>
      </c>
      <c r="C1509" t="s">
        <v>154</v>
      </c>
      <c r="D1509" t="s">
        <v>162</v>
      </c>
      <c r="F1509">
        <v>8.6</v>
      </c>
    </row>
    <row r="1510" spans="1:7" x14ac:dyDescent="0.55000000000000004">
      <c r="A1510">
        <v>112</v>
      </c>
      <c r="B1510" t="str">
        <f t="shared" si="28"/>
        <v>112_0</v>
      </c>
      <c r="C1510" t="s">
        <v>163</v>
      </c>
      <c r="D1510" t="s">
        <v>168</v>
      </c>
      <c r="E1510" t="s">
        <v>131</v>
      </c>
      <c r="F1510">
        <v>0</v>
      </c>
    </row>
    <row r="1511" spans="1:7" x14ac:dyDescent="0.55000000000000004">
      <c r="A1511">
        <v>112</v>
      </c>
      <c r="B1511" t="str">
        <f t="shared" si="28"/>
        <v>112_0</v>
      </c>
      <c r="C1511" t="s">
        <v>163</v>
      </c>
      <c r="D1511" t="s">
        <v>169</v>
      </c>
    </row>
    <row r="1512" spans="1:7" x14ac:dyDescent="0.55000000000000004">
      <c r="A1512">
        <v>112</v>
      </c>
      <c r="B1512" t="str">
        <f t="shared" si="28"/>
        <v>112_0</v>
      </c>
      <c r="C1512" t="s">
        <v>163</v>
      </c>
      <c r="D1512" t="s">
        <v>170</v>
      </c>
      <c r="E1512" t="s">
        <v>139</v>
      </c>
      <c r="F1512">
        <v>0</v>
      </c>
    </row>
    <row r="1513" spans="1:7" x14ac:dyDescent="0.55000000000000004">
      <c r="A1513">
        <v>112</v>
      </c>
      <c r="B1513" t="str">
        <f t="shared" si="28"/>
        <v>112_0</v>
      </c>
      <c r="C1513" t="s">
        <v>163</v>
      </c>
      <c r="D1513" t="s">
        <v>171</v>
      </c>
    </row>
    <row r="1514" spans="1:7" x14ac:dyDescent="0.55000000000000004">
      <c r="A1514">
        <v>113</v>
      </c>
      <c r="B1514" t="str">
        <f t="shared" si="28"/>
        <v>113_0</v>
      </c>
      <c r="C1514" t="s">
        <v>126</v>
      </c>
      <c r="D1514" t="s">
        <v>127</v>
      </c>
      <c r="E1514" t="s">
        <v>128</v>
      </c>
      <c r="G1514" t="s">
        <v>129</v>
      </c>
    </row>
    <row r="1515" spans="1:7" x14ac:dyDescent="0.55000000000000004">
      <c r="A1515">
        <v>113</v>
      </c>
      <c r="B1515" t="str">
        <f t="shared" si="28"/>
        <v>113_0</v>
      </c>
      <c r="C1515" t="s">
        <v>126</v>
      </c>
      <c r="D1515" s="11" t="s">
        <v>130</v>
      </c>
      <c r="E1515" t="s">
        <v>131</v>
      </c>
      <c r="F1515">
        <v>1</v>
      </c>
    </row>
    <row r="1516" spans="1:7" x14ac:dyDescent="0.55000000000000004">
      <c r="A1516">
        <v>113</v>
      </c>
      <c r="B1516" t="str">
        <f t="shared" si="28"/>
        <v>113_0</v>
      </c>
      <c r="C1516" t="s">
        <v>126</v>
      </c>
      <c r="D1516" t="s">
        <v>132</v>
      </c>
      <c r="E1516" t="s">
        <v>133</v>
      </c>
      <c r="F1516">
        <v>9.1999999999999993</v>
      </c>
      <c r="G1516" t="s">
        <v>175</v>
      </c>
    </row>
    <row r="1517" spans="1:7" x14ac:dyDescent="0.55000000000000004">
      <c r="A1517">
        <v>113</v>
      </c>
      <c r="B1517" t="str">
        <f t="shared" si="28"/>
        <v>113_0</v>
      </c>
      <c r="C1517" t="s">
        <v>126</v>
      </c>
      <c r="D1517" t="s">
        <v>134</v>
      </c>
      <c r="E1517" t="s">
        <v>133</v>
      </c>
      <c r="F1517">
        <v>1.8</v>
      </c>
    </row>
    <row r="1518" spans="1:7" x14ac:dyDescent="0.55000000000000004">
      <c r="A1518">
        <v>113</v>
      </c>
      <c r="B1518" t="str">
        <f t="shared" si="28"/>
        <v>113_0</v>
      </c>
      <c r="C1518" t="s">
        <v>126</v>
      </c>
      <c r="D1518" t="s">
        <v>135</v>
      </c>
      <c r="E1518" t="s">
        <v>136</v>
      </c>
      <c r="F1518">
        <f>F1517/10</f>
        <v>0.18</v>
      </c>
    </row>
    <row r="1519" spans="1:7" x14ac:dyDescent="0.55000000000000004">
      <c r="A1519">
        <v>113</v>
      </c>
      <c r="B1519" t="str">
        <f t="shared" si="28"/>
        <v>113_0</v>
      </c>
      <c r="C1519" t="s">
        <v>126</v>
      </c>
      <c r="D1519" s="2" t="s">
        <v>138</v>
      </c>
      <c r="E1519" t="s">
        <v>139</v>
      </c>
      <c r="F1519">
        <v>100</v>
      </c>
    </row>
    <row r="1520" spans="1:7" x14ac:dyDescent="0.55000000000000004">
      <c r="A1520">
        <v>113</v>
      </c>
      <c r="B1520" t="str">
        <f t="shared" si="28"/>
        <v>113_0</v>
      </c>
      <c r="C1520" t="s">
        <v>126</v>
      </c>
      <c r="D1520" s="2" t="s">
        <v>140</v>
      </c>
      <c r="F1520" t="s">
        <v>172</v>
      </c>
    </row>
    <row r="1521" spans="1:6" x14ac:dyDescent="0.55000000000000004">
      <c r="A1521">
        <v>113</v>
      </c>
      <c r="B1521" t="str">
        <f t="shared" si="28"/>
        <v>113_0</v>
      </c>
      <c r="C1521" t="s">
        <v>126</v>
      </c>
      <c r="D1521" s="2" t="s">
        <v>141</v>
      </c>
      <c r="E1521" t="s">
        <v>139</v>
      </c>
      <c r="F1521">
        <v>100</v>
      </c>
    </row>
    <row r="1522" spans="1:6" x14ac:dyDescent="0.55000000000000004">
      <c r="A1522">
        <v>113</v>
      </c>
      <c r="B1522" t="str">
        <f t="shared" si="28"/>
        <v>113_0</v>
      </c>
      <c r="C1522" t="s">
        <v>126</v>
      </c>
      <c r="D1522" t="s">
        <v>142</v>
      </c>
      <c r="E1522" t="s">
        <v>139</v>
      </c>
      <c r="F1522">
        <v>0</v>
      </c>
    </row>
    <row r="1523" spans="1:6" x14ac:dyDescent="0.55000000000000004">
      <c r="A1523">
        <v>113</v>
      </c>
      <c r="B1523" t="str">
        <f t="shared" si="28"/>
        <v>113_0</v>
      </c>
      <c r="C1523" t="s">
        <v>126</v>
      </c>
      <c r="D1523" t="s">
        <v>143</v>
      </c>
      <c r="E1523" t="s">
        <v>131</v>
      </c>
      <c r="F1523">
        <v>0</v>
      </c>
    </row>
    <row r="1524" spans="1:6" x14ac:dyDescent="0.55000000000000004">
      <c r="A1524">
        <v>113</v>
      </c>
      <c r="B1524" t="str">
        <f t="shared" si="28"/>
        <v>113_0</v>
      </c>
      <c r="C1524" t="s">
        <v>126</v>
      </c>
      <c r="D1524" t="s">
        <v>144</v>
      </c>
      <c r="E1524" t="s">
        <v>139</v>
      </c>
      <c r="F1524">
        <v>0</v>
      </c>
    </row>
    <row r="1525" spans="1:6" x14ac:dyDescent="0.55000000000000004">
      <c r="A1525">
        <v>113</v>
      </c>
      <c r="B1525" t="str">
        <f t="shared" si="28"/>
        <v>113_0</v>
      </c>
      <c r="C1525" t="s">
        <v>126</v>
      </c>
      <c r="D1525" t="s">
        <v>145</v>
      </c>
      <c r="E1525" t="s">
        <v>139</v>
      </c>
      <c r="F1525">
        <v>30</v>
      </c>
    </row>
    <row r="1526" spans="1:6" x14ac:dyDescent="0.55000000000000004">
      <c r="A1526">
        <v>113</v>
      </c>
      <c r="B1526" t="str">
        <f t="shared" si="28"/>
        <v>113_0</v>
      </c>
      <c r="C1526" t="s">
        <v>126</v>
      </c>
      <c r="D1526" t="s">
        <v>146</v>
      </c>
      <c r="E1526" t="s">
        <v>139</v>
      </c>
      <c r="F1526">
        <v>0</v>
      </c>
    </row>
    <row r="1527" spans="1:6" x14ac:dyDescent="0.55000000000000004">
      <c r="A1527">
        <v>113</v>
      </c>
      <c r="B1527" t="str">
        <f t="shared" si="28"/>
        <v>113_0</v>
      </c>
      <c r="C1527" t="s">
        <v>126</v>
      </c>
      <c r="D1527" t="s">
        <v>147</v>
      </c>
      <c r="E1527" t="s">
        <v>139</v>
      </c>
      <c r="F1527">
        <v>0</v>
      </c>
    </row>
    <row r="1528" spans="1:6" x14ac:dyDescent="0.55000000000000004">
      <c r="A1528">
        <v>113</v>
      </c>
      <c r="B1528" t="str">
        <f t="shared" si="28"/>
        <v>113_0</v>
      </c>
      <c r="C1528" t="s">
        <v>126</v>
      </c>
      <c r="D1528" t="s">
        <v>148</v>
      </c>
      <c r="E1528" t="s">
        <v>139</v>
      </c>
      <c r="F1528">
        <v>70</v>
      </c>
    </row>
    <row r="1529" spans="1:6" x14ac:dyDescent="0.55000000000000004">
      <c r="A1529">
        <v>113</v>
      </c>
      <c r="B1529" t="str">
        <f t="shared" si="28"/>
        <v>113_0</v>
      </c>
      <c r="C1529" t="s">
        <v>126</v>
      </c>
      <c r="D1529" t="s">
        <v>149</v>
      </c>
      <c r="E1529" t="s">
        <v>139</v>
      </c>
      <c r="F1529">
        <v>0</v>
      </c>
    </row>
    <row r="1530" spans="1:6" x14ac:dyDescent="0.55000000000000004">
      <c r="A1530">
        <v>113</v>
      </c>
      <c r="B1530" t="str">
        <f t="shared" si="28"/>
        <v>113_0</v>
      </c>
      <c r="C1530" t="s">
        <v>126</v>
      </c>
      <c r="D1530" t="s">
        <v>150</v>
      </c>
      <c r="E1530" t="s">
        <v>139</v>
      </c>
      <c r="F1530">
        <v>0</v>
      </c>
    </row>
    <row r="1531" spans="1:6" x14ac:dyDescent="0.55000000000000004">
      <c r="A1531">
        <v>113</v>
      </c>
      <c r="B1531" t="str">
        <f t="shared" si="28"/>
        <v>113_0</v>
      </c>
      <c r="C1531" t="s">
        <v>126</v>
      </c>
      <c r="D1531" t="s">
        <v>152</v>
      </c>
      <c r="E1531" t="s">
        <v>153</v>
      </c>
    </row>
    <row r="1532" spans="1:6" x14ac:dyDescent="0.55000000000000004">
      <c r="A1532">
        <v>113</v>
      </c>
      <c r="B1532" t="str">
        <f t="shared" si="28"/>
        <v>113_0</v>
      </c>
      <c r="C1532" t="s">
        <v>154</v>
      </c>
      <c r="D1532" t="s">
        <v>155</v>
      </c>
      <c r="E1532" t="s">
        <v>156</v>
      </c>
      <c r="F1532">
        <v>20.7</v>
      </c>
    </row>
    <row r="1533" spans="1:6" x14ac:dyDescent="0.55000000000000004">
      <c r="A1533">
        <v>113</v>
      </c>
      <c r="B1533" t="str">
        <f t="shared" si="28"/>
        <v>113_0</v>
      </c>
      <c r="C1533" t="s">
        <v>154</v>
      </c>
      <c r="D1533" t="s">
        <v>157</v>
      </c>
      <c r="E1533" t="s">
        <v>158</v>
      </c>
      <c r="F1533">
        <v>8.83</v>
      </c>
    </row>
    <row r="1534" spans="1:6" x14ac:dyDescent="0.55000000000000004">
      <c r="A1534">
        <v>113</v>
      </c>
      <c r="B1534" t="str">
        <f t="shared" si="28"/>
        <v>113_0</v>
      </c>
      <c r="C1534" t="s">
        <v>154</v>
      </c>
      <c r="D1534" t="s">
        <v>159</v>
      </c>
      <c r="E1534" t="s">
        <v>139</v>
      </c>
      <c r="F1534">
        <v>98.5</v>
      </c>
    </row>
    <row r="1535" spans="1:6" x14ac:dyDescent="0.55000000000000004">
      <c r="A1535">
        <v>113</v>
      </c>
      <c r="B1535" t="str">
        <f t="shared" si="28"/>
        <v>113_0</v>
      </c>
      <c r="C1535" t="s">
        <v>154</v>
      </c>
      <c r="D1535" t="s">
        <v>357</v>
      </c>
      <c r="E1535" t="s">
        <v>161</v>
      </c>
      <c r="F1535">
        <v>69.7</v>
      </c>
    </row>
    <row r="1536" spans="1:6" x14ac:dyDescent="0.55000000000000004">
      <c r="A1536">
        <f>A1535</f>
        <v>113</v>
      </c>
      <c r="B1536" t="str">
        <f>B1535</f>
        <v>113_0</v>
      </c>
      <c r="C1536" s="9" t="str">
        <f>C1535</f>
        <v>Chemical</v>
      </c>
      <c r="D1536" t="s">
        <v>356</v>
      </c>
      <c r="E1536" t="s">
        <v>161</v>
      </c>
      <c r="F1536">
        <f xml:space="preserve"> F1535 / (1 + 0.021 * (F1532 - 25))</f>
        <v>76.618665494118943</v>
      </c>
    </row>
    <row r="1537" spans="1:7" x14ac:dyDescent="0.55000000000000004">
      <c r="A1537">
        <v>113</v>
      </c>
      <c r="B1537" t="str">
        <f t="shared" si="28"/>
        <v>113_0</v>
      </c>
      <c r="C1537" t="s">
        <v>154</v>
      </c>
      <c r="D1537" t="s">
        <v>162</v>
      </c>
      <c r="F1537">
        <v>9</v>
      </c>
    </row>
    <row r="1538" spans="1:7" x14ac:dyDescent="0.55000000000000004">
      <c r="A1538">
        <v>113</v>
      </c>
      <c r="B1538" t="str">
        <f t="shared" si="28"/>
        <v>113_0</v>
      </c>
      <c r="C1538" t="s">
        <v>163</v>
      </c>
      <c r="D1538" t="s">
        <v>168</v>
      </c>
      <c r="E1538" t="s">
        <v>131</v>
      </c>
      <c r="F1538">
        <v>0</v>
      </c>
    </row>
    <row r="1539" spans="1:7" x14ac:dyDescent="0.55000000000000004">
      <c r="A1539">
        <v>113</v>
      </c>
      <c r="B1539" t="str">
        <f t="shared" si="28"/>
        <v>113_0</v>
      </c>
      <c r="C1539" t="s">
        <v>163</v>
      </c>
      <c r="D1539" t="s">
        <v>169</v>
      </c>
    </row>
    <row r="1540" spans="1:7" x14ac:dyDescent="0.55000000000000004">
      <c r="A1540">
        <v>113</v>
      </c>
      <c r="B1540" t="str">
        <f t="shared" si="28"/>
        <v>113_0</v>
      </c>
      <c r="C1540" t="s">
        <v>163</v>
      </c>
      <c r="D1540" t="s">
        <v>170</v>
      </c>
      <c r="E1540" t="s">
        <v>139</v>
      </c>
      <c r="F1540">
        <v>30</v>
      </c>
    </row>
    <row r="1541" spans="1:7" x14ac:dyDescent="0.55000000000000004">
      <c r="A1541">
        <v>113</v>
      </c>
      <c r="B1541" t="str">
        <f t="shared" si="28"/>
        <v>113_0</v>
      </c>
      <c r="C1541" t="s">
        <v>163</v>
      </c>
      <c r="D1541" t="s">
        <v>171</v>
      </c>
    </row>
    <row r="1542" spans="1:7" x14ac:dyDescent="0.55000000000000004">
      <c r="A1542">
        <v>114</v>
      </c>
      <c r="B1542" t="str">
        <f t="shared" si="28"/>
        <v>114_0</v>
      </c>
      <c r="C1542" t="s">
        <v>126</v>
      </c>
      <c r="D1542" t="s">
        <v>127</v>
      </c>
      <c r="E1542" t="s">
        <v>128</v>
      </c>
      <c r="G1542" t="s">
        <v>129</v>
      </c>
    </row>
    <row r="1543" spans="1:7" x14ac:dyDescent="0.55000000000000004">
      <c r="A1543">
        <v>114</v>
      </c>
      <c r="B1543" t="str">
        <f t="shared" si="28"/>
        <v>114_0</v>
      </c>
      <c r="C1543" t="s">
        <v>126</v>
      </c>
      <c r="D1543" s="11" t="s">
        <v>130</v>
      </c>
      <c r="E1543" t="s">
        <v>131</v>
      </c>
      <c r="F1543">
        <v>1</v>
      </c>
    </row>
    <row r="1544" spans="1:7" x14ac:dyDescent="0.55000000000000004">
      <c r="A1544">
        <v>114</v>
      </c>
      <c r="B1544" t="str">
        <f t="shared" si="28"/>
        <v>114_0</v>
      </c>
      <c r="C1544" t="s">
        <v>126</v>
      </c>
      <c r="D1544" t="s">
        <v>132</v>
      </c>
      <c r="E1544" t="s">
        <v>133</v>
      </c>
      <c r="F1544">
        <v>6.4</v>
      </c>
      <c r="G1544" t="s">
        <v>175</v>
      </c>
    </row>
    <row r="1545" spans="1:7" x14ac:dyDescent="0.55000000000000004">
      <c r="A1545">
        <v>114</v>
      </c>
      <c r="B1545" t="str">
        <f t="shared" si="28"/>
        <v>114_0</v>
      </c>
      <c r="C1545" t="s">
        <v>126</v>
      </c>
      <c r="D1545" t="s">
        <v>134</v>
      </c>
      <c r="E1545" t="s">
        <v>133</v>
      </c>
      <c r="F1545">
        <v>1.1000000000000001</v>
      </c>
    </row>
    <row r="1546" spans="1:7" x14ac:dyDescent="0.55000000000000004">
      <c r="A1546">
        <v>114</v>
      </c>
      <c r="B1546" t="str">
        <f t="shared" si="28"/>
        <v>114_0</v>
      </c>
      <c r="C1546" t="s">
        <v>126</v>
      </c>
      <c r="D1546" t="s">
        <v>135</v>
      </c>
      <c r="E1546" t="s">
        <v>136</v>
      </c>
      <c r="F1546">
        <f>F1545/10</f>
        <v>0.11000000000000001</v>
      </c>
    </row>
    <row r="1547" spans="1:7" x14ac:dyDescent="0.55000000000000004">
      <c r="A1547">
        <v>114</v>
      </c>
      <c r="B1547" t="str">
        <f t="shared" si="28"/>
        <v>114_0</v>
      </c>
      <c r="C1547" t="s">
        <v>126</v>
      </c>
      <c r="D1547" s="2" t="s">
        <v>138</v>
      </c>
      <c r="E1547" t="s">
        <v>139</v>
      </c>
      <c r="F1547">
        <v>100</v>
      </c>
    </row>
    <row r="1548" spans="1:7" x14ac:dyDescent="0.55000000000000004">
      <c r="A1548">
        <v>114</v>
      </c>
      <c r="B1548" t="str">
        <f t="shared" si="28"/>
        <v>114_0</v>
      </c>
      <c r="C1548" t="s">
        <v>126</v>
      </c>
      <c r="D1548" s="2" t="s">
        <v>140</v>
      </c>
    </row>
    <row r="1549" spans="1:7" x14ac:dyDescent="0.55000000000000004">
      <c r="A1549">
        <v>114</v>
      </c>
      <c r="B1549" t="str">
        <f t="shared" si="28"/>
        <v>114_0</v>
      </c>
      <c r="C1549" t="s">
        <v>126</v>
      </c>
      <c r="D1549" s="2" t="s">
        <v>141</v>
      </c>
      <c r="E1549" t="s">
        <v>139</v>
      </c>
      <c r="F1549">
        <v>50</v>
      </c>
    </row>
    <row r="1550" spans="1:7" x14ac:dyDescent="0.55000000000000004">
      <c r="A1550">
        <v>114</v>
      </c>
      <c r="B1550" t="str">
        <f t="shared" si="28"/>
        <v>114_0</v>
      </c>
      <c r="C1550" t="s">
        <v>126</v>
      </c>
      <c r="D1550" t="s">
        <v>142</v>
      </c>
      <c r="E1550" t="s">
        <v>139</v>
      </c>
      <c r="F1550">
        <v>0</v>
      </c>
    </row>
    <row r="1551" spans="1:7" x14ac:dyDescent="0.55000000000000004">
      <c r="A1551">
        <v>114</v>
      </c>
      <c r="B1551" t="str">
        <f t="shared" si="28"/>
        <v>114_0</v>
      </c>
      <c r="C1551" t="s">
        <v>126</v>
      </c>
      <c r="D1551" t="s">
        <v>143</v>
      </c>
      <c r="E1551" t="s">
        <v>131</v>
      </c>
      <c r="F1551">
        <v>0</v>
      </c>
    </row>
    <row r="1552" spans="1:7" x14ac:dyDescent="0.55000000000000004">
      <c r="A1552">
        <v>114</v>
      </c>
      <c r="B1552" t="str">
        <f t="shared" si="28"/>
        <v>114_0</v>
      </c>
      <c r="C1552" t="s">
        <v>126</v>
      </c>
      <c r="D1552" t="s">
        <v>144</v>
      </c>
      <c r="E1552" t="s">
        <v>139</v>
      </c>
      <c r="F1552">
        <v>0</v>
      </c>
    </row>
    <row r="1553" spans="1:6" x14ac:dyDescent="0.55000000000000004">
      <c r="A1553">
        <v>114</v>
      </c>
      <c r="B1553" t="str">
        <f t="shared" si="28"/>
        <v>114_0</v>
      </c>
      <c r="C1553" t="s">
        <v>126</v>
      </c>
      <c r="D1553" t="s">
        <v>145</v>
      </c>
      <c r="E1553" t="s">
        <v>139</v>
      </c>
      <c r="F1553">
        <v>0</v>
      </c>
    </row>
    <row r="1554" spans="1:6" x14ac:dyDescent="0.55000000000000004">
      <c r="A1554">
        <v>114</v>
      </c>
      <c r="B1554" t="str">
        <f t="shared" si="28"/>
        <v>114_0</v>
      </c>
      <c r="C1554" t="s">
        <v>126</v>
      </c>
      <c r="D1554" t="s">
        <v>146</v>
      </c>
      <c r="E1554" t="s">
        <v>139</v>
      </c>
      <c r="F1554">
        <v>0</v>
      </c>
    </row>
    <row r="1555" spans="1:6" x14ac:dyDescent="0.55000000000000004">
      <c r="A1555">
        <v>114</v>
      </c>
      <c r="B1555" t="str">
        <f t="shared" si="28"/>
        <v>114_0</v>
      </c>
      <c r="C1555" t="s">
        <v>126</v>
      </c>
      <c r="D1555" t="s">
        <v>147</v>
      </c>
      <c r="E1555" t="s">
        <v>139</v>
      </c>
      <c r="F1555">
        <v>0</v>
      </c>
    </row>
    <row r="1556" spans="1:6" x14ac:dyDescent="0.55000000000000004">
      <c r="A1556">
        <v>114</v>
      </c>
      <c r="B1556" t="str">
        <f t="shared" ref="B1556:B1639" si="29">A1556 &amp; "_0"</f>
        <v>114_0</v>
      </c>
      <c r="C1556" t="s">
        <v>126</v>
      </c>
      <c r="D1556" t="s">
        <v>148</v>
      </c>
      <c r="E1556" t="s">
        <v>139</v>
      </c>
      <c r="F1556">
        <v>0</v>
      </c>
    </row>
    <row r="1557" spans="1:6" x14ac:dyDescent="0.55000000000000004">
      <c r="A1557">
        <v>114</v>
      </c>
      <c r="B1557" t="str">
        <f t="shared" si="29"/>
        <v>114_0</v>
      </c>
      <c r="C1557" t="s">
        <v>126</v>
      </c>
      <c r="D1557" t="s">
        <v>149</v>
      </c>
      <c r="E1557" t="s">
        <v>139</v>
      </c>
      <c r="F1557">
        <v>0</v>
      </c>
    </row>
    <row r="1558" spans="1:6" x14ac:dyDescent="0.55000000000000004">
      <c r="A1558">
        <v>114</v>
      </c>
      <c r="B1558" t="str">
        <f t="shared" si="29"/>
        <v>114_0</v>
      </c>
      <c r="C1558" t="s">
        <v>126</v>
      </c>
      <c r="D1558" t="s">
        <v>150</v>
      </c>
      <c r="E1558" t="s">
        <v>139</v>
      </c>
      <c r="F1558">
        <v>100</v>
      </c>
    </row>
    <row r="1559" spans="1:6" x14ac:dyDescent="0.55000000000000004">
      <c r="A1559">
        <v>114</v>
      </c>
      <c r="B1559" t="str">
        <f t="shared" si="29"/>
        <v>114_0</v>
      </c>
      <c r="C1559" t="s">
        <v>126</v>
      </c>
      <c r="D1559" t="s">
        <v>152</v>
      </c>
      <c r="E1559" t="s">
        <v>153</v>
      </c>
    </row>
    <row r="1560" spans="1:6" x14ac:dyDescent="0.55000000000000004">
      <c r="A1560">
        <v>114</v>
      </c>
      <c r="B1560" t="str">
        <f t="shared" si="29"/>
        <v>114_0</v>
      </c>
      <c r="C1560" t="s">
        <v>154</v>
      </c>
      <c r="D1560" t="s">
        <v>155</v>
      </c>
      <c r="E1560" t="s">
        <v>156</v>
      </c>
      <c r="F1560">
        <v>16</v>
      </c>
    </row>
    <row r="1561" spans="1:6" x14ac:dyDescent="0.55000000000000004">
      <c r="A1561">
        <v>114</v>
      </c>
      <c r="B1561" t="str">
        <f t="shared" si="29"/>
        <v>114_0</v>
      </c>
      <c r="C1561" t="s">
        <v>154</v>
      </c>
      <c r="D1561" t="s">
        <v>157</v>
      </c>
      <c r="E1561" t="s">
        <v>158</v>
      </c>
      <c r="F1561">
        <v>9.18</v>
      </c>
    </row>
    <row r="1562" spans="1:6" x14ac:dyDescent="0.55000000000000004">
      <c r="A1562">
        <v>114</v>
      </c>
      <c r="B1562" t="str">
        <f t="shared" si="29"/>
        <v>114_0</v>
      </c>
      <c r="C1562" t="s">
        <v>154</v>
      </c>
      <c r="D1562" t="s">
        <v>159</v>
      </c>
      <c r="E1562" t="s">
        <v>139</v>
      </c>
      <c r="F1562">
        <v>93.1</v>
      </c>
    </row>
    <row r="1563" spans="1:6" x14ac:dyDescent="0.55000000000000004">
      <c r="A1563">
        <v>114</v>
      </c>
      <c r="B1563" t="str">
        <f t="shared" si="29"/>
        <v>114_0</v>
      </c>
      <c r="C1563" t="s">
        <v>154</v>
      </c>
      <c r="D1563" t="s">
        <v>357</v>
      </c>
      <c r="E1563" t="s">
        <v>161</v>
      </c>
      <c r="F1563">
        <v>61.8</v>
      </c>
    </row>
    <row r="1564" spans="1:6" x14ac:dyDescent="0.55000000000000004">
      <c r="A1564">
        <f>A1563</f>
        <v>114</v>
      </c>
      <c r="B1564" t="str">
        <f>B1563</f>
        <v>114_0</v>
      </c>
      <c r="C1564" s="9" t="str">
        <f>C1563</f>
        <v>Chemical</v>
      </c>
      <c r="D1564" t="s">
        <v>356</v>
      </c>
      <c r="E1564" t="s">
        <v>161</v>
      </c>
      <c r="F1564">
        <f xml:space="preserve"> F1563 / (1 + 0.021 * (F1560 - 25))</f>
        <v>76.202219482120839</v>
      </c>
    </row>
    <row r="1565" spans="1:6" x14ac:dyDescent="0.55000000000000004">
      <c r="A1565">
        <v>114</v>
      </c>
      <c r="B1565" t="str">
        <f t="shared" si="29"/>
        <v>114_0</v>
      </c>
      <c r="C1565" t="s">
        <v>154</v>
      </c>
      <c r="D1565" t="s">
        <v>162</v>
      </c>
      <c r="F1565">
        <v>8.31</v>
      </c>
    </row>
    <row r="1566" spans="1:6" x14ac:dyDescent="0.55000000000000004">
      <c r="A1566">
        <v>114</v>
      </c>
      <c r="B1566" t="str">
        <f t="shared" si="29"/>
        <v>114_0</v>
      </c>
      <c r="C1566" t="s">
        <v>163</v>
      </c>
      <c r="D1566" t="s">
        <v>168</v>
      </c>
      <c r="E1566" t="s">
        <v>131</v>
      </c>
      <c r="F1566">
        <v>1</v>
      </c>
    </row>
    <row r="1567" spans="1:6" x14ac:dyDescent="0.55000000000000004">
      <c r="A1567">
        <v>114</v>
      </c>
      <c r="B1567" t="str">
        <f t="shared" si="29"/>
        <v>114_0</v>
      </c>
      <c r="C1567" t="s">
        <v>163</v>
      </c>
      <c r="D1567" t="s">
        <v>169</v>
      </c>
    </row>
    <row r="1568" spans="1:6" x14ac:dyDescent="0.55000000000000004">
      <c r="A1568">
        <v>114</v>
      </c>
      <c r="B1568" t="str">
        <f t="shared" si="29"/>
        <v>114_0</v>
      </c>
      <c r="C1568" t="s">
        <v>163</v>
      </c>
      <c r="D1568" t="s">
        <v>170</v>
      </c>
      <c r="E1568" t="s">
        <v>139</v>
      </c>
      <c r="F1568">
        <v>0</v>
      </c>
    </row>
    <row r="1569" spans="1:7" x14ac:dyDescent="0.55000000000000004">
      <c r="A1569">
        <v>114</v>
      </c>
      <c r="B1569" t="str">
        <f t="shared" si="29"/>
        <v>114_0</v>
      </c>
      <c r="C1569" t="s">
        <v>163</v>
      </c>
      <c r="D1569" t="s">
        <v>171</v>
      </c>
    </row>
    <row r="1570" spans="1:7" x14ac:dyDescent="0.55000000000000004">
      <c r="A1570">
        <v>115</v>
      </c>
      <c r="B1570" t="str">
        <f t="shared" si="29"/>
        <v>115_0</v>
      </c>
      <c r="C1570" t="s">
        <v>126</v>
      </c>
      <c r="D1570" t="s">
        <v>127</v>
      </c>
      <c r="E1570" t="s">
        <v>128</v>
      </c>
      <c r="G1570" t="s">
        <v>129</v>
      </c>
    </row>
    <row r="1571" spans="1:7" x14ac:dyDescent="0.55000000000000004">
      <c r="A1571">
        <v>115</v>
      </c>
      <c r="B1571" t="str">
        <f t="shared" si="29"/>
        <v>115_0</v>
      </c>
      <c r="C1571" t="s">
        <v>126</v>
      </c>
      <c r="D1571" s="11" t="s">
        <v>130</v>
      </c>
      <c r="E1571" t="s">
        <v>131</v>
      </c>
      <c r="F1571">
        <v>1</v>
      </c>
    </row>
    <row r="1572" spans="1:7" x14ac:dyDescent="0.55000000000000004">
      <c r="A1572">
        <v>115</v>
      </c>
      <c r="B1572" t="str">
        <f t="shared" si="29"/>
        <v>115_0</v>
      </c>
      <c r="C1572" t="s">
        <v>126</v>
      </c>
      <c r="D1572" t="s">
        <v>132</v>
      </c>
      <c r="E1572" t="s">
        <v>133</v>
      </c>
    </row>
    <row r="1573" spans="1:7" x14ac:dyDescent="0.55000000000000004">
      <c r="A1573">
        <v>115</v>
      </c>
      <c r="B1573" t="str">
        <f t="shared" si="29"/>
        <v>115_0</v>
      </c>
      <c r="C1573" t="s">
        <v>126</v>
      </c>
      <c r="D1573" t="s">
        <v>134</v>
      </c>
      <c r="E1573" t="s">
        <v>133</v>
      </c>
      <c r="F1573">
        <v>0.8</v>
      </c>
    </row>
    <row r="1574" spans="1:7" x14ac:dyDescent="0.55000000000000004">
      <c r="A1574">
        <v>115</v>
      </c>
      <c r="B1574" t="str">
        <f t="shared" si="29"/>
        <v>115_0</v>
      </c>
      <c r="C1574" t="s">
        <v>126</v>
      </c>
      <c r="D1574" t="s">
        <v>135</v>
      </c>
      <c r="E1574" t="s">
        <v>136</v>
      </c>
      <c r="F1574">
        <f>F1573/10</f>
        <v>0.08</v>
      </c>
      <c r="G1574" t="s">
        <v>196</v>
      </c>
    </row>
    <row r="1575" spans="1:7" x14ac:dyDescent="0.55000000000000004">
      <c r="A1575">
        <v>115</v>
      </c>
      <c r="B1575" t="str">
        <f t="shared" si="29"/>
        <v>115_0</v>
      </c>
      <c r="C1575" t="s">
        <v>126</v>
      </c>
      <c r="D1575" s="2" t="s">
        <v>138</v>
      </c>
      <c r="E1575" t="s">
        <v>139</v>
      </c>
      <c r="F1575">
        <v>100</v>
      </c>
    </row>
    <row r="1576" spans="1:7" x14ac:dyDescent="0.55000000000000004">
      <c r="A1576">
        <v>115</v>
      </c>
      <c r="B1576" t="str">
        <f t="shared" si="29"/>
        <v>115_0</v>
      </c>
      <c r="C1576" t="s">
        <v>126</v>
      </c>
      <c r="D1576" s="2" t="s">
        <v>140</v>
      </c>
    </row>
    <row r="1577" spans="1:7" x14ac:dyDescent="0.55000000000000004">
      <c r="A1577">
        <v>115</v>
      </c>
      <c r="B1577" t="str">
        <f t="shared" si="29"/>
        <v>115_0</v>
      </c>
      <c r="C1577" t="s">
        <v>126</v>
      </c>
      <c r="D1577" s="2" t="s">
        <v>141</v>
      </c>
      <c r="E1577" t="s">
        <v>139</v>
      </c>
      <c r="F1577">
        <v>100</v>
      </c>
    </row>
    <row r="1578" spans="1:7" x14ac:dyDescent="0.55000000000000004">
      <c r="A1578">
        <v>115</v>
      </c>
      <c r="B1578" t="str">
        <f t="shared" si="29"/>
        <v>115_0</v>
      </c>
      <c r="C1578" t="s">
        <v>126</v>
      </c>
      <c r="D1578" t="s">
        <v>142</v>
      </c>
      <c r="E1578" t="s">
        <v>139</v>
      </c>
      <c r="F1578">
        <v>0</v>
      </c>
    </row>
    <row r="1579" spans="1:7" x14ac:dyDescent="0.55000000000000004">
      <c r="A1579">
        <v>115</v>
      </c>
      <c r="B1579" t="str">
        <f t="shared" si="29"/>
        <v>115_0</v>
      </c>
      <c r="C1579" t="s">
        <v>126</v>
      </c>
      <c r="D1579" t="s">
        <v>143</v>
      </c>
      <c r="E1579" t="s">
        <v>131</v>
      </c>
      <c r="F1579">
        <v>0</v>
      </c>
    </row>
    <row r="1580" spans="1:7" x14ac:dyDescent="0.55000000000000004">
      <c r="A1580">
        <v>115</v>
      </c>
      <c r="B1580" t="str">
        <f t="shared" si="29"/>
        <v>115_0</v>
      </c>
      <c r="C1580" t="s">
        <v>126</v>
      </c>
      <c r="D1580" t="s">
        <v>144</v>
      </c>
      <c r="E1580" t="s">
        <v>139</v>
      </c>
      <c r="F1580">
        <v>0</v>
      </c>
    </row>
    <row r="1581" spans="1:7" x14ac:dyDescent="0.55000000000000004">
      <c r="A1581">
        <v>115</v>
      </c>
      <c r="B1581" t="str">
        <f t="shared" si="29"/>
        <v>115_0</v>
      </c>
      <c r="C1581" t="s">
        <v>126</v>
      </c>
      <c r="D1581" t="s">
        <v>145</v>
      </c>
      <c r="E1581" t="s">
        <v>139</v>
      </c>
      <c r="F1581">
        <v>0</v>
      </c>
    </row>
    <row r="1582" spans="1:7" x14ac:dyDescent="0.55000000000000004">
      <c r="A1582">
        <v>115</v>
      </c>
      <c r="B1582" t="str">
        <f t="shared" si="29"/>
        <v>115_0</v>
      </c>
      <c r="C1582" t="s">
        <v>126</v>
      </c>
      <c r="D1582" t="s">
        <v>146</v>
      </c>
      <c r="E1582" t="s">
        <v>139</v>
      </c>
      <c r="F1582">
        <v>0</v>
      </c>
    </row>
    <row r="1583" spans="1:7" x14ac:dyDescent="0.55000000000000004">
      <c r="A1583">
        <v>115</v>
      </c>
      <c r="B1583" t="str">
        <f t="shared" si="29"/>
        <v>115_0</v>
      </c>
      <c r="C1583" t="s">
        <v>126</v>
      </c>
      <c r="D1583" t="s">
        <v>147</v>
      </c>
      <c r="E1583" t="s">
        <v>139</v>
      </c>
      <c r="F1583">
        <v>0</v>
      </c>
    </row>
    <row r="1584" spans="1:7" x14ac:dyDescent="0.55000000000000004">
      <c r="A1584">
        <v>115</v>
      </c>
      <c r="B1584" t="str">
        <f t="shared" si="29"/>
        <v>115_0</v>
      </c>
      <c r="C1584" t="s">
        <v>126</v>
      </c>
      <c r="D1584" t="s">
        <v>148</v>
      </c>
      <c r="E1584" t="s">
        <v>139</v>
      </c>
      <c r="F1584">
        <v>50</v>
      </c>
    </row>
    <row r="1585" spans="1:7" x14ac:dyDescent="0.55000000000000004">
      <c r="A1585">
        <v>115</v>
      </c>
      <c r="B1585" t="str">
        <f t="shared" si="29"/>
        <v>115_0</v>
      </c>
      <c r="C1585" t="s">
        <v>126</v>
      </c>
      <c r="D1585" t="s">
        <v>149</v>
      </c>
      <c r="E1585" t="s">
        <v>139</v>
      </c>
      <c r="F1585">
        <v>0</v>
      </c>
    </row>
    <row r="1586" spans="1:7" x14ac:dyDescent="0.55000000000000004">
      <c r="A1586">
        <v>115</v>
      </c>
      <c r="B1586" t="str">
        <f t="shared" si="29"/>
        <v>115_0</v>
      </c>
      <c r="C1586" t="s">
        <v>126</v>
      </c>
      <c r="D1586" t="s">
        <v>150</v>
      </c>
      <c r="E1586" t="s">
        <v>139</v>
      </c>
      <c r="F1586">
        <v>50</v>
      </c>
    </row>
    <row r="1587" spans="1:7" x14ac:dyDescent="0.55000000000000004">
      <c r="A1587">
        <v>115</v>
      </c>
      <c r="B1587" t="str">
        <f t="shared" si="29"/>
        <v>115_0</v>
      </c>
      <c r="C1587" t="s">
        <v>126</v>
      </c>
      <c r="D1587" t="s">
        <v>152</v>
      </c>
      <c r="E1587" t="s">
        <v>153</v>
      </c>
    </row>
    <row r="1588" spans="1:7" x14ac:dyDescent="0.55000000000000004">
      <c r="A1588">
        <v>115</v>
      </c>
      <c r="B1588" t="str">
        <f t="shared" si="29"/>
        <v>115_0</v>
      </c>
      <c r="C1588" t="s">
        <v>154</v>
      </c>
      <c r="D1588" t="s">
        <v>155</v>
      </c>
      <c r="E1588" t="s">
        <v>156</v>
      </c>
      <c r="F1588">
        <v>16.399999999999999</v>
      </c>
    </row>
    <row r="1589" spans="1:7" x14ac:dyDescent="0.55000000000000004">
      <c r="A1589">
        <v>115</v>
      </c>
      <c r="B1589" t="str">
        <f t="shared" si="29"/>
        <v>115_0</v>
      </c>
      <c r="C1589" t="s">
        <v>154</v>
      </c>
      <c r="D1589" t="s">
        <v>157</v>
      </c>
      <c r="E1589" t="s">
        <v>158</v>
      </c>
      <c r="F1589">
        <v>9.5500000000000007</v>
      </c>
    </row>
    <row r="1590" spans="1:7" x14ac:dyDescent="0.55000000000000004">
      <c r="A1590">
        <v>115</v>
      </c>
      <c r="B1590" t="str">
        <f t="shared" si="29"/>
        <v>115_0</v>
      </c>
      <c r="C1590" t="s">
        <v>154</v>
      </c>
      <c r="D1590" t="s">
        <v>159</v>
      </c>
      <c r="E1590" t="s">
        <v>139</v>
      </c>
      <c r="F1590">
        <v>97.5</v>
      </c>
    </row>
    <row r="1591" spans="1:7" x14ac:dyDescent="0.55000000000000004">
      <c r="A1591">
        <v>115</v>
      </c>
      <c r="B1591" t="str">
        <f t="shared" si="29"/>
        <v>115_0</v>
      </c>
      <c r="C1591" t="s">
        <v>154</v>
      </c>
      <c r="D1591" t="s">
        <v>357</v>
      </c>
      <c r="E1591" t="s">
        <v>161</v>
      </c>
      <c r="F1591">
        <v>62</v>
      </c>
    </row>
    <row r="1592" spans="1:7" x14ac:dyDescent="0.55000000000000004">
      <c r="A1592">
        <f>A1591</f>
        <v>115</v>
      </c>
      <c r="B1592" t="str">
        <f>B1591</f>
        <v>115_0</v>
      </c>
      <c r="C1592" s="9" t="str">
        <f>C1591</f>
        <v>Chemical</v>
      </c>
      <c r="D1592" t="s">
        <v>356</v>
      </c>
      <c r="E1592" t="s">
        <v>161</v>
      </c>
      <c r="F1592">
        <f xml:space="preserve"> F1591 / (1 + 0.021 * (F1588 - 25))</f>
        <v>75.665120820112293</v>
      </c>
    </row>
    <row r="1593" spans="1:7" x14ac:dyDescent="0.55000000000000004">
      <c r="A1593">
        <v>115</v>
      </c>
      <c r="B1593" t="str">
        <f t="shared" si="29"/>
        <v>115_0</v>
      </c>
      <c r="C1593" t="s">
        <v>154</v>
      </c>
      <c r="D1593" t="s">
        <v>162</v>
      </c>
      <c r="F1593">
        <v>8.2200000000000006</v>
      </c>
    </row>
    <row r="1594" spans="1:7" x14ac:dyDescent="0.55000000000000004">
      <c r="A1594">
        <v>115</v>
      </c>
      <c r="B1594" t="str">
        <f t="shared" si="29"/>
        <v>115_0</v>
      </c>
      <c r="C1594" t="s">
        <v>163</v>
      </c>
      <c r="D1594" t="s">
        <v>168</v>
      </c>
      <c r="E1594" t="s">
        <v>131</v>
      </c>
      <c r="F1594">
        <v>0</v>
      </c>
    </row>
    <row r="1595" spans="1:7" x14ac:dyDescent="0.55000000000000004">
      <c r="A1595">
        <v>115</v>
      </c>
      <c r="B1595" t="str">
        <f t="shared" si="29"/>
        <v>115_0</v>
      </c>
      <c r="C1595" t="s">
        <v>163</v>
      </c>
      <c r="D1595" t="s">
        <v>169</v>
      </c>
    </row>
    <row r="1596" spans="1:7" x14ac:dyDescent="0.55000000000000004">
      <c r="A1596">
        <v>115</v>
      </c>
      <c r="B1596" t="str">
        <f t="shared" si="29"/>
        <v>115_0</v>
      </c>
      <c r="C1596" t="s">
        <v>163</v>
      </c>
      <c r="D1596" t="s">
        <v>170</v>
      </c>
      <c r="E1596" t="s">
        <v>139</v>
      </c>
      <c r="F1596">
        <v>25</v>
      </c>
    </row>
    <row r="1597" spans="1:7" x14ac:dyDescent="0.55000000000000004">
      <c r="A1597">
        <v>115</v>
      </c>
      <c r="B1597" t="str">
        <f t="shared" si="29"/>
        <v>115_0</v>
      </c>
      <c r="C1597" t="s">
        <v>163</v>
      </c>
      <c r="D1597" t="s">
        <v>171</v>
      </c>
    </row>
    <row r="1598" spans="1:7" x14ac:dyDescent="0.55000000000000004">
      <c r="A1598">
        <v>115</v>
      </c>
      <c r="B1598" t="str">
        <f>A1598 &amp; "_1"</f>
        <v>115_1</v>
      </c>
      <c r="C1598" t="s">
        <v>126</v>
      </c>
      <c r="D1598" t="s">
        <v>127</v>
      </c>
      <c r="E1598" t="s">
        <v>128</v>
      </c>
      <c r="F1598" s="1"/>
      <c r="G1598" t="s">
        <v>129</v>
      </c>
    </row>
    <row r="1599" spans="1:7" x14ac:dyDescent="0.55000000000000004">
      <c r="A1599">
        <v>115</v>
      </c>
      <c r="B1599" t="str">
        <f t="shared" ref="B1599:B1625" si="30">A1599 &amp; "_1"</f>
        <v>115_1</v>
      </c>
      <c r="C1599" t="s">
        <v>126</v>
      </c>
      <c r="D1599" s="11" t="s">
        <v>130</v>
      </c>
      <c r="E1599" t="s">
        <v>131</v>
      </c>
      <c r="F1599">
        <v>1</v>
      </c>
    </row>
    <row r="1600" spans="1:7" x14ac:dyDescent="0.55000000000000004">
      <c r="A1600">
        <v>115</v>
      </c>
      <c r="B1600" t="str">
        <f t="shared" si="30"/>
        <v>115_1</v>
      </c>
      <c r="C1600" t="s">
        <v>126</v>
      </c>
      <c r="D1600" t="s">
        <v>132</v>
      </c>
      <c r="E1600" t="s">
        <v>133</v>
      </c>
    </row>
    <row r="1601" spans="1:7" x14ac:dyDescent="0.55000000000000004">
      <c r="A1601">
        <v>115</v>
      </c>
      <c r="B1601" t="str">
        <f t="shared" si="30"/>
        <v>115_1</v>
      </c>
      <c r="C1601" t="s">
        <v>126</v>
      </c>
      <c r="D1601" t="s">
        <v>134</v>
      </c>
      <c r="E1601" t="s">
        <v>133</v>
      </c>
      <c r="F1601">
        <v>1.9</v>
      </c>
    </row>
    <row r="1602" spans="1:7" x14ac:dyDescent="0.55000000000000004">
      <c r="A1602">
        <v>115</v>
      </c>
      <c r="B1602" t="str">
        <f t="shared" si="30"/>
        <v>115_1</v>
      </c>
      <c r="C1602" t="s">
        <v>126</v>
      </c>
      <c r="D1602" t="s">
        <v>135</v>
      </c>
      <c r="E1602" t="s">
        <v>136</v>
      </c>
      <c r="F1602">
        <f>F1601/10</f>
        <v>0.19</v>
      </c>
      <c r="G1602" t="s">
        <v>137</v>
      </c>
    </row>
    <row r="1603" spans="1:7" x14ac:dyDescent="0.55000000000000004">
      <c r="A1603">
        <v>115</v>
      </c>
      <c r="B1603" t="str">
        <f t="shared" si="30"/>
        <v>115_1</v>
      </c>
      <c r="C1603" t="s">
        <v>126</v>
      </c>
      <c r="D1603" s="2" t="s">
        <v>138</v>
      </c>
      <c r="E1603" t="s">
        <v>139</v>
      </c>
      <c r="F1603">
        <v>100</v>
      </c>
    </row>
    <row r="1604" spans="1:7" x14ac:dyDescent="0.55000000000000004">
      <c r="A1604">
        <v>115</v>
      </c>
      <c r="B1604" t="str">
        <f t="shared" si="30"/>
        <v>115_1</v>
      </c>
      <c r="C1604" t="s">
        <v>126</v>
      </c>
      <c r="D1604" s="2" t="s">
        <v>140</v>
      </c>
      <c r="F1604" t="s">
        <v>172</v>
      </c>
    </row>
    <row r="1605" spans="1:7" x14ac:dyDescent="0.55000000000000004">
      <c r="A1605">
        <v>115</v>
      </c>
      <c r="B1605" t="str">
        <f t="shared" si="30"/>
        <v>115_1</v>
      </c>
      <c r="C1605" t="s">
        <v>126</v>
      </c>
      <c r="D1605" s="2" t="s">
        <v>141</v>
      </c>
      <c r="E1605" t="s">
        <v>139</v>
      </c>
      <c r="F1605">
        <v>100</v>
      </c>
    </row>
    <row r="1606" spans="1:7" x14ac:dyDescent="0.55000000000000004">
      <c r="A1606">
        <v>115</v>
      </c>
      <c r="B1606" t="str">
        <f t="shared" si="30"/>
        <v>115_1</v>
      </c>
      <c r="C1606" t="s">
        <v>126</v>
      </c>
      <c r="D1606" t="s">
        <v>142</v>
      </c>
      <c r="E1606" t="s">
        <v>139</v>
      </c>
      <c r="F1606">
        <v>0</v>
      </c>
    </row>
    <row r="1607" spans="1:7" x14ac:dyDescent="0.55000000000000004">
      <c r="A1607">
        <v>115</v>
      </c>
      <c r="B1607" t="str">
        <f t="shared" si="30"/>
        <v>115_1</v>
      </c>
      <c r="C1607" t="s">
        <v>126</v>
      </c>
      <c r="D1607" t="s">
        <v>143</v>
      </c>
      <c r="E1607" t="s">
        <v>131</v>
      </c>
      <c r="F1607">
        <v>0</v>
      </c>
    </row>
    <row r="1608" spans="1:7" x14ac:dyDescent="0.55000000000000004">
      <c r="A1608">
        <v>115</v>
      </c>
      <c r="B1608" t="str">
        <f t="shared" si="30"/>
        <v>115_1</v>
      </c>
      <c r="C1608" t="s">
        <v>126</v>
      </c>
      <c r="D1608" t="s">
        <v>144</v>
      </c>
      <c r="E1608" t="s">
        <v>139</v>
      </c>
      <c r="F1608">
        <v>0</v>
      </c>
    </row>
    <row r="1609" spans="1:7" x14ac:dyDescent="0.55000000000000004">
      <c r="A1609">
        <v>115</v>
      </c>
      <c r="B1609" t="str">
        <f t="shared" si="30"/>
        <v>115_1</v>
      </c>
      <c r="C1609" t="s">
        <v>126</v>
      </c>
      <c r="D1609" t="s">
        <v>145</v>
      </c>
      <c r="E1609" t="s">
        <v>139</v>
      </c>
      <c r="F1609">
        <v>0</v>
      </c>
    </row>
    <row r="1610" spans="1:7" x14ac:dyDescent="0.55000000000000004">
      <c r="A1610">
        <v>115</v>
      </c>
      <c r="B1610" t="str">
        <f t="shared" si="30"/>
        <v>115_1</v>
      </c>
      <c r="C1610" t="s">
        <v>126</v>
      </c>
      <c r="D1610" t="s">
        <v>146</v>
      </c>
      <c r="E1610" t="s">
        <v>139</v>
      </c>
      <c r="F1610">
        <v>0</v>
      </c>
    </row>
    <row r="1611" spans="1:7" x14ac:dyDescent="0.55000000000000004">
      <c r="A1611">
        <v>115</v>
      </c>
      <c r="B1611" t="str">
        <f t="shared" si="30"/>
        <v>115_1</v>
      </c>
      <c r="C1611" t="s">
        <v>126</v>
      </c>
      <c r="D1611" t="s">
        <v>147</v>
      </c>
      <c r="E1611" t="s">
        <v>139</v>
      </c>
      <c r="F1611">
        <v>0</v>
      </c>
    </row>
    <row r="1612" spans="1:7" x14ac:dyDescent="0.55000000000000004">
      <c r="A1612">
        <v>115</v>
      </c>
      <c r="B1612" t="str">
        <f t="shared" si="30"/>
        <v>115_1</v>
      </c>
      <c r="C1612" t="s">
        <v>126</v>
      </c>
      <c r="D1612" t="s">
        <v>148</v>
      </c>
      <c r="E1612" t="s">
        <v>139</v>
      </c>
      <c r="F1612">
        <v>100</v>
      </c>
    </row>
    <row r="1613" spans="1:7" x14ac:dyDescent="0.55000000000000004">
      <c r="A1613">
        <v>115</v>
      </c>
      <c r="B1613" t="str">
        <f t="shared" si="30"/>
        <v>115_1</v>
      </c>
      <c r="C1613" t="s">
        <v>126</v>
      </c>
      <c r="D1613" t="s">
        <v>149</v>
      </c>
      <c r="E1613" t="s">
        <v>139</v>
      </c>
      <c r="F1613">
        <v>0</v>
      </c>
    </row>
    <row r="1614" spans="1:7" x14ac:dyDescent="0.55000000000000004">
      <c r="A1614">
        <v>115</v>
      </c>
      <c r="B1614" t="str">
        <f t="shared" si="30"/>
        <v>115_1</v>
      </c>
      <c r="C1614" t="s">
        <v>126</v>
      </c>
      <c r="D1614" t="s">
        <v>150</v>
      </c>
      <c r="E1614" t="s">
        <v>139</v>
      </c>
      <c r="F1614">
        <v>0</v>
      </c>
    </row>
    <row r="1615" spans="1:7" x14ac:dyDescent="0.55000000000000004">
      <c r="A1615">
        <v>115</v>
      </c>
      <c r="B1615" t="str">
        <f t="shared" si="30"/>
        <v>115_1</v>
      </c>
      <c r="C1615" t="s">
        <v>126</v>
      </c>
      <c r="D1615" t="s">
        <v>152</v>
      </c>
      <c r="E1615" t="s">
        <v>153</v>
      </c>
    </row>
    <row r="1616" spans="1:7" x14ac:dyDescent="0.55000000000000004">
      <c r="A1616">
        <v>115</v>
      </c>
      <c r="B1616" t="str">
        <f t="shared" si="30"/>
        <v>115_1</v>
      </c>
      <c r="C1616" t="s">
        <v>154</v>
      </c>
      <c r="D1616" t="s">
        <v>155</v>
      </c>
      <c r="E1616" t="s">
        <v>156</v>
      </c>
      <c r="F1616">
        <v>21.2</v>
      </c>
    </row>
    <row r="1617" spans="1:7" x14ac:dyDescent="0.55000000000000004">
      <c r="A1617">
        <v>115</v>
      </c>
      <c r="B1617" t="str">
        <f t="shared" si="30"/>
        <v>115_1</v>
      </c>
      <c r="C1617" t="s">
        <v>154</v>
      </c>
      <c r="D1617" t="s">
        <v>157</v>
      </c>
      <c r="E1617" t="s">
        <v>158</v>
      </c>
      <c r="F1617">
        <v>9.0399999999999991</v>
      </c>
    </row>
    <row r="1618" spans="1:7" x14ac:dyDescent="0.55000000000000004">
      <c r="A1618">
        <v>115</v>
      </c>
      <c r="B1618" t="str">
        <f t="shared" si="30"/>
        <v>115_1</v>
      </c>
      <c r="C1618" t="s">
        <v>154</v>
      </c>
      <c r="D1618" t="s">
        <v>159</v>
      </c>
      <c r="E1618" t="s">
        <v>139</v>
      </c>
      <c r="F1618">
        <v>101.7</v>
      </c>
    </row>
    <row r="1619" spans="1:7" x14ac:dyDescent="0.55000000000000004">
      <c r="A1619">
        <v>115</v>
      </c>
      <c r="B1619" t="str">
        <f t="shared" si="30"/>
        <v>115_1</v>
      </c>
      <c r="C1619" t="s">
        <v>154</v>
      </c>
      <c r="D1619" t="s">
        <v>357</v>
      </c>
      <c r="E1619" t="s">
        <v>161</v>
      </c>
      <c r="F1619">
        <v>70.400000000000006</v>
      </c>
    </row>
    <row r="1620" spans="1:7" x14ac:dyDescent="0.55000000000000004">
      <c r="A1620">
        <f>A1619</f>
        <v>115</v>
      </c>
      <c r="B1620" t="str">
        <f>B1619</f>
        <v>115_1</v>
      </c>
      <c r="C1620" s="9" t="str">
        <f>C1619</f>
        <v>Chemical</v>
      </c>
      <c r="D1620" t="s">
        <v>356</v>
      </c>
      <c r="E1620" t="s">
        <v>161</v>
      </c>
      <c r="F1620">
        <f xml:space="preserve"> F1619 / (1 + 0.021 * (F1616 - 25))</f>
        <v>76.505107585307542</v>
      </c>
    </row>
    <row r="1621" spans="1:7" x14ac:dyDescent="0.55000000000000004">
      <c r="A1621">
        <v>115</v>
      </c>
      <c r="B1621" t="str">
        <f t="shared" si="30"/>
        <v>115_1</v>
      </c>
      <c r="C1621" t="s">
        <v>154</v>
      </c>
      <c r="D1621" t="s">
        <v>162</v>
      </c>
      <c r="F1621">
        <v>8.41</v>
      </c>
    </row>
    <row r="1622" spans="1:7" x14ac:dyDescent="0.55000000000000004">
      <c r="A1622">
        <v>115</v>
      </c>
      <c r="B1622" t="str">
        <f t="shared" si="30"/>
        <v>115_1</v>
      </c>
      <c r="C1622" t="s">
        <v>163</v>
      </c>
      <c r="D1622" t="s">
        <v>168</v>
      </c>
      <c r="E1622" t="s">
        <v>131</v>
      </c>
      <c r="F1622">
        <v>0</v>
      </c>
    </row>
    <row r="1623" spans="1:7" x14ac:dyDescent="0.55000000000000004">
      <c r="A1623">
        <v>115</v>
      </c>
      <c r="B1623" t="str">
        <f t="shared" si="30"/>
        <v>115_1</v>
      </c>
      <c r="C1623" t="s">
        <v>163</v>
      </c>
      <c r="D1623" t="s">
        <v>169</v>
      </c>
    </row>
    <row r="1624" spans="1:7" x14ac:dyDescent="0.55000000000000004">
      <c r="A1624">
        <v>115</v>
      </c>
      <c r="B1624" t="str">
        <f t="shared" si="30"/>
        <v>115_1</v>
      </c>
      <c r="C1624" t="s">
        <v>163</v>
      </c>
      <c r="D1624" t="s">
        <v>170</v>
      </c>
      <c r="E1624" t="s">
        <v>139</v>
      </c>
      <c r="F1624">
        <v>50</v>
      </c>
    </row>
    <row r="1625" spans="1:7" x14ac:dyDescent="0.55000000000000004">
      <c r="A1625">
        <v>115</v>
      </c>
      <c r="B1625" t="str">
        <f t="shared" si="30"/>
        <v>115_1</v>
      </c>
      <c r="C1625" t="s">
        <v>163</v>
      </c>
      <c r="D1625" t="s">
        <v>171</v>
      </c>
    </row>
    <row r="1626" spans="1:7" x14ac:dyDescent="0.55000000000000004">
      <c r="A1626">
        <v>116</v>
      </c>
      <c r="B1626" t="str">
        <f t="shared" si="29"/>
        <v>116_0</v>
      </c>
      <c r="C1626" t="s">
        <v>126</v>
      </c>
      <c r="D1626" t="s">
        <v>127</v>
      </c>
      <c r="E1626" t="s">
        <v>128</v>
      </c>
      <c r="G1626" t="s">
        <v>129</v>
      </c>
    </row>
    <row r="1627" spans="1:7" x14ac:dyDescent="0.55000000000000004">
      <c r="A1627">
        <v>116</v>
      </c>
      <c r="B1627" t="str">
        <f t="shared" si="29"/>
        <v>116_0</v>
      </c>
      <c r="C1627" t="s">
        <v>126</v>
      </c>
      <c r="D1627" s="11" t="s">
        <v>130</v>
      </c>
      <c r="E1627" t="s">
        <v>131</v>
      </c>
      <c r="F1627">
        <v>1</v>
      </c>
    </row>
    <row r="1628" spans="1:7" x14ac:dyDescent="0.55000000000000004">
      <c r="A1628">
        <v>116</v>
      </c>
      <c r="B1628" t="str">
        <f t="shared" si="29"/>
        <v>116_0</v>
      </c>
      <c r="C1628" t="s">
        <v>126</v>
      </c>
      <c r="D1628" t="s">
        <v>132</v>
      </c>
      <c r="E1628" t="s">
        <v>133</v>
      </c>
    </row>
    <row r="1629" spans="1:7" x14ac:dyDescent="0.55000000000000004">
      <c r="A1629">
        <v>116</v>
      </c>
      <c r="B1629" t="str">
        <f t="shared" si="29"/>
        <v>116_0</v>
      </c>
      <c r="C1629" t="s">
        <v>126</v>
      </c>
      <c r="D1629" t="s">
        <v>134</v>
      </c>
      <c r="E1629" t="s">
        <v>133</v>
      </c>
      <c r="F1629">
        <v>0.5</v>
      </c>
    </row>
    <row r="1630" spans="1:7" x14ac:dyDescent="0.55000000000000004">
      <c r="A1630">
        <v>116</v>
      </c>
      <c r="B1630" t="str">
        <f t="shared" si="29"/>
        <v>116_0</v>
      </c>
      <c r="C1630" t="s">
        <v>126</v>
      </c>
      <c r="D1630" t="s">
        <v>135</v>
      </c>
      <c r="E1630" t="s">
        <v>136</v>
      </c>
      <c r="F1630">
        <f>F1629/10</f>
        <v>0.05</v>
      </c>
    </row>
    <row r="1631" spans="1:7" x14ac:dyDescent="0.55000000000000004">
      <c r="A1631">
        <v>116</v>
      </c>
      <c r="B1631" t="str">
        <f t="shared" si="29"/>
        <v>116_0</v>
      </c>
      <c r="C1631" t="s">
        <v>126</v>
      </c>
      <c r="D1631" s="2" t="s">
        <v>138</v>
      </c>
      <c r="E1631" t="s">
        <v>139</v>
      </c>
      <c r="F1631">
        <v>10</v>
      </c>
    </row>
    <row r="1632" spans="1:7" x14ac:dyDescent="0.55000000000000004">
      <c r="A1632">
        <v>116</v>
      </c>
      <c r="B1632" t="str">
        <f t="shared" si="29"/>
        <v>116_0</v>
      </c>
      <c r="C1632" t="s">
        <v>126</v>
      </c>
      <c r="D1632" s="2" t="s">
        <v>140</v>
      </c>
    </row>
    <row r="1633" spans="1:7" x14ac:dyDescent="0.55000000000000004">
      <c r="A1633">
        <v>116</v>
      </c>
      <c r="B1633" t="str">
        <f t="shared" si="29"/>
        <v>116_0</v>
      </c>
      <c r="C1633" t="s">
        <v>126</v>
      </c>
      <c r="D1633" s="2" t="s">
        <v>141</v>
      </c>
      <c r="E1633" t="s">
        <v>139</v>
      </c>
      <c r="F1633">
        <v>0</v>
      </c>
    </row>
    <row r="1634" spans="1:7" x14ac:dyDescent="0.55000000000000004">
      <c r="A1634">
        <v>116</v>
      </c>
      <c r="B1634" t="str">
        <f t="shared" si="29"/>
        <v>116_0</v>
      </c>
      <c r="C1634" t="s">
        <v>126</v>
      </c>
      <c r="D1634" t="s">
        <v>142</v>
      </c>
      <c r="E1634" t="s">
        <v>139</v>
      </c>
      <c r="F1634">
        <v>0</v>
      </c>
    </row>
    <row r="1635" spans="1:7" x14ac:dyDescent="0.55000000000000004">
      <c r="A1635">
        <v>116</v>
      </c>
      <c r="B1635" t="str">
        <f t="shared" si="29"/>
        <v>116_0</v>
      </c>
      <c r="C1635" t="s">
        <v>126</v>
      </c>
      <c r="D1635" t="s">
        <v>143</v>
      </c>
      <c r="E1635" t="s">
        <v>131</v>
      </c>
      <c r="F1635">
        <v>1</v>
      </c>
      <c r="G1635" t="s">
        <v>197</v>
      </c>
    </row>
    <row r="1636" spans="1:7" x14ac:dyDescent="0.55000000000000004">
      <c r="A1636">
        <v>116</v>
      </c>
      <c r="B1636" t="str">
        <f t="shared" si="29"/>
        <v>116_0</v>
      </c>
      <c r="C1636" t="s">
        <v>126</v>
      </c>
      <c r="D1636" t="s">
        <v>144</v>
      </c>
      <c r="E1636" t="s">
        <v>139</v>
      </c>
      <c r="F1636">
        <v>0</v>
      </c>
    </row>
    <row r="1637" spans="1:7" x14ac:dyDescent="0.55000000000000004">
      <c r="A1637">
        <v>116</v>
      </c>
      <c r="B1637" t="str">
        <f t="shared" si="29"/>
        <v>116_0</v>
      </c>
      <c r="C1637" t="s">
        <v>126</v>
      </c>
      <c r="D1637" t="s">
        <v>145</v>
      </c>
      <c r="E1637" t="s">
        <v>139</v>
      </c>
      <c r="F1637">
        <v>0</v>
      </c>
    </row>
    <row r="1638" spans="1:7" x14ac:dyDescent="0.55000000000000004">
      <c r="A1638">
        <v>116</v>
      </c>
      <c r="B1638" t="str">
        <f t="shared" si="29"/>
        <v>116_0</v>
      </c>
      <c r="C1638" t="s">
        <v>126</v>
      </c>
      <c r="D1638" t="s">
        <v>146</v>
      </c>
      <c r="E1638" t="s">
        <v>139</v>
      </c>
      <c r="F1638">
        <v>0</v>
      </c>
    </row>
    <row r="1639" spans="1:7" x14ac:dyDescent="0.55000000000000004">
      <c r="A1639">
        <v>116</v>
      </c>
      <c r="B1639" t="str">
        <f t="shared" si="29"/>
        <v>116_0</v>
      </c>
      <c r="C1639" t="s">
        <v>126</v>
      </c>
      <c r="D1639" t="s">
        <v>147</v>
      </c>
      <c r="E1639" t="s">
        <v>139</v>
      </c>
      <c r="F1639">
        <v>0</v>
      </c>
    </row>
    <row r="1640" spans="1:7" x14ac:dyDescent="0.55000000000000004">
      <c r="A1640">
        <v>116</v>
      </c>
      <c r="B1640" t="str">
        <f t="shared" ref="B1640:B1751" si="31">A1640 &amp; "_0"</f>
        <v>116_0</v>
      </c>
      <c r="C1640" t="s">
        <v>126</v>
      </c>
      <c r="D1640" t="s">
        <v>148</v>
      </c>
      <c r="E1640" t="s">
        <v>139</v>
      </c>
      <c r="F1640">
        <v>0</v>
      </c>
    </row>
    <row r="1641" spans="1:7" x14ac:dyDescent="0.55000000000000004">
      <c r="A1641">
        <v>116</v>
      </c>
      <c r="B1641" t="str">
        <f t="shared" si="31"/>
        <v>116_0</v>
      </c>
      <c r="C1641" t="s">
        <v>126</v>
      </c>
      <c r="D1641" t="s">
        <v>149</v>
      </c>
      <c r="E1641" t="s">
        <v>139</v>
      </c>
      <c r="F1641">
        <v>90</v>
      </c>
    </row>
    <row r="1642" spans="1:7" x14ac:dyDescent="0.55000000000000004">
      <c r="A1642">
        <v>116</v>
      </c>
      <c r="B1642" t="str">
        <f t="shared" si="31"/>
        <v>116_0</v>
      </c>
      <c r="C1642" t="s">
        <v>126</v>
      </c>
      <c r="D1642" t="s">
        <v>150</v>
      </c>
      <c r="E1642" t="s">
        <v>139</v>
      </c>
      <c r="F1642">
        <v>10</v>
      </c>
    </row>
    <row r="1643" spans="1:7" x14ac:dyDescent="0.55000000000000004">
      <c r="A1643">
        <v>116</v>
      </c>
      <c r="B1643" t="str">
        <f t="shared" si="31"/>
        <v>116_0</v>
      </c>
      <c r="C1643" t="s">
        <v>126</v>
      </c>
      <c r="D1643" t="s">
        <v>152</v>
      </c>
      <c r="E1643" t="s">
        <v>153</v>
      </c>
    </row>
    <row r="1644" spans="1:7" x14ac:dyDescent="0.55000000000000004">
      <c r="A1644">
        <v>116</v>
      </c>
      <c r="B1644" t="str">
        <f t="shared" si="31"/>
        <v>116_0</v>
      </c>
      <c r="C1644" t="s">
        <v>154</v>
      </c>
      <c r="D1644" t="s">
        <v>155</v>
      </c>
      <c r="E1644" t="s">
        <v>156</v>
      </c>
      <c r="F1644">
        <v>16.100000000000001</v>
      </c>
    </row>
    <row r="1645" spans="1:7" x14ac:dyDescent="0.55000000000000004">
      <c r="A1645">
        <v>116</v>
      </c>
      <c r="B1645" t="str">
        <f t="shared" si="31"/>
        <v>116_0</v>
      </c>
      <c r="C1645" t="s">
        <v>154</v>
      </c>
      <c r="D1645" t="s">
        <v>157</v>
      </c>
      <c r="E1645" t="s">
        <v>158</v>
      </c>
      <c r="F1645">
        <v>9.14</v>
      </c>
    </row>
    <row r="1646" spans="1:7" x14ac:dyDescent="0.55000000000000004">
      <c r="A1646">
        <v>116</v>
      </c>
      <c r="B1646" t="str">
        <f t="shared" si="31"/>
        <v>116_0</v>
      </c>
      <c r="C1646" t="s">
        <v>154</v>
      </c>
      <c r="D1646" t="s">
        <v>159</v>
      </c>
      <c r="E1646" t="s">
        <v>139</v>
      </c>
      <c r="F1646">
        <v>94.1</v>
      </c>
    </row>
    <row r="1647" spans="1:7" x14ac:dyDescent="0.55000000000000004">
      <c r="A1647">
        <v>116</v>
      </c>
      <c r="B1647" t="str">
        <f t="shared" si="31"/>
        <v>116_0</v>
      </c>
      <c r="C1647" t="s">
        <v>154</v>
      </c>
      <c r="D1647" t="s">
        <v>357</v>
      </c>
      <c r="E1647" t="s">
        <v>161</v>
      </c>
      <c r="F1647">
        <v>63.9</v>
      </c>
    </row>
    <row r="1648" spans="1:7" x14ac:dyDescent="0.55000000000000004">
      <c r="A1648">
        <f>A1647</f>
        <v>116</v>
      </c>
      <c r="B1648" t="str">
        <f>B1647</f>
        <v>116_0</v>
      </c>
      <c r="C1648" s="9" t="str">
        <f>C1647</f>
        <v>Chemical</v>
      </c>
      <c r="D1648" t="s">
        <v>356</v>
      </c>
      <c r="E1648" t="s">
        <v>161</v>
      </c>
      <c r="F1648">
        <f xml:space="preserve"> F1647 / (1 + 0.021 * (F1644 - 25))</f>
        <v>78.588119542491697</v>
      </c>
    </row>
    <row r="1649" spans="1:7" x14ac:dyDescent="0.55000000000000004">
      <c r="A1649">
        <v>116</v>
      </c>
      <c r="B1649" t="str">
        <f t="shared" si="31"/>
        <v>116_0</v>
      </c>
      <c r="C1649" t="s">
        <v>154</v>
      </c>
      <c r="D1649" t="s">
        <v>162</v>
      </c>
      <c r="F1649">
        <v>7.77</v>
      </c>
    </row>
    <row r="1650" spans="1:7" x14ac:dyDescent="0.55000000000000004">
      <c r="A1650">
        <v>116</v>
      </c>
      <c r="B1650" t="str">
        <f t="shared" si="31"/>
        <v>116_0</v>
      </c>
      <c r="C1650" t="s">
        <v>163</v>
      </c>
      <c r="D1650" t="s">
        <v>168</v>
      </c>
      <c r="E1650" t="s">
        <v>131</v>
      </c>
      <c r="F1650">
        <v>1</v>
      </c>
    </row>
    <row r="1651" spans="1:7" x14ac:dyDescent="0.55000000000000004">
      <c r="A1651">
        <v>116</v>
      </c>
      <c r="B1651" t="str">
        <f t="shared" si="31"/>
        <v>116_0</v>
      </c>
      <c r="C1651" t="s">
        <v>163</v>
      </c>
      <c r="D1651" t="s">
        <v>169</v>
      </c>
      <c r="F1651" s="30" t="s">
        <v>198</v>
      </c>
    </row>
    <row r="1652" spans="1:7" x14ac:dyDescent="0.55000000000000004">
      <c r="A1652">
        <v>116</v>
      </c>
      <c r="B1652" t="str">
        <f t="shared" si="31"/>
        <v>116_0</v>
      </c>
      <c r="C1652" t="s">
        <v>163</v>
      </c>
      <c r="D1652" t="s">
        <v>170</v>
      </c>
      <c r="E1652" t="s">
        <v>139</v>
      </c>
      <c r="F1652">
        <v>0</v>
      </c>
    </row>
    <row r="1653" spans="1:7" x14ac:dyDescent="0.55000000000000004">
      <c r="A1653">
        <v>116</v>
      </c>
      <c r="B1653" t="str">
        <f t="shared" si="31"/>
        <v>116_0</v>
      </c>
      <c r="C1653" t="s">
        <v>163</v>
      </c>
      <c r="D1653" t="s">
        <v>171</v>
      </c>
    </row>
    <row r="1654" spans="1:7" x14ac:dyDescent="0.55000000000000004">
      <c r="A1654">
        <v>116</v>
      </c>
      <c r="B1654" t="str">
        <f>A1654 &amp; "_1"</f>
        <v>116_1</v>
      </c>
      <c r="C1654" t="s">
        <v>126</v>
      </c>
      <c r="D1654" t="s">
        <v>127</v>
      </c>
      <c r="E1654" t="s">
        <v>128</v>
      </c>
      <c r="F1654" s="1"/>
      <c r="G1654" t="s">
        <v>129</v>
      </c>
    </row>
    <row r="1655" spans="1:7" x14ac:dyDescent="0.55000000000000004">
      <c r="A1655">
        <v>116</v>
      </c>
      <c r="B1655" t="str">
        <f t="shared" ref="B1655:B1681" si="32">A1655 &amp; "_1"</f>
        <v>116_1</v>
      </c>
      <c r="C1655" t="s">
        <v>126</v>
      </c>
      <c r="D1655" s="11" t="s">
        <v>130</v>
      </c>
      <c r="E1655" t="s">
        <v>131</v>
      </c>
      <c r="F1655">
        <v>1</v>
      </c>
    </row>
    <row r="1656" spans="1:7" x14ac:dyDescent="0.55000000000000004">
      <c r="A1656">
        <v>116</v>
      </c>
      <c r="B1656" t="str">
        <f t="shared" si="32"/>
        <v>116_1</v>
      </c>
      <c r="C1656" t="s">
        <v>126</v>
      </c>
      <c r="D1656" t="s">
        <v>132</v>
      </c>
      <c r="E1656" t="s">
        <v>133</v>
      </c>
    </row>
    <row r="1657" spans="1:7" x14ac:dyDescent="0.55000000000000004">
      <c r="A1657">
        <v>116</v>
      </c>
      <c r="B1657" t="str">
        <f t="shared" si="32"/>
        <v>116_1</v>
      </c>
      <c r="C1657" t="s">
        <v>126</v>
      </c>
      <c r="D1657" t="s">
        <v>134</v>
      </c>
      <c r="E1657" t="s">
        <v>133</v>
      </c>
      <c r="F1657">
        <v>0.65</v>
      </c>
    </row>
    <row r="1658" spans="1:7" x14ac:dyDescent="0.55000000000000004">
      <c r="A1658">
        <v>116</v>
      </c>
      <c r="B1658" t="str">
        <f t="shared" si="32"/>
        <v>116_1</v>
      </c>
      <c r="C1658" t="s">
        <v>126</v>
      </c>
      <c r="D1658" t="s">
        <v>135</v>
      </c>
      <c r="E1658" t="s">
        <v>136</v>
      </c>
      <c r="F1658">
        <f>F1657/10</f>
        <v>6.5000000000000002E-2</v>
      </c>
      <c r="G1658" t="s">
        <v>137</v>
      </c>
    </row>
    <row r="1659" spans="1:7" x14ac:dyDescent="0.55000000000000004">
      <c r="A1659">
        <v>116</v>
      </c>
      <c r="B1659" t="str">
        <f t="shared" si="32"/>
        <v>116_1</v>
      </c>
      <c r="C1659" t="s">
        <v>126</v>
      </c>
      <c r="D1659" s="2" t="s">
        <v>138</v>
      </c>
      <c r="E1659" t="s">
        <v>139</v>
      </c>
      <c r="F1659">
        <v>20</v>
      </c>
    </row>
    <row r="1660" spans="1:7" x14ac:dyDescent="0.55000000000000004">
      <c r="A1660">
        <v>116</v>
      </c>
      <c r="B1660" t="str">
        <f t="shared" si="32"/>
        <v>116_1</v>
      </c>
      <c r="C1660" t="s">
        <v>126</v>
      </c>
      <c r="D1660" s="2" t="s">
        <v>140</v>
      </c>
      <c r="F1660" t="s">
        <v>186</v>
      </c>
    </row>
    <row r="1661" spans="1:7" x14ac:dyDescent="0.55000000000000004">
      <c r="A1661">
        <v>116</v>
      </c>
      <c r="B1661" t="str">
        <f t="shared" si="32"/>
        <v>116_1</v>
      </c>
      <c r="C1661" t="s">
        <v>126</v>
      </c>
      <c r="D1661" s="2" t="s">
        <v>141</v>
      </c>
      <c r="E1661" t="s">
        <v>139</v>
      </c>
      <c r="F1661">
        <v>0</v>
      </c>
    </row>
    <row r="1662" spans="1:7" x14ac:dyDescent="0.55000000000000004">
      <c r="A1662">
        <v>116</v>
      </c>
      <c r="B1662" t="str">
        <f t="shared" si="32"/>
        <v>116_1</v>
      </c>
      <c r="C1662" t="s">
        <v>126</v>
      </c>
      <c r="D1662" t="s">
        <v>142</v>
      </c>
      <c r="E1662" t="s">
        <v>139</v>
      </c>
      <c r="F1662">
        <v>0</v>
      </c>
    </row>
    <row r="1663" spans="1:7" x14ac:dyDescent="0.55000000000000004">
      <c r="A1663">
        <v>116</v>
      </c>
      <c r="B1663" t="str">
        <f t="shared" si="32"/>
        <v>116_1</v>
      </c>
      <c r="C1663" t="s">
        <v>126</v>
      </c>
      <c r="D1663" t="s">
        <v>143</v>
      </c>
      <c r="E1663" t="s">
        <v>131</v>
      </c>
      <c r="F1663">
        <v>0</v>
      </c>
    </row>
    <row r="1664" spans="1:7" x14ac:dyDescent="0.55000000000000004">
      <c r="A1664">
        <v>116</v>
      </c>
      <c r="B1664" t="str">
        <f t="shared" si="32"/>
        <v>116_1</v>
      </c>
      <c r="C1664" t="s">
        <v>126</v>
      </c>
      <c r="D1664" t="s">
        <v>144</v>
      </c>
      <c r="E1664" t="s">
        <v>139</v>
      </c>
      <c r="F1664">
        <v>0</v>
      </c>
    </row>
    <row r="1665" spans="1:6" x14ac:dyDescent="0.55000000000000004">
      <c r="A1665">
        <v>116</v>
      </c>
      <c r="B1665" t="str">
        <f t="shared" si="32"/>
        <v>116_1</v>
      </c>
      <c r="C1665" t="s">
        <v>126</v>
      </c>
      <c r="D1665" t="s">
        <v>145</v>
      </c>
      <c r="E1665" t="s">
        <v>139</v>
      </c>
      <c r="F1665">
        <v>0</v>
      </c>
    </row>
    <row r="1666" spans="1:6" x14ac:dyDescent="0.55000000000000004">
      <c r="A1666">
        <v>116</v>
      </c>
      <c r="B1666" t="str">
        <f t="shared" si="32"/>
        <v>116_1</v>
      </c>
      <c r="C1666" t="s">
        <v>126</v>
      </c>
      <c r="D1666" t="s">
        <v>146</v>
      </c>
      <c r="E1666" t="s">
        <v>139</v>
      </c>
      <c r="F1666">
        <v>0</v>
      </c>
    </row>
    <row r="1667" spans="1:6" x14ac:dyDescent="0.55000000000000004">
      <c r="A1667">
        <v>116</v>
      </c>
      <c r="B1667" t="str">
        <f t="shared" si="32"/>
        <v>116_1</v>
      </c>
      <c r="C1667" t="s">
        <v>126</v>
      </c>
      <c r="D1667" t="s">
        <v>147</v>
      </c>
      <c r="E1667" t="s">
        <v>139</v>
      </c>
      <c r="F1667">
        <v>0</v>
      </c>
    </row>
    <row r="1668" spans="1:6" x14ac:dyDescent="0.55000000000000004">
      <c r="A1668">
        <v>116</v>
      </c>
      <c r="B1668" t="str">
        <f t="shared" si="32"/>
        <v>116_1</v>
      </c>
      <c r="C1668" t="s">
        <v>126</v>
      </c>
      <c r="D1668" t="s">
        <v>148</v>
      </c>
      <c r="E1668" t="s">
        <v>139</v>
      </c>
      <c r="F1668">
        <v>0</v>
      </c>
    </row>
    <row r="1669" spans="1:6" x14ac:dyDescent="0.55000000000000004">
      <c r="A1669">
        <v>116</v>
      </c>
      <c r="B1669" t="str">
        <f t="shared" si="32"/>
        <v>116_1</v>
      </c>
      <c r="C1669" t="s">
        <v>126</v>
      </c>
      <c r="D1669" t="s">
        <v>149</v>
      </c>
      <c r="E1669" t="s">
        <v>139</v>
      </c>
      <c r="F1669">
        <v>100</v>
      </c>
    </row>
    <row r="1670" spans="1:6" x14ac:dyDescent="0.55000000000000004">
      <c r="A1670">
        <v>116</v>
      </c>
      <c r="B1670" t="str">
        <f t="shared" si="32"/>
        <v>116_1</v>
      </c>
      <c r="C1670" t="s">
        <v>126</v>
      </c>
      <c r="D1670" t="s">
        <v>150</v>
      </c>
      <c r="E1670" t="s">
        <v>139</v>
      </c>
      <c r="F1670">
        <v>0</v>
      </c>
    </row>
    <row r="1671" spans="1:6" x14ac:dyDescent="0.55000000000000004">
      <c r="A1671">
        <v>116</v>
      </c>
      <c r="B1671" t="str">
        <f t="shared" si="32"/>
        <v>116_1</v>
      </c>
      <c r="C1671" t="s">
        <v>126</v>
      </c>
      <c r="D1671" t="s">
        <v>152</v>
      </c>
      <c r="E1671" t="s">
        <v>153</v>
      </c>
    </row>
    <row r="1672" spans="1:6" x14ac:dyDescent="0.55000000000000004">
      <c r="A1672">
        <v>116</v>
      </c>
      <c r="B1672" t="str">
        <f t="shared" si="32"/>
        <v>116_1</v>
      </c>
      <c r="C1672" t="s">
        <v>154</v>
      </c>
      <c r="D1672" t="s">
        <v>155</v>
      </c>
      <c r="E1672" t="s">
        <v>156</v>
      </c>
      <c r="F1672">
        <v>20.5</v>
      </c>
    </row>
    <row r="1673" spans="1:6" x14ac:dyDescent="0.55000000000000004">
      <c r="A1673">
        <v>116</v>
      </c>
      <c r="B1673" t="str">
        <f t="shared" si="32"/>
        <v>116_1</v>
      </c>
      <c r="C1673" t="s">
        <v>154</v>
      </c>
      <c r="D1673" t="s">
        <v>157</v>
      </c>
      <c r="E1673" t="s">
        <v>158</v>
      </c>
      <c r="F1673">
        <v>8.8800000000000008</v>
      </c>
    </row>
    <row r="1674" spans="1:6" x14ac:dyDescent="0.55000000000000004">
      <c r="A1674">
        <v>116</v>
      </c>
      <c r="B1674" t="str">
        <f t="shared" si="32"/>
        <v>116_1</v>
      </c>
      <c r="C1674" t="s">
        <v>154</v>
      </c>
      <c r="D1674" t="s">
        <v>159</v>
      </c>
      <c r="E1674" t="s">
        <v>139</v>
      </c>
      <c r="F1674">
        <v>98.3</v>
      </c>
    </row>
    <row r="1675" spans="1:6" x14ac:dyDescent="0.55000000000000004">
      <c r="A1675">
        <v>116</v>
      </c>
      <c r="B1675" t="str">
        <f t="shared" si="32"/>
        <v>116_1</v>
      </c>
      <c r="C1675" t="s">
        <v>154</v>
      </c>
      <c r="D1675" t="s">
        <v>357</v>
      </c>
      <c r="E1675" t="s">
        <v>161</v>
      </c>
      <c r="F1675">
        <v>69</v>
      </c>
    </row>
    <row r="1676" spans="1:6" x14ac:dyDescent="0.55000000000000004">
      <c r="A1676">
        <f>A1675</f>
        <v>116</v>
      </c>
      <c r="B1676" t="str">
        <f>B1675</f>
        <v>116_1</v>
      </c>
      <c r="C1676" s="9" t="str">
        <f>C1675</f>
        <v>Chemical</v>
      </c>
      <c r="D1676" t="s">
        <v>356</v>
      </c>
      <c r="E1676" t="s">
        <v>161</v>
      </c>
      <c r="F1676">
        <f xml:space="preserve"> F1675 / (1 + 0.021 * (F1672 - 25))</f>
        <v>76.200993926007726</v>
      </c>
    </row>
    <row r="1677" spans="1:6" x14ac:dyDescent="0.55000000000000004">
      <c r="A1677">
        <v>116</v>
      </c>
      <c r="B1677" t="str">
        <f t="shared" si="32"/>
        <v>116_1</v>
      </c>
      <c r="C1677" t="s">
        <v>154</v>
      </c>
      <c r="D1677" t="s">
        <v>162</v>
      </c>
      <c r="F1677">
        <v>8.26</v>
      </c>
    </row>
    <row r="1678" spans="1:6" x14ac:dyDescent="0.55000000000000004">
      <c r="A1678">
        <v>116</v>
      </c>
      <c r="B1678" t="str">
        <f t="shared" si="32"/>
        <v>116_1</v>
      </c>
      <c r="C1678" t="s">
        <v>163</v>
      </c>
      <c r="D1678" t="s">
        <v>168</v>
      </c>
      <c r="E1678" t="s">
        <v>131</v>
      </c>
      <c r="F1678">
        <v>1</v>
      </c>
    </row>
    <row r="1679" spans="1:6" x14ac:dyDescent="0.55000000000000004">
      <c r="A1679">
        <v>116</v>
      </c>
      <c r="B1679" t="str">
        <f t="shared" si="32"/>
        <v>116_1</v>
      </c>
      <c r="C1679" t="s">
        <v>163</v>
      </c>
      <c r="D1679" t="s">
        <v>169</v>
      </c>
      <c r="F1679" t="s">
        <v>300</v>
      </c>
    </row>
    <row r="1680" spans="1:6" x14ac:dyDescent="0.55000000000000004">
      <c r="A1680">
        <v>116</v>
      </c>
      <c r="B1680" t="str">
        <f t="shared" si="32"/>
        <v>116_1</v>
      </c>
      <c r="C1680" t="s">
        <v>163</v>
      </c>
      <c r="D1680" t="s">
        <v>170</v>
      </c>
      <c r="E1680" t="s">
        <v>139</v>
      </c>
      <c r="F1680">
        <v>0</v>
      </c>
    </row>
    <row r="1681" spans="1:7" x14ac:dyDescent="0.55000000000000004">
      <c r="A1681">
        <v>116</v>
      </c>
      <c r="B1681" t="str">
        <f t="shared" si="32"/>
        <v>116_1</v>
      </c>
      <c r="C1681" t="s">
        <v>163</v>
      </c>
      <c r="D1681" t="s">
        <v>171</v>
      </c>
    </row>
    <row r="1682" spans="1:7" x14ac:dyDescent="0.55000000000000004">
      <c r="A1682">
        <v>117</v>
      </c>
      <c r="B1682" t="str">
        <f t="shared" si="31"/>
        <v>117_0</v>
      </c>
      <c r="C1682" t="s">
        <v>126</v>
      </c>
      <c r="D1682" t="s">
        <v>127</v>
      </c>
      <c r="E1682" t="s">
        <v>128</v>
      </c>
      <c r="G1682" t="s">
        <v>129</v>
      </c>
    </row>
    <row r="1683" spans="1:7" x14ac:dyDescent="0.55000000000000004">
      <c r="A1683">
        <v>117</v>
      </c>
      <c r="B1683" t="str">
        <f t="shared" si="31"/>
        <v>117_0</v>
      </c>
      <c r="C1683" t="s">
        <v>126</v>
      </c>
      <c r="D1683" s="11" t="s">
        <v>130</v>
      </c>
      <c r="E1683" t="s">
        <v>131</v>
      </c>
      <c r="F1683">
        <v>1</v>
      </c>
    </row>
    <row r="1684" spans="1:7" x14ac:dyDescent="0.55000000000000004">
      <c r="A1684">
        <v>117</v>
      </c>
      <c r="B1684" t="str">
        <f t="shared" si="31"/>
        <v>117_0</v>
      </c>
      <c r="C1684" t="s">
        <v>126</v>
      </c>
      <c r="D1684" t="s">
        <v>132</v>
      </c>
      <c r="E1684" t="s">
        <v>133</v>
      </c>
    </row>
    <row r="1685" spans="1:7" x14ac:dyDescent="0.55000000000000004">
      <c r="A1685">
        <v>117</v>
      </c>
      <c r="B1685" t="str">
        <f t="shared" si="31"/>
        <v>117_0</v>
      </c>
      <c r="C1685" t="s">
        <v>126</v>
      </c>
      <c r="D1685" t="s">
        <v>134</v>
      </c>
      <c r="E1685" t="s">
        <v>133</v>
      </c>
      <c r="F1685">
        <v>2</v>
      </c>
    </row>
    <row r="1686" spans="1:7" x14ac:dyDescent="0.55000000000000004">
      <c r="A1686">
        <v>117</v>
      </c>
      <c r="B1686" t="str">
        <f t="shared" si="31"/>
        <v>117_0</v>
      </c>
      <c r="C1686" t="s">
        <v>126</v>
      </c>
      <c r="D1686" t="s">
        <v>135</v>
      </c>
      <c r="E1686" t="s">
        <v>136</v>
      </c>
      <c r="F1686">
        <f>F1685/10</f>
        <v>0.2</v>
      </c>
    </row>
    <row r="1687" spans="1:7" x14ac:dyDescent="0.55000000000000004">
      <c r="A1687">
        <v>117</v>
      </c>
      <c r="B1687" t="str">
        <f t="shared" si="31"/>
        <v>117_0</v>
      </c>
      <c r="C1687" t="s">
        <v>126</v>
      </c>
      <c r="D1687" s="2" t="s">
        <v>138</v>
      </c>
      <c r="E1687" t="s">
        <v>139</v>
      </c>
      <c r="F1687">
        <v>100</v>
      </c>
    </row>
    <row r="1688" spans="1:7" x14ac:dyDescent="0.55000000000000004">
      <c r="A1688">
        <v>117</v>
      </c>
      <c r="B1688" t="str">
        <f t="shared" si="31"/>
        <v>117_0</v>
      </c>
      <c r="C1688" t="s">
        <v>126</v>
      </c>
      <c r="D1688" s="2" t="s">
        <v>140</v>
      </c>
    </row>
    <row r="1689" spans="1:7" x14ac:dyDescent="0.55000000000000004">
      <c r="A1689">
        <v>117</v>
      </c>
      <c r="B1689" t="str">
        <f t="shared" si="31"/>
        <v>117_0</v>
      </c>
      <c r="C1689" t="s">
        <v>126</v>
      </c>
      <c r="D1689" s="2" t="s">
        <v>141</v>
      </c>
      <c r="E1689" t="s">
        <v>139</v>
      </c>
      <c r="F1689">
        <v>100</v>
      </c>
    </row>
    <row r="1690" spans="1:7" x14ac:dyDescent="0.55000000000000004">
      <c r="A1690">
        <v>117</v>
      </c>
      <c r="B1690" t="str">
        <f t="shared" si="31"/>
        <v>117_0</v>
      </c>
      <c r="C1690" t="s">
        <v>126</v>
      </c>
      <c r="D1690" t="s">
        <v>142</v>
      </c>
      <c r="E1690" t="s">
        <v>139</v>
      </c>
      <c r="F1690">
        <v>0</v>
      </c>
    </row>
    <row r="1691" spans="1:7" x14ac:dyDescent="0.55000000000000004">
      <c r="A1691">
        <v>117</v>
      </c>
      <c r="B1691" t="str">
        <f t="shared" si="31"/>
        <v>117_0</v>
      </c>
      <c r="C1691" t="s">
        <v>126</v>
      </c>
      <c r="D1691" t="s">
        <v>143</v>
      </c>
      <c r="E1691" t="s">
        <v>131</v>
      </c>
      <c r="F1691">
        <v>0</v>
      </c>
    </row>
    <row r="1692" spans="1:7" x14ac:dyDescent="0.55000000000000004">
      <c r="A1692">
        <v>117</v>
      </c>
      <c r="B1692" t="str">
        <f t="shared" si="31"/>
        <v>117_0</v>
      </c>
      <c r="C1692" t="s">
        <v>126</v>
      </c>
      <c r="D1692" t="s">
        <v>144</v>
      </c>
      <c r="E1692" t="s">
        <v>139</v>
      </c>
      <c r="F1692">
        <v>0</v>
      </c>
    </row>
    <row r="1693" spans="1:7" x14ac:dyDescent="0.55000000000000004">
      <c r="A1693">
        <v>117</v>
      </c>
      <c r="B1693" t="str">
        <f t="shared" si="31"/>
        <v>117_0</v>
      </c>
      <c r="C1693" t="s">
        <v>126</v>
      </c>
      <c r="D1693" t="s">
        <v>145</v>
      </c>
      <c r="E1693" t="s">
        <v>139</v>
      </c>
      <c r="F1693">
        <v>80</v>
      </c>
    </row>
    <row r="1694" spans="1:7" x14ac:dyDescent="0.55000000000000004">
      <c r="A1694">
        <v>117</v>
      </c>
      <c r="B1694" t="str">
        <f t="shared" si="31"/>
        <v>117_0</v>
      </c>
      <c r="C1694" t="s">
        <v>126</v>
      </c>
      <c r="D1694" t="s">
        <v>146</v>
      </c>
      <c r="E1694" t="s">
        <v>139</v>
      </c>
      <c r="F1694">
        <v>0</v>
      </c>
    </row>
    <row r="1695" spans="1:7" x14ac:dyDescent="0.55000000000000004">
      <c r="A1695">
        <v>117</v>
      </c>
      <c r="B1695" t="str">
        <f t="shared" si="31"/>
        <v>117_0</v>
      </c>
      <c r="C1695" t="s">
        <v>126</v>
      </c>
      <c r="D1695" t="s">
        <v>147</v>
      </c>
      <c r="E1695" t="s">
        <v>139</v>
      </c>
      <c r="F1695">
        <v>0</v>
      </c>
    </row>
    <row r="1696" spans="1:7" x14ac:dyDescent="0.55000000000000004">
      <c r="A1696">
        <v>117</v>
      </c>
      <c r="B1696" t="str">
        <f t="shared" si="31"/>
        <v>117_0</v>
      </c>
      <c r="C1696" t="s">
        <v>126</v>
      </c>
      <c r="D1696" t="s">
        <v>148</v>
      </c>
      <c r="E1696" t="s">
        <v>139</v>
      </c>
      <c r="F1696">
        <v>20</v>
      </c>
    </row>
    <row r="1697" spans="1:7" x14ac:dyDescent="0.55000000000000004">
      <c r="A1697">
        <v>117</v>
      </c>
      <c r="B1697" t="str">
        <f t="shared" si="31"/>
        <v>117_0</v>
      </c>
      <c r="C1697" t="s">
        <v>126</v>
      </c>
      <c r="D1697" t="s">
        <v>149</v>
      </c>
      <c r="E1697" t="s">
        <v>139</v>
      </c>
      <c r="F1697">
        <v>0</v>
      </c>
    </row>
    <row r="1698" spans="1:7" x14ac:dyDescent="0.55000000000000004">
      <c r="A1698">
        <v>117</v>
      </c>
      <c r="B1698" t="str">
        <f t="shared" si="31"/>
        <v>117_0</v>
      </c>
      <c r="C1698" t="s">
        <v>126</v>
      </c>
      <c r="D1698" t="s">
        <v>150</v>
      </c>
      <c r="E1698" t="s">
        <v>139</v>
      </c>
      <c r="F1698">
        <v>0</v>
      </c>
    </row>
    <row r="1699" spans="1:7" x14ac:dyDescent="0.55000000000000004">
      <c r="A1699">
        <v>117</v>
      </c>
      <c r="B1699" t="str">
        <f t="shared" si="31"/>
        <v>117_0</v>
      </c>
      <c r="C1699" t="s">
        <v>126</v>
      </c>
      <c r="D1699" t="s">
        <v>152</v>
      </c>
      <c r="E1699" t="s">
        <v>153</v>
      </c>
    </row>
    <row r="1700" spans="1:7" x14ac:dyDescent="0.55000000000000004">
      <c r="A1700">
        <v>117</v>
      </c>
      <c r="B1700" t="str">
        <f t="shared" si="31"/>
        <v>117_0</v>
      </c>
      <c r="C1700" t="s">
        <v>154</v>
      </c>
      <c r="D1700" t="s">
        <v>155</v>
      </c>
      <c r="E1700" t="s">
        <v>156</v>
      </c>
      <c r="F1700">
        <v>16.3</v>
      </c>
    </row>
    <row r="1701" spans="1:7" x14ac:dyDescent="0.55000000000000004">
      <c r="A1701">
        <v>117</v>
      </c>
      <c r="B1701" t="str">
        <f t="shared" si="31"/>
        <v>117_0</v>
      </c>
      <c r="C1701" t="s">
        <v>154</v>
      </c>
      <c r="D1701" t="s">
        <v>157</v>
      </c>
      <c r="E1701" t="s">
        <v>158</v>
      </c>
      <c r="F1701">
        <v>9.2100000000000009</v>
      </c>
    </row>
    <row r="1702" spans="1:7" x14ac:dyDescent="0.55000000000000004">
      <c r="A1702">
        <v>117</v>
      </c>
      <c r="B1702" t="str">
        <f t="shared" si="31"/>
        <v>117_0</v>
      </c>
      <c r="C1702" t="s">
        <v>154</v>
      </c>
      <c r="D1702" t="s">
        <v>159</v>
      </c>
      <c r="E1702" t="s">
        <v>139</v>
      </c>
      <c r="F1702">
        <v>93.8</v>
      </c>
    </row>
    <row r="1703" spans="1:7" x14ac:dyDescent="0.55000000000000004">
      <c r="A1703">
        <v>117</v>
      </c>
      <c r="B1703" t="str">
        <f t="shared" si="31"/>
        <v>117_0</v>
      </c>
      <c r="C1703" t="s">
        <v>154</v>
      </c>
      <c r="D1703" t="s">
        <v>357</v>
      </c>
      <c r="E1703" t="s">
        <v>161</v>
      </c>
      <c r="F1703">
        <v>61.9</v>
      </c>
    </row>
    <row r="1704" spans="1:7" x14ac:dyDescent="0.55000000000000004">
      <c r="A1704">
        <f>A1703</f>
        <v>117</v>
      </c>
      <c r="B1704" t="str">
        <f>B1703</f>
        <v>117_0</v>
      </c>
      <c r="C1704" s="9" t="str">
        <f>C1703</f>
        <v>Chemical</v>
      </c>
      <c r="D1704" t="s">
        <v>356</v>
      </c>
      <c r="E1704" t="s">
        <v>161</v>
      </c>
      <c r="F1704">
        <f xml:space="preserve"> F1703 / (1 + 0.021 * (F1700 - 25))</f>
        <v>75.737183408785015</v>
      </c>
    </row>
    <row r="1705" spans="1:7" x14ac:dyDescent="0.55000000000000004">
      <c r="A1705">
        <v>117</v>
      </c>
      <c r="B1705" t="str">
        <f t="shared" si="31"/>
        <v>117_0</v>
      </c>
      <c r="C1705" t="s">
        <v>154</v>
      </c>
      <c r="D1705" t="s">
        <v>162</v>
      </c>
      <c r="F1705">
        <v>8.2799999999999994</v>
      </c>
    </row>
    <row r="1706" spans="1:7" x14ac:dyDescent="0.55000000000000004">
      <c r="A1706">
        <v>117</v>
      </c>
      <c r="B1706" t="str">
        <f t="shared" si="31"/>
        <v>117_0</v>
      </c>
      <c r="C1706" t="s">
        <v>163</v>
      </c>
      <c r="D1706" t="s">
        <v>168</v>
      </c>
      <c r="E1706" t="s">
        <v>131</v>
      </c>
      <c r="F1706">
        <v>0</v>
      </c>
    </row>
    <row r="1707" spans="1:7" x14ac:dyDescent="0.55000000000000004">
      <c r="A1707">
        <v>117</v>
      </c>
      <c r="B1707" t="str">
        <f t="shared" si="31"/>
        <v>117_0</v>
      </c>
      <c r="C1707" t="s">
        <v>163</v>
      </c>
      <c r="D1707" t="s">
        <v>169</v>
      </c>
    </row>
    <row r="1708" spans="1:7" x14ac:dyDescent="0.55000000000000004">
      <c r="A1708">
        <v>117</v>
      </c>
      <c r="B1708" t="str">
        <f t="shared" si="31"/>
        <v>117_0</v>
      </c>
      <c r="C1708" t="s">
        <v>163</v>
      </c>
      <c r="D1708" t="s">
        <v>170</v>
      </c>
      <c r="E1708" t="s">
        <v>139</v>
      </c>
      <c r="F1708">
        <v>10</v>
      </c>
    </row>
    <row r="1709" spans="1:7" x14ac:dyDescent="0.55000000000000004">
      <c r="A1709">
        <v>117</v>
      </c>
      <c r="B1709" t="str">
        <f t="shared" si="31"/>
        <v>117_0</v>
      </c>
      <c r="C1709" t="s">
        <v>163</v>
      </c>
      <c r="D1709" t="s">
        <v>171</v>
      </c>
    </row>
    <row r="1710" spans="1:7" x14ac:dyDescent="0.55000000000000004">
      <c r="A1710">
        <v>117</v>
      </c>
      <c r="B1710" t="str">
        <f>A1710 &amp; "_1"</f>
        <v>117_1</v>
      </c>
      <c r="C1710" t="s">
        <v>126</v>
      </c>
      <c r="D1710" t="s">
        <v>127</v>
      </c>
      <c r="E1710" t="s">
        <v>128</v>
      </c>
      <c r="F1710" s="1"/>
      <c r="G1710" t="s">
        <v>129</v>
      </c>
    </row>
    <row r="1711" spans="1:7" x14ac:dyDescent="0.55000000000000004">
      <c r="A1711">
        <v>117</v>
      </c>
      <c r="B1711" t="str">
        <f t="shared" ref="B1711:B1737" si="33">A1711 &amp; "_1"</f>
        <v>117_1</v>
      </c>
      <c r="C1711" t="s">
        <v>126</v>
      </c>
      <c r="D1711" s="11" t="s">
        <v>130</v>
      </c>
      <c r="E1711" t="s">
        <v>131</v>
      </c>
      <c r="F1711">
        <v>1</v>
      </c>
    </row>
    <row r="1712" spans="1:7" x14ac:dyDescent="0.55000000000000004">
      <c r="A1712">
        <v>117</v>
      </c>
      <c r="B1712" t="str">
        <f t="shared" si="33"/>
        <v>117_1</v>
      </c>
      <c r="C1712" t="s">
        <v>126</v>
      </c>
      <c r="D1712" t="s">
        <v>132</v>
      </c>
      <c r="E1712" t="s">
        <v>133</v>
      </c>
    </row>
    <row r="1713" spans="1:7" x14ac:dyDescent="0.55000000000000004">
      <c r="A1713">
        <v>117</v>
      </c>
      <c r="B1713" t="str">
        <f t="shared" si="33"/>
        <v>117_1</v>
      </c>
      <c r="C1713" t="s">
        <v>126</v>
      </c>
      <c r="D1713" t="s">
        <v>134</v>
      </c>
      <c r="E1713" t="s">
        <v>133</v>
      </c>
      <c r="F1713">
        <v>1.5</v>
      </c>
    </row>
    <row r="1714" spans="1:7" x14ac:dyDescent="0.55000000000000004">
      <c r="A1714">
        <v>117</v>
      </c>
      <c r="B1714" t="str">
        <f t="shared" si="33"/>
        <v>117_1</v>
      </c>
      <c r="C1714" t="s">
        <v>126</v>
      </c>
      <c r="D1714" t="s">
        <v>135</v>
      </c>
      <c r="E1714" t="s">
        <v>136</v>
      </c>
      <c r="F1714">
        <f>F1713/10</f>
        <v>0.15</v>
      </c>
      <c r="G1714" t="s">
        <v>137</v>
      </c>
    </row>
    <row r="1715" spans="1:7" x14ac:dyDescent="0.55000000000000004">
      <c r="A1715">
        <v>117</v>
      </c>
      <c r="B1715" t="str">
        <f t="shared" si="33"/>
        <v>117_1</v>
      </c>
      <c r="C1715" t="s">
        <v>126</v>
      </c>
      <c r="D1715" s="2" t="s">
        <v>138</v>
      </c>
      <c r="E1715" t="s">
        <v>139</v>
      </c>
      <c r="F1715">
        <v>100</v>
      </c>
    </row>
    <row r="1716" spans="1:7" x14ac:dyDescent="0.55000000000000004">
      <c r="A1716">
        <v>117</v>
      </c>
      <c r="B1716" t="str">
        <f t="shared" si="33"/>
        <v>117_1</v>
      </c>
      <c r="C1716" t="s">
        <v>126</v>
      </c>
      <c r="D1716" s="2" t="s">
        <v>140</v>
      </c>
      <c r="F1716" t="s">
        <v>172</v>
      </c>
    </row>
    <row r="1717" spans="1:7" x14ac:dyDescent="0.55000000000000004">
      <c r="A1717">
        <v>117</v>
      </c>
      <c r="B1717" t="str">
        <f t="shared" si="33"/>
        <v>117_1</v>
      </c>
      <c r="C1717" t="s">
        <v>126</v>
      </c>
      <c r="D1717" s="2" t="s">
        <v>141</v>
      </c>
      <c r="E1717" t="s">
        <v>139</v>
      </c>
      <c r="F1717">
        <v>100</v>
      </c>
    </row>
    <row r="1718" spans="1:7" x14ac:dyDescent="0.55000000000000004">
      <c r="A1718">
        <v>117</v>
      </c>
      <c r="B1718" t="str">
        <f t="shared" si="33"/>
        <v>117_1</v>
      </c>
      <c r="C1718" t="s">
        <v>126</v>
      </c>
      <c r="D1718" t="s">
        <v>142</v>
      </c>
      <c r="E1718" t="s">
        <v>139</v>
      </c>
      <c r="F1718">
        <v>0</v>
      </c>
    </row>
    <row r="1719" spans="1:7" x14ac:dyDescent="0.55000000000000004">
      <c r="A1719">
        <v>117</v>
      </c>
      <c r="B1719" t="str">
        <f t="shared" si="33"/>
        <v>117_1</v>
      </c>
      <c r="C1719" t="s">
        <v>126</v>
      </c>
      <c r="D1719" t="s">
        <v>143</v>
      </c>
      <c r="E1719" t="s">
        <v>131</v>
      </c>
      <c r="F1719">
        <v>0</v>
      </c>
    </row>
    <row r="1720" spans="1:7" x14ac:dyDescent="0.55000000000000004">
      <c r="A1720">
        <v>117</v>
      </c>
      <c r="B1720" t="str">
        <f t="shared" si="33"/>
        <v>117_1</v>
      </c>
      <c r="C1720" t="s">
        <v>126</v>
      </c>
      <c r="D1720" t="s">
        <v>144</v>
      </c>
      <c r="E1720" t="s">
        <v>139</v>
      </c>
      <c r="F1720">
        <v>0</v>
      </c>
    </row>
    <row r="1721" spans="1:7" x14ac:dyDescent="0.55000000000000004">
      <c r="A1721">
        <v>117</v>
      </c>
      <c r="B1721" t="str">
        <f t="shared" si="33"/>
        <v>117_1</v>
      </c>
      <c r="C1721" t="s">
        <v>126</v>
      </c>
      <c r="D1721" t="s">
        <v>145</v>
      </c>
      <c r="E1721" t="s">
        <v>139</v>
      </c>
      <c r="F1721">
        <v>80</v>
      </c>
    </row>
    <row r="1722" spans="1:7" x14ac:dyDescent="0.55000000000000004">
      <c r="A1722">
        <v>117</v>
      </c>
      <c r="B1722" t="str">
        <f t="shared" si="33"/>
        <v>117_1</v>
      </c>
      <c r="C1722" t="s">
        <v>126</v>
      </c>
      <c r="D1722" t="s">
        <v>146</v>
      </c>
      <c r="E1722" t="s">
        <v>139</v>
      </c>
      <c r="F1722">
        <v>0</v>
      </c>
    </row>
    <row r="1723" spans="1:7" x14ac:dyDescent="0.55000000000000004">
      <c r="A1723">
        <v>117</v>
      </c>
      <c r="B1723" t="str">
        <f t="shared" si="33"/>
        <v>117_1</v>
      </c>
      <c r="C1723" t="s">
        <v>126</v>
      </c>
      <c r="D1723" t="s">
        <v>147</v>
      </c>
      <c r="E1723" t="s">
        <v>139</v>
      </c>
      <c r="F1723">
        <v>0</v>
      </c>
    </row>
    <row r="1724" spans="1:7" x14ac:dyDescent="0.55000000000000004">
      <c r="A1724">
        <v>117</v>
      </c>
      <c r="B1724" t="str">
        <f t="shared" si="33"/>
        <v>117_1</v>
      </c>
      <c r="C1724" t="s">
        <v>126</v>
      </c>
      <c r="D1724" t="s">
        <v>148</v>
      </c>
      <c r="E1724" t="s">
        <v>139</v>
      </c>
      <c r="F1724">
        <v>20</v>
      </c>
    </row>
    <row r="1725" spans="1:7" x14ac:dyDescent="0.55000000000000004">
      <c r="A1725">
        <v>117</v>
      </c>
      <c r="B1725" t="str">
        <f t="shared" si="33"/>
        <v>117_1</v>
      </c>
      <c r="C1725" t="s">
        <v>126</v>
      </c>
      <c r="D1725" t="s">
        <v>149</v>
      </c>
      <c r="E1725" t="s">
        <v>139</v>
      </c>
      <c r="F1725">
        <v>0</v>
      </c>
    </row>
    <row r="1726" spans="1:7" x14ac:dyDescent="0.55000000000000004">
      <c r="A1726">
        <v>117</v>
      </c>
      <c r="B1726" t="str">
        <f t="shared" si="33"/>
        <v>117_1</v>
      </c>
      <c r="C1726" t="s">
        <v>126</v>
      </c>
      <c r="D1726" t="s">
        <v>150</v>
      </c>
      <c r="E1726" t="s">
        <v>139</v>
      </c>
      <c r="F1726">
        <v>0</v>
      </c>
    </row>
    <row r="1727" spans="1:7" x14ac:dyDescent="0.55000000000000004">
      <c r="A1727">
        <v>117</v>
      </c>
      <c r="B1727" t="str">
        <f t="shared" si="33"/>
        <v>117_1</v>
      </c>
      <c r="C1727" t="s">
        <v>126</v>
      </c>
      <c r="D1727" t="s">
        <v>152</v>
      </c>
      <c r="E1727" t="s">
        <v>153</v>
      </c>
    </row>
    <row r="1728" spans="1:7" x14ac:dyDescent="0.55000000000000004">
      <c r="A1728">
        <v>117</v>
      </c>
      <c r="B1728" t="str">
        <f t="shared" si="33"/>
        <v>117_1</v>
      </c>
      <c r="C1728" t="s">
        <v>154</v>
      </c>
      <c r="D1728" t="s">
        <v>155</v>
      </c>
      <c r="E1728" t="s">
        <v>156</v>
      </c>
      <c r="F1728">
        <v>20.8</v>
      </c>
    </row>
    <row r="1729" spans="1:7" x14ac:dyDescent="0.55000000000000004">
      <c r="A1729">
        <v>117</v>
      </c>
      <c r="B1729" t="str">
        <f t="shared" si="33"/>
        <v>117_1</v>
      </c>
      <c r="C1729" t="s">
        <v>154</v>
      </c>
      <c r="D1729" t="s">
        <v>157</v>
      </c>
      <c r="E1729" t="s">
        <v>158</v>
      </c>
      <c r="F1729">
        <v>8.86</v>
      </c>
    </row>
    <row r="1730" spans="1:7" x14ac:dyDescent="0.55000000000000004">
      <c r="A1730">
        <v>117</v>
      </c>
      <c r="B1730" t="str">
        <f t="shared" si="33"/>
        <v>117_1</v>
      </c>
      <c r="C1730" t="s">
        <v>154</v>
      </c>
      <c r="D1730" t="s">
        <v>159</v>
      </c>
      <c r="E1730" t="s">
        <v>139</v>
      </c>
      <c r="F1730">
        <v>99.1</v>
      </c>
    </row>
    <row r="1731" spans="1:7" x14ac:dyDescent="0.55000000000000004">
      <c r="A1731">
        <v>117</v>
      </c>
      <c r="B1731" t="str">
        <f t="shared" si="33"/>
        <v>117_1</v>
      </c>
      <c r="C1731" t="s">
        <v>154</v>
      </c>
      <c r="D1731" t="s">
        <v>357</v>
      </c>
      <c r="E1731" t="s">
        <v>161</v>
      </c>
      <c r="F1731">
        <v>70.2</v>
      </c>
    </row>
    <row r="1732" spans="1:7" x14ac:dyDescent="0.55000000000000004">
      <c r="A1732">
        <f>A1731</f>
        <v>117</v>
      </c>
      <c r="B1732" t="str">
        <f>B1731</f>
        <v>117_1</v>
      </c>
      <c r="C1732" s="9" t="str">
        <f>C1731</f>
        <v>Chemical</v>
      </c>
      <c r="D1732" t="s">
        <v>356</v>
      </c>
      <c r="E1732" t="s">
        <v>161</v>
      </c>
      <c r="F1732">
        <f xml:space="preserve"> F1731 / (1 + 0.021 * (F1728 - 25))</f>
        <v>76.990568107041014</v>
      </c>
    </row>
    <row r="1733" spans="1:7" x14ac:dyDescent="0.55000000000000004">
      <c r="A1733">
        <v>117</v>
      </c>
      <c r="B1733" t="str">
        <f t="shared" si="33"/>
        <v>117_1</v>
      </c>
      <c r="C1733" t="s">
        <v>154</v>
      </c>
      <c r="D1733" t="s">
        <v>162</v>
      </c>
      <c r="F1733">
        <v>8.5399999999999991</v>
      </c>
    </row>
    <row r="1734" spans="1:7" x14ac:dyDescent="0.55000000000000004">
      <c r="A1734">
        <v>117</v>
      </c>
      <c r="B1734" t="str">
        <f t="shared" si="33"/>
        <v>117_1</v>
      </c>
      <c r="C1734" t="s">
        <v>163</v>
      </c>
      <c r="D1734" t="s">
        <v>168</v>
      </c>
      <c r="E1734" t="s">
        <v>131</v>
      </c>
      <c r="F1734">
        <v>0</v>
      </c>
    </row>
    <row r="1735" spans="1:7" x14ac:dyDescent="0.55000000000000004">
      <c r="A1735">
        <v>117</v>
      </c>
      <c r="B1735" t="str">
        <f t="shared" si="33"/>
        <v>117_1</v>
      </c>
      <c r="C1735" t="s">
        <v>163</v>
      </c>
      <c r="D1735" t="s">
        <v>169</v>
      </c>
    </row>
    <row r="1736" spans="1:7" x14ac:dyDescent="0.55000000000000004">
      <c r="A1736">
        <v>117</v>
      </c>
      <c r="B1736" t="str">
        <f t="shared" si="33"/>
        <v>117_1</v>
      </c>
      <c r="C1736" t="s">
        <v>163</v>
      </c>
      <c r="D1736" t="s">
        <v>170</v>
      </c>
      <c r="E1736" t="s">
        <v>139</v>
      </c>
      <c r="F1736">
        <v>20</v>
      </c>
    </row>
    <row r="1737" spans="1:7" x14ac:dyDescent="0.55000000000000004">
      <c r="A1737">
        <v>117</v>
      </c>
      <c r="B1737" t="str">
        <f t="shared" si="33"/>
        <v>117_1</v>
      </c>
      <c r="C1737" t="s">
        <v>163</v>
      </c>
      <c r="D1737" t="s">
        <v>171</v>
      </c>
    </row>
    <row r="1738" spans="1:7" x14ac:dyDescent="0.55000000000000004">
      <c r="A1738">
        <v>118</v>
      </c>
      <c r="B1738" t="str">
        <f t="shared" si="31"/>
        <v>118_0</v>
      </c>
      <c r="C1738" t="s">
        <v>126</v>
      </c>
      <c r="D1738" t="s">
        <v>127</v>
      </c>
      <c r="E1738" t="s">
        <v>128</v>
      </c>
      <c r="G1738" t="s">
        <v>129</v>
      </c>
    </row>
    <row r="1739" spans="1:7" x14ac:dyDescent="0.55000000000000004">
      <c r="A1739">
        <v>118</v>
      </c>
      <c r="B1739" t="str">
        <f t="shared" si="31"/>
        <v>118_0</v>
      </c>
      <c r="C1739" t="s">
        <v>126</v>
      </c>
      <c r="D1739" s="11" t="s">
        <v>130</v>
      </c>
      <c r="E1739" t="s">
        <v>131</v>
      </c>
      <c r="F1739">
        <v>1</v>
      </c>
    </row>
    <row r="1740" spans="1:7" x14ac:dyDescent="0.55000000000000004">
      <c r="A1740">
        <v>118</v>
      </c>
      <c r="B1740" t="str">
        <f t="shared" si="31"/>
        <v>118_0</v>
      </c>
      <c r="C1740" t="s">
        <v>126</v>
      </c>
      <c r="D1740" t="s">
        <v>132</v>
      </c>
      <c r="E1740" t="s">
        <v>133</v>
      </c>
      <c r="F1740">
        <v>7.4</v>
      </c>
      <c r="G1740" t="s">
        <v>175</v>
      </c>
    </row>
    <row r="1741" spans="1:7" x14ac:dyDescent="0.55000000000000004">
      <c r="A1741">
        <v>118</v>
      </c>
      <c r="B1741" t="str">
        <f t="shared" si="31"/>
        <v>118_0</v>
      </c>
      <c r="C1741" t="s">
        <v>126</v>
      </c>
      <c r="D1741" t="s">
        <v>134</v>
      </c>
      <c r="E1741" t="s">
        <v>133</v>
      </c>
      <c r="F1741">
        <v>0.9</v>
      </c>
    </row>
    <row r="1742" spans="1:7" x14ac:dyDescent="0.55000000000000004">
      <c r="A1742">
        <v>118</v>
      </c>
      <c r="B1742" t="str">
        <f t="shared" si="31"/>
        <v>118_0</v>
      </c>
      <c r="C1742" t="s">
        <v>126</v>
      </c>
      <c r="D1742" t="s">
        <v>135</v>
      </c>
      <c r="E1742" t="s">
        <v>136</v>
      </c>
      <c r="F1742">
        <f>F1741/10</f>
        <v>0.09</v>
      </c>
    </row>
    <row r="1743" spans="1:7" x14ac:dyDescent="0.55000000000000004">
      <c r="A1743">
        <v>118</v>
      </c>
      <c r="B1743" t="str">
        <f t="shared" si="31"/>
        <v>118_0</v>
      </c>
      <c r="C1743" t="s">
        <v>126</v>
      </c>
      <c r="D1743" s="2" t="s">
        <v>138</v>
      </c>
      <c r="E1743" t="s">
        <v>139</v>
      </c>
      <c r="F1743">
        <v>0</v>
      </c>
    </row>
    <row r="1744" spans="1:7" x14ac:dyDescent="0.55000000000000004">
      <c r="A1744">
        <v>118</v>
      </c>
      <c r="B1744" t="str">
        <f t="shared" si="31"/>
        <v>118_0</v>
      </c>
      <c r="C1744" t="s">
        <v>126</v>
      </c>
      <c r="D1744" s="2" t="s">
        <v>140</v>
      </c>
    </row>
    <row r="1745" spans="1:7" x14ac:dyDescent="0.55000000000000004">
      <c r="A1745">
        <v>118</v>
      </c>
      <c r="B1745" t="str">
        <f t="shared" si="31"/>
        <v>118_0</v>
      </c>
      <c r="C1745" t="s">
        <v>126</v>
      </c>
      <c r="D1745" s="2" t="s">
        <v>141</v>
      </c>
      <c r="E1745" t="s">
        <v>139</v>
      </c>
      <c r="F1745">
        <v>0</v>
      </c>
    </row>
    <row r="1746" spans="1:7" x14ac:dyDescent="0.55000000000000004">
      <c r="A1746">
        <v>118</v>
      </c>
      <c r="B1746" t="str">
        <f t="shared" si="31"/>
        <v>118_0</v>
      </c>
      <c r="C1746" t="s">
        <v>126</v>
      </c>
      <c r="D1746" t="s">
        <v>142</v>
      </c>
      <c r="E1746" t="s">
        <v>139</v>
      </c>
      <c r="F1746">
        <v>0</v>
      </c>
    </row>
    <row r="1747" spans="1:7" x14ac:dyDescent="0.55000000000000004">
      <c r="A1747">
        <v>118</v>
      </c>
      <c r="B1747" t="str">
        <f t="shared" si="31"/>
        <v>118_0</v>
      </c>
      <c r="C1747" t="s">
        <v>126</v>
      </c>
      <c r="D1747" t="s">
        <v>143</v>
      </c>
      <c r="E1747" t="s">
        <v>131</v>
      </c>
      <c r="F1747">
        <v>1</v>
      </c>
      <c r="G1747" t="s">
        <v>199</v>
      </c>
    </row>
    <row r="1748" spans="1:7" x14ac:dyDescent="0.55000000000000004">
      <c r="A1748">
        <v>118</v>
      </c>
      <c r="B1748" t="str">
        <f t="shared" si="31"/>
        <v>118_0</v>
      </c>
      <c r="C1748" t="s">
        <v>126</v>
      </c>
      <c r="D1748" t="s">
        <v>144</v>
      </c>
      <c r="E1748" t="s">
        <v>139</v>
      </c>
      <c r="F1748">
        <v>0</v>
      </c>
    </row>
    <row r="1749" spans="1:7" x14ac:dyDescent="0.55000000000000004">
      <c r="A1749">
        <v>118</v>
      </c>
      <c r="B1749" t="str">
        <f t="shared" si="31"/>
        <v>118_0</v>
      </c>
      <c r="C1749" t="s">
        <v>126</v>
      </c>
      <c r="D1749" t="s">
        <v>145</v>
      </c>
      <c r="E1749" t="s">
        <v>139</v>
      </c>
      <c r="F1749">
        <v>5</v>
      </c>
    </row>
    <row r="1750" spans="1:7" x14ac:dyDescent="0.55000000000000004">
      <c r="A1750">
        <v>118</v>
      </c>
      <c r="B1750" t="str">
        <f t="shared" si="31"/>
        <v>118_0</v>
      </c>
      <c r="C1750" t="s">
        <v>126</v>
      </c>
      <c r="D1750" t="s">
        <v>146</v>
      </c>
      <c r="E1750" t="s">
        <v>139</v>
      </c>
      <c r="F1750">
        <v>0</v>
      </c>
    </row>
    <row r="1751" spans="1:7" x14ac:dyDescent="0.55000000000000004">
      <c r="A1751">
        <v>118</v>
      </c>
      <c r="B1751" t="str">
        <f t="shared" si="31"/>
        <v>118_0</v>
      </c>
      <c r="C1751" t="s">
        <v>126</v>
      </c>
      <c r="D1751" t="s">
        <v>147</v>
      </c>
      <c r="E1751" t="s">
        <v>139</v>
      </c>
      <c r="F1751">
        <v>0</v>
      </c>
    </row>
    <row r="1752" spans="1:7" x14ac:dyDescent="0.55000000000000004">
      <c r="A1752">
        <v>118</v>
      </c>
      <c r="B1752" t="str">
        <f t="shared" ref="B1752:B1835" si="34">A1752 &amp; "_0"</f>
        <v>118_0</v>
      </c>
      <c r="C1752" t="s">
        <v>126</v>
      </c>
      <c r="D1752" t="s">
        <v>148</v>
      </c>
      <c r="E1752" t="s">
        <v>139</v>
      </c>
      <c r="F1752">
        <v>95</v>
      </c>
    </row>
    <row r="1753" spans="1:7" x14ac:dyDescent="0.55000000000000004">
      <c r="A1753">
        <v>118</v>
      </c>
      <c r="B1753" t="str">
        <f t="shared" si="34"/>
        <v>118_0</v>
      </c>
      <c r="C1753" t="s">
        <v>126</v>
      </c>
      <c r="D1753" t="s">
        <v>149</v>
      </c>
      <c r="E1753" t="s">
        <v>139</v>
      </c>
      <c r="F1753">
        <v>0</v>
      </c>
    </row>
    <row r="1754" spans="1:7" x14ac:dyDescent="0.55000000000000004">
      <c r="A1754">
        <v>118</v>
      </c>
      <c r="B1754" t="str">
        <f t="shared" si="34"/>
        <v>118_0</v>
      </c>
      <c r="C1754" t="s">
        <v>126</v>
      </c>
      <c r="D1754" t="s">
        <v>150</v>
      </c>
      <c r="E1754" t="s">
        <v>139</v>
      </c>
      <c r="F1754">
        <v>0</v>
      </c>
    </row>
    <row r="1755" spans="1:7" x14ac:dyDescent="0.55000000000000004">
      <c r="A1755">
        <v>118</v>
      </c>
      <c r="B1755" t="str">
        <f t="shared" si="34"/>
        <v>118_0</v>
      </c>
      <c r="C1755" t="s">
        <v>126</v>
      </c>
      <c r="D1755" t="s">
        <v>152</v>
      </c>
      <c r="E1755" t="s">
        <v>153</v>
      </c>
    </row>
    <row r="1756" spans="1:7" x14ac:dyDescent="0.55000000000000004">
      <c r="A1756">
        <v>118</v>
      </c>
      <c r="B1756" t="str">
        <f t="shared" si="34"/>
        <v>118_0</v>
      </c>
      <c r="C1756" t="s">
        <v>154</v>
      </c>
      <c r="D1756" t="s">
        <v>155</v>
      </c>
      <c r="E1756" t="s">
        <v>156</v>
      </c>
      <c r="F1756">
        <v>16</v>
      </c>
    </row>
    <row r="1757" spans="1:7" x14ac:dyDescent="0.55000000000000004">
      <c r="A1757">
        <v>118</v>
      </c>
      <c r="B1757" t="str">
        <f t="shared" si="34"/>
        <v>118_0</v>
      </c>
      <c r="C1757" t="s">
        <v>154</v>
      </c>
      <c r="D1757" t="s">
        <v>157</v>
      </c>
      <c r="E1757" t="s">
        <v>158</v>
      </c>
      <c r="F1757">
        <v>9.74</v>
      </c>
    </row>
    <row r="1758" spans="1:7" x14ac:dyDescent="0.55000000000000004">
      <c r="A1758">
        <v>118</v>
      </c>
      <c r="B1758" t="str">
        <f t="shared" si="34"/>
        <v>118_0</v>
      </c>
      <c r="C1758" t="s">
        <v>154</v>
      </c>
      <c r="D1758" t="s">
        <v>159</v>
      </c>
      <c r="E1758" t="s">
        <v>139</v>
      </c>
      <c r="F1758">
        <v>98.6</v>
      </c>
    </row>
    <row r="1759" spans="1:7" x14ac:dyDescent="0.55000000000000004">
      <c r="A1759">
        <v>118</v>
      </c>
      <c r="B1759" t="str">
        <f t="shared" si="34"/>
        <v>118_0</v>
      </c>
      <c r="C1759" t="s">
        <v>154</v>
      </c>
      <c r="D1759" t="s">
        <v>357</v>
      </c>
      <c r="E1759" t="s">
        <v>161</v>
      </c>
      <c r="F1759">
        <v>62.3</v>
      </c>
    </row>
    <row r="1760" spans="1:7" x14ac:dyDescent="0.55000000000000004">
      <c r="A1760">
        <f>A1759</f>
        <v>118</v>
      </c>
      <c r="B1760" t="str">
        <f>B1759</f>
        <v>118_0</v>
      </c>
      <c r="C1760" s="9" t="str">
        <f>C1759</f>
        <v>Chemical</v>
      </c>
      <c r="D1760" t="s">
        <v>356</v>
      </c>
      <c r="E1760" t="s">
        <v>161</v>
      </c>
      <c r="F1760">
        <f xml:space="preserve"> F1759 / (1 + 0.021 * (F1756 - 25))</f>
        <v>76.818742293464865</v>
      </c>
    </row>
    <row r="1761" spans="1:7" x14ac:dyDescent="0.55000000000000004">
      <c r="A1761">
        <v>118</v>
      </c>
      <c r="B1761" t="str">
        <f t="shared" si="34"/>
        <v>118_0</v>
      </c>
      <c r="C1761" t="s">
        <v>154</v>
      </c>
      <c r="D1761" t="s">
        <v>162</v>
      </c>
      <c r="F1761">
        <v>8.19</v>
      </c>
    </row>
    <row r="1762" spans="1:7" x14ac:dyDescent="0.55000000000000004">
      <c r="A1762">
        <v>118</v>
      </c>
      <c r="B1762" t="str">
        <f t="shared" si="34"/>
        <v>118_0</v>
      </c>
      <c r="C1762" t="s">
        <v>163</v>
      </c>
      <c r="D1762" t="s">
        <v>168</v>
      </c>
      <c r="E1762" t="s">
        <v>131</v>
      </c>
      <c r="F1762">
        <v>0</v>
      </c>
    </row>
    <row r="1763" spans="1:7" x14ac:dyDescent="0.55000000000000004">
      <c r="A1763">
        <v>118</v>
      </c>
      <c r="B1763" t="str">
        <f t="shared" si="34"/>
        <v>118_0</v>
      </c>
      <c r="C1763" t="s">
        <v>163</v>
      </c>
      <c r="D1763" t="s">
        <v>169</v>
      </c>
    </row>
    <row r="1764" spans="1:7" x14ac:dyDescent="0.55000000000000004">
      <c r="A1764">
        <v>118</v>
      </c>
      <c r="B1764" t="str">
        <f t="shared" si="34"/>
        <v>118_0</v>
      </c>
      <c r="C1764" t="s">
        <v>163</v>
      </c>
      <c r="D1764" t="s">
        <v>170</v>
      </c>
      <c r="E1764" t="s">
        <v>139</v>
      </c>
      <c r="F1764">
        <v>0</v>
      </c>
    </row>
    <row r="1765" spans="1:7" x14ac:dyDescent="0.55000000000000004">
      <c r="A1765">
        <v>118</v>
      </c>
      <c r="B1765" t="str">
        <f t="shared" si="34"/>
        <v>118_0</v>
      </c>
      <c r="C1765" t="s">
        <v>163</v>
      </c>
      <c r="D1765" t="s">
        <v>171</v>
      </c>
    </row>
    <row r="1766" spans="1:7" x14ac:dyDescent="0.55000000000000004">
      <c r="A1766">
        <v>119</v>
      </c>
      <c r="B1766" t="str">
        <f t="shared" si="34"/>
        <v>119_0</v>
      </c>
      <c r="C1766" t="s">
        <v>126</v>
      </c>
      <c r="D1766" t="s">
        <v>127</v>
      </c>
      <c r="E1766" t="s">
        <v>128</v>
      </c>
      <c r="G1766" t="s">
        <v>129</v>
      </c>
    </row>
    <row r="1767" spans="1:7" x14ac:dyDescent="0.55000000000000004">
      <c r="A1767">
        <v>119</v>
      </c>
      <c r="B1767" t="str">
        <f t="shared" si="34"/>
        <v>119_0</v>
      </c>
      <c r="C1767" t="s">
        <v>126</v>
      </c>
      <c r="D1767" s="11" t="s">
        <v>130</v>
      </c>
      <c r="E1767" t="s">
        <v>131</v>
      </c>
      <c r="F1767">
        <v>1</v>
      </c>
    </row>
    <row r="1768" spans="1:7" x14ac:dyDescent="0.55000000000000004">
      <c r="A1768">
        <v>119</v>
      </c>
      <c r="B1768" t="str">
        <f t="shared" si="34"/>
        <v>119_0</v>
      </c>
      <c r="C1768" t="s">
        <v>126</v>
      </c>
      <c r="D1768" t="s">
        <v>132</v>
      </c>
      <c r="E1768" t="s">
        <v>133</v>
      </c>
    </row>
    <row r="1769" spans="1:7" x14ac:dyDescent="0.55000000000000004">
      <c r="A1769">
        <v>119</v>
      </c>
      <c r="B1769" t="str">
        <f t="shared" si="34"/>
        <v>119_0</v>
      </c>
      <c r="C1769" t="s">
        <v>126</v>
      </c>
      <c r="D1769" t="s">
        <v>134</v>
      </c>
      <c r="E1769" t="s">
        <v>133</v>
      </c>
      <c r="F1769">
        <v>1.2</v>
      </c>
    </row>
    <row r="1770" spans="1:7" x14ac:dyDescent="0.55000000000000004">
      <c r="A1770">
        <v>119</v>
      </c>
      <c r="B1770" t="str">
        <f t="shared" si="34"/>
        <v>119_0</v>
      </c>
      <c r="C1770" t="s">
        <v>126</v>
      </c>
      <c r="D1770" t="s">
        <v>135</v>
      </c>
      <c r="E1770" t="s">
        <v>136</v>
      </c>
      <c r="F1770">
        <f>F1769/10</f>
        <v>0.12</v>
      </c>
    </row>
    <row r="1771" spans="1:7" x14ac:dyDescent="0.55000000000000004">
      <c r="A1771">
        <v>119</v>
      </c>
      <c r="B1771" t="str">
        <f t="shared" si="34"/>
        <v>119_0</v>
      </c>
      <c r="C1771" t="s">
        <v>126</v>
      </c>
      <c r="D1771" s="2" t="s">
        <v>138</v>
      </c>
      <c r="E1771" t="s">
        <v>139</v>
      </c>
      <c r="F1771">
        <v>100</v>
      </c>
    </row>
    <row r="1772" spans="1:7" x14ac:dyDescent="0.55000000000000004">
      <c r="A1772">
        <v>119</v>
      </c>
      <c r="B1772" t="str">
        <f t="shared" si="34"/>
        <v>119_0</v>
      </c>
      <c r="C1772" t="s">
        <v>126</v>
      </c>
      <c r="D1772" s="2" t="s">
        <v>140</v>
      </c>
    </row>
    <row r="1773" spans="1:7" x14ac:dyDescent="0.55000000000000004">
      <c r="A1773">
        <v>119</v>
      </c>
      <c r="B1773" t="str">
        <f t="shared" si="34"/>
        <v>119_0</v>
      </c>
      <c r="C1773" t="s">
        <v>126</v>
      </c>
      <c r="D1773" s="2" t="s">
        <v>141</v>
      </c>
      <c r="E1773" t="s">
        <v>139</v>
      </c>
      <c r="F1773">
        <v>100</v>
      </c>
    </row>
    <row r="1774" spans="1:7" x14ac:dyDescent="0.55000000000000004">
      <c r="A1774">
        <v>119</v>
      </c>
      <c r="B1774" t="str">
        <f t="shared" si="34"/>
        <v>119_0</v>
      </c>
      <c r="C1774" t="s">
        <v>126</v>
      </c>
      <c r="D1774" t="s">
        <v>142</v>
      </c>
      <c r="E1774" t="s">
        <v>139</v>
      </c>
      <c r="F1774">
        <v>0</v>
      </c>
    </row>
    <row r="1775" spans="1:7" x14ac:dyDescent="0.55000000000000004">
      <c r="A1775">
        <v>119</v>
      </c>
      <c r="B1775" t="str">
        <f t="shared" si="34"/>
        <v>119_0</v>
      </c>
      <c r="C1775" t="s">
        <v>126</v>
      </c>
      <c r="D1775" t="s">
        <v>143</v>
      </c>
      <c r="E1775" t="s">
        <v>131</v>
      </c>
      <c r="F1775">
        <v>0</v>
      </c>
    </row>
    <row r="1776" spans="1:7" x14ac:dyDescent="0.55000000000000004">
      <c r="A1776">
        <v>119</v>
      </c>
      <c r="B1776" t="str">
        <f t="shared" si="34"/>
        <v>119_0</v>
      </c>
      <c r="C1776" t="s">
        <v>126</v>
      </c>
      <c r="D1776" t="s">
        <v>144</v>
      </c>
      <c r="E1776" t="s">
        <v>139</v>
      </c>
      <c r="F1776">
        <v>0</v>
      </c>
    </row>
    <row r="1777" spans="1:6" x14ac:dyDescent="0.55000000000000004">
      <c r="A1777">
        <v>119</v>
      </c>
      <c r="B1777" t="str">
        <f t="shared" si="34"/>
        <v>119_0</v>
      </c>
      <c r="C1777" t="s">
        <v>126</v>
      </c>
      <c r="D1777" t="s">
        <v>145</v>
      </c>
      <c r="E1777" t="s">
        <v>139</v>
      </c>
      <c r="F1777">
        <v>0</v>
      </c>
    </row>
    <row r="1778" spans="1:6" x14ac:dyDescent="0.55000000000000004">
      <c r="A1778">
        <v>119</v>
      </c>
      <c r="B1778" t="str">
        <f t="shared" si="34"/>
        <v>119_0</v>
      </c>
      <c r="C1778" t="s">
        <v>126</v>
      </c>
      <c r="D1778" t="s">
        <v>146</v>
      </c>
      <c r="E1778" t="s">
        <v>139</v>
      </c>
      <c r="F1778">
        <v>0</v>
      </c>
    </row>
    <row r="1779" spans="1:6" x14ac:dyDescent="0.55000000000000004">
      <c r="A1779">
        <v>119</v>
      </c>
      <c r="B1779" t="str">
        <f t="shared" si="34"/>
        <v>119_0</v>
      </c>
      <c r="C1779" t="s">
        <v>126</v>
      </c>
      <c r="D1779" t="s">
        <v>147</v>
      </c>
      <c r="E1779" t="s">
        <v>139</v>
      </c>
      <c r="F1779">
        <v>0</v>
      </c>
    </row>
    <row r="1780" spans="1:6" x14ac:dyDescent="0.55000000000000004">
      <c r="A1780">
        <v>119</v>
      </c>
      <c r="B1780" t="str">
        <f t="shared" si="34"/>
        <v>119_0</v>
      </c>
      <c r="C1780" t="s">
        <v>126</v>
      </c>
      <c r="D1780" t="s">
        <v>148</v>
      </c>
      <c r="E1780" t="s">
        <v>139</v>
      </c>
      <c r="F1780">
        <v>0</v>
      </c>
    </row>
    <row r="1781" spans="1:6" x14ac:dyDescent="0.55000000000000004">
      <c r="A1781">
        <v>119</v>
      </c>
      <c r="B1781" t="str">
        <f t="shared" si="34"/>
        <v>119_0</v>
      </c>
      <c r="C1781" t="s">
        <v>126</v>
      </c>
      <c r="D1781" t="s">
        <v>149</v>
      </c>
      <c r="E1781" t="s">
        <v>139</v>
      </c>
      <c r="F1781">
        <v>0</v>
      </c>
    </row>
    <row r="1782" spans="1:6" x14ac:dyDescent="0.55000000000000004">
      <c r="A1782">
        <v>119</v>
      </c>
      <c r="B1782" t="str">
        <f t="shared" si="34"/>
        <v>119_0</v>
      </c>
      <c r="C1782" t="s">
        <v>126</v>
      </c>
      <c r="D1782" t="s">
        <v>150</v>
      </c>
      <c r="E1782" t="s">
        <v>139</v>
      </c>
      <c r="F1782">
        <v>100</v>
      </c>
    </row>
    <row r="1783" spans="1:6" x14ac:dyDescent="0.55000000000000004">
      <c r="A1783">
        <v>119</v>
      </c>
      <c r="B1783" t="str">
        <f t="shared" si="34"/>
        <v>119_0</v>
      </c>
      <c r="C1783" t="s">
        <v>126</v>
      </c>
      <c r="D1783" t="s">
        <v>152</v>
      </c>
      <c r="E1783" t="s">
        <v>153</v>
      </c>
    </row>
    <row r="1784" spans="1:6" x14ac:dyDescent="0.55000000000000004">
      <c r="A1784">
        <v>119</v>
      </c>
      <c r="B1784" t="str">
        <f t="shared" si="34"/>
        <v>119_0</v>
      </c>
      <c r="C1784" t="s">
        <v>154</v>
      </c>
      <c r="D1784" t="s">
        <v>155</v>
      </c>
      <c r="E1784" t="s">
        <v>156</v>
      </c>
      <c r="F1784">
        <v>16.8</v>
      </c>
    </row>
    <row r="1785" spans="1:6" x14ac:dyDescent="0.55000000000000004">
      <c r="A1785">
        <v>119</v>
      </c>
      <c r="B1785" t="str">
        <f t="shared" si="34"/>
        <v>119_0</v>
      </c>
      <c r="C1785" t="s">
        <v>154</v>
      </c>
      <c r="D1785" t="s">
        <v>157</v>
      </c>
      <c r="E1785" t="s">
        <v>158</v>
      </c>
      <c r="F1785">
        <v>9.69</v>
      </c>
    </row>
    <row r="1786" spans="1:6" x14ac:dyDescent="0.55000000000000004">
      <c r="A1786">
        <v>119</v>
      </c>
      <c r="B1786" t="str">
        <f t="shared" si="34"/>
        <v>119_0</v>
      </c>
      <c r="C1786" t="s">
        <v>154</v>
      </c>
      <c r="D1786" t="s">
        <v>159</v>
      </c>
      <c r="E1786" t="s">
        <v>139</v>
      </c>
      <c r="F1786">
        <v>99.7</v>
      </c>
    </row>
    <row r="1787" spans="1:6" x14ac:dyDescent="0.55000000000000004">
      <c r="A1787">
        <v>119</v>
      </c>
      <c r="B1787" t="str">
        <f t="shared" si="34"/>
        <v>119_0</v>
      </c>
      <c r="C1787" t="s">
        <v>154</v>
      </c>
      <c r="D1787" t="s">
        <v>357</v>
      </c>
      <c r="E1787" t="s">
        <v>161</v>
      </c>
      <c r="F1787">
        <v>62.6</v>
      </c>
    </row>
    <row r="1788" spans="1:6" x14ac:dyDescent="0.55000000000000004">
      <c r="A1788">
        <f>A1787</f>
        <v>119</v>
      </c>
      <c r="B1788" t="str">
        <f>B1787</f>
        <v>119_0</v>
      </c>
      <c r="C1788" s="9" t="str">
        <f>C1787</f>
        <v>Chemical</v>
      </c>
      <c r="D1788" t="s">
        <v>356</v>
      </c>
      <c r="E1788" t="s">
        <v>161</v>
      </c>
      <c r="F1788">
        <f xml:space="preserve"> F1787 / (1 + 0.021 * (F1784 - 25))</f>
        <v>75.622130949504708</v>
      </c>
    </row>
    <row r="1789" spans="1:6" x14ac:dyDescent="0.55000000000000004">
      <c r="A1789">
        <v>119</v>
      </c>
      <c r="B1789" t="str">
        <f t="shared" si="34"/>
        <v>119_0</v>
      </c>
      <c r="C1789" t="s">
        <v>154</v>
      </c>
      <c r="D1789" t="s">
        <v>162</v>
      </c>
      <c r="F1789">
        <v>8.32</v>
      </c>
    </row>
    <row r="1790" spans="1:6" x14ac:dyDescent="0.55000000000000004">
      <c r="A1790">
        <v>119</v>
      </c>
      <c r="B1790" t="str">
        <f t="shared" si="34"/>
        <v>119_0</v>
      </c>
      <c r="C1790" t="s">
        <v>163</v>
      </c>
      <c r="D1790" t="s">
        <v>168</v>
      </c>
      <c r="E1790" t="s">
        <v>131</v>
      </c>
      <c r="F1790">
        <v>1</v>
      </c>
    </row>
    <row r="1791" spans="1:6" x14ac:dyDescent="0.55000000000000004">
      <c r="A1791">
        <v>119</v>
      </c>
      <c r="B1791" t="str">
        <f t="shared" si="34"/>
        <v>119_0</v>
      </c>
      <c r="C1791" t="s">
        <v>163</v>
      </c>
      <c r="D1791" t="s">
        <v>169</v>
      </c>
    </row>
    <row r="1792" spans="1:6" x14ac:dyDescent="0.55000000000000004">
      <c r="A1792">
        <v>119</v>
      </c>
      <c r="B1792" t="str">
        <f t="shared" si="34"/>
        <v>119_0</v>
      </c>
      <c r="C1792" t="s">
        <v>163</v>
      </c>
      <c r="D1792" t="s">
        <v>170</v>
      </c>
      <c r="E1792" t="s">
        <v>139</v>
      </c>
      <c r="F1792">
        <v>15</v>
      </c>
    </row>
    <row r="1793" spans="1:7" x14ac:dyDescent="0.55000000000000004">
      <c r="A1793">
        <v>119</v>
      </c>
      <c r="B1793" t="str">
        <f t="shared" si="34"/>
        <v>119_0</v>
      </c>
      <c r="C1793" t="s">
        <v>163</v>
      </c>
      <c r="D1793" t="s">
        <v>171</v>
      </c>
    </row>
    <row r="1794" spans="1:7" x14ac:dyDescent="0.55000000000000004">
      <c r="A1794">
        <v>119</v>
      </c>
      <c r="B1794" t="str">
        <f>A1794 &amp; "_1"</f>
        <v>119_1</v>
      </c>
      <c r="C1794" t="s">
        <v>126</v>
      </c>
      <c r="D1794" t="s">
        <v>127</v>
      </c>
      <c r="E1794" t="s">
        <v>128</v>
      </c>
      <c r="F1794" s="1"/>
      <c r="G1794" t="s">
        <v>129</v>
      </c>
    </row>
    <row r="1795" spans="1:7" x14ac:dyDescent="0.55000000000000004">
      <c r="A1795">
        <v>119</v>
      </c>
      <c r="B1795" t="str">
        <f t="shared" ref="B1795:B1821" si="35">A1795 &amp; "_1"</f>
        <v>119_1</v>
      </c>
      <c r="C1795" t="s">
        <v>126</v>
      </c>
      <c r="D1795" s="11" t="s">
        <v>130</v>
      </c>
      <c r="E1795" t="s">
        <v>131</v>
      </c>
      <c r="F1795">
        <v>1</v>
      </c>
    </row>
    <row r="1796" spans="1:7" x14ac:dyDescent="0.55000000000000004">
      <c r="A1796">
        <v>119</v>
      </c>
      <c r="B1796" t="str">
        <f t="shared" si="35"/>
        <v>119_1</v>
      </c>
      <c r="C1796" t="s">
        <v>126</v>
      </c>
      <c r="D1796" t="s">
        <v>132</v>
      </c>
      <c r="E1796" t="s">
        <v>133</v>
      </c>
    </row>
    <row r="1797" spans="1:7" x14ac:dyDescent="0.55000000000000004">
      <c r="A1797">
        <v>119</v>
      </c>
      <c r="B1797" t="str">
        <f t="shared" si="35"/>
        <v>119_1</v>
      </c>
      <c r="C1797" t="s">
        <v>126</v>
      </c>
      <c r="D1797" t="s">
        <v>134</v>
      </c>
      <c r="E1797" t="s">
        <v>133</v>
      </c>
      <c r="F1797">
        <v>1.9</v>
      </c>
    </row>
    <row r="1798" spans="1:7" x14ac:dyDescent="0.55000000000000004">
      <c r="A1798">
        <v>119</v>
      </c>
      <c r="B1798" t="str">
        <f t="shared" si="35"/>
        <v>119_1</v>
      </c>
      <c r="C1798" t="s">
        <v>126</v>
      </c>
      <c r="D1798" t="s">
        <v>135</v>
      </c>
      <c r="E1798" t="s">
        <v>136</v>
      </c>
      <c r="F1798">
        <f>F1797/10</f>
        <v>0.19</v>
      </c>
      <c r="G1798" t="s">
        <v>137</v>
      </c>
    </row>
    <row r="1799" spans="1:7" x14ac:dyDescent="0.55000000000000004">
      <c r="A1799">
        <v>119</v>
      </c>
      <c r="B1799" t="str">
        <f t="shared" si="35"/>
        <v>119_1</v>
      </c>
      <c r="C1799" t="s">
        <v>126</v>
      </c>
      <c r="D1799" s="2" t="s">
        <v>138</v>
      </c>
      <c r="E1799" t="s">
        <v>139</v>
      </c>
      <c r="F1799">
        <v>30</v>
      </c>
    </row>
    <row r="1800" spans="1:7" x14ac:dyDescent="0.55000000000000004">
      <c r="A1800">
        <v>119</v>
      </c>
      <c r="B1800" t="str">
        <f t="shared" si="35"/>
        <v>119_1</v>
      </c>
      <c r="C1800" t="s">
        <v>126</v>
      </c>
      <c r="D1800" s="2" t="s">
        <v>140</v>
      </c>
      <c r="F1800" t="s">
        <v>297</v>
      </c>
    </row>
    <row r="1801" spans="1:7" x14ac:dyDescent="0.55000000000000004">
      <c r="A1801">
        <v>119</v>
      </c>
      <c r="B1801" t="str">
        <f t="shared" si="35"/>
        <v>119_1</v>
      </c>
      <c r="C1801" t="s">
        <v>126</v>
      </c>
      <c r="D1801" s="2" t="s">
        <v>141</v>
      </c>
      <c r="E1801" t="s">
        <v>139</v>
      </c>
      <c r="F1801">
        <v>100</v>
      </c>
    </row>
    <row r="1802" spans="1:7" x14ac:dyDescent="0.55000000000000004">
      <c r="A1802">
        <v>119</v>
      </c>
      <c r="B1802" t="str">
        <f t="shared" si="35"/>
        <v>119_1</v>
      </c>
      <c r="C1802" t="s">
        <v>126</v>
      </c>
      <c r="D1802" t="s">
        <v>142</v>
      </c>
      <c r="E1802" t="s">
        <v>139</v>
      </c>
      <c r="F1802">
        <v>0</v>
      </c>
    </row>
    <row r="1803" spans="1:7" x14ac:dyDescent="0.55000000000000004">
      <c r="A1803">
        <v>119</v>
      </c>
      <c r="B1803" t="str">
        <f t="shared" si="35"/>
        <v>119_1</v>
      </c>
      <c r="C1803" t="s">
        <v>126</v>
      </c>
      <c r="D1803" t="s">
        <v>143</v>
      </c>
      <c r="E1803" t="s">
        <v>131</v>
      </c>
      <c r="F1803">
        <v>0</v>
      </c>
    </row>
    <row r="1804" spans="1:7" x14ac:dyDescent="0.55000000000000004">
      <c r="A1804">
        <v>119</v>
      </c>
      <c r="B1804" t="str">
        <f t="shared" si="35"/>
        <v>119_1</v>
      </c>
      <c r="C1804" t="s">
        <v>126</v>
      </c>
      <c r="D1804" t="s">
        <v>144</v>
      </c>
      <c r="E1804" t="s">
        <v>139</v>
      </c>
      <c r="F1804">
        <v>0</v>
      </c>
    </row>
    <row r="1805" spans="1:7" x14ac:dyDescent="0.55000000000000004">
      <c r="A1805">
        <v>119</v>
      </c>
      <c r="B1805" t="str">
        <f t="shared" si="35"/>
        <v>119_1</v>
      </c>
      <c r="C1805" t="s">
        <v>126</v>
      </c>
      <c r="D1805" t="s">
        <v>145</v>
      </c>
      <c r="E1805" t="s">
        <v>139</v>
      </c>
      <c r="F1805">
        <v>0</v>
      </c>
    </row>
    <row r="1806" spans="1:7" x14ac:dyDescent="0.55000000000000004">
      <c r="A1806">
        <v>119</v>
      </c>
      <c r="B1806" t="str">
        <f t="shared" si="35"/>
        <v>119_1</v>
      </c>
      <c r="C1806" t="s">
        <v>126</v>
      </c>
      <c r="D1806" t="s">
        <v>146</v>
      </c>
      <c r="E1806" t="s">
        <v>139</v>
      </c>
      <c r="F1806">
        <v>0</v>
      </c>
    </row>
    <row r="1807" spans="1:7" x14ac:dyDescent="0.55000000000000004">
      <c r="A1807">
        <v>119</v>
      </c>
      <c r="B1807" t="str">
        <f t="shared" si="35"/>
        <v>119_1</v>
      </c>
      <c r="C1807" t="s">
        <v>126</v>
      </c>
      <c r="D1807" t="s">
        <v>147</v>
      </c>
      <c r="E1807" t="s">
        <v>139</v>
      </c>
      <c r="F1807">
        <v>0</v>
      </c>
    </row>
    <row r="1808" spans="1:7" x14ac:dyDescent="0.55000000000000004">
      <c r="A1808">
        <v>119</v>
      </c>
      <c r="B1808" t="str">
        <f t="shared" si="35"/>
        <v>119_1</v>
      </c>
      <c r="C1808" t="s">
        <v>126</v>
      </c>
      <c r="D1808" t="s">
        <v>148</v>
      </c>
      <c r="E1808" t="s">
        <v>139</v>
      </c>
      <c r="F1808">
        <v>0</v>
      </c>
    </row>
    <row r="1809" spans="1:7" x14ac:dyDescent="0.55000000000000004">
      <c r="A1809">
        <v>119</v>
      </c>
      <c r="B1809" t="str">
        <f t="shared" si="35"/>
        <v>119_1</v>
      </c>
      <c r="C1809" t="s">
        <v>126</v>
      </c>
      <c r="D1809" t="s">
        <v>149</v>
      </c>
      <c r="E1809" t="s">
        <v>139</v>
      </c>
      <c r="F1809">
        <v>0</v>
      </c>
    </row>
    <row r="1810" spans="1:7" x14ac:dyDescent="0.55000000000000004">
      <c r="A1810">
        <v>119</v>
      </c>
      <c r="B1810" t="str">
        <f t="shared" si="35"/>
        <v>119_1</v>
      </c>
      <c r="C1810" t="s">
        <v>126</v>
      </c>
      <c r="D1810" t="s">
        <v>150</v>
      </c>
      <c r="E1810" t="s">
        <v>139</v>
      </c>
      <c r="F1810">
        <v>100</v>
      </c>
    </row>
    <row r="1811" spans="1:7" x14ac:dyDescent="0.55000000000000004">
      <c r="A1811">
        <v>119</v>
      </c>
      <c r="B1811" t="str">
        <f t="shared" si="35"/>
        <v>119_1</v>
      </c>
      <c r="C1811" t="s">
        <v>126</v>
      </c>
      <c r="D1811" t="s">
        <v>152</v>
      </c>
      <c r="E1811" t="s">
        <v>153</v>
      </c>
    </row>
    <row r="1812" spans="1:7" x14ac:dyDescent="0.55000000000000004">
      <c r="A1812">
        <v>119</v>
      </c>
      <c r="B1812" t="str">
        <f t="shared" si="35"/>
        <v>119_1</v>
      </c>
      <c r="C1812" t="s">
        <v>154</v>
      </c>
      <c r="D1812" t="s">
        <v>155</v>
      </c>
      <c r="E1812" t="s">
        <v>156</v>
      </c>
      <c r="F1812">
        <v>21.5</v>
      </c>
    </row>
    <row r="1813" spans="1:7" x14ac:dyDescent="0.55000000000000004">
      <c r="A1813">
        <v>119</v>
      </c>
      <c r="B1813" t="str">
        <f t="shared" si="35"/>
        <v>119_1</v>
      </c>
      <c r="C1813" t="s">
        <v>154</v>
      </c>
      <c r="D1813" t="s">
        <v>157</v>
      </c>
      <c r="E1813" t="s">
        <v>158</v>
      </c>
      <c r="F1813">
        <v>9.34</v>
      </c>
    </row>
    <row r="1814" spans="1:7" x14ac:dyDescent="0.55000000000000004">
      <c r="A1814">
        <v>119</v>
      </c>
      <c r="B1814" t="str">
        <f t="shared" si="35"/>
        <v>119_1</v>
      </c>
      <c r="C1814" t="s">
        <v>154</v>
      </c>
      <c r="D1814" t="s">
        <v>159</v>
      </c>
      <c r="E1814" t="s">
        <v>139</v>
      </c>
      <c r="F1814">
        <v>105.1</v>
      </c>
    </row>
    <row r="1815" spans="1:7" x14ac:dyDescent="0.55000000000000004">
      <c r="A1815">
        <v>119</v>
      </c>
      <c r="B1815" t="str">
        <f t="shared" si="35"/>
        <v>119_1</v>
      </c>
      <c r="C1815" t="s">
        <v>154</v>
      </c>
      <c r="D1815" t="s">
        <v>357</v>
      </c>
      <c r="E1815" t="s">
        <v>161</v>
      </c>
      <c r="F1815">
        <v>70.900000000000006</v>
      </c>
    </row>
    <row r="1816" spans="1:7" x14ac:dyDescent="0.55000000000000004">
      <c r="A1816">
        <f>A1815</f>
        <v>119</v>
      </c>
      <c r="B1816" t="str">
        <f>B1815</f>
        <v>119_1</v>
      </c>
      <c r="C1816" s="9" t="str">
        <f>C1815</f>
        <v>Chemical</v>
      </c>
      <c r="D1816" t="s">
        <v>356</v>
      </c>
      <c r="E1816" t="s">
        <v>161</v>
      </c>
      <c r="F1816">
        <f xml:space="preserve"> F1815 / (1 + 0.021 * (F1812 - 25))</f>
        <v>76.524554776038869</v>
      </c>
    </row>
    <row r="1817" spans="1:7" x14ac:dyDescent="0.55000000000000004">
      <c r="A1817">
        <v>119</v>
      </c>
      <c r="B1817" t="str">
        <f t="shared" si="35"/>
        <v>119_1</v>
      </c>
      <c r="C1817" t="s">
        <v>154</v>
      </c>
      <c r="D1817" t="s">
        <v>162</v>
      </c>
      <c r="F1817">
        <v>8.51</v>
      </c>
    </row>
    <row r="1818" spans="1:7" x14ac:dyDescent="0.55000000000000004">
      <c r="A1818">
        <v>119</v>
      </c>
      <c r="B1818" t="str">
        <f t="shared" si="35"/>
        <v>119_1</v>
      </c>
      <c r="C1818" t="s">
        <v>163</v>
      </c>
      <c r="D1818" t="s">
        <v>168</v>
      </c>
      <c r="E1818" t="s">
        <v>131</v>
      </c>
      <c r="F1818">
        <v>1</v>
      </c>
    </row>
    <row r="1819" spans="1:7" x14ac:dyDescent="0.55000000000000004">
      <c r="A1819">
        <v>119</v>
      </c>
      <c r="B1819" t="str">
        <f t="shared" si="35"/>
        <v>119_1</v>
      </c>
      <c r="C1819" t="s">
        <v>163</v>
      </c>
      <c r="D1819" t="s">
        <v>169</v>
      </c>
    </row>
    <row r="1820" spans="1:7" x14ac:dyDescent="0.55000000000000004">
      <c r="A1820">
        <v>119</v>
      </c>
      <c r="B1820" t="str">
        <f t="shared" si="35"/>
        <v>119_1</v>
      </c>
      <c r="C1820" t="s">
        <v>163</v>
      </c>
      <c r="D1820" t="s">
        <v>170</v>
      </c>
      <c r="E1820" t="s">
        <v>139</v>
      </c>
      <c r="F1820">
        <v>2</v>
      </c>
    </row>
    <row r="1821" spans="1:7" x14ac:dyDescent="0.55000000000000004">
      <c r="A1821">
        <v>119</v>
      </c>
      <c r="B1821" t="str">
        <f t="shared" si="35"/>
        <v>119_1</v>
      </c>
      <c r="C1821" t="s">
        <v>163</v>
      </c>
      <c r="D1821" t="s">
        <v>171</v>
      </c>
    </row>
    <row r="1822" spans="1:7" x14ac:dyDescent="0.55000000000000004">
      <c r="A1822">
        <v>120</v>
      </c>
      <c r="B1822" t="str">
        <f t="shared" si="34"/>
        <v>120_0</v>
      </c>
      <c r="C1822" t="s">
        <v>126</v>
      </c>
      <c r="D1822" t="s">
        <v>127</v>
      </c>
      <c r="E1822" t="s">
        <v>128</v>
      </c>
      <c r="G1822" t="s">
        <v>129</v>
      </c>
    </row>
    <row r="1823" spans="1:7" x14ac:dyDescent="0.55000000000000004">
      <c r="A1823">
        <v>120</v>
      </c>
      <c r="B1823" t="str">
        <f t="shared" si="34"/>
        <v>120_0</v>
      </c>
      <c r="C1823" t="s">
        <v>126</v>
      </c>
      <c r="D1823" s="11" t="s">
        <v>130</v>
      </c>
      <c r="E1823" t="s">
        <v>131</v>
      </c>
      <c r="F1823">
        <v>1</v>
      </c>
    </row>
    <row r="1824" spans="1:7" x14ac:dyDescent="0.55000000000000004">
      <c r="A1824">
        <v>120</v>
      </c>
      <c r="B1824" t="str">
        <f t="shared" si="34"/>
        <v>120_0</v>
      </c>
      <c r="C1824" t="s">
        <v>126</v>
      </c>
      <c r="D1824" t="s">
        <v>132</v>
      </c>
      <c r="E1824" t="s">
        <v>133</v>
      </c>
      <c r="F1824">
        <v>6.2</v>
      </c>
      <c r="G1824" t="s">
        <v>200</v>
      </c>
    </row>
    <row r="1825" spans="1:7" x14ac:dyDescent="0.55000000000000004">
      <c r="A1825">
        <v>120</v>
      </c>
      <c r="B1825" t="str">
        <f t="shared" si="34"/>
        <v>120_0</v>
      </c>
      <c r="C1825" t="s">
        <v>126</v>
      </c>
      <c r="D1825" t="s">
        <v>134</v>
      </c>
      <c r="E1825" t="s">
        <v>133</v>
      </c>
      <c r="F1825">
        <v>0.6</v>
      </c>
    </row>
    <row r="1826" spans="1:7" x14ac:dyDescent="0.55000000000000004">
      <c r="A1826">
        <v>120</v>
      </c>
      <c r="B1826" t="str">
        <f t="shared" si="34"/>
        <v>120_0</v>
      </c>
      <c r="C1826" t="s">
        <v>126</v>
      </c>
      <c r="D1826" t="s">
        <v>135</v>
      </c>
      <c r="E1826" t="s">
        <v>136</v>
      </c>
      <c r="F1826">
        <f>F1825/10</f>
        <v>0.06</v>
      </c>
    </row>
    <row r="1827" spans="1:7" x14ac:dyDescent="0.55000000000000004">
      <c r="A1827">
        <v>120</v>
      </c>
      <c r="B1827" t="str">
        <f t="shared" si="34"/>
        <v>120_0</v>
      </c>
      <c r="C1827" t="s">
        <v>126</v>
      </c>
      <c r="D1827" s="2" t="s">
        <v>138</v>
      </c>
      <c r="E1827" t="s">
        <v>139</v>
      </c>
      <c r="F1827">
        <v>100</v>
      </c>
    </row>
    <row r="1828" spans="1:7" x14ac:dyDescent="0.55000000000000004">
      <c r="A1828">
        <v>120</v>
      </c>
      <c r="B1828" t="str">
        <f t="shared" si="34"/>
        <v>120_0</v>
      </c>
      <c r="C1828" t="s">
        <v>126</v>
      </c>
      <c r="D1828" s="2" t="s">
        <v>140</v>
      </c>
    </row>
    <row r="1829" spans="1:7" x14ac:dyDescent="0.55000000000000004">
      <c r="A1829">
        <v>120</v>
      </c>
      <c r="B1829" t="str">
        <f t="shared" si="34"/>
        <v>120_0</v>
      </c>
      <c r="C1829" t="s">
        <v>126</v>
      </c>
      <c r="D1829" s="2" t="s">
        <v>141</v>
      </c>
      <c r="E1829" t="s">
        <v>139</v>
      </c>
      <c r="F1829">
        <v>0</v>
      </c>
    </row>
    <row r="1830" spans="1:7" x14ac:dyDescent="0.55000000000000004">
      <c r="A1830">
        <v>120</v>
      </c>
      <c r="B1830" t="str">
        <f t="shared" si="34"/>
        <v>120_0</v>
      </c>
      <c r="C1830" t="s">
        <v>126</v>
      </c>
      <c r="D1830" t="s">
        <v>142</v>
      </c>
      <c r="E1830" t="s">
        <v>139</v>
      </c>
      <c r="F1830">
        <v>0</v>
      </c>
    </row>
    <row r="1831" spans="1:7" x14ac:dyDescent="0.55000000000000004">
      <c r="A1831">
        <v>120</v>
      </c>
      <c r="B1831" t="str">
        <f t="shared" si="34"/>
        <v>120_0</v>
      </c>
      <c r="C1831" t="s">
        <v>126</v>
      </c>
      <c r="D1831" t="s">
        <v>143</v>
      </c>
      <c r="E1831" t="s">
        <v>131</v>
      </c>
      <c r="F1831">
        <v>1</v>
      </c>
      <c r="G1831" t="s">
        <v>201</v>
      </c>
    </row>
    <row r="1832" spans="1:7" x14ac:dyDescent="0.55000000000000004">
      <c r="A1832">
        <v>120</v>
      </c>
      <c r="B1832" t="str">
        <f t="shared" si="34"/>
        <v>120_0</v>
      </c>
      <c r="C1832" t="s">
        <v>126</v>
      </c>
      <c r="D1832" t="s">
        <v>144</v>
      </c>
      <c r="E1832" t="s">
        <v>139</v>
      </c>
      <c r="F1832">
        <v>0</v>
      </c>
    </row>
    <row r="1833" spans="1:7" x14ac:dyDescent="0.55000000000000004">
      <c r="A1833">
        <v>120</v>
      </c>
      <c r="B1833" t="str">
        <f t="shared" si="34"/>
        <v>120_0</v>
      </c>
      <c r="C1833" t="s">
        <v>126</v>
      </c>
      <c r="D1833" t="s">
        <v>145</v>
      </c>
      <c r="E1833" t="s">
        <v>139</v>
      </c>
      <c r="F1833">
        <v>0</v>
      </c>
    </row>
    <row r="1834" spans="1:7" x14ac:dyDescent="0.55000000000000004">
      <c r="A1834">
        <v>120</v>
      </c>
      <c r="B1834" t="str">
        <f t="shared" si="34"/>
        <v>120_0</v>
      </c>
      <c r="C1834" t="s">
        <v>126</v>
      </c>
      <c r="D1834" t="s">
        <v>146</v>
      </c>
      <c r="E1834" t="s">
        <v>139</v>
      </c>
      <c r="F1834">
        <v>0</v>
      </c>
    </row>
    <row r="1835" spans="1:7" x14ac:dyDescent="0.55000000000000004">
      <c r="A1835">
        <v>120</v>
      </c>
      <c r="B1835" t="str">
        <f t="shared" si="34"/>
        <v>120_0</v>
      </c>
      <c r="C1835" t="s">
        <v>126</v>
      </c>
      <c r="D1835" t="s">
        <v>147</v>
      </c>
      <c r="E1835" t="s">
        <v>139</v>
      </c>
      <c r="F1835">
        <v>0</v>
      </c>
    </row>
    <row r="1836" spans="1:7" x14ac:dyDescent="0.55000000000000004">
      <c r="A1836">
        <v>120</v>
      </c>
      <c r="B1836" t="str">
        <f t="shared" ref="B1836:B1849" si="36">A1836 &amp; "_0"</f>
        <v>120_0</v>
      </c>
      <c r="C1836" t="s">
        <v>126</v>
      </c>
      <c r="D1836" t="s">
        <v>148</v>
      </c>
      <c r="E1836" t="s">
        <v>139</v>
      </c>
      <c r="F1836">
        <v>100</v>
      </c>
    </row>
    <row r="1837" spans="1:7" x14ac:dyDescent="0.55000000000000004">
      <c r="A1837">
        <v>120</v>
      </c>
      <c r="B1837" t="str">
        <f t="shared" si="36"/>
        <v>120_0</v>
      </c>
      <c r="C1837" t="s">
        <v>126</v>
      </c>
      <c r="D1837" t="s">
        <v>149</v>
      </c>
      <c r="E1837" t="s">
        <v>139</v>
      </c>
      <c r="F1837">
        <v>0</v>
      </c>
    </row>
    <row r="1838" spans="1:7" x14ac:dyDescent="0.55000000000000004">
      <c r="A1838">
        <v>120</v>
      </c>
      <c r="B1838" t="str">
        <f t="shared" si="36"/>
        <v>120_0</v>
      </c>
      <c r="C1838" t="s">
        <v>126</v>
      </c>
      <c r="D1838" t="s">
        <v>150</v>
      </c>
      <c r="E1838" t="s">
        <v>139</v>
      </c>
      <c r="F1838">
        <v>0</v>
      </c>
    </row>
    <row r="1839" spans="1:7" x14ac:dyDescent="0.55000000000000004">
      <c r="A1839">
        <v>120</v>
      </c>
      <c r="B1839" t="str">
        <f t="shared" si="36"/>
        <v>120_0</v>
      </c>
      <c r="C1839" t="s">
        <v>126</v>
      </c>
      <c r="D1839" t="s">
        <v>152</v>
      </c>
      <c r="E1839" t="s">
        <v>153</v>
      </c>
    </row>
    <row r="1840" spans="1:7" x14ac:dyDescent="0.55000000000000004">
      <c r="A1840">
        <v>120</v>
      </c>
      <c r="B1840" t="str">
        <f t="shared" si="36"/>
        <v>120_0</v>
      </c>
      <c r="C1840" t="s">
        <v>154</v>
      </c>
      <c r="D1840" t="s">
        <v>155</v>
      </c>
      <c r="E1840" t="s">
        <v>156</v>
      </c>
      <c r="F1840">
        <v>16</v>
      </c>
    </row>
    <row r="1841" spans="1:7" x14ac:dyDescent="0.55000000000000004">
      <c r="A1841">
        <v>120</v>
      </c>
      <c r="B1841" t="str">
        <f t="shared" si="36"/>
        <v>120_0</v>
      </c>
      <c r="C1841" t="s">
        <v>154</v>
      </c>
      <c r="D1841" t="s">
        <v>157</v>
      </c>
      <c r="E1841" t="s">
        <v>158</v>
      </c>
      <c r="F1841">
        <v>9.48</v>
      </c>
    </row>
    <row r="1842" spans="1:7" x14ac:dyDescent="0.55000000000000004">
      <c r="A1842">
        <v>120</v>
      </c>
      <c r="B1842" t="str">
        <f t="shared" si="36"/>
        <v>120_0</v>
      </c>
      <c r="C1842" t="s">
        <v>154</v>
      </c>
      <c r="D1842" t="s">
        <v>159</v>
      </c>
      <c r="E1842" t="s">
        <v>139</v>
      </c>
      <c r="F1842">
        <v>96</v>
      </c>
    </row>
    <row r="1843" spans="1:7" x14ac:dyDescent="0.55000000000000004">
      <c r="A1843">
        <v>120</v>
      </c>
      <c r="B1843" t="str">
        <f t="shared" si="36"/>
        <v>120_0</v>
      </c>
      <c r="C1843" t="s">
        <v>154</v>
      </c>
      <c r="D1843" t="s">
        <v>357</v>
      </c>
      <c r="E1843" t="s">
        <v>161</v>
      </c>
      <c r="F1843">
        <v>61.8</v>
      </c>
    </row>
    <row r="1844" spans="1:7" x14ac:dyDescent="0.55000000000000004">
      <c r="A1844">
        <f>A1843</f>
        <v>120</v>
      </c>
      <c r="B1844" t="str">
        <f>B1843</f>
        <v>120_0</v>
      </c>
      <c r="C1844" s="9" t="str">
        <f>C1843</f>
        <v>Chemical</v>
      </c>
      <c r="D1844" t="s">
        <v>356</v>
      </c>
      <c r="E1844" t="s">
        <v>161</v>
      </c>
      <c r="F1844">
        <f xml:space="preserve"> F1843 / (1 + 0.021 * (F1840 - 25))</f>
        <v>76.202219482120839</v>
      </c>
    </row>
    <row r="1845" spans="1:7" x14ac:dyDescent="0.55000000000000004">
      <c r="A1845">
        <v>120</v>
      </c>
      <c r="B1845" t="str">
        <f t="shared" si="36"/>
        <v>120_0</v>
      </c>
      <c r="C1845" t="s">
        <v>154</v>
      </c>
      <c r="D1845" t="s">
        <v>162</v>
      </c>
      <c r="F1845">
        <v>8.2799999999999994</v>
      </c>
    </row>
    <row r="1846" spans="1:7" x14ac:dyDescent="0.55000000000000004">
      <c r="A1846">
        <v>120</v>
      </c>
      <c r="B1846" t="str">
        <f t="shared" si="36"/>
        <v>120_0</v>
      </c>
      <c r="C1846" t="s">
        <v>163</v>
      </c>
      <c r="D1846" t="s">
        <v>168</v>
      </c>
      <c r="E1846" t="s">
        <v>131</v>
      </c>
      <c r="F1846">
        <v>1</v>
      </c>
      <c r="G1846" t="s">
        <v>202</v>
      </c>
    </row>
    <row r="1847" spans="1:7" x14ac:dyDescent="0.55000000000000004">
      <c r="A1847">
        <v>120</v>
      </c>
      <c r="B1847" t="str">
        <f t="shared" si="36"/>
        <v>120_0</v>
      </c>
      <c r="C1847" t="s">
        <v>163</v>
      </c>
      <c r="D1847" t="s">
        <v>169</v>
      </c>
    </row>
    <row r="1848" spans="1:7" x14ac:dyDescent="0.55000000000000004">
      <c r="A1848">
        <v>120</v>
      </c>
      <c r="B1848" t="str">
        <f t="shared" si="36"/>
        <v>120_0</v>
      </c>
      <c r="C1848" t="s">
        <v>163</v>
      </c>
      <c r="D1848" t="s">
        <v>170</v>
      </c>
      <c r="E1848" t="s">
        <v>139</v>
      </c>
      <c r="F1848">
        <v>5</v>
      </c>
    </row>
    <row r="1849" spans="1:7" x14ac:dyDescent="0.55000000000000004">
      <c r="A1849">
        <v>120</v>
      </c>
      <c r="B1849" t="str">
        <f t="shared" si="36"/>
        <v>120_0</v>
      </c>
      <c r="C1849" t="s">
        <v>163</v>
      </c>
      <c r="D1849" t="s">
        <v>171</v>
      </c>
    </row>
    <row r="1852" spans="1:7" x14ac:dyDescent="0.55000000000000004">
      <c r="D1852" s="11"/>
    </row>
    <row r="1857" spans="4:4" x14ac:dyDescent="0.55000000000000004">
      <c r="D1857" s="2"/>
    </row>
    <row r="1858" spans="4:4" x14ac:dyDescent="0.55000000000000004">
      <c r="D1858" s="2"/>
    </row>
    <row r="1878" spans="4:5" x14ac:dyDescent="0.55000000000000004">
      <c r="E1878" s="3"/>
    </row>
    <row r="1879" spans="4:5" x14ac:dyDescent="0.55000000000000004">
      <c r="E1879" s="3"/>
    </row>
    <row r="1880" spans="4:5" x14ac:dyDescent="0.55000000000000004">
      <c r="E1880" s="3"/>
    </row>
    <row r="1884" spans="4:5" x14ac:dyDescent="0.55000000000000004">
      <c r="D1884" s="11"/>
    </row>
    <row r="1889" spans="4:4" x14ac:dyDescent="0.55000000000000004">
      <c r="D1889" s="2"/>
    </row>
    <row r="1890" spans="4:4" x14ac:dyDescent="0.55000000000000004">
      <c r="D1890" s="2"/>
    </row>
    <row r="1910" spans="4:5" x14ac:dyDescent="0.55000000000000004">
      <c r="E1910" s="3"/>
    </row>
    <row r="1911" spans="4:5" x14ac:dyDescent="0.55000000000000004">
      <c r="E1911" s="3"/>
    </row>
    <row r="1912" spans="4:5" x14ac:dyDescent="0.55000000000000004">
      <c r="E1912" s="3"/>
    </row>
    <row r="1916" spans="4:5" x14ac:dyDescent="0.55000000000000004">
      <c r="D1916" s="11"/>
    </row>
    <row r="1921" spans="4:4" x14ac:dyDescent="0.55000000000000004">
      <c r="D1921" s="2"/>
    </row>
    <row r="1922" spans="4:4" x14ac:dyDescent="0.55000000000000004">
      <c r="D1922" s="2"/>
    </row>
    <row r="1942" spans="4:5" x14ac:dyDescent="0.55000000000000004">
      <c r="E1942" s="3"/>
    </row>
    <row r="1943" spans="4:5" x14ac:dyDescent="0.55000000000000004">
      <c r="E1943" s="3"/>
    </row>
    <row r="1944" spans="4:5" x14ac:dyDescent="0.55000000000000004">
      <c r="E1944" s="3"/>
    </row>
    <row r="1948" spans="4:5" x14ac:dyDescent="0.55000000000000004">
      <c r="D1948" s="11"/>
    </row>
    <row r="1953" spans="4:4" x14ac:dyDescent="0.55000000000000004">
      <c r="D1953" s="2"/>
    </row>
    <row r="1954" spans="4:4" x14ac:dyDescent="0.55000000000000004">
      <c r="D1954" s="2"/>
    </row>
    <row r="1974" spans="5:5" x14ac:dyDescent="0.55000000000000004">
      <c r="E1974" s="3"/>
    </row>
    <row r="1975" spans="5:5" x14ac:dyDescent="0.55000000000000004">
      <c r="E1975" s="3"/>
    </row>
    <row r="1976" spans="5:5" x14ac:dyDescent="0.55000000000000004">
      <c r="E1976" s="3"/>
    </row>
  </sheetData>
  <autoFilter ref="A1:G1849" xr:uid="{BE779B6A-0551-4785-B21D-C60C6A31CD5F}"/>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A097B-F799-4503-86BB-4D3C74E9E10E}">
  <dimension ref="A1:P214"/>
  <sheetViews>
    <sheetView workbookViewId="0">
      <pane xSplit="1" ySplit="1" topLeftCell="B2" activePane="bottomRight" state="frozen"/>
      <selection pane="topRight" activeCell="C1" sqref="C1"/>
      <selection pane="bottomLeft" activeCell="A2" sqref="A2"/>
      <selection pane="bottomRight" activeCell="K17" sqref="K17:K18"/>
    </sheetView>
  </sheetViews>
  <sheetFormatPr defaultRowHeight="14.4" x14ac:dyDescent="0.55000000000000004"/>
  <cols>
    <col min="1" max="1" width="6.62890625" bestFit="1" customWidth="1"/>
    <col min="2" max="2" width="12.68359375" bestFit="1" customWidth="1"/>
    <col min="3" max="3" width="10.578125" customWidth="1"/>
    <col min="4" max="4" width="14" bestFit="1" customWidth="1"/>
    <col min="5" max="5" width="14" customWidth="1"/>
    <col min="6" max="6" width="12.3125" bestFit="1" customWidth="1"/>
    <col min="7" max="7" width="16" bestFit="1" customWidth="1"/>
    <col min="8" max="8" width="11.3671875" bestFit="1" customWidth="1"/>
    <col min="9" max="9" width="10.20703125" bestFit="1" customWidth="1"/>
    <col min="10" max="10" width="31.5234375" bestFit="1" customWidth="1"/>
    <col min="11" max="11" width="27.68359375" bestFit="1" customWidth="1"/>
    <col min="12" max="12" width="10.3125" bestFit="1" customWidth="1"/>
  </cols>
  <sheetData>
    <row r="1" spans="1:12" x14ac:dyDescent="0.55000000000000004">
      <c r="A1" s="1" t="s">
        <v>0</v>
      </c>
      <c r="B1" s="1" t="s">
        <v>3</v>
      </c>
      <c r="C1" s="1" t="s">
        <v>321</v>
      </c>
      <c r="D1" s="1" t="s">
        <v>205</v>
      </c>
      <c r="E1" s="1" t="s">
        <v>206</v>
      </c>
      <c r="F1" s="1" t="s">
        <v>322</v>
      </c>
      <c r="G1" s="1" t="s">
        <v>323</v>
      </c>
    </row>
    <row r="2" spans="1:12" ht="14.7" thickBot="1" x14ac:dyDescent="0.6">
      <c r="A2">
        <v>61</v>
      </c>
      <c r="B2" t="s">
        <v>27</v>
      </c>
      <c r="C2" t="s">
        <v>324</v>
      </c>
      <c r="E2" t="e">
        <f>VLOOKUP($D2, $J$2:$L$18, 2, FALSE)</f>
        <v>#N/A</v>
      </c>
      <c r="F2" t="e">
        <f>VLOOKUP($D2, $J$2:$L$18, 3, FALSE)</f>
        <v>#N/A</v>
      </c>
      <c r="G2">
        <v>0</v>
      </c>
    </row>
    <row r="3" spans="1:12" x14ac:dyDescent="0.55000000000000004">
      <c r="A3">
        <v>61</v>
      </c>
      <c r="B3" t="s">
        <v>27</v>
      </c>
      <c r="C3" t="s">
        <v>325</v>
      </c>
      <c r="E3" t="e">
        <f>VLOOKUP($D3, $J$2:$L$18, 2, FALSE)</f>
        <v>#N/A</v>
      </c>
      <c r="F3" t="e">
        <f t="shared" ref="F3:F87" si="0">VLOOKUP($D3, $J$2:$L$18, 3, FALSE)</f>
        <v>#N/A</v>
      </c>
      <c r="G3">
        <v>0</v>
      </c>
      <c r="I3" s="38" t="s">
        <v>324</v>
      </c>
      <c r="J3" s="39" t="s">
        <v>340</v>
      </c>
      <c r="K3" s="39" t="s">
        <v>328</v>
      </c>
      <c r="L3" s="40" t="s">
        <v>226</v>
      </c>
    </row>
    <row r="4" spans="1:12" x14ac:dyDescent="0.55000000000000004">
      <c r="A4">
        <v>61</v>
      </c>
      <c r="B4" t="s">
        <v>27</v>
      </c>
      <c r="C4" t="s">
        <v>151</v>
      </c>
      <c r="E4" t="e">
        <f t="shared" ref="E4:E88" si="1">VLOOKUP($D4, $J$2:$L$18, 2, FALSE)</f>
        <v>#N/A</v>
      </c>
      <c r="F4" t="e">
        <f t="shared" si="0"/>
        <v>#N/A</v>
      </c>
      <c r="G4">
        <v>0</v>
      </c>
      <c r="I4" s="25" t="s">
        <v>324</v>
      </c>
      <c r="J4" t="s">
        <v>341</v>
      </c>
      <c r="K4" t="s">
        <v>326</v>
      </c>
      <c r="L4" s="37" t="s">
        <v>226</v>
      </c>
    </row>
    <row r="5" spans="1:12" x14ac:dyDescent="0.55000000000000004">
      <c r="A5">
        <v>62</v>
      </c>
      <c r="B5" t="s">
        <v>30</v>
      </c>
      <c r="C5" t="s">
        <v>324</v>
      </c>
      <c r="E5" t="e">
        <f t="shared" si="1"/>
        <v>#N/A</v>
      </c>
      <c r="F5" t="e">
        <f t="shared" si="0"/>
        <v>#N/A</v>
      </c>
      <c r="G5">
        <v>0</v>
      </c>
      <c r="I5" s="25" t="s">
        <v>324</v>
      </c>
      <c r="J5" s="2" t="s">
        <v>342</v>
      </c>
      <c r="K5" t="s">
        <v>327</v>
      </c>
      <c r="L5" s="37" t="s">
        <v>226</v>
      </c>
    </row>
    <row r="6" spans="1:12" x14ac:dyDescent="0.55000000000000004">
      <c r="A6">
        <v>62</v>
      </c>
      <c r="B6" t="s">
        <v>30</v>
      </c>
      <c r="C6" t="s">
        <v>325</v>
      </c>
      <c r="E6" t="e">
        <f t="shared" si="1"/>
        <v>#N/A</v>
      </c>
      <c r="F6" t="e">
        <f t="shared" si="0"/>
        <v>#N/A</v>
      </c>
      <c r="G6">
        <v>0</v>
      </c>
      <c r="I6" s="25" t="s">
        <v>324</v>
      </c>
      <c r="J6" t="s">
        <v>343</v>
      </c>
      <c r="K6" t="s">
        <v>329</v>
      </c>
      <c r="L6" s="37" t="s">
        <v>352</v>
      </c>
    </row>
    <row r="7" spans="1:12" x14ac:dyDescent="0.55000000000000004">
      <c r="A7">
        <v>62</v>
      </c>
      <c r="B7" t="s">
        <v>30</v>
      </c>
      <c r="C7" t="s">
        <v>151</v>
      </c>
      <c r="E7" t="e">
        <f t="shared" si="1"/>
        <v>#N/A</v>
      </c>
      <c r="F7" t="e">
        <f t="shared" si="0"/>
        <v>#N/A</v>
      </c>
      <c r="G7">
        <v>0</v>
      </c>
      <c r="I7" s="25" t="s">
        <v>325</v>
      </c>
      <c r="J7" t="s">
        <v>344</v>
      </c>
      <c r="K7" t="s">
        <v>330</v>
      </c>
      <c r="L7" s="37" t="s">
        <v>226</v>
      </c>
    </row>
    <row r="8" spans="1:12" x14ac:dyDescent="0.55000000000000004">
      <c r="A8">
        <v>63</v>
      </c>
      <c r="B8" t="s">
        <v>32</v>
      </c>
      <c r="C8" t="s">
        <v>324</v>
      </c>
      <c r="E8" t="e">
        <f t="shared" si="1"/>
        <v>#N/A</v>
      </c>
      <c r="F8" t="e">
        <f t="shared" si="0"/>
        <v>#N/A</v>
      </c>
      <c r="G8">
        <v>0</v>
      </c>
      <c r="I8" s="25" t="s">
        <v>325</v>
      </c>
      <c r="J8" t="s">
        <v>298</v>
      </c>
      <c r="K8" t="s">
        <v>331</v>
      </c>
      <c r="L8" s="37" t="s">
        <v>226</v>
      </c>
    </row>
    <row r="9" spans="1:12" x14ac:dyDescent="0.55000000000000004">
      <c r="A9">
        <v>63</v>
      </c>
      <c r="B9" t="s">
        <v>32</v>
      </c>
      <c r="C9" t="s">
        <v>325</v>
      </c>
      <c r="E9" t="e">
        <f t="shared" si="1"/>
        <v>#N/A</v>
      </c>
      <c r="F9" t="e">
        <f t="shared" si="0"/>
        <v>#N/A</v>
      </c>
      <c r="G9">
        <v>0</v>
      </c>
      <c r="I9" s="25" t="s">
        <v>325</v>
      </c>
      <c r="J9" t="s">
        <v>173</v>
      </c>
      <c r="K9" t="s">
        <v>332</v>
      </c>
      <c r="L9" s="37" t="s">
        <v>352</v>
      </c>
    </row>
    <row r="10" spans="1:12" x14ac:dyDescent="0.55000000000000004">
      <c r="A10">
        <v>63</v>
      </c>
      <c r="B10" t="s">
        <v>32</v>
      </c>
      <c r="C10" t="s">
        <v>151</v>
      </c>
      <c r="E10" t="e">
        <f t="shared" si="1"/>
        <v>#N/A</v>
      </c>
      <c r="F10" t="e">
        <f t="shared" si="0"/>
        <v>#N/A</v>
      </c>
      <c r="G10">
        <v>0</v>
      </c>
      <c r="I10" s="25" t="s">
        <v>325</v>
      </c>
      <c r="J10" t="s">
        <v>345</v>
      </c>
      <c r="K10" t="s">
        <v>333</v>
      </c>
      <c r="L10" s="37" t="s">
        <v>352</v>
      </c>
    </row>
    <row r="11" spans="1:12" x14ac:dyDescent="0.55000000000000004">
      <c r="A11">
        <v>64</v>
      </c>
      <c r="B11" t="s">
        <v>33</v>
      </c>
      <c r="C11" t="s">
        <v>324</v>
      </c>
      <c r="E11" t="e">
        <f t="shared" si="1"/>
        <v>#N/A</v>
      </c>
      <c r="F11" t="e">
        <f t="shared" si="0"/>
        <v>#N/A</v>
      </c>
      <c r="G11">
        <v>0</v>
      </c>
      <c r="I11" s="25" t="s">
        <v>325</v>
      </c>
      <c r="J11" t="s">
        <v>346</v>
      </c>
      <c r="K11" t="s">
        <v>334</v>
      </c>
      <c r="L11" s="37" t="s">
        <v>352</v>
      </c>
    </row>
    <row r="12" spans="1:12" x14ac:dyDescent="0.55000000000000004">
      <c r="A12">
        <v>64</v>
      </c>
      <c r="B12" t="s">
        <v>33</v>
      </c>
      <c r="C12" t="s">
        <v>325</v>
      </c>
      <c r="E12" t="e">
        <f t="shared" si="1"/>
        <v>#N/A</v>
      </c>
      <c r="F12" t="e">
        <f t="shared" si="0"/>
        <v>#N/A</v>
      </c>
      <c r="G12">
        <v>0</v>
      </c>
      <c r="I12" s="25" t="s">
        <v>325</v>
      </c>
      <c r="J12" t="s">
        <v>347</v>
      </c>
      <c r="K12" t="s">
        <v>335</v>
      </c>
      <c r="L12" s="37" t="s">
        <v>352</v>
      </c>
    </row>
    <row r="13" spans="1:12" x14ac:dyDescent="0.55000000000000004">
      <c r="A13">
        <v>64</v>
      </c>
      <c r="B13" t="s">
        <v>33</v>
      </c>
      <c r="C13" t="s">
        <v>151</v>
      </c>
      <c r="E13" t="e">
        <f t="shared" si="1"/>
        <v>#N/A</v>
      </c>
      <c r="F13" t="e">
        <f t="shared" si="0"/>
        <v>#N/A</v>
      </c>
      <c r="G13">
        <v>0</v>
      </c>
      <c r="I13" s="25" t="s">
        <v>325</v>
      </c>
      <c r="J13" t="s">
        <v>348</v>
      </c>
      <c r="K13" t="s">
        <v>336</v>
      </c>
      <c r="L13" s="37" t="s">
        <v>352</v>
      </c>
    </row>
    <row r="14" spans="1:12" x14ac:dyDescent="0.55000000000000004">
      <c r="A14">
        <v>65</v>
      </c>
      <c r="B14" t="s">
        <v>34</v>
      </c>
      <c r="C14" t="s">
        <v>324</v>
      </c>
      <c r="E14" t="e">
        <f t="shared" si="1"/>
        <v>#N/A</v>
      </c>
      <c r="F14" t="e">
        <f t="shared" si="0"/>
        <v>#N/A</v>
      </c>
      <c r="G14">
        <v>0</v>
      </c>
      <c r="I14" s="25" t="s">
        <v>325</v>
      </c>
      <c r="J14" t="s">
        <v>337</v>
      </c>
      <c r="K14" t="s">
        <v>338</v>
      </c>
      <c r="L14" s="37" t="s">
        <v>352</v>
      </c>
    </row>
    <row r="15" spans="1:12" x14ac:dyDescent="0.55000000000000004">
      <c r="A15">
        <v>65</v>
      </c>
      <c r="B15" t="s">
        <v>34</v>
      </c>
      <c r="C15" t="s">
        <v>325</v>
      </c>
      <c r="D15" t="s">
        <v>350</v>
      </c>
      <c r="E15" t="str">
        <f t="shared" si="1"/>
        <v>Algea</v>
      </c>
      <c r="F15" t="str">
        <f t="shared" si="0"/>
        <v>Native</v>
      </c>
      <c r="G15">
        <v>10</v>
      </c>
      <c r="I15" s="25" t="s">
        <v>325</v>
      </c>
      <c r="J15" t="s">
        <v>349</v>
      </c>
      <c r="K15" t="s">
        <v>339</v>
      </c>
      <c r="L15" s="37" t="s">
        <v>352</v>
      </c>
    </row>
    <row r="16" spans="1:12" x14ac:dyDescent="0.55000000000000004">
      <c r="A16">
        <v>65</v>
      </c>
      <c r="B16" t="s">
        <v>34</v>
      </c>
      <c r="C16" t="s">
        <v>151</v>
      </c>
      <c r="E16" t="e">
        <f t="shared" si="1"/>
        <v>#N/A</v>
      </c>
      <c r="F16" t="e">
        <f t="shared" si="0"/>
        <v>#N/A</v>
      </c>
      <c r="G16">
        <v>0</v>
      </c>
      <c r="I16" s="25" t="s">
        <v>325</v>
      </c>
      <c r="J16" t="s">
        <v>350</v>
      </c>
      <c r="K16" t="s">
        <v>351</v>
      </c>
      <c r="L16" s="37" t="s">
        <v>226</v>
      </c>
    </row>
    <row r="17" spans="1:12" x14ac:dyDescent="0.55000000000000004">
      <c r="A17">
        <v>66</v>
      </c>
      <c r="B17" t="s">
        <v>35</v>
      </c>
      <c r="C17" t="s">
        <v>324</v>
      </c>
      <c r="E17" t="e">
        <f t="shared" si="1"/>
        <v>#N/A</v>
      </c>
      <c r="F17" t="e">
        <f t="shared" si="0"/>
        <v>#N/A</v>
      </c>
      <c r="G17">
        <v>0</v>
      </c>
      <c r="I17" s="25" t="s">
        <v>151</v>
      </c>
      <c r="J17" t="s">
        <v>359</v>
      </c>
      <c r="K17" t="s">
        <v>174</v>
      </c>
      <c r="L17" s="37" t="s">
        <v>226</v>
      </c>
    </row>
    <row r="18" spans="1:12" ht="14.7" thickBot="1" x14ac:dyDescent="0.6">
      <c r="A18">
        <v>66</v>
      </c>
      <c r="B18" t="s">
        <v>35</v>
      </c>
      <c r="C18" t="s">
        <v>325</v>
      </c>
      <c r="E18" t="e">
        <f t="shared" si="1"/>
        <v>#N/A</v>
      </c>
      <c r="F18" t="e">
        <f t="shared" si="0"/>
        <v>#N/A</v>
      </c>
      <c r="G18">
        <v>0</v>
      </c>
      <c r="I18" s="27" t="s">
        <v>151</v>
      </c>
      <c r="J18" s="28" t="s">
        <v>360</v>
      </c>
      <c r="K18" s="28" t="s">
        <v>299</v>
      </c>
      <c r="L18" s="29" t="s">
        <v>226</v>
      </c>
    </row>
    <row r="19" spans="1:12" x14ac:dyDescent="0.55000000000000004">
      <c r="A19">
        <v>66</v>
      </c>
      <c r="B19" t="s">
        <v>35</v>
      </c>
      <c r="C19" t="s">
        <v>151</v>
      </c>
      <c r="E19" t="e">
        <f t="shared" si="1"/>
        <v>#N/A</v>
      </c>
      <c r="F19" t="e">
        <f t="shared" si="0"/>
        <v>#N/A</v>
      </c>
      <c r="G19">
        <v>0</v>
      </c>
    </row>
    <row r="20" spans="1:12" x14ac:dyDescent="0.55000000000000004">
      <c r="A20">
        <v>67</v>
      </c>
      <c r="B20" t="s">
        <v>36</v>
      </c>
      <c r="C20" t="s">
        <v>324</v>
      </c>
      <c r="E20" t="e">
        <f t="shared" si="1"/>
        <v>#N/A</v>
      </c>
      <c r="F20" t="e">
        <f t="shared" si="0"/>
        <v>#N/A</v>
      </c>
      <c r="G20">
        <v>0</v>
      </c>
    </row>
    <row r="21" spans="1:12" x14ac:dyDescent="0.55000000000000004">
      <c r="A21">
        <v>67</v>
      </c>
      <c r="B21" t="s">
        <v>36</v>
      </c>
      <c r="C21" t="s">
        <v>325</v>
      </c>
      <c r="E21" t="e">
        <f t="shared" si="1"/>
        <v>#N/A</v>
      </c>
      <c r="F21" t="e">
        <f t="shared" si="0"/>
        <v>#N/A</v>
      </c>
      <c r="G21">
        <v>0</v>
      </c>
    </row>
    <row r="22" spans="1:12" x14ac:dyDescent="0.55000000000000004">
      <c r="A22">
        <v>67</v>
      </c>
      <c r="B22" t="s">
        <v>36</v>
      </c>
      <c r="C22" t="s">
        <v>151</v>
      </c>
      <c r="E22" t="e">
        <f t="shared" si="1"/>
        <v>#N/A</v>
      </c>
      <c r="F22" t="e">
        <f t="shared" si="0"/>
        <v>#N/A</v>
      </c>
      <c r="G22">
        <v>0</v>
      </c>
    </row>
    <row r="23" spans="1:12" x14ac:dyDescent="0.55000000000000004">
      <c r="A23">
        <v>68</v>
      </c>
      <c r="B23" t="s">
        <v>37</v>
      </c>
      <c r="C23" t="s">
        <v>324</v>
      </c>
      <c r="E23" t="e">
        <f t="shared" si="1"/>
        <v>#N/A</v>
      </c>
      <c r="F23" t="e">
        <f t="shared" si="0"/>
        <v>#N/A</v>
      </c>
      <c r="G23">
        <v>0</v>
      </c>
    </row>
    <row r="24" spans="1:12" x14ac:dyDescent="0.55000000000000004">
      <c r="A24">
        <v>68</v>
      </c>
      <c r="B24" t="s">
        <v>37</v>
      </c>
      <c r="C24" t="s">
        <v>325</v>
      </c>
      <c r="E24" t="e">
        <f t="shared" si="1"/>
        <v>#N/A</v>
      </c>
      <c r="F24" t="e">
        <f t="shared" si="0"/>
        <v>#N/A</v>
      </c>
      <c r="G24">
        <v>0</v>
      </c>
    </row>
    <row r="25" spans="1:12" x14ac:dyDescent="0.55000000000000004">
      <c r="A25">
        <v>68</v>
      </c>
      <c r="B25" t="s">
        <v>37</v>
      </c>
      <c r="C25" t="s">
        <v>151</v>
      </c>
      <c r="E25" t="e">
        <f t="shared" si="1"/>
        <v>#N/A</v>
      </c>
      <c r="F25" t="e">
        <f t="shared" si="0"/>
        <v>#N/A</v>
      </c>
      <c r="G25">
        <v>0</v>
      </c>
    </row>
    <row r="26" spans="1:12" x14ac:dyDescent="0.55000000000000004">
      <c r="A26">
        <v>69</v>
      </c>
      <c r="B26" t="s">
        <v>38</v>
      </c>
      <c r="C26" t="s">
        <v>324</v>
      </c>
      <c r="E26" t="e">
        <f t="shared" si="1"/>
        <v>#N/A</v>
      </c>
      <c r="F26" t="e">
        <f t="shared" si="0"/>
        <v>#N/A</v>
      </c>
      <c r="G26">
        <v>0</v>
      </c>
    </row>
    <row r="27" spans="1:12" x14ac:dyDescent="0.55000000000000004">
      <c r="A27">
        <v>69</v>
      </c>
      <c r="B27" t="s">
        <v>38</v>
      </c>
      <c r="C27" t="s">
        <v>325</v>
      </c>
      <c r="E27" t="e">
        <f t="shared" si="1"/>
        <v>#N/A</v>
      </c>
      <c r="F27" t="e">
        <f t="shared" si="0"/>
        <v>#N/A</v>
      </c>
      <c r="G27">
        <v>0</v>
      </c>
    </row>
    <row r="28" spans="1:12" x14ac:dyDescent="0.55000000000000004">
      <c r="A28">
        <v>69</v>
      </c>
      <c r="B28" t="s">
        <v>38</v>
      </c>
      <c r="C28" t="s">
        <v>151</v>
      </c>
      <c r="D28" t="s">
        <v>359</v>
      </c>
      <c r="E28" t="str">
        <f t="shared" si="1"/>
        <v xml:space="preserve">Glossostigma </v>
      </c>
      <c r="F28" t="str">
        <f t="shared" si="0"/>
        <v>Native</v>
      </c>
      <c r="G28">
        <v>30</v>
      </c>
    </row>
    <row r="29" spans="1:12" x14ac:dyDescent="0.55000000000000004">
      <c r="A29">
        <v>70</v>
      </c>
      <c r="B29" t="s">
        <v>39</v>
      </c>
      <c r="C29" t="s">
        <v>324</v>
      </c>
      <c r="E29" t="e">
        <f t="shared" si="1"/>
        <v>#N/A</v>
      </c>
      <c r="F29" t="e">
        <f t="shared" si="0"/>
        <v>#N/A</v>
      </c>
      <c r="G29">
        <v>0</v>
      </c>
    </row>
    <row r="30" spans="1:12" x14ac:dyDescent="0.55000000000000004">
      <c r="A30">
        <v>70</v>
      </c>
      <c r="B30" t="s">
        <v>39</v>
      </c>
      <c r="C30" t="s">
        <v>325</v>
      </c>
      <c r="E30" t="e">
        <f t="shared" si="1"/>
        <v>#N/A</v>
      </c>
      <c r="F30" t="e">
        <f t="shared" si="0"/>
        <v>#N/A</v>
      </c>
      <c r="G30">
        <v>0</v>
      </c>
    </row>
    <row r="31" spans="1:12" x14ac:dyDescent="0.55000000000000004">
      <c r="A31">
        <v>70</v>
      </c>
      <c r="B31" t="s">
        <v>39</v>
      </c>
      <c r="C31" t="s">
        <v>151</v>
      </c>
      <c r="E31" t="e">
        <f t="shared" si="1"/>
        <v>#N/A</v>
      </c>
      <c r="F31" t="e">
        <f t="shared" si="0"/>
        <v>#N/A</v>
      </c>
      <c r="G31">
        <v>0</v>
      </c>
    </row>
    <row r="32" spans="1:12" x14ac:dyDescent="0.55000000000000004">
      <c r="A32">
        <v>71</v>
      </c>
      <c r="B32" t="s">
        <v>40</v>
      </c>
      <c r="C32" t="s">
        <v>324</v>
      </c>
      <c r="E32" t="e">
        <f t="shared" si="1"/>
        <v>#N/A</v>
      </c>
      <c r="F32" t="e">
        <f t="shared" si="0"/>
        <v>#N/A</v>
      </c>
      <c r="G32">
        <v>0</v>
      </c>
    </row>
    <row r="33" spans="1:7" x14ac:dyDescent="0.55000000000000004">
      <c r="A33">
        <v>71</v>
      </c>
      <c r="B33" t="s">
        <v>40</v>
      </c>
      <c r="C33" t="s">
        <v>325</v>
      </c>
      <c r="E33" t="e">
        <f t="shared" si="1"/>
        <v>#N/A</v>
      </c>
      <c r="F33" t="e">
        <f t="shared" si="0"/>
        <v>#N/A</v>
      </c>
      <c r="G33">
        <v>0</v>
      </c>
    </row>
    <row r="34" spans="1:7" x14ac:dyDescent="0.55000000000000004">
      <c r="A34">
        <v>71</v>
      </c>
      <c r="B34" t="s">
        <v>40</v>
      </c>
      <c r="C34" t="s">
        <v>151</v>
      </c>
      <c r="E34" t="e">
        <f t="shared" si="1"/>
        <v>#N/A</v>
      </c>
      <c r="F34" t="e">
        <f t="shared" si="0"/>
        <v>#N/A</v>
      </c>
      <c r="G34">
        <v>0</v>
      </c>
    </row>
    <row r="35" spans="1:7" x14ac:dyDescent="0.55000000000000004">
      <c r="A35">
        <v>72</v>
      </c>
      <c r="B35" t="s">
        <v>41</v>
      </c>
      <c r="C35" t="s">
        <v>324</v>
      </c>
      <c r="E35" t="e">
        <f t="shared" si="1"/>
        <v>#N/A</v>
      </c>
      <c r="F35" t="e">
        <f t="shared" si="0"/>
        <v>#N/A</v>
      </c>
      <c r="G35">
        <v>0</v>
      </c>
    </row>
    <row r="36" spans="1:7" x14ac:dyDescent="0.55000000000000004">
      <c r="A36">
        <v>72</v>
      </c>
      <c r="B36" t="s">
        <v>41</v>
      </c>
      <c r="C36" t="s">
        <v>325</v>
      </c>
      <c r="E36" t="e">
        <f t="shared" si="1"/>
        <v>#N/A</v>
      </c>
      <c r="F36" t="e">
        <f t="shared" si="0"/>
        <v>#N/A</v>
      </c>
      <c r="G36">
        <v>0</v>
      </c>
    </row>
    <row r="37" spans="1:7" x14ac:dyDescent="0.55000000000000004">
      <c r="A37">
        <v>72</v>
      </c>
      <c r="B37" t="s">
        <v>41</v>
      </c>
      <c r="C37" t="s">
        <v>151</v>
      </c>
      <c r="E37" t="e">
        <f t="shared" si="1"/>
        <v>#N/A</v>
      </c>
      <c r="F37" t="e">
        <f t="shared" si="0"/>
        <v>#N/A</v>
      </c>
      <c r="G37">
        <v>0</v>
      </c>
    </row>
    <row r="38" spans="1:7" x14ac:dyDescent="0.55000000000000004">
      <c r="A38">
        <v>73</v>
      </c>
      <c r="B38" t="s">
        <v>43</v>
      </c>
      <c r="C38" t="s">
        <v>324</v>
      </c>
      <c r="E38" t="e">
        <f t="shared" si="1"/>
        <v>#N/A</v>
      </c>
      <c r="F38" t="e">
        <f t="shared" si="0"/>
        <v>#N/A</v>
      </c>
      <c r="G38">
        <v>0</v>
      </c>
    </row>
    <row r="39" spans="1:7" x14ac:dyDescent="0.55000000000000004">
      <c r="A39">
        <v>73</v>
      </c>
      <c r="B39" t="s">
        <v>43</v>
      </c>
      <c r="C39" t="s">
        <v>325</v>
      </c>
      <c r="E39" t="e">
        <f t="shared" si="1"/>
        <v>#N/A</v>
      </c>
      <c r="F39" t="e">
        <f t="shared" si="0"/>
        <v>#N/A</v>
      </c>
      <c r="G39">
        <v>0</v>
      </c>
    </row>
    <row r="40" spans="1:7" x14ac:dyDescent="0.55000000000000004">
      <c r="A40">
        <v>73</v>
      </c>
      <c r="B40" t="s">
        <v>43</v>
      </c>
      <c r="C40" t="s">
        <v>151</v>
      </c>
      <c r="E40" t="e">
        <f t="shared" si="1"/>
        <v>#N/A</v>
      </c>
      <c r="F40" t="e">
        <f t="shared" si="0"/>
        <v>#N/A</v>
      </c>
      <c r="G40">
        <v>0</v>
      </c>
    </row>
    <row r="41" spans="1:7" x14ac:dyDescent="0.55000000000000004">
      <c r="A41">
        <v>74</v>
      </c>
      <c r="B41" t="s">
        <v>46</v>
      </c>
      <c r="C41" t="s">
        <v>324</v>
      </c>
      <c r="E41" t="e">
        <f t="shared" si="1"/>
        <v>#N/A</v>
      </c>
      <c r="F41" t="e">
        <f t="shared" si="0"/>
        <v>#N/A</v>
      </c>
      <c r="G41">
        <v>0</v>
      </c>
    </row>
    <row r="42" spans="1:7" x14ac:dyDescent="0.55000000000000004">
      <c r="A42">
        <v>74</v>
      </c>
      <c r="B42" t="s">
        <v>46</v>
      </c>
      <c r="C42" t="s">
        <v>325</v>
      </c>
      <c r="E42" t="e">
        <f t="shared" si="1"/>
        <v>#N/A</v>
      </c>
      <c r="F42" t="e">
        <f t="shared" si="0"/>
        <v>#N/A</v>
      </c>
      <c r="G42">
        <v>0</v>
      </c>
    </row>
    <row r="43" spans="1:7" x14ac:dyDescent="0.55000000000000004">
      <c r="A43">
        <v>74</v>
      </c>
      <c r="B43" t="s">
        <v>46</v>
      </c>
      <c r="C43" t="s">
        <v>151</v>
      </c>
      <c r="D43" t="s">
        <v>359</v>
      </c>
      <c r="E43" t="str">
        <f t="shared" si="1"/>
        <v xml:space="preserve">Glossostigma </v>
      </c>
      <c r="F43" t="str">
        <f t="shared" si="0"/>
        <v>Native</v>
      </c>
      <c r="G43">
        <v>10</v>
      </c>
    </row>
    <row r="44" spans="1:7" x14ac:dyDescent="0.55000000000000004">
      <c r="A44">
        <v>75</v>
      </c>
      <c r="B44" t="s">
        <v>49</v>
      </c>
      <c r="C44" t="s">
        <v>324</v>
      </c>
      <c r="E44" t="e">
        <f t="shared" si="1"/>
        <v>#N/A</v>
      </c>
      <c r="F44" t="e">
        <f t="shared" si="0"/>
        <v>#N/A</v>
      </c>
      <c r="G44">
        <v>0</v>
      </c>
    </row>
    <row r="45" spans="1:7" x14ac:dyDescent="0.55000000000000004">
      <c r="A45">
        <v>75</v>
      </c>
      <c r="B45" t="s">
        <v>49</v>
      </c>
      <c r="C45" t="s">
        <v>325</v>
      </c>
      <c r="E45" t="e">
        <f t="shared" si="1"/>
        <v>#N/A</v>
      </c>
      <c r="F45" t="e">
        <f t="shared" si="0"/>
        <v>#N/A</v>
      </c>
      <c r="G45">
        <v>0</v>
      </c>
    </row>
    <row r="46" spans="1:7" x14ac:dyDescent="0.55000000000000004">
      <c r="A46">
        <v>75</v>
      </c>
      <c r="B46" t="s">
        <v>49</v>
      </c>
      <c r="C46" t="s">
        <v>151</v>
      </c>
      <c r="E46" t="e">
        <f t="shared" si="1"/>
        <v>#N/A</v>
      </c>
      <c r="F46" t="e">
        <f t="shared" si="0"/>
        <v>#N/A</v>
      </c>
      <c r="G46">
        <v>0</v>
      </c>
    </row>
    <row r="47" spans="1:7" x14ac:dyDescent="0.55000000000000004">
      <c r="A47">
        <v>76</v>
      </c>
      <c r="B47" t="s">
        <v>52</v>
      </c>
      <c r="C47" t="s">
        <v>324</v>
      </c>
      <c r="E47" t="e">
        <f t="shared" si="1"/>
        <v>#N/A</v>
      </c>
      <c r="F47" t="e">
        <f t="shared" si="0"/>
        <v>#N/A</v>
      </c>
      <c r="G47">
        <v>0</v>
      </c>
    </row>
    <row r="48" spans="1:7" x14ac:dyDescent="0.55000000000000004">
      <c r="A48">
        <v>76</v>
      </c>
      <c r="B48" t="s">
        <v>52</v>
      </c>
      <c r="C48" t="s">
        <v>325</v>
      </c>
      <c r="E48" t="e">
        <f t="shared" si="1"/>
        <v>#N/A</v>
      </c>
      <c r="F48" t="e">
        <f t="shared" si="0"/>
        <v>#N/A</v>
      </c>
      <c r="G48">
        <v>0</v>
      </c>
    </row>
    <row r="49" spans="1:7" x14ac:dyDescent="0.55000000000000004">
      <c r="A49">
        <v>76</v>
      </c>
      <c r="B49" t="s">
        <v>52</v>
      </c>
      <c r="C49" t="s">
        <v>151</v>
      </c>
      <c r="D49" t="s">
        <v>359</v>
      </c>
      <c r="E49" t="str">
        <f t="shared" si="1"/>
        <v xml:space="preserve">Glossostigma </v>
      </c>
      <c r="F49" t="str">
        <f t="shared" si="0"/>
        <v>Native</v>
      </c>
      <c r="G49">
        <v>10</v>
      </c>
    </row>
    <row r="50" spans="1:7" x14ac:dyDescent="0.55000000000000004">
      <c r="A50">
        <v>77</v>
      </c>
      <c r="B50" t="s">
        <v>54</v>
      </c>
      <c r="C50" t="s">
        <v>324</v>
      </c>
      <c r="E50" t="e">
        <f t="shared" si="1"/>
        <v>#N/A</v>
      </c>
      <c r="F50" t="e">
        <f t="shared" si="0"/>
        <v>#N/A</v>
      </c>
      <c r="G50">
        <v>0</v>
      </c>
    </row>
    <row r="51" spans="1:7" x14ac:dyDescent="0.55000000000000004">
      <c r="A51">
        <v>77</v>
      </c>
      <c r="B51" t="s">
        <v>54</v>
      </c>
      <c r="C51" t="s">
        <v>325</v>
      </c>
      <c r="E51" t="e">
        <f t="shared" si="1"/>
        <v>#N/A</v>
      </c>
      <c r="F51" t="e">
        <f t="shared" si="0"/>
        <v>#N/A</v>
      </c>
      <c r="G51">
        <v>0</v>
      </c>
    </row>
    <row r="52" spans="1:7" x14ac:dyDescent="0.55000000000000004">
      <c r="A52">
        <v>77</v>
      </c>
      <c r="B52" t="s">
        <v>54</v>
      </c>
      <c r="C52" t="s">
        <v>151</v>
      </c>
      <c r="E52" t="e">
        <f t="shared" si="1"/>
        <v>#N/A</v>
      </c>
      <c r="F52" t="e">
        <f t="shared" si="0"/>
        <v>#N/A</v>
      </c>
      <c r="G52">
        <v>0</v>
      </c>
    </row>
    <row r="53" spans="1:7" x14ac:dyDescent="0.55000000000000004">
      <c r="A53">
        <v>78</v>
      </c>
      <c r="B53" t="s">
        <v>56</v>
      </c>
      <c r="C53" t="s">
        <v>324</v>
      </c>
      <c r="E53" t="e">
        <f t="shared" si="1"/>
        <v>#N/A</v>
      </c>
      <c r="F53" t="e">
        <f t="shared" si="0"/>
        <v>#N/A</v>
      </c>
      <c r="G53">
        <v>0</v>
      </c>
    </row>
    <row r="54" spans="1:7" x14ac:dyDescent="0.55000000000000004">
      <c r="A54">
        <v>78</v>
      </c>
      <c r="B54" t="s">
        <v>56</v>
      </c>
      <c r="C54" t="s">
        <v>325</v>
      </c>
      <c r="E54" t="e">
        <f t="shared" si="1"/>
        <v>#N/A</v>
      </c>
      <c r="F54" t="e">
        <f t="shared" si="0"/>
        <v>#N/A</v>
      </c>
      <c r="G54">
        <v>0</v>
      </c>
    </row>
    <row r="55" spans="1:7" x14ac:dyDescent="0.55000000000000004">
      <c r="A55">
        <v>78</v>
      </c>
      <c r="B55" t="s">
        <v>56</v>
      </c>
      <c r="C55" t="s">
        <v>151</v>
      </c>
      <c r="E55" t="e">
        <f t="shared" si="1"/>
        <v>#N/A</v>
      </c>
      <c r="F55" t="e">
        <f t="shared" si="0"/>
        <v>#N/A</v>
      </c>
      <c r="G55">
        <v>0</v>
      </c>
    </row>
    <row r="56" spans="1:7" x14ac:dyDescent="0.55000000000000004">
      <c r="A56">
        <v>79</v>
      </c>
      <c r="B56" t="s">
        <v>58</v>
      </c>
      <c r="C56" t="s">
        <v>324</v>
      </c>
      <c r="D56" t="s">
        <v>341</v>
      </c>
      <c r="E56" t="str">
        <f t="shared" si="1"/>
        <v>Eleocharis sphacelata</v>
      </c>
      <c r="F56" t="str">
        <f t="shared" si="0"/>
        <v>Native</v>
      </c>
      <c r="G56">
        <v>10</v>
      </c>
    </row>
    <row r="57" spans="1:7" x14ac:dyDescent="0.55000000000000004">
      <c r="A57">
        <v>79</v>
      </c>
      <c r="B57" t="s">
        <v>58</v>
      </c>
      <c r="C57" t="s">
        <v>325</v>
      </c>
      <c r="E57" t="e">
        <f t="shared" si="1"/>
        <v>#N/A</v>
      </c>
      <c r="F57" t="e">
        <f t="shared" si="0"/>
        <v>#N/A</v>
      </c>
      <c r="G57">
        <v>0</v>
      </c>
    </row>
    <row r="58" spans="1:7" x14ac:dyDescent="0.55000000000000004">
      <c r="A58">
        <v>79</v>
      </c>
      <c r="B58" t="s">
        <v>58</v>
      </c>
      <c r="C58" t="s">
        <v>151</v>
      </c>
      <c r="E58" t="e">
        <f t="shared" si="1"/>
        <v>#N/A</v>
      </c>
      <c r="F58" t="e">
        <f t="shared" si="0"/>
        <v>#N/A</v>
      </c>
      <c r="G58">
        <v>0</v>
      </c>
    </row>
    <row r="59" spans="1:7" x14ac:dyDescent="0.55000000000000004">
      <c r="A59">
        <v>80</v>
      </c>
      <c r="B59" t="s">
        <v>62</v>
      </c>
      <c r="C59" t="s">
        <v>324</v>
      </c>
      <c r="D59" t="s">
        <v>340</v>
      </c>
      <c r="E59" t="str">
        <f t="shared" si="1"/>
        <v>Typha orientalis</v>
      </c>
      <c r="F59" t="str">
        <f t="shared" si="0"/>
        <v>Native</v>
      </c>
      <c r="G59">
        <v>90</v>
      </c>
    </row>
    <row r="60" spans="1:7" x14ac:dyDescent="0.55000000000000004">
      <c r="A60">
        <v>80</v>
      </c>
      <c r="B60" t="s">
        <v>62</v>
      </c>
      <c r="C60" t="s">
        <v>324</v>
      </c>
      <c r="D60" t="s">
        <v>173</v>
      </c>
      <c r="E60" t="str">
        <f t="shared" si="1"/>
        <v>Ceratophyllum demersum</v>
      </c>
      <c r="F60" t="str">
        <f t="shared" si="0"/>
        <v>Non_Native</v>
      </c>
      <c r="G60">
        <v>10</v>
      </c>
    </row>
    <row r="61" spans="1:7" x14ac:dyDescent="0.55000000000000004">
      <c r="A61">
        <v>80</v>
      </c>
      <c r="B61" t="s">
        <v>62</v>
      </c>
      <c r="C61" t="s">
        <v>325</v>
      </c>
      <c r="D61" t="s">
        <v>173</v>
      </c>
      <c r="E61" t="str">
        <f t="shared" si="1"/>
        <v>Ceratophyllum demersum</v>
      </c>
      <c r="F61" t="str">
        <f t="shared" si="0"/>
        <v>Non_Native</v>
      </c>
      <c r="G61">
        <v>10</v>
      </c>
    </row>
    <row r="62" spans="1:7" x14ac:dyDescent="0.55000000000000004">
      <c r="A62">
        <v>80</v>
      </c>
      <c r="B62" t="s">
        <v>62</v>
      </c>
      <c r="C62" t="s">
        <v>151</v>
      </c>
      <c r="E62" t="e">
        <f t="shared" si="1"/>
        <v>#N/A</v>
      </c>
      <c r="F62" t="e">
        <f t="shared" si="0"/>
        <v>#N/A</v>
      </c>
      <c r="G62">
        <v>0</v>
      </c>
    </row>
    <row r="63" spans="1:7" x14ac:dyDescent="0.55000000000000004">
      <c r="A63">
        <v>81</v>
      </c>
      <c r="B63" t="s">
        <v>63</v>
      </c>
      <c r="C63" t="s">
        <v>324</v>
      </c>
      <c r="E63" t="e">
        <f t="shared" si="1"/>
        <v>#N/A</v>
      </c>
      <c r="F63" t="e">
        <f t="shared" si="0"/>
        <v>#N/A</v>
      </c>
      <c r="G63">
        <v>0</v>
      </c>
    </row>
    <row r="64" spans="1:7" x14ac:dyDescent="0.55000000000000004">
      <c r="A64">
        <v>81</v>
      </c>
      <c r="B64" t="s">
        <v>63</v>
      </c>
      <c r="C64" t="s">
        <v>325</v>
      </c>
      <c r="E64" t="e">
        <f t="shared" si="1"/>
        <v>#N/A</v>
      </c>
      <c r="F64" t="e">
        <f t="shared" si="0"/>
        <v>#N/A</v>
      </c>
      <c r="G64">
        <v>0</v>
      </c>
    </row>
    <row r="65" spans="1:7" x14ac:dyDescent="0.55000000000000004">
      <c r="A65">
        <v>81</v>
      </c>
      <c r="B65" t="s">
        <v>63</v>
      </c>
      <c r="C65" t="s">
        <v>151</v>
      </c>
      <c r="E65" t="e">
        <f t="shared" si="1"/>
        <v>#N/A</v>
      </c>
      <c r="F65" t="e">
        <f t="shared" si="0"/>
        <v>#N/A</v>
      </c>
      <c r="G65">
        <v>0</v>
      </c>
    </row>
    <row r="66" spans="1:7" x14ac:dyDescent="0.55000000000000004">
      <c r="A66">
        <v>82</v>
      </c>
      <c r="B66" t="s">
        <v>64</v>
      </c>
      <c r="C66" t="s">
        <v>324</v>
      </c>
      <c r="D66" t="s">
        <v>342</v>
      </c>
      <c r="E66" t="str">
        <f t="shared" si="1"/>
        <v>Carex secta</v>
      </c>
      <c r="F66" t="str">
        <f t="shared" si="0"/>
        <v>Native</v>
      </c>
      <c r="G66">
        <v>4</v>
      </c>
    </row>
    <row r="67" spans="1:7" x14ac:dyDescent="0.55000000000000004">
      <c r="A67">
        <v>82</v>
      </c>
      <c r="B67" t="s">
        <v>64</v>
      </c>
      <c r="C67" t="s">
        <v>325</v>
      </c>
      <c r="E67" t="e">
        <f t="shared" si="1"/>
        <v>#N/A</v>
      </c>
      <c r="F67" t="e">
        <f t="shared" si="0"/>
        <v>#N/A</v>
      </c>
      <c r="G67">
        <v>0</v>
      </c>
    </row>
    <row r="68" spans="1:7" x14ac:dyDescent="0.55000000000000004">
      <c r="A68">
        <v>82</v>
      </c>
      <c r="B68" t="s">
        <v>64</v>
      </c>
      <c r="C68" t="s">
        <v>151</v>
      </c>
      <c r="D68" t="s">
        <v>359</v>
      </c>
      <c r="E68" t="str">
        <f t="shared" si="1"/>
        <v xml:space="preserve">Glossostigma </v>
      </c>
      <c r="F68" t="str">
        <f t="shared" si="0"/>
        <v>Native</v>
      </c>
      <c r="G68">
        <v>5</v>
      </c>
    </row>
    <row r="69" spans="1:7" x14ac:dyDescent="0.55000000000000004">
      <c r="A69">
        <v>83</v>
      </c>
      <c r="B69" t="s">
        <v>65</v>
      </c>
      <c r="C69" t="s">
        <v>324</v>
      </c>
      <c r="E69" t="e">
        <f t="shared" si="1"/>
        <v>#N/A</v>
      </c>
      <c r="F69" t="e">
        <f t="shared" si="0"/>
        <v>#N/A</v>
      </c>
      <c r="G69">
        <v>0</v>
      </c>
    </row>
    <row r="70" spans="1:7" x14ac:dyDescent="0.55000000000000004">
      <c r="A70">
        <v>83</v>
      </c>
      <c r="B70" t="s">
        <v>65</v>
      </c>
      <c r="C70" t="s">
        <v>325</v>
      </c>
      <c r="E70" t="e">
        <f t="shared" si="1"/>
        <v>#N/A</v>
      </c>
      <c r="F70" t="e">
        <f t="shared" si="0"/>
        <v>#N/A</v>
      </c>
      <c r="G70">
        <v>0</v>
      </c>
    </row>
    <row r="71" spans="1:7" x14ac:dyDescent="0.55000000000000004">
      <c r="A71">
        <v>83</v>
      </c>
      <c r="B71" t="s">
        <v>65</v>
      </c>
      <c r="C71" t="s">
        <v>151</v>
      </c>
      <c r="E71" t="e">
        <f t="shared" si="1"/>
        <v>#N/A</v>
      </c>
      <c r="F71" t="e">
        <f t="shared" si="0"/>
        <v>#N/A</v>
      </c>
      <c r="G71">
        <v>0</v>
      </c>
    </row>
    <row r="72" spans="1:7" x14ac:dyDescent="0.55000000000000004">
      <c r="A72">
        <v>84</v>
      </c>
      <c r="B72" t="s">
        <v>67</v>
      </c>
      <c r="C72" t="s">
        <v>324</v>
      </c>
      <c r="E72" t="e">
        <f t="shared" si="1"/>
        <v>#N/A</v>
      </c>
      <c r="F72" t="e">
        <f t="shared" si="0"/>
        <v>#N/A</v>
      </c>
      <c r="G72">
        <v>0</v>
      </c>
    </row>
    <row r="73" spans="1:7" x14ac:dyDescent="0.55000000000000004">
      <c r="A73">
        <v>84</v>
      </c>
      <c r="B73" t="s">
        <v>67</v>
      </c>
      <c r="C73" t="s">
        <v>325</v>
      </c>
      <c r="E73" t="e">
        <f t="shared" si="1"/>
        <v>#N/A</v>
      </c>
      <c r="F73" t="e">
        <f t="shared" si="0"/>
        <v>#N/A</v>
      </c>
      <c r="G73">
        <v>0</v>
      </c>
    </row>
    <row r="74" spans="1:7" x14ac:dyDescent="0.55000000000000004">
      <c r="A74">
        <v>84</v>
      </c>
      <c r="B74" t="s">
        <v>67</v>
      </c>
      <c r="C74" t="s">
        <v>151</v>
      </c>
      <c r="E74" t="e">
        <f t="shared" si="1"/>
        <v>#N/A</v>
      </c>
      <c r="F74" t="e">
        <f t="shared" si="0"/>
        <v>#N/A</v>
      </c>
      <c r="G74">
        <v>0</v>
      </c>
    </row>
    <row r="75" spans="1:7" x14ac:dyDescent="0.55000000000000004">
      <c r="A75">
        <v>85</v>
      </c>
      <c r="B75" t="s">
        <v>69</v>
      </c>
      <c r="C75" t="s">
        <v>324</v>
      </c>
      <c r="E75" t="e">
        <f t="shared" si="1"/>
        <v>#N/A</v>
      </c>
      <c r="F75" t="e">
        <f t="shared" si="0"/>
        <v>#N/A</v>
      </c>
      <c r="G75">
        <v>0</v>
      </c>
    </row>
    <row r="76" spans="1:7" x14ac:dyDescent="0.55000000000000004">
      <c r="A76">
        <v>85</v>
      </c>
      <c r="B76" t="s">
        <v>69</v>
      </c>
      <c r="C76" t="s">
        <v>325</v>
      </c>
      <c r="E76" t="e">
        <f t="shared" si="1"/>
        <v>#N/A</v>
      </c>
      <c r="F76" t="e">
        <f t="shared" si="0"/>
        <v>#N/A</v>
      </c>
      <c r="G76">
        <v>0</v>
      </c>
    </row>
    <row r="77" spans="1:7" x14ac:dyDescent="0.55000000000000004">
      <c r="A77">
        <v>85</v>
      </c>
      <c r="B77" t="s">
        <v>69</v>
      </c>
      <c r="C77" t="s">
        <v>151</v>
      </c>
      <c r="E77" t="e">
        <f t="shared" si="1"/>
        <v>#N/A</v>
      </c>
      <c r="F77" t="e">
        <f t="shared" si="0"/>
        <v>#N/A</v>
      </c>
      <c r="G77">
        <v>0</v>
      </c>
    </row>
    <row r="78" spans="1:7" x14ac:dyDescent="0.55000000000000004">
      <c r="A78">
        <v>86</v>
      </c>
      <c r="B78" t="s">
        <v>70</v>
      </c>
      <c r="C78" t="s">
        <v>324</v>
      </c>
      <c r="D78" t="s">
        <v>340</v>
      </c>
      <c r="E78" t="str">
        <f t="shared" si="1"/>
        <v>Typha orientalis</v>
      </c>
      <c r="F78" t="str">
        <f t="shared" si="0"/>
        <v>Native</v>
      </c>
      <c r="G78">
        <v>25</v>
      </c>
    </row>
    <row r="79" spans="1:7" x14ac:dyDescent="0.55000000000000004">
      <c r="A79">
        <v>86</v>
      </c>
      <c r="B79" t="s">
        <v>70</v>
      </c>
      <c r="C79" t="s">
        <v>324</v>
      </c>
      <c r="D79" t="s">
        <v>341</v>
      </c>
      <c r="E79" t="str">
        <f t="shared" si="1"/>
        <v>Eleocharis sphacelata</v>
      </c>
      <c r="F79" t="str">
        <f t="shared" si="0"/>
        <v>Native</v>
      </c>
      <c r="G79">
        <v>5</v>
      </c>
    </row>
    <row r="80" spans="1:7" x14ac:dyDescent="0.55000000000000004">
      <c r="A80">
        <v>86</v>
      </c>
      <c r="B80" t="s">
        <v>70</v>
      </c>
      <c r="C80" t="s">
        <v>325</v>
      </c>
      <c r="D80" t="s">
        <v>173</v>
      </c>
      <c r="E80" t="str">
        <f t="shared" si="1"/>
        <v>Ceratophyllum demersum</v>
      </c>
      <c r="F80" t="str">
        <f t="shared" si="0"/>
        <v>Non_Native</v>
      </c>
      <c r="G80">
        <v>100</v>
      </c>
    </row>
    <row r="81" spans="1:7" x14ac:dyDescent="0.55000000000000004">
      <c r="A81">
        <v>86</v>
      </c>
      <c r="B81" t="s">
        <v>70</v>
      </c>
      <c r="C81" t="s">
        <v>151</v>
      </c>
      <c r="E81" t="e">
        <f t="shared" si="1"/>
        <v>#N/A</v>
      </c>
      <c r="F81" t="e">
        <f t="shared" si="0"/>
        <v>#N/A</v>
      </c>
      <c r="G81">
        <v>0</v>
      </c>
    </row>
    <row r="82" spans="1:7" x14ac:dyDescent="0.55000000000000004">
      <c r="A82">
        <v>87</v>
      </c>
      <c r="B82" t="s">
        <v>71</v>
      </c>
      <c r="C82" t="s">
        <v>324</v>
      </c>
      <c r="E82" t="e">
        <f t="shared" si="1"/>
        <v>#N/A</v>
      </c>
      <c r="F82" t="e">
        <f t="shared" si="0"/>
        <v>#N/A</v>
      </c>
      <c r="G82">
        <v>0</v>
      </c>
    </row>
    <row r="83" spans="1:7" x14ac:dyDescent="0.55000000000000004">
      <c r="A83">
        <v>87</v>
      </c>
      <c r="B83" t="s">
        <v>71</v>
      </c>
      <c r="C83" t="s">
        <v>325</v>
      </c>
      <c r="D83" t="s">
        <v>173</v>
      </c>
      <c r="E83" t="str">
        <f t="shared" si="1"/>
        <v>Ceratophyllum demersum</v>
      </c>
      <c r="F83" t="str">
        <f t="shared" si="0"/>
        <v>Non_Native</v>
      </c>
      <c r="G83">
        <v>10</v>
      </c>
    </row>
    <row r="84" spans="1:7" x14ac:dyDescent="0.55000000000000004">
      <c r="A84">
        <v>87</v>
      </c>
      <c r="B84" t="s">
        <v>71</v>
      </c>
      <c r="C84" t="s">
        <v>151</v>
      </c>
      <c r="E84" t="e">
        <f t="shared" si="1"/>
        <v>#N/A</v>
      </c>
      <c r="F84" t="e">
        <f t="shared" si="0"/>
        <v>#N/A</v>
      </c>
      <c r="G84">
        <v>0</v>
      </c>
    </row>
    <row r="85" spans="1:7" x14ac:dyDescent="0.55000000000000004">
      <c r="A85">
        <v>88</v>
      </c>
      <c r="B85" t="s">
        <v>72</v>
      </c>
      <c r="C85" t="s">
        <v>324</v>
      </c>
      <c r="E85" t="e">
        <f t="shared" si="1"/>
        <v>#N/A</v>
      </c>
      <c r="F85" t="e">
        <f t="shared" si="0"/>
        <v>#N/A</v>
      </c>
      <c r="G85">
        <v>0</v>
      </c>
    </row>
    <row r="86" spans="1:7" x14ac:dyDescent="0.55000000000000004">
      <c r="A86">
        <v>88</v>
      </c>
      <c r="B86" t="s">
        <v>72</v>
      </c>
      <c r="C86" t="s">
        <v>325</v>
      </c>
      <c r="D86" t="s">
        <v>173</v>
      </c>
      <c r="E86" t="str">
        <f t="shared" si="1"/>
        <v>Ceratophyllum demersum</v>
      </c>
      <c r="F86" t="str">
        <f t="shared" si="0"/>
        <v>Non_Native</v>
      </c>
      <c r="G86">
        <v>10</v>
      </c>
    </row>
    <row r="87" spans="1:7" x14ac:dyDescent="0.55000000000000004">
      <c r="A87">
        <v>88</v>
      </c>
      <c r="B87" t="s">
        <v>72</v>
      </c>
      <c r="C87" t="s">
        <v>151</v>
      </c>
      <c r="E87" t="e">
        <f t="shared" si="1"/>
        <v>#N/A</v>
      </c>
      <c r="F87" t="e">
        <f t="shared" si="0"/>
        <v>#N/A</v>
      </c>
      <c r="G87">
        <v>0</v>
      </c>
    </row>
    <row r="88" spans="1:7" x14ac:dyDescent="0.55000000000000004">
      <c r="A88">
        <v>89</v>
      </c>
      <c r="B88" t="s">
        <v>73</v>
      </c>
      <c r="C88" t="s">
        <v>324</v>
      </c>
      <c r="D88" t="s">
        <v>341</v>
      </c>
      <c r="E88" t="str">
        <f t="shared" si="1"/>
        <v>Eleocharis sphacelata</v>
      </c>
      <c r="F88" t="str">
        <f t="shared" ref="F88:F179" si="2">VLOOKUP($D88, $J$2:$L$18, 3, FALSE)</f>
        <v>Native</v>
      </c>
      <c r="G88">
        <v>35</v>
      </c>
    </row>
    <row r="89" spans="1:7" x14ac:dyDescent="0.55000000000000004">
      <c r="A89">
        <v>89</v>
      </c>
      <c r="B89" t="s">
        <v>73</v>
      </c>
      <c r="C89" t="s">
        <v>325</v>
      </c>
      <c r="D89" t="s">
        <v>350</v>
      </c>
      <c r="E89" t="str">
        <f t="shared" ref="E89:E183" si="3">VLOOKUP($D89, $J$2:$L$18, 2, FALSE)</f>
        <v>Algea</v>
      </c>
      <c r="F89" t="str">
        <f t="shared" si="2"/>
        <v>Native</v>
      </c>
      <c r="G89">
        <v>5</v>
      </c>
    </row>
    <row r="90" spans="1:7" x14ac:dyDescent="0.55000000000000004">
      <c r="A90">
        <v>89</v>
      </c>
      <c r="B90" t="s">
        <v>73</v>
      </c>
      <c r="C90" t="s">
        <v>325</v>
      </c>
      <c r="D90" t="s">
        <v>347</v>
      </c>
      <c r="E90" t="str">
        <f t="shared" si="3"/>
        <v>Elodea canadensis</v>
      </c>
      <c r="F90" t="str">
        <f t="shared" si="2"/>
        <v>Non_Native</v>
      </c>
      <c r="G90">
        <v>2</v>
      </c>
    </row>
    <row r="91" spans="1:7" x14ac:dyDescent="0.55000000000000004">
      <c r="A91">
        <v>89</v>
      </c>
      <c r="B91" t="s">
        <v>73</v>
      </c>
      <c r="C91" t="s">
        <v>325</v>
      </c>
      <c r="D91" t="s">
        <v>173</v>
      </c>
      <c r="E91" t="str">
        <f t="shared" si="3"/>
        <v>Ceratophyllum demersum</v>
      </c>
      <c r="F91" t="str">
        <f t="shared" si="2"/>
        <v>Non_Native</v>
      </c>
      <c r="G91">
        <v>90</v>
      </c>
    </row>
    <row r="92" spans="1:7" x14ac:dyDescent="0.55000000000000004">
      <c r="A92">
        <v>89</v>
      </c>
      <c r="B92" t="s">
        <v>73</v>
      </c>
      <c r="C92" t="s">
        <v>151</v>
      </c>
      <c r="E92" t="e">
        <f t="shared" si="3"/>
        <v>#N/A</v>
      </c>
      <c r="F92" t="e">
        <f t="shared" si="2"/>
        <v>#N/A</v>
      </c>
      <c r="G92">
        <v>0</v>
      </c>
    </row>
    <row r="93" spans="1:7" x14ac:dyDescent="0.55000000000000004">
      <c r="A93">
        <v>90</v>
      </c>
      <c r="B93" t="s">
        <v>75</v>
      </c>
      <c r="C93" t="s">
        <v>324</v>
      </c>
      <c r="E93" t="e">
        <f t="shared" si="3"/>
        <v>#N/A</v>
      </c>
      <c r="F93" t="e">
        <f t="shared" si="2"/>
        <v>#N/A</v>
      </c>
      <c r="G93">
        <v>0</v>
      </c>
    </row>
    <row r="94" spans="1:7" x14ac:dyDescent="0.55000000000000004">
      <c r="A94">
        <v>90</v>
      </c>
      <c r="B94" t="s">
        <v>75</v>
      </c>
      <c r="C94" t="s">
        <v>325</v>
      </c>
      <c r="D94" t="s">
        <v>344</v>
      </c>
      <c r="E94" t="str">
        <f t="shared" si="3"/>
        <v>Myriophyllum triphyllum</v>
      </c>
      <c r="F94" t="str">
        <f t="shared" si="2"/>
        <v>Native</v>
      </c>
      <c r="G94">
        <v>20</v>
      </c>
    </row>
    <row r="95" spans="1:7" x14ac:dyDescent="0.55000000000000004">
      <c r="A95">
        <v>90</v>
      </c>
      <c r="B95" t="s">
        <v>75</v>
      </c>
      <c r="C95" t="s">
        <v>325</v>
      </c>
      <c r="D95" t="s">
        <v>348</v>
      </c>
      <c r="E95" t="str">
        <f t="shared" si="3"/>
        <v>Potamogeton crispus</v>
      </c>
      <c r="F95" t="str">
        <f t="shared" si="2"/>
        <v>Non_Native</v>
      </c>
      <c r="G95">
        <v>5</v>
      </c>
    </row>
    <row r="96" spans="1:7" x14ac:dyDescent="0.55000000000000004">
      <c r="A96">
        <v>90</v>
      </c>
      <c r="B96" t="s">
        <v>75</v>
      </c>
      <c r="C96" t="s">
        <v>325</v>
      </c>
      <c r="D96" t="s">
        <v>173</v>
      </c>
      <c r="E96" t="str">
        <f t="shared" si="3"/>
        <v>Ceratophyllum demersum</v>
      </c>
      <c r="F96" t="str">
        <f t="shared" si="2"/>
        <v>Non_Native</v>
      </c>
      <c r="G96">
        <v>70</v>
      </c>
    </row>
    <row r="97" spans="1:7" x14ac:dyDescent="0.55000000000000004">
      <c r="A97">
        <v>90</v>
      </c>
      <c r="B97" t="s">
        <v>75</v>
      </c>
      <c r="C97" t="s">
        <v>151</v>
      </c>
      <c r="E97" t="e">
        <f t="shared" si="3"/>
        <v>#N/A</v>
      </c>
      <c r="F97" t="e">
        <f t="shared" si="2"/>
        <v>#N/A</v>
      </c>
      <c r="G97">
        <v>0</v>
      </c>
    </row>
    <row r="98" spans="1:7" x14ac:dyDescent="0.55000000000000004">
      <c r="A98">
        <v>91</v>
      </c>
      <c r="B98" t="s">
        <v>76</v>
      </c>
      <c r="C98" t="s">
        <v>324</v>
      </c>
      <c r="E98" t="e">
        <f t="shared" si="3"/>
        <v>#N/A</v>
      </c>
      <c r="F98" t="e">
        <f t="shared" si="2"/>
        <v>#N/A</v>
      </c>
      <c r="G98">
        <v>0</v>
      </c>
    </row>
    <row r="99" spans="1:7" x14ac:dyDescent="0.55000000000000004">
      <c r="A99">
        <v>91</v>
      </c>
      <c r="B99" t="s">
        <v>76</v>
      </c>
      <c r="C99" t="s">
        <v>325</v>
      </c>
      <c r="D99" t="s">
        <v>173</v>
      </c>
      <c r="E99" t="str">
        <f t="shared" si="3"/>
        <v>Ceratophyllum demersum</v>
      </c>
      <c r="F99" t="str">
        <f t="shared" si="2"/>
        <v>Non_Native</v>
      </c>
      <c r="G99">
        <v>10</v>
      </c>
    </row>
    <row r="100" spans="1:7" x14ac:dyDescent="0.55000000000000004">
      <c r="A100">
        <v>91</v>
      </c>
      <c r="B100" t="s">
        <v>76</v>
      </c>
      <c r="C100" t="s">
        <v>151</v>
      </c>
      <c r="E100" t="e">
        <f t="shared" si="3"/>
        <v>#N/A</v>
      </c>
      <c r="F100" t="e">
        <f t="shared" si="2"/>
        <v>#N/A</v>
      </c>
      <c r="G100">
        <v>0</v>
      </c>
    </row>
    <row r="101" spans="1:7" x14ac:dyDescent="0.55000000000000004">
      <c r="A101">
        <v>92</v>
      </c>
      <c r="B101" t="s">
        <v>77</v>
      </c>
      <c r="C101" t="s">
        <v>324</v>
      </c>
      <c r="D101" t="s">
        <v>341</v>
      </c>
      <c r="E101" t="str">
        <f t="shared" si="3"/>
        <v>Eleocharis sphacelata</v>
      </c>
      <c r="F101" t="str">
        <f t="shared" si="2"/>
        <v>Native</v>
      </c>
      <c r="G101">
        <v>5</v>
      </c>
    </row>
    <row r="102" spans="1:7" x14ac:dyDescent="0.55000000000000004">
      <c r="A102">
        <v>92</v>
      </c>
      <c r="B102" t="s">
        <v>77</v>
      </c>
      <c r="C102" t="s">
        <v>325</v>
      </c>
      <c r="D102" t="s">
        <v>173</v>
      </c>
      <c r="E102" t="str">
        <f t="shared" si="3"/>
        <v>Ceratophyllum demersum</v>
      </c>
      <c r="F102" t="str">
        <f t="shared" si="2"/>
        <v>Non_Native</v>
      </c>
      <c r="G102">
        <v>100</v>
      </c>
    </row>
    <row r="103" spans="1:7" x14ac:dyDescent="0.55000000000000004">
      <c r="A103">
        <v>92</v>
      </c>
      <c r="B103" t="s">
        <v>77</v>
      </c>
      <c r="C103" t="s">
        <v>151</v>
      </c>
      <c r="E103" t="e">
        <f t="shared" si="3"/>
        <v>#N/A</v>
      </c>
      <c r="F103" t="e">
        <f t="shared" si="2"/>
        <v>#N/A</v>
      </c>
      <c r="G103">
        <v>0</v>
      </c>
    </row>
    <row r="104" spans="1:7" x14ac:dyDescent="0.55000000000000004">
      <c r="A104">
        <v>93</v>
      </c>
      <c r="B104" t="s">
        <v>78</v>
      </c>
      <c r="C104" t="s">
        <v>324</v>
      </c>
      <c r="D104" t="s">
        <v>340</v>
      </c>
      <c r="E104" t="str">
        <f t="shared" si="3"/>
        <v>Typha orientalis</v>
      </c>
      <c r="F104" t="str">
        <f t="shared" si="2"/>
        <v>Native</v>
      </c>
      <c r="G104">
        <v>30</v>
      </c>
    </row>
    <row r="105" spans="1:7" x14ac:dyDescent="0.55000000000000004">
      <c r="A105">
        <v>93</v>
      </c>
      <c r="B105" t="s">
        <v>78</v>
      </c>
      <c r="C105" t="s">
        <v>324</v>
      </c>
      <c r="D105" t="s">
        <v>341</v>
      </c>
      <c r="E105" t="str">
        <f t="shared" si="3"/>
        <v>Eleocharis sphacelata</v>
      </c>
      <c r="F105" t="str">
        <f t="shared" si="2"/>
        <v>Native</v>
      </c>
      <c r="G105">
        <v>5</v>
      </c>
    </row>
    <row r="106" spans="1:7" x14ac:dyDescent="0.55000000000000004">
      <c r="A106">
        <v>93</v>
      </c>
      <c r="B106" t="s">
        <v>78</v>
      </c>
      <c r="C106" t="s">
        <v>325</v>
      </c>
      <c r="D106" t="s">
        <v>173</v>
      </c>
      <c r="E106" t="str">
        <f t="shared" si="3"/>
        <v>Ceratophyllum demersum</v>
      </c>
      <c r="F106" t="str">
        <f t="shared" si="2"/>
        <v>Non_Native</v>
      </c>
      <c r="G106">
        <v>100</v>
      </c>
    </row>
    <row r="107" spans="1:7" x14ac:dyDescent="0.55000000000000004">
      <c r="A107">
        <v>93</v>
      </c>
      <c r="B107" t="s">
        <v>78</v>
      </c>
      <c r="C107" t="s">
        <v>151</v>
      </c>
      <c r="E107" t="e">
        <f t="shared" si="3"/>
        <v>#N/A</v>
      </c>
      <c r="F107" t="e">
        <f t="shared" si="2"/>
        <v>#N/A</v>
      </c>
      <c r="G107">
        <v>0</v>
      </c>
    </row>
    <row r="108" spans="1:7" x14ac:dyDescent="0.55000000000000004">
      <c r="A108">
        <v>94</v>
      </c>
      <c r="B108" t="s">
        <v>79</v>
      </c>
      <c r="C108" t="s">
        <v>324</v>
      </c>
      <c r="E108" t="e">
        <f t="shared" si="3"/>
        <v>#N/A</v>
      </c>
      <c r="F108" t="e">
        <f t="shared" si="2"/>
        <v>#N/A</v>
      </c>
      <c r="G108">
        <v>0</v>
      </c>
    </row>
    <row r="109" spans="1:7" x14ac:dyDescent="0.55000000000000004">
      <c r="A109">
        <v>94</v>
      </c>
      <c r="B109" t="s">
        <v>79</v>
      </c>
      <c r="C109" t="s">
        <v>325</v>
      </c>
      <c r="D109" t="s">
        <v>173</v>
      </c>
      <c r="E109" t="str">
        <f t="shared" si="3"/>
        <v>Ceratophyllum demersum</v>
      </c>
      <c r="F109" t="str">
        <f t="shared" si="2"/>
        <v>Non_Native</v>
      </c>
      <c r="G109">
        <v>95</v>
      </c>
    </row>
    <row r="110" spans="1:7" x14ac:dyDescent="0.55000000000000004">
      <c r="A110">
        <v>94</v>
      </c>
      <c r="B110" t="s">
        <v>79</v>
      </c>
      <c r="C110" t="s">
        <v>151</v>
      </c>
      <c r="E110" t="e">
        <f t="shared" si="3"/>
        <v>#N/A</v>
      </c>
      <c r="F110" t="e">
        <f t="shared" si="2"/>
        <v>#N/A</v>
      </c>
      <c r="G110">
        <v>0</v>
      </c>
    </row>
    <row r="111" spans="1:7" x14ac:dyDescent="0.55000000000000004">
      <c r="A111">
        <v>95</v>
      </c>
      <c r="B111" t="s">
        <v>80</v>
      </c>
      <c r="C111" t="s">
        <v>324</v>
      </c>
      <c r="E111" t="e">
        <f t="shared" si="3"/>
        <v>#N/A</v>
      </c>
      <c r="F111" t="e">
        <f t="shared" si="2"/>
        <v>#N/A</v>
      </c>
      <c r="G111">
        <v>0</v>
      </c>
    </row>
    <row r="112" spans="1:7" x14ac:dyDescent="0.55000000000000004">
      <c r="A112">
        <v>95</v>
      </c>
      <c r="B112" t="s">
        <v>80</v>
      </c>
      <c r="C112" t="s">
        <v>325</v>
      </c>
      <c r="E112" t="e">
        <f t="shared" si="3"/>
        <v>#N/A</v>
      </c>
      <c r="F112" t="e">
        <f t="shared" si="2"/>
        <v>#N/A</v>
      </c>
      <c r="G112">
        <v>0</v>
      </c>
    </row>
    <row r="113" spans="1:7" x14ac:dyDescent="0.55000000000000004">
      <c r="A113">
        <v>95</v>
      </c>
      <c r="B113" t="s">
        <v>80</v>
      </c>
      <c r="C113" t="s">
        <v>151</v>
      </c>
      <c r="E113" t="e">
        <f t="shared" si="3"/>
        <v>#N/A</v>
      </c>
      <c r="F113" t="e">
        <f t="shared" si="2"/>
        <v>#N/A</v>
      </c>
      <c r="G113">
        <v>0</v>
      </c>
    </row>
    <row r="114" spans="1:7" x14ac:dyDescent="0.55000000000000004">
      <c r="A114">
        <v>96</v>
      </c>
      <c r="B114" t="s">
        <v>81</v>
      </c>
      <c r="C114" t="s">
        <v>324</v>
      </c>
      <c r="E114" t="e">
        <f t="shared" si="3"/>
        <v>#N/A</v>
      </c>
      <c r="F114" t="e">
        <f t="shared" si="2"/>
        <v>#N/A</v>
      </c>
      <c r="G114">
        <v>0</v>
      </c>
    </row>
    <row r="115" spans="1:7" x14ac:dyDescent="0.55000000000000004">
      <c r="A115">
        <v>96</v>
      </c>
      <c r="B115" t="s">
        <v>81</v>
      </c>
      <c r="C115" t="s">
        <v>325</v>
      </c>
      <c r="E115" t="e">
        <f t="shared" si="3"/>
        <v>#N/A</v>
      </c>
      <c r="F115" t="e">
        <f t="shared" si="2"/>
        <v>#N/A</v>
      </c>
      <c r="G115">
        <v>0</v>
      </c>
    </row>
    <row r="116" spans="1:7" x14ac:dyDescent="0.55000000000000004">
      <c r="A116">
        <v>96</v>
      </c>
      <c r="B116" t="s">
        <v>81</v>
      </c>
      <c r="C116" t="s">
        <v>151</v>
      </c>
      <c r="E116" t="e">
        <f t="shared" si="3"/>
        <v>#N/A</v>
      </c>
      <c r="F116" t="e">
        <f t="shared" si="2"/>
        <v>#N/A</v>
      </c>
      <c r="G116">
        <v>0</v>
      </c>
    </row>
    <row r="117" spans="1:7" x14ac:dyDescent="0.55000000000000004">
      <c r="A117">
        <v>97</v>
      </c>
      <c r="B117" t="s">
        <v>84</v>
      </c>
      <c r="C117" t="s">
        <v>324</v>
      </c>
      <c r="E117" t="e">
        <f t="shared" si="3"/>
        <v>#N/A</v>
      </c>
      <c r="F117" t="e">
        <f t="shared" si="2"/>
        <v>#N/A</v>
      </c>
      <c r="G117">
        <v>0</v>
      </c>
    </row>
    <row r="118" spans="1:7" x14ac:dyDescent="0.55000000000000004">
      <c r="A118">
        <v>97</v>
      </c>
      <c r="B118" t="s">
        <v>84</v>
      </c>
      <c r="C118" t="s">
        <v>325</v>
      </c>
      <c r="D118" t="s">
        <v>346</v>
      </c>
      <c r="E118" t="str">
        <f t="shared" si="3"/>
        <v>Lagarosiphon major</v>
      </c>
      <c r="F118" t="str">
        <f t="shared" si="2"/>
        <v>Non_Native</v>
      </c>
      <c r="G118">
        <v>80</v>
      </c>
    </row>
    <row r="119" spans="1:7" x14ac:dyDescent="0.55000000000000004">
      <c r="A119">
        <v>97</v>
      </c>
      <c r="B119" t="s">
        <v>84</v>
      </c>
      <c r="C119" t="s">
        <v>151</v>
      </c>
      <c r="E119" t="e">
        <f t="shared" si="3"/>
        <v>#N/A</v>
      </c>
      <c r="F119" t="e">
        <f t="shared" si="2"/>
        <v>#N/A</v>
      </c>
      <c r="G119">
        <v>0</v>
      </c>
    </row>
    <row r="120" spans="1:7" x14ac:dyDescent="0.55000000000000004">
      <c r="A120">
        <v>98</v>
      </c>
      <c r="B120" t="s">
        <v>85</v>
      </c>
      <c r="C120" t="s">
        <v>324</v>
      </c>
      <c r="E120" t="e">
        <f t="shared" si="3"/>
        <v>#N/A</v>
      </c>
      <c r="F120" t="e">
        <f t="shared" si="2"/>
        <v>#N/A</v>
      </c>
      <c r="G120">
        <v>0</v>
      </c>
    </row>
    <row r="121" spans="1:7" x14ac:dyDescent="0.55000000000000004">
      <c r="A121">
        <v>98</v>
      </c>
      <c r="B121" t="s">
        <v>85</v>
      </c>
      <c r="C121" t="s">
        <v>325</v>
      </c>
      <c r="D121" t="s">
        <v>298</v>
      </c>
      <c r="E121" t="str">
        <f t="shared" si="3"/>
        <v>Chara corallina/ Chara globularis</v>
      </c>
      <c r="F121" t="str">
        <f t="shared" si="2"/>
        <v>Native</v>
      </c>
      <c r="G121">
        <v>5</v>
      </c>
    </row>
    <row r="122" spans="1:7" x14ac:dyDescent="0.55000000000000004">
      <c r="A122">
        <v>98</v>
      </c>
      <c r="B122" t="s">
        <v>85</v>
      </c>
      <c r="C122" t="s">
        <v>151</v>
      </c>
      <c r="E122" t="e">
        <f t="shared" si="3"/>
        <v>#N/A</v>
      </c>
      <c r="F122" t="e">
        <f t="shared" si="2"/>
        <v>#N/A</v>
      </c>
      <c r="G122">
        <v>0</v>
      </c>
    </row>
    <row r="123" spans="1:7" x14ac:dyDescent="0.55000000000000004">
      <c r="A123">
        <v>99</v>
      </c>
      <c r="B123" t="s">
        <v>86</v>
      </c>
      <c r="C123" t="s">
        <v>324</v>
      </c>
      <c r="E123" t="e">
        <f t="shared" si="3"/>
        <v>#N/A</v>
      </c>
      <c r="F123" t="e">
        <f t="shared" si="2"/>
        <v>#N/A</v>
      </c>
      <c r="G123">
        <v>0</v>
      </c>
    </row>
    <row r="124" spans="1:7" x14ac:dyDescent="0.55000000000000004">
      <c r="A124">
        <v>99</v>
      </c>
      <c r="B124" t="s">
        <v>86</v>
      </c>
      <c r="C124" t="s">
        <v>325</v>
      </c>
      <c r="E124" t="e">
        <f t="shared" si="3"/>
        <v>#N/A</v>
      </c>
      <c r="F124" t="e">
        <f t="shared" si="2"/>
        <v>#N/A</v>
      </c>
      <c r="G124">
        <v>0</v>
      </c>
    </row>
    <row r="125" spans="1:7" x14ac:dyDescent="0.55000000000000004">
      <c r="A125">
        <v>99</v>
      </c>
      <c r="B125" t="s">
        <v>86</v>
      </c>
      <c r="C125" t="s">
        <v>151</v>
      </c>
      <c r="E125" t="e">
        <f t="shared" si="3"/>
        <v>#N/A</v>
      </c>
      <c r="F125" t="e">
        <f t="shared" si="2"/>
        <v>#N/A</v>
      </c>
      <c r="G125">
        <v>0</v>
      </c>
    </row>
    <row r="126" spans="1:7" x14ac:dyDescent="0.55000000000000004">
      <c r="A126">
        <v>100</v>
      </c>
      <c r="B126" t="s">
        <v>88</v>
      </c>
      <c r="C126" t="s">
        <v>324</v>
      </c>
      <c r="D126" t="s">
        <v>341</v>
      </c>
      <c r="E126" t="str">
        <f t="shared" si="3"/>
        <v>Eleocharis sphacelata</v>
      </c>
      <c r="F126" t="str">
        <f t="shared" si="2"/>
        <v>Native</v>
      </c>
      <c r="G126">
        <v>80</v>
      </c>
    </row>
    <row r="127" spans="1:7" x14ac:dyDescent="0.55000000000000004">
      <c r="A127">
        <v>100</v>
      </c>
      <c r="B127" t="s">
        <v>88</v>
      </c>
      <c r="C127" t="s">
        <v>325</v>
      </c>
      <c r="D127" t="s">
        <v>346</v>
      </c>
      <c r="E127" t="str">
        <f t="shared" si="3"/>
        <v>Lagarosiphon major</v>
      </c>
      <c r="F127" t="str">
        <f t="shared" si="2"/>
        <v>Non_Native</v>
      </c>
      <c r="G127">
        <v>20</v>
      </c>
    </row>
    <row r="128" spans="1:7" x14ac:dyDescent="0.55000000000000004">
      <c r="A128">
        <v>100</v>
      </c>
      <c r="B128" t="s">
        <v>88</v>
      </c>
      <c r="C128" t="s">
        <v>151</v>
      </c>
      <c r="E128" t="e">
        <f t="shared" si="3"/>
        <v>#N/A</v>
      </c>
      <c r="F128" t="e">
        <f t="shared" si="2"/>
        <v>#N/A</v>
      </c>
      <c r="G128">
        <v>0</v>
      </c>
    </row>
    <row r="129" spans="1:7" x14ac:dyDescent="0.55000000000000004">
      <c r="A129">
        <v>101</v>
      </c>
      <c r="B129" t="s">
        <v>90</v>
      </c>
      <c r="C129" t="s">
        <v>324</v>
      </c>
      <c r="D129" t="s">
        <v>341</v>
      </c>
      <c r="E129" t="str">
        <f t="shared" si="3"/>
        <v>Eleocharis sphacelata</v>
      </c>
      <c r="F129" t="str">
        <f t="shared" si="2"/>
        <v>Native</v>
      </c>
      <c r="G129">
        <v>40</v>
      </c>
    </row>
    <row r="130" spans="1:7" x14ac:dyDescent="0.55000000000000004">
      <c r="A130">
        <v>101</v>
      </c>
      <c r="B130" t="s">
        <v>90</v>
      </c>
      <c r="C130" t="s">
        <v>325</v>
      </c>
      <c r="D130" t="s">
        <v>346</v>
      </c>
      <c r="E130" t="str">
        <f t="shared" si="3"/>
        <v>Lagarosiphon major</v>
      </c>
      <c r="F130" t="str">
        <f t="shared" si="2"/>
        <v>Non_Native</v>
      </c>
      <c r="G130">
        <v>10</v>
      </c>
    </row>
    <row r="131" spans="1:7" x14ac:dyDescent="0.55000000000000004">
      <c r="A131">
        <v>101</v>
      </c>
      <c r="B131" t="s">
        <v>90</v>
      </c>
      <c r="C131" t="s">
        <v>151</v>
      </c>
      <c r="E131" t="e">
        <f t="shared" si="3"/>
        <v>#N/A</v>
      </c>
      <c r="F131" t="e">
        <f t="shared" si="2"/>
        <v>#N/A</v>
      </c>
      <c r="G131">
        <v>0</v>
      </c>
    </row>
    <row r="132" spans="1:7" x14ac:dyDescent="0.55000000000000004">
      <c r="A132">
        <v>102</v>
      </c>
      <c r="B132" t="s">
        <v>92</v>
      </c>
      <c r="C132" t="s">
        <v>324</v>
      </c>
      <c r="E132" t="e">
        <f t="shared" si="3"/>
        <v>#N/A</v>
      </c>
      <c r="F132" t="e">
        <f t="shared" si="2"/>
        <v>#N/A</v>
      </c>
      <c r="G132">
        <v>0</v>
      </c>
    </row>
    <row r="133" spans="1:7" x14ac:dyDescent="0.55000000000000004">
      <c r="A133">
        <v>102</v>
      </c>
      <c r="B133" t="s">
        <v>92</v>
      </c>
      <c r="C133" t="s">
        <v>325</v>
      </c>
      <c r="D133" t="s">
        <v>346</v>
      </c>
      <c r="E133" t="str">
        <f t="shared" si="3"/>
        <v>Lagarosiphon major</v>
      </c>
      <c r="F133" t="str">
        <f t="shared" si="2"/>
        <v>Non_Native</v>
      </c>
      <c r="G133">
        <v>10</v>
      </c>
    </row>
    <row r="134" spans="1:7" x14ac:dyDescent="0.55000000000000004">
      <c r="A134">
        <v>102</v>
      </c>
      <c r="B134" t="s">
        <v>92</v>
      </c>
      <c r="C134" t="s">
        <v>151</v>
      </c>
      <c r="E134" t="e">
        <f t="shared" si="3"/>
        <v>#N/A</v>
      </c>
      <c r="F134" t="e">
        <f t="shared" si="2"/>
        <v>#N/A</v>
      </c>
      <c r="G134">
        <v>0</v>
      </c>
    </row>
    <row r="135" spans="1:7" x14ac:dyDescent="0.55000000000000004">
      <c r="A135">
        <v>103</v>
      </c>
      <c r="B135" t="s">
        <v>94</v>
      </c>
      <c r="C135" t="s">
        <v>324</v>
      </c>
      <c r="E135" t="e">
        <f t="shared" si="3"/>
        <v>#N/A</v>
      </c>
      <c r="F135" t="e">
        <f t="shared" si="2"/>
        <v>#N/A</v>
      </c>
      <c r="G135">
        <v>0</v>
      </c>
    </row>
    <row r="136" spans="1:7" x14ac:dyDescent="0.55000000000000004">
      <c r="A136">
        <v>103</v>
      </c>
      <c r="B136" t="s">
        <v>94</v>
      </c>
      <c r="C136" t="s">
        <v>325</v>
      </c>
      <c r="E136" t="e">
        <f t="shared" si="3"/>
        <v>#N/A</v>
      </c>
      <c r="F136" t="e">
        <f t="shared" si="2"/>
        <v>#N/A</v>
      </c>
      <c r="G136">
        <v>0</v>
      </c>
    </row>
    <row r="137" spans="1:7" x14ac:dyDescent="0.55000000000000004">
      <c r="A137">
        <v>103</v>
      </c>
      <c r="B137" t="s">
        <v>94</v>
      </c>
      <c r="C137" t="s">
        <v>151</v>
      </c>
      <c r="E137" t="e">
        <f t="shared" si="3"/>
        <v>#N/A</v>
      </c>
      <c r="F137" t="e">
        <f t="shared" si="2"/>
        <v>#N/A</v>
      </c>
      <c r="G137">
        <v>0</v>
      </c>
    </row>
    <row r="138" spans="1:7" x14ac:dyDescent="0.55000000000000004">
      <c r="A138">
        <v>104</v>
      </c>
      <c r="B138" t="s">
        <v>97</v>
      </c>
      <c r="C138" t="s">
        <v>324</v>
      </c>
      <c r="D138" t="s">
        <v>341</v>
      </c>
      <c r="E138" t="str">
        <f t="shared" si="3"/>
        <v>Eleocharis sphacelata</v>
      </c>
      <c r="F138" t="str">
        <f t="shared" si="2"/>
        <v>Native</v>
      </c>
      <c r="G138">
        <v>5</v>
      </c>
    </row>
    <row r="139" spans="1:7" x14ac:dyDescent="0.55000000000000004">
      <c r="A139">
        <v>104</v>
      </c>
      <c r="B139" t="s">
        <v>97</v>
      </c>
      <c r="C139" t="s">
        <v>325</v>
      </c>
      <c r="D139" t="s">
        <v>346</v>
      </c>
      <c r="E139" t="str">
        <f t="shared" si="3"/>
        <v>Lagarosiphon major</v>
      </c>
      <c r="F139" t="str">
        <f t="shared" si="2"/>
        <v>Non_Native</v>
      </c>
      <c r="G139">
        <v>85</v>
      </c>
    </row>
    <row r="140" spans="1:7" x14ac:dyDescent="0.55000000000000004">
      <c r="A140">
        <v>104</v>
      </c>
      <c r="B140" t="s">
        <v>97</v>
      </c>
      <c r="C140" t="s">
        <v>151</v>
      </c>
      <c r="E140" t="e">
        <f t="shared" si="3"/>
        <v>#N/A</v>
      </c>
      <c r="F140" t="e">
        <f t="shared" si="2"/>
        <v>#N/A</v>
      </c>
      <c r="G140">
        <v>0</v>
      </c>
    </row>
    <row r="141" spans="1:7" x14ac:dyDescent="0.55000000000000004">
      <c r="A141">
        <v>105</v>
      </c>
      <c r="B141" t="s">
        <v>98</v>
      </c>
      <c r="C141" t="s">
        <v>324</v>
      </c>
      <c r="E141" t="e">
        <f t="shared" si="3"/>
        <v>#N/A</v>
      </c>
      <c r="F141" t="e">
        <f t="shared" si="2"/>
        <v>#N/A</v>
      </c>
      <c r="G141">
        <v>0</v>
      </c>
    </row>
    <row r="142" spans="1:7" x14ac:dyDescent="0.55000000000000004">
      <c r="A142">
        <v>105</v>
      </c>
      <c r="B142" t="s">
        <v>98</v>
      </c>
      <c r="C142" t="s">
        <v>325</v>
      </c>
      <c r="E142" t="e">
        <f t="shared" si="3"/>
        <v>#N/A</v>
      </c>
      <c r="F142" t="e">
        <f t="shared" si="2"/>
        <v>#N/A</v>
      </c>
      <c r="G142">
        <v>0</v>
      </c>
    </row>
    <row r="143" spans="1:7" x14ac:dyDescent="0.55000000000000004">
      <c r="A143">
        <v>105</v>
      </c>
      <c r="B143" t="s">
        <v>98</v>
      </c>
      <c r="C143" t="s">
        <v>151</v>
      </c>
      <c r="E143" t="e">
        <f t="shared" si="3"/>
        <v>#N/A</v>
      </c>
      <c r="F143" t="e">
        <f t="shared" si="2"/>
        <v>#N/A</v>
      </c>
      <c r="G143">
        <v>0</v>
      </c>
    </row>
    <row r="144" spans="1:7" x14ac:dyDescent="0.55000000000000004">
      <c r="A144">
        <v>106</v>
      </c>
      <c r="B144" t="s">
        <v>99</v>
      </c>
      <c r="C144" t="s">
        <v>324</v>
      </c>
      <c r="E144" t="e">
        <f t="shared" si="3"/>
        <v>#N/A</v>
      </c>
      <c r="F144" t="e">
        <f t="shared" si="2"/>
        <v>#N/A</v>
      </c>
      <c r="G144">
        <v>0</v>
      </c>
    </row>
    <row r="145" spans="1:7" x14ac:dyDescent="0.55000000000000004">
      <c r="A145">
        <v>106</v>
      </c>
      <c r="B145" t="s">
        <v>99</v>
      </c>
      <c r="C145" t="s">
        <v>325</v>
      </c>
      <c r="D145" t="s">
        <v>346</v>
      </c>
      <c r="E145" t="str">
        <f t="shared" si="3"/>
        <v>Lagarosiphon major</v>
      </c>
      <c r="F145" t="str">
        <f t="shared" si="2"/>
        <v>Non_Native</v>
      </c>
      <c r="G145">
        <v>10</v>
      </c>
    </row>
    <row r="146" spans="1:7" x14ac:dyDescent="0.55000000000000004">
      <c r="A146">
        <v>106</v>
      </c>
      <c r="B146" t="s">
        <v>99</v>
      </c>
      <c r="C146" t="s">
        <v>151</v>
      </c>
      <c r="E146" t="e">
        <f t="shared" si="3"/>
        <v>#N/A</v>
      </c>
      <c r="F146" t="e">
        <f t="shared" si="2"/>
        <v>#N/A</v>
      </c>
      <c r="G146">
        <v>0</v>
      </c>
    </row>
    <row r="147" spans="1:7" x14ac:dyDescent="0.55000000000000004">
      <c r="A147">
        <v>107</v>
      </c>
      <c r="B147" t="s">
        <v>101</v>
      </c>
      <c r="C147" t="s">
        <v>324</v>
      </c>
      <c r="E147" t="e">
        <f t="shared" si="3"/>
        <v>#N/A</v>
      </c>
      <c r="F147" t="e">
        <f t="shared" si="2"/>
        <v>#N/A</v>
      </c>
      <c r="G147">
        <v>0</v>
      </c>
    </row>
    <row r="148" spans="1:7" x14ac:dyDescent="0.55000000000000004">
      <c r="A148">
        <v>107</v>
      </c>
      <c r="B148" t="s">
        <v>101</v>
      </c>
      <c r="C148" t="s">
        <v>325</v>
      </c>
      <c r="E148" t="e">
        <f t="shared" si="3"/>
        <v>#N/A</v>
      </c>
      <c r="F148" t="e">
        <f t="shared" si="2"/>
        <v>#N/A</v>
      </c>
      <c r="G148">
        <v>0</v>
      </c>
    </row>
    <row r="149" spans="1:7" x14ac:dyDescent="0.55000000000000004">
      <c r="A149">
        <v>107</v>
      </c>
      <c r="B149" t="s">
        <v>101</v>
      </c>
      <c r="C149" t="s">
        <v>151</v>
      </c>
      <c r="E149" t="e">
        <f t="shared" si="3"/>
        <v>#N/A</v>
      </c>
      <c r="F149" t="e">
        <f t="shared" si="2"/>
        <v>#N/A</v>
      </c>
      <c r="G149">
        <v>0</v>
      </c>
    </row>
    <row r="150" spans="1:7" x14ac:dyDescent="0.55000000000000004">
      <c r="A150">
        <v>108</v>
      </c>
      <c r="B150" t="s">
        <v>103</v>
      </c>
      <c r="C150" t="s">
        <v>324</v>
      </c>
      <c r="D150" t="s">
        <v>340</v>
      </c>
      <c r="E150" t="str">
        <f t="shared" si="3"/>
        <v>Typha orientalis</v>
      </c>
      <c r="F150" t="str">
        <f t="shared" si="2"/>
        <v>Native</v>
      </c>
      <c r="G150">
        <v>5</v>
      </c>
    </row>
    <row r="151" spans="1:7" x14ac:dyDescent="0.55000000000000004">
      <c r="A151">
        <v>108</v>
      </c>
      <c r="B151" t="s">
        <v>103</v>
      </c>
      <c r="C151" t="s">
        <v>325</v>
      </c>
      <c r="D151" t="s">
        <v>346</v>
      </c>
      <c r="E151" t="str">
        <f t="shared" si="3"/>
        <v>Lagarosiphon major</v>
      </c>
      <c r="F151" t="str">
        <f t="shared" si="2"/>
        <v>Non_Native</v>
      </c>
      <c r="G151">
        <v>40</v>
      </c>
    </row>
    <row r="152" spans="1:7" x14ac:dyDescent="0.55000000000000004">
      <c r="A152">
        <v>108</v>
      </c>
      <c r="B152" t="s">
        <v>103</v>
      </c>
      <c r="C152" t="s">
        <v>151</v>
      </c>
      <c r="E152" t="e">
        <f t="shared" si="3"/>
        <v>#N/A</v>
      </c>
      <c r="F152" t="e">
        <f t="shared" si="2"/>
        <v>#N/A</v>
      </c>
      <c r="G152">
        <v>0</v>
      </c>
    </row>
    <row r="153" spans="1:7" x14ac:dyDescent="0.55000000000000004">
      <c r="A153">
        <v>109</v>
      </c>
      <c r="B153" t="s">
        <v>106</v>
      </c>
      <c r="C153" t="s">
        <v>324</v>
      </c>
      <c r="E153" t="e">
        <f t="shared" si="3"/>
        <v>#N/A</v>
      </c>
      <c r="F153" t="e">
        <f t="shared" si="2"/>
        <v>#N/A</v>
      </c>
      <c r="G153">
        <v>0</v>
      </c>
    </row>
    <row r="154" spans="1:7" x14ac:dyDescent="0.55000000000000004">
      <c r="A154">
        <v>109</v>
      </c>
      <c r="B154" t="s">
        <v>106</v>
      </c>
      <c r="C154" t="s">
        <v>325</v>
      </c>
      <c r="E154" t="e">
        <f t="shared" si="3"/>
        <v>#N/A</v>
      </c>
      <c r="F154" t="e">
        <f t="shared" si="2"/>
        <v>#N/A</v>
      </c>
      <c r="G154">
        <v>0</v>
      </c>
    </row>
    <row r="155" spans="1:7" x14ac:dyDescent="0.55000000000000004">
      <c r="A155">
        <v>109</v>
      </c>
      <c r="B155" t="s">
        <v>106</v>
      </c>
      <c r="C155" t="s">
        <v>151</v>
      </c>
      <c r="E155" t="e">
        <f t="shared" si="3"/>
        <v>#N/A</v>
      </c>
      <c r="F155" t="e">
        <f t="shared" si="2"/>
        <v>#N/A</v>
      </c>
      <c r="G155">
        <v>0</v>
      </c>
    </row>
    <row r="156" spans="1:7" x14ac:dyDescent="0.55000000000000004">
      <c r="A156">
        <v>109</v>
      </c>
      <c r="B156" t="s">
        <v>289</v>
      </c>
      <c r="C156" t="s">
        <v>324</v>
      </c>
      <c r="E156" t="e">
        <f t="shared" si="3"/>
        <v>#N/A</v>
      </c>
      <c r="F156" t="e">
        <f t="shared" si="2"/>
        <v>#N/A</v>
      </c>
      <c r="G156">
        <v>0</v>
      </c>
    </row>
    <row r="157" spans="1:7" x14ac:dyDescent="0.55000000000000004">
      <c r="A157">
        <v>109</v>
      </c>
      <c r="B157" t="s">
        <v>289</v>
      </c>
      <c r="C157" t="s">
        <v>325</v>
      </c>
      <c r="E157" t="e">
        <f t="shared" si="3"/>
        <v>#N/A</v>
      </c>
      <c r="F157" t="e">
        <f t="shared" si="2"/>
        <v>#N/A</v>
      </c>
      <c r="G157">
        <v>0</v>
      </c>
    </row>
    <row r="158" spans="1:7" x14ac:dyDescent="0.55000000000000004">
      <c r="A158">
        <v>109</v>
      </c>
      <c r="B158" t="s">
        <v>289</v>
      </c>
      <c r="C158" t="s">
        <v>151</v>
      </c>
      <c r="E158" t="e">
        <f t="shared" si="3"/>
        <v>#N/A</v>
      </c>
      <c r="F158" t="e">
        <f t="shared" si="2"/>
        <v>#N/A</v>
      </c>
      <c r="G158">
        <v>0</v>
      </c>
    </row>
    <row r="159" spans="1:7" x14ac:dyDescent="0.55000000000000004">
      <c r="A159">
        <v>110</v>
      </c>
      <c r="B159" t="s">
        <v>108</v>
      </c>
      <c r="C159" t="s">
        <v>324</v>
      </c>
      <c r="E159" t="e">
        <f t="shared" si="3"/>
        <v>#N/A</v>
      </c>
      <c r="F159" t="e">
        <f t="shared" si="2"/>
        <v>#N/A</v>
      </c>
      <c r="G159">
        <v>0</v>
      </c>
    </row>
    <row r="160" spans="1:7" x14ac:dyDescent="0.55000000000000004">
      <c r="A160">
        <v>110</v>
      </c>
      <c r="B160" t="s">
        <v>108</v>
      </c>
      <c r="C160" t="s">
        <v>325</v>
      </c>
      <c r="E160" t="e">
        <f t="shared" si="3"/>
        <v>#N/A</v>
      </c>
      <c r="F160" t="e">
        <f t="shared" si="2"/>
        <v>#N/A</v>
      </c>
      <c r="G160">
        <v>0</v>
      </c>
    </row>
    <row r="161" spans="1:7" x14ac:dyDescent="0.55000000000000004">
      <c r="A161">
        <v>110</v>
      </c>
      <c r="B161" t="s">
        <v>108</v>
      </c>
      <c r="C161" t="s">
        <v>151</v>
      </c>
      <c r="E161" t="e">
        <f t="shared" si="3"/>
        <v>#N/A</v>
      </c>
      <c r="F161" t="e">
        <f t="shared" si="2"/>
        <v>#N/A</v>
      </c>
      <c r="G161">
        <v>0</v>
      </c>
    </row>
    <row r="162" spans="1:7" x14ac:dyDescent="0.55000000000000004">
      <c r="A162">
        <v>111</v>
      </c>
      <c r="B162" t="s">
        <v>109</v>
      </c>
      <c r="C162" t="s">
        <v>324</v>
      </c>
      <c r="D162" t="s">
        <v>340</v>
      </c>
      <c r="E162" t="str">
        <f t="shared" si="3"/>
        <v>Typha orientalis</v>
      </c>
      <c r="F162" t="str">
        <f t="shared" si="2"/>
        <v>Native</v>
      </c>
      <c r="G162">
        <v>90</v>
      </c>
    </row>
    <row r="163" spans="1:7" x14ac:dyDescent="0.55000000000000004">
      <c r="A163">
        <v>111</v>
      </c>
      <c r="B163" t="s">
        <v>109</v>
      </c>
      <c r="C163" t="s">
        <v>325</v>
      </c>
      <c r="D163" t="s">
        <v>298</v>
      </c>
      <c r="E163" t="str">
        <f t="shared" si="3"/>
        <v>Chara corallina/ Chara globularis</v>
      </c>
      <c r="F163" t="str">
        <f t="shared" si="2"/>
        <v>Native</v>
      </c>
      <c r="G163">
        <v>100</v>
      </c>
    </row>
    <row r="164" spans="1:7" x14ac:dyDescent="0.55000000000000004">
      <c r="A164">
        <v>111</v>
      </c>
      <c r="B164" t="s">
        <v>109</v>
      </c>
      <c r="C164" t="s">
        <v>151</v>
      </c>
      <c r="E164" t="e">
        <f t="shared" si="3"/>
        <v>#N/A</v>
      </c>
      <c r="F164" t="e">
        <f t="shared" si="2"/>
        <v>#N/A</v>
      </c>
      <c r="G164">
        <v>0</v>
      </c>
    </row>
    <row r="165" spans="1:7" x14ac:dyDescent="0.55000000000000004">
      <c r="A165">
        <v>111</v>
      </c>
      <c r="B165" t="s">
        <v>290</v>
      </c>
      <c r="C165" t="s">
        <v>324</v>
      </c>
      <c r="D165" t="s">
        <v>340</v>
      </c>
      <c r="E165" t="str">
        <f t="shared" si="3"/>
        <v>Typha orientalis</v>
      </c>
      <c r="F165" t="str">
        <f t="shared" si="2"/>
        <v>Native</v>
      </c>
      <c r="G165">
        <v>30</v>
      </c>
    </row>
    <row r="166" spans="1:7" x14ac:dyDescent="0.55000000000000004">
      <c r="A166">
        <v>111</v>
      </c>
      <c r="B166" t="s">
        <v>290</v>
      </c>
      <c r="C166" t="s">
        <v>325</v>
      </c>
      <c r="D166" t="s">
        <v>298</v>
      </c>
      <c r="E166" t="str">
        <f t="shared" si="3"/>
        <v>Chara corallina/ Chara globularis</v>
      </c>
      <c r="F166" t="str">
        <f t="shared" si="2"/>
        <v>Native</v>
      </c>
      <c r="G166">
        <v>60</v>
      </c>
    </row>
    <row r="167" spans="1:7" x14ac:dyDescent="0.55000000000000004">
      <c r="A167">
        <v>111</v>
      </c>
      <c r="B167" t="s">
        <v>290</v>
      </c>
      <c r="C167" t="s">
        <v>325</v>
      </c>
      <c r="D167" t="s">
        <v>348</v>
      </c>
      <c r="E167" t="str">
        <f t="shared" si="3"/>
        <v>Potamogeton crispus</v>
      </c>
      <c r="F167" t="str">
        <f t="shared" si="2"/>
        <v>Non_Native</v>
      </c>
      <c r="G167">
        <v>5</v>
      </c>
    </row>
    <row r="168" spans="1:7" x14ac:dyDescent="0.55000000000000004">
      <c r="A168">
        <v>111</v>
      </c>
      <c r="B168" t="s">
        <v>290</v>
      </c>
      <c r="C168" t="s">
        <v>151</v>
      </c>
      <c r="E168" t="e">
        <f t="shared" si="3"/>
        <v>#N/A</v>
      </c>
      <c r="F168" t="e">
        <f t="shared" si="2"/>
        <v>#N/A</v>
      </c>
      <c r="G168">
        <v>0</v>
      </c>
    </row>
    <row r="169" spans="1:7" x14ac:dyDescent="0.55000000000000004">
      <c r="A169">
        <v>112</v>
      </c>
      <c r="B169" t="s">
        <v>111</v>
      </c>
      <c r="C169" t="s">
        <v>324</v>
      </c>
      <c r="E169" t="e">
        <f t="shared" si="3"/>
        <v>#N/A</v>
      </c>
      <c r="F169" t="e">
        <f t="shared" si="2"/>
        <v>#N/A</v>
      </c>
      <c r="G169">
        <v>0</v>
      </c>
    </row>
    <row r="170" spans="1:7" x14ac:dyDescent="0.55000000000000004">
      <c r="A170">
        <v>112</v>
      </c>
      <c r="B170" t="s">
        <v>111</v>
      </c>
      <c r="C170" t="s">
        <v>325</v>
      </c>
      <c r="E170" t="e">
        <f t="shared" si="3"/>
        <v>#N/A</v>
      </c>
      <c r="F170" t="e">
        <f t="shared" si="2"/>
        <v>#N/A</v>
      </c>
      <c r="G170">
        <v>0</v>
      </c>
    </row>
    <row r="171" spans="1:7" x14ac:dyDescent="0.55000000000000004">
      <c r="A171">
        <v>112</v>
      </c>
      <c r="B171" t="s">
        <v>111</v>
      </c>
      <c r="C171" t="s">
        <v>151</v>
      </c>
      <c r="D171" t="s">
        <v>360</v>
      </c>
      <c r="E171" t="str">
        <f t="shared" si="3"/>
        <v xml:space="preserve">Lilaeopsis </v>
      </c>
      <c r="F171" t="str">
        <f t="shared" si="2"/>
        <v>Native</v>
      </c>
      <c r="G171">
        <v>50</v>
      </c>
    </row>
    <row r="172" spans="1:7" x14ac:dyDescent="0.55000000000000004">
      <c r="A172">
        <v>113</v>
      </c>
      <c r="B172" t="s">
        <v>113</v>
      </c>
      <c r="C172" t="s">
        <v>324</v>
      </c>
      <c r="E172" t="e">
        <f t="shared" si="3"/>
        <v>#N/A</v>
      </c>
      <c r="F172" t="e">
        <f t="shared" si="2"/>
        <v>#N/A</v>
      </c>
      <c r="G172">
        <v>0</v>
      </c>
    </row>
    <row r="173" spans="1:7" x14ac:dyDescent="0.55000000000000004">
      <c r="A173">
        <v>113</v>
      </c>
      <c r="B173" t="s">
        <v>113</v>
      </c>
      <c r="C173" t="s">
        <v>325</v>
      </c>
      <c r="E173" t="e">
        <f t="shared" si="3"/>
        <v>#N/A</v>
      </c>
      <c r="F173" t="e">
        <f t="shared" si="2"/>
        <v>#N/A</v>
      </c>
      <c r="G173">
        <v>0</v>
      </c>
    </row>
    <row r="174" spans="1:7" x14ac:dyDescent="0.55000000000000004">
      <c r="A174">
        <v>113</v>
      </c>
      <c r="B174" t="s">
        <v>113</v>
      </c>
      <c r="C174" t="s">
        <v>151</v>
      </c>
      <c r="E174" t="e">
        <f t="shared" si="3"/>
        <v>#N/A</v>
      </c>
      <c r="F174" t="e">
        <f t="shared" si="2"/>
        <v>#N/A</v>
      </c>
      <c r="G174">
        <v>0</v>
      </c>
    </row>
    <row r="175" spans="1:7" x14ac:dyDescent="0.55000000000000004">
      <c r="A175">
        <v>114</v>
      </c>
      <c r="B175" t="s">
        <v>114</v>
      </c>
      <c r="C175" t="s">
        <v>324</v>
      </c>
      <c r="D175" t="s">
        <v>340</v>
      </c>
      <c r="E175" t="str">
        <f t="shared" si="3"/>
        <v>Typha orientalis</v>
      </c>
      <c r="F175" t="str">
        <f t="shared" si="2"/>
        <v>Native</v>
      </c>
      <c r="G175">
        <v>90</v>
      </c>
    </row>
    <row r="176" spans="1:7" x14ac:dyDescent="0.55000000000000004">
      <c r="A176">
        <v>114</v>
      </c>
      <c r="B176" t="s">
        <v>114</v>
      </c>
      <c r="C176" t="s">
        <v>325</v>
      </c>
      <c r="E176" t="e">
        <f t="shared" si="3"/>
        <v>#N/A</v>
      </c>
      <c r="F176" t="e">
        <f t="shared" si="2"/>
        <v>#N/A</v>
      </c>
      <c r="G176">
        <v>0</v>
      </c>
    </row>
    <row r="177" spans="1:7" x14ac:dyDescent="0.55000000000000004">
      <c r="A177">
        <v>114</v>
      </c>
      <c r="B177" t="s">
        <v>114</v>
      </c>
      <c r="C177" t="s">
        <v>151</v>
      </c>
      <c r="E177" t="e">
        <f t="shared" si="3"/>
        <v>#N/A</v>
      </c>
      <c r="F177" t="e">
        <f t="shared" si="2"/>
        <v>#N/A</v>
      </c>
      <c r="G177">
        <v>0</v>
      </c>
    </row>
    <row r="178" spans="1:7" x14ac:dyDescent="0.55000000000000004">
      <c r="A178">
        <v>115</v>
      </c>
      <c r="B178" t="s">
        <v>115</v>
      </c>
      <c r="C178" t="s">
        <v>324</v>
      </c>
      <c r="E178" t="e">
        <f t="shared" si="3"/>
        <v>#N/A</v>
      </c>
      <c r="F178" t="e">
        <f t="shared" si="2"/>
        <v>#N/A</v>
      </c>
      <c r="G178">
        <v>0</v>
      </c>
    </row>
    <row r="179" spans="1:7" x14ac:dyDescent="0.55000000000000004">
      <c r="A179">
        <v>115</v>
      </c>
      <c r="B179" t="s">
        <v>115</v>
      </c>
      <c r="C179" t="s">
        <v>325</v>
      </c>
      <c r="E179" t="e">
        <f t="shared" si="3"/>
        <v>#N/A</v>
      </c>
      <c r="F179" t="e">
        <f t="shared" si="2"/>
        <v>#N/A</v>
      </c>
      <c r="G179">
        <v>0</v>
      </c>
    </row>
    <row r="180" spans="1:7" x14ac:dyDescent="0.55000000000000004">
      <c r="A180">
        <v>115</v>
      </c>
      <c r="B180" t="s">
        <v>115</v>
      </c>
      <c r="C180" t="s">
        <v>151</v>
      </c>
      <c r="E180" t="e">
        <f t="shared" si="3"/>
        <v>#N/A</v>
      </c>
      <c r="F180" t="e">
        <f t="shared" ref="F180:F210" si="4">VLOOKUP($D180, $J$2:$L$18, 3, FALSE)</f>
        <v>#N/A</v>
      </c>
      <c r="G180">
        <v>0</v>
      </c>
    </row>
    <row r="181" spans="1:7" x14ac:dyDescent="0.55000000000000004">
      <c r="A181">
        <v>115</v>
      </c>
      <c r="B181" t="s">
        <v>291</v>
      </c>
      <c r="C181" t="s">
        <v>324</v>
      </c>
      <c r="E181" t="e">
        <f t="shared" si="3"/>
        <v>#N/A</v>
      </c>
      <c r="F181" t="e">
        <f t="shared" si="4"/>
        <v>#N/A</v>
      </c>
      <c r="G181">
        <v>0</v>
      </c>
    </row>
    <row r="182" spans="1:7" x14ac:dyDescent="0.55000000000000004">
      <c r="A182">
        <v>115</v>
      </c>
      <c r="B182" t="s">
        <v>291</v>
      </c>
      <c r="C182" t="s">
        <v>325</v>
      </c>
      <c r="E182" t="e">
        <f t="shared" ref="E182:E210" si="5">VLOOKUP($D182, $J$2:$L$18, 2, FALSE)</f>
        <v>#N/A</v>
      </c>
      <c r="F182" t="e">
        <f t="shared" si="4"/>
        <v>#N/A</v>
      </c>
      <c r="G182">
        <v>0</v>
      </c>
    </row>
    <row r="183" spans="1:7" x14ac:dyDescent="0.55000000000000004">
      <c r="A183">
        <v>115</v>
      </c>
      <c r="B183" t="s">
        <v>291</v>
      </c>
      <c r="C183" t="s">
        <v>151</v>
      </c>
      <c r="D183" t="s">
        <v>359</v>
      </c>
      <c r="E183" t="str">
        <f t="shared" si="3"/>
        <v xml:space="preserve">Glossostigma </v>
      </c>
      <c r="F183" t="str">
        <f t="shared" si="4"/>
        <v>Native</v>
      </c>
      <c r="G183">
        <v>20</v>
      </c>
    </row>
    <row r="184" spans="1:7" x14ac:dyDescent="0.55000000000000004">
      <c r="A184">
        <v>116</v>
      </c>
      <c r="B184" t="s">
        <v>116</v>
      </c>
      <c r="C184" t="s">
        <v>324</v>
      </c>
      <c r="D184" t="s">
        <v>341</v>
      </c>
      <c r="E184" t="str">
        <f t="shared" si="5"/>
        <v>Eleocharis sphacelata</v>
      </c>
      <c r="F184" t="str">
        <f t="shared" si="4"/>
        <v>Native</v>
      </c>
      <c r="G184">
        <v>10</v>
      </c>
    </row>
    <row r="185" spans="1:7" x14ac:dyDescent="0.55000000000000004">
      <c r="A185">
        <v>116</v>
      </c>
      <c r="B185" t="s">
        <v>116</v>
      </c>
      <c r="C185" t="s">
        <v>324</v>
      </c>
      <c r="D185" t="s">
        <v>343</v>
      </c>
      <c r="E185" t="str">
        <f t="shared" si="5"/>
        <v>Nymphaea spp.</v>
      </c>
      <c r="F185" t="str">
        <f t="shared" si="4"/>
        <v>Non_Native</v>
      </c>
      <c r="G185">
        <v>30</v>
      </c>
    </row>
    <row r="186" spans="1:7" x14ac:dyDescent="0.55000000000000004">
      <c r="A186">
        <v>116</v>
      </c>
      <c r="B186" t="s">
        <v>116</v>
      </c>
      <c r="C186" t="s">
        <v>325</v>
      </c>
      <c r="E186" t="e">
        <f t="shared" si="5"/>
        <v>#N/A</v>
      </c>
      <c r="F186" t="e">
        <f t="shared" si="4"/>
        <v>#N/A</v>
      </c>
      <c r="G186">
        <v>0</v>
      </c>
    </row>
    <row r="187" spans="1:7" x14ac:dyDescent="0.55000000000000004">
      <c r="A187">
        <v>116</v>
      </c>
      <c r="B187" t="s">
        <v>116</v>
      </c>
      <c r="C187" t="s">
        <v>151</v>
      </c>
      <c r="E187" t="e">
        <f t="shared" si="5"/>
        <v>#N/A</v>
      </c>
      <c r="F187" t="e">
        <f t="shared" si="4"/>
        <v>#N/A</v>
      </c>
      <c r="G187">
        <v>0</v>
      </c>
    </row>
    <row r="188" spans="1:7" x14ac:dyDescent="0.55000000000000004">
      <c r="A188">
        <v>116</v>
      </c>
      <c r="B188" t="s">
        <v>292</v>
      </c>
      <c r="C188" t="s">
        <v>324</v>
      </c>
      <c r="D188" t="s">
        <v>341</v>
      </c>
      <c r="E188" t="str">
        <f t="shared" si="5"/>
        <v>Eleocharis sphacelata</v>
      </c>
      <c r="F188" t="str">
        <f t="shared" si="4"/>
        <v>Native</v>
      </c>
      <c r="G188">
        <v>10</v>
      </c>
    </row>
    <row r="189" spans="1:7" x14ac:dyDescent="0.55000000000000004">
      <c r="A189">
        <v>116</v>
      </c>
      <c r="B189" t="s">
        <v>292</v>
      </c>
      <c r="C189" t="s">
        <v>324</v>
      </c>
      <c r="D189" t="s">
        <v>343</v>
      </c>
      <c r="E189" t="str">
        <f t="shared" si="5"/>
        <v>Nymphaea spp.</v>
      </c>
      <c r="F189" t="str">
        <f t="shared" si="4"/>
        <v>Non_Native</v>
      </c>
      <c r="G189">
        <v>50</v>
      </c>
    </row>
    <row r="190" spans="1:7" x14ac:dyDescent="0.55000000000000004">
      <c r="A190">
        <v>116</v>
      </c>
      <c r="B190" t="s">
        <v>292</v>
      </c>
      <c r="C190" t="s">
        <v>325</v>
      </c>
      <c r="D190" t="s">
        <v>344</v>
      </c>
      <c r="E190" t="str">
        <f t="shared" si="5"/>
        <v>Myriophyllum triphyllum</v>
      </c>
      <c r="F190" t="str">
        <f t="shared" si="4"/>
        <v>Native</v>
      </c>
      <c r="G190">
        <v>2</v>
      </c>
    </row>
    <row r="191" spans="1:7" x14ac:dyDescent="0.55000000000000004">
      <c r="A191">
        <v>116</v>
      </c>
      <c r="B191" t="s">
        <v>292</v>
      </c>
      <c r="C191" t="s">
        <v>151</v>
      </c>
      <c r="D191" t="s">
        <v>359</v>
      </c>
      <c r="E191" t="str">
        <f t="shared" si="5"/>
        <v xml:space="preserve">Glossostigma </v>
      </c>
      <c r="F191" t="str">
        <f t="shared" si="4"/>
        <v>Native</v>
      </c>
      <c r="G191">
        <v>50</v>
      </c>
    </row>
    <row r="192" spans="1:7" x14ac:dyDescent="0.55000000000000004">
      <c r="A192">
        <v>117</v>
      </c>
      <c r="B192" t="s">
        <v>117</v>
      </c>
      <c r="C192" t="s">
        <v>324</v>
      </c>
      <c r="E192" t="e">
        <f t="shared" si="5"/>
        <v>#N/A</v>
      </c>
      <c r="F192" t="e">
        <f t="shared" si="4"/>
        <v>#N/A</v>
      </c>
      <c r="G192">
        <v>0</v>
      </c>
    </row>
    <row r="193" spans="1:7" x14ac:dyDescent="0.55000000000000004">
      <c r="A193">
        <v>117</v>
      </c>
      <c r="B193" t="s">
        <v>117</v>
      </c>
      <c r="C193" t="s">
        <v>325</v>
      </c>
      <c r="E193" t="e">
        <f t="shared" si="5"/>
        <v>#N/A</v>
      </c>
      <c r="F193" t="e">
        <f t="shared" si="4"/>
        <v>#N/A</v>
      </c>
      <c r="G193">
        <v>0</v>
      </c>
    </row>
    <row r="194" spans="1:7" x14ac:dyDescent="0.55000000000000004">
      <c r="A194">
        <v>117</v>
      </c>
      <c r="B194" t="s">
        <v>117</v>
      </c>
      <c r="C194" t="s">
        <v>151</v>
      </c>
      <c r="E194" t="e">
        <f t="shared" si="5"/>
        <v>#N/A</v>
      </c>
      <c r="F194" t="e">
        <f t="shared" si="4"/>
        <v>#N/A</v>
      </c>
      <c r="G194">
        <v>0</v>
      </c>
    </row>
    <row r="195" spans="1:7" x14ac:dyDescent="0.55000000000000004">
      <c r="A195">
        <v>117</v>
      </c>
      <c r="B195" t="s">
        <v>293</v>
      </c>
      <c r="C195" t="s">
        <v>324</v>
      </c>
      <c r="E195" t="e">
        <f t="shared" si="5"/>
        <v>#N/A</v>
      </c>
      <c r="F195" t="e">
        <f t="shared" si="4"/>
        <v>#N/A</v>
      </c>
      <c r="G195">
        <v>0</v>
      </c>
    </row>
    <row r="196" spans="1:7" x14ac:dyDescent="0.55000000000000004">
      <c r="A196">
        <v>117</v>
      </c>
      <c r="B196" t="s">
        <v>293</v>
      </c>
      <c r="C196" t="s">
        <v>325</v>
      </c>
      <c r="E196" t="e">
        <f t="shared" si="5"/>
        <v>#N/A</v>
      </c>
      <c r="F196" t="e">
        <f t="shared" si="4"/>
        <v>#N/A</v>
      </c>
      <c r="G196">
        <v>0</v>
      </c>
    </row>
    <row r="197" spans="1:7" x14ac:dyDescent="0.55000000000000004">
      <c r="A197">
        <v>117</v>
      </c>
      <c r="B197" t="s">
        <v>293</v>
      </c>
      <c r="C197" t="s">
        <v>151</v>
      </c>
      <c r="E197" t="e">
        <f t="shared" si="5"/>
        <v>#N/A</v>
      </c>
      <c r="F197" t="e">
        <f t="shared" si="4"/>
        <v>#N/A</v>
      </c>
      <c r="G197">
        <v>0</v>
      </c>
    </row>
    <row r="198" spans="1:7" x14ac:dyDescent="0.55000000000000004">
      <c r="A198">
        <v>118</v>
      </c>
      <c r="B198" t="s">
        <v>118</v>
      </c>
      <c r="C198" t="s">
        <v>324</v>
      </c>
      <c r="E198" t="e">
        <f t="shared" si="5"/>
        <v>#N/A</v>
      </c>
      <c r="F198" t="e">
        <f t="shared" si="4"/>
        <v>#N/A</v>
      </c>
      <c r="G198">
        <v>0</v>
      </c>
    </row>
    <row r="199" spans="1:7" x14ac:dyDescent="0.55000000000000004">
      <c r="A199">
        <v>118</v>
      </c>
      <c r="B199" t="s">
        <v>118</v>
      </c>
      <c r="C199" t="s">
        <v>325</v>
      </c>
      <c r="E199" t="e">
        <f t="shared" si="5"/>
        <v>#N/A</v>
      </c>
      <c r="F199" t="e">
        <f t="shared" si="4"/>
        <v>#N/A</v>
      </c>
      <c r="G199">
        <v>0</v>
      </c>
    </row>
    <row r="200" spans="1:7" x14ac:dyDescent="0.55000000000000004">
      <c r="A200">
        <v>118</v>
      </c>
      <c r="B200" t="s">
        <v>118</v>
      </c>
      <c r="C200" t="s">
        <v>151</v>
      </c>
      <c r="D200" t="s">
        <v>359</v>
      </c>
      <c r="E200" t="str">
        <f t="shared" si="5"/>
        <v xml:space="preserve">Glossostigma </v>
      </c>
      <c r="F200" t="str">
        <f t="shared" si="4"/>
        <v>Native</v>
      </c>
      <c r="G200">
        <v>75</v>
      </c>
    </row>
    <row r="201" spans="1:7" x14ac:dyDescent="0.55000000000000004">
      <c r="A201">
        <v>119</v>
      </c>
      <c r="B201" t="s">
        <v>119</v>
      </c>
      <c r="C201" t="s">
        <v>324</v>
      </c>
      <c r="D201" t="s">
        <v>340</v>
      </c>
      <c r="E201" t="str">
        <f t="shared" si="5"/>
        <v>Typha orientalis</v>
      </c>
      <c r="F201" t="str">
        <f t="shared" si="4"/>
        <v>Native</v>
      </c>
      <c r="G201">
        <v>50</v>
      </c>
    </row>
    <row r="202" spans="1:7" x14ac:dyDescent="0.55000000000000004">
      <c r="A202">
        <v>119</v>
      </c>
      <c r="B202" t="s">
        <v>119</v>
      </c>
      <c r="C202" t="s">
        <v>325</v>
      </c>
      <c r="D202" t="s">
        <v>298</v>
      </c>
      <c r="E202" t="str">
        <f t="shared" si="5"/>
        <v>Chara corallina/ Chara globularis</v>
      </c>
      <c r="F202" t="str">
        <f t="shared" si="4"/>
        <v>Native</v>
      </c>
      <c r="G202">
        <v>20</v>
      </c>
    </row>
    <row r="203" spans="1:7" x14ac:dyDescent="0.55000000000000004">
      <c r="A203">
        <v>119</v>
      </c>
      <c r="B203" t="s">
        <v>119</v>
      </c>
      <c r="C203" t="s">
        <v>151</v>
      </c>
      <c r="E203" t="e">
        <f t="shared" si="5"/>
        <v>#N/A</v>
      </c>
      <c r="F203" t="e">
        <f t="shared" si="4"/>
        <v>#N/A</v>
      </c>
      <c r="G203">
        <v>0</v>
      </c>
    </row>
    <row r="204" spans="1:7" x14ac:dyDescent="0.55000000000000004">
      <c r="A204">
        <v>119</v>
      </c>
      <c r="B204" t="s">
        <v>294</v>
      </c>
      <c r="C204" t="s">
        <v>324</v>
      </c>
      <c r="D204" t="s">
        <v>340</v>
      </c>
      <c r="E204" t="str">
        <f t="shared" si="5"/>
        <v>Typha orientalis</v>
      </c>
      <c r="F204" t="str">
        <f t="shared" si="4"/>
        <v>Native</v>
      </c>
      <c r="G204">
        <v>20</v>
      </c>
    </row>
    <row r="205" spans="1:7" x14ac:dyDescent="0.55000000000000004">
      <c r="A205">
        <v>119</v>
      </c>
      <c r="B205" t="s">
        <v>294</v>
      </c>
      <c r="C205" t="s">
        <v>324</v>
      </c>
      <c r="D205" t="s">
        <v>341</v>
      </c>
      <c r="E205" t="str">
        <f t="shared" si="5"/>
        <v>Eleocharis sphacelata</v>
      </c>
      <c r="F205" t="str">
        <f t="shared" si="4"/>
        <v>Native</v>
      </c>
      <c r="G205">
        <v>20</v>
      </c>
    </row>
    <row r="206" spans="1:7" x14ac:dyDescent="0.55000000000000004">
      <c r="A206">
        <v>119</v>
      </c>
      <c r="B206" t="s">
        <v>294</v>
      </c>
      <c r="C206" t="s">
        <v>325</v>
      </c>
      <c r="E206" t="e">
        <f t="shared" si="5"/>
        <v>#N/A</v>
      </c>
      <c r="F206" t="e">
        <f t="shared" si="4"/>
        <v>#N/A</v>
      </c>
      <c r="G206">
        <v>0</v>
      </c>
    </row>
    <row r="207" spans="1:7" x14ac:dyDescent="0.55000000000000004">
      <c r="A207">
        <v>119</v>
      </c>
      <c r="B207" t="s">
        <v>294</v>
      </c>
      <c r="C207" t="s">
        <v>151</v>
      </c>
      <c r="E207" t="e">
        <f t="shared" si="5"/>
        <v>#N/A</v>
      </c>
      <c r="F207" t="e">
        <f t="shared" si="4"/>
        <v>#N/A</v>
      </c>
      <c r="G207">
        <v>0</v>
      </c>
    </row>
    <row r="208" spans="1:7" x14ac:dyDescent="0.55000000000000004">
      <c r="A208">
        <v>120</v>
      </c>
      <c r="B208" t="s">
        <v>120</v>
      </c>
      <c r="C208" t="s">
        <v>324</v>
      </c>
      <c r="E208" t="e">
        <f t="shared" si="5"/>
        <v>#N/A</v>
      </c>
      <c r="F208" t="e">
        <f t="shared" si="4"/>
        <v>#N/A</v>
      </c>
      <c r="G208">
        <v>0</v>
      </c>
    </row>
    <row r="209" spans="1:16" x14ac:dyDescent="0.55000000000000004">
      <c r="A209">
        <v>120</v>
      </c>
      <c r="B209" t="s">
        <v>120</v>
      </c>
      <c r="C209" t="s">
        <v>325</v>
      </c>
      <c r="D209" t="s">
        <v>298</v>
      </c>
      <c r="E209" t="str">
        <f t="shared" si="5"/>
        <v>Chara corallina/ Chara globularis</v>
      </c>
      <c r="F209" t="str">
        <f t="shared" si="4"/>
        <v>Native</v>
      </c>
      <c r="G209">
        <v>10</v>
      </c>
    </row>
    <row r="210" spans="1:16" x14ac:dyDescent="0.55000000000000004">
      <c r="A210">
        <v>120</v>
      </c>
      <c r="B210" t="s">
        <v>120</v>
      </c>
      <c r="C210" t="s">
        <v>151</v>
      </c>
      <c r="D210" t="s">
        <v>359</v>
      </c>
      <c r="E210" t="str">
        <f t="shared" si="5"/>
        <v xml:space="preserve">Glossostigma </v>
      </c>
      <c r="F210" t="str">
        <f t="shared" si="4"/>
        <v>Native</v>
      </c>
      <c r="G210">
        <v>90</v>
      </c>
    </row>
    <row r="214" spans="1:16" x14ac:dyDescent="0.55000000000000004">
      <c r="P214" s="30"/>
    </row>
  </sheetData>
  <dataValidations count="2">
    <dataValidation type="list" allowBlank="1" showInputMessage="1" showErrorMessage="1" sqref="D78:D80 D204:D206 D201:D202 D192:D193 D184:D186 D178:D179 D162:D163 D153:D154 D195:D196 D198:D199 D188:D190 D181:D182 D165:D167 D175:D176 D172:D173 D169:D170 D156:D157 D159:D160 D208:D209 D150:D151 D147:D148 D144:D145 D141:D142 D138:D139 D135:D136 D132:D133 D129:D130 D126:D127 D123:D124 D120:D121 D117:D118 D114:D115 D111:D112 D108:D109 D104:D106 D101:D102 D98:D99 D93:D96 D88:D91 D85:D86 D82:D83" xr:uid="{5F1AE00F-B29C-4AF6-8BCA-CDA915EC487C}">
      <formula1>$J$2:$J$16</formula1>
    </dataValidation>
    <dataValidation type="list" allowBlank="1" showInputMessage="1" showErrorMessage="1" sqref="D2:D77 D203 D194 D187 D180 D164 D155 D210 D207 D200 D197 D191 D183 D177 D174 D171 D168 D161 D158 D152 D149 D146 D143 D140 D137 D134 D131 D128 D125 D122 D119 D116 D113 D110 D107 D103 D100 D97 D92 D87 D84 D81" xr:uid="{94647E49-B5B0-4CD5-8CC8-5185684A6B55}">
      <formula1>$J$2:$J$18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51F2-9B7B-4C4C-86A2-78618CDFAD69}">
  <dimension ref="A1:AB1501"/>
  <sheetViews>
    <sheetView workbookViewId="0">
      <pane xSplit="1" ySplit="1" topLeftCell="P2" activePane="bottomRight" state="frozen"/>
      <selection pane="topRight" activeCell="B1" sqref="B1"/>
      <selection pane="bottomLeft" activeCell="A2" sqref="A2"/>
      <selection pane="bottomRight" activeCell="X7" sqref="X7"/>
    </sheetView>
  </sheetViews>
  <sheetFormatPr defaultRowHeight="14.4" x14ac:dyDescent="0.55000000000000004"/>
  <cols>
    <col min="3" max="3" width="16.47265625" customWidth="1"/>
    <col min="4" max="4" width="10.68359375" bestFit="1" customWidth="1"/>
    <col min="5" max="5" width="7.83984375" customWidth="1"/>
    <col min="6" max="6" width="13.83984375" bestFit="1" customWidth="1"/>
    <col min="7" max="7" width="9.15625" customWidth="1"/>
    <col min="8" max="8" width="6" customWidth="1"/>
    <col min="9" max="10" width="6.41796875" customWidth="1"/>
    <col min="11" max="11" width="4.15625" customWidth="1"/>
    <col min="12" max="12" width="7.26171875" customWidth="1"/>
    <col min="13" max="13" width="11.578125" customWidth="1"/>
    <col min="14" max="14" width="10.41796875" customWidth="1"/>
    <col min="15" max="15" width="9.41796875" customWidth="1"/>
    <col min="16" max="16" width="11.15625" bestFit="1" customWidth="1"/>
    <col min="21" max="21" width="9.68359375" bestFit="1" customWidth="1"/>
    <col min="23" max="23" width="13.83984375" bestFit="1" customWidth="1"/>
    <col min="24" max="24" width="30" bestFit="1" customWidth="1"/>
    <col min="25" max="26" width="30" customWidth="1"/>
    <col min="27" max="27" width="9.41796875" customWidth="1"/>
  </cols>
  <sheetData>
    <row r="1" spans="1:28" x14ac:dyDescent="0.55000000000000004">
      <c r="A1" s="1" t="s">
        <v>0</v>
      </c>
      <c r="B1" s="1" t="s">
        <v>3</v>
      </c>
      <c r="C1" s="1" t="s">
        <v>287</v>
      </c>
      <c r="D1" s="1" t="s">
        <v>203</v>
      </c>
      <c r="E1" s="1" t="s">
        <v>204</v>
      </c>
      <c r="F1" s="1" t="s">
        <v>205</v>
      </c>
      <c r="G1" s="1" t="s">
        <v>206</v>
      </c>
      <c r="H1" s="1" t="s">
        <v>207</v>
      </c>
      <c r="I1" s="1" t="s">
        <v>208</v>
      </c>
      <c r="J1" s="1" t="s">
        <v>209</v>
      </c>
      <c r="K1" s="1" t="s">
        <v>210</v>
      </c>
      <c r="L1" s="1" t="s">
        <v>211</v>
      </c>
      <c r="M1" s="1" t="s">
        <v>212</v>
      </c>
      <c r="N1" s="1" t="s">
        <v>213</v>
      </c>
      <c r="O1" s="1" t="s">
        <v>214</v>
      </c>
      <c r="P1" s="1" t="s">
        <v>215</v>
      </c>
      <c r="Q1" s="1" t="s">
        <v>216</v>
      </c>
      <c r="R1" s="1" t="s">
        <v>217</v>
      </c>
      <c r="S1" s="1" t="s">
        <v>218</v>
      </c>
      <c r="T1" s="1" t="s">
        <v>219</v>
      </c>
      <c r="U1" s="1" t="s">
        <v>220</v>
      </c>
      <c r="W1" s="34"/>
      <c r="X1" s="35"/>
      <c r="Y1" s="35"/>
      <c r="Z1" s="2"/>
      <c r="AA1" s="35"/>
      <c r="AB1" s="36"/>
    </row>
    <row r="2" spans="1:28" x14ac:dyDescent="0.55000000000000004">
      <c r="A2">
        <v>96</v>
      </c>
      <c r="B2" t="str">
        <f t="shared" ref="B2:B65" si="0">A2 &amp; "_0"</f>
        <v>96_0</v>
      </c>
      <c r="C2" s="2">
        <v>45638.489583333336</v>
      </c>
      <c r="D2" t="s">
        <v>221</v>
      </c>
      <c r="E2">
        <v>2</v>
      </c>
      <c r="F2" t="s">
        <v>222</v>
      </c>
      <c r="G2" t="str">
        <f t="shared" ref="G2:G65" si="1">VLOOKUP($F2, $W$1:$AB$10, 2, FALSE)</f>
        <v>Paranephrops planifrons</v>
      </c>
      <c r="H2" t="str">
        <f t="shared" ref="H2:H65" si="2">VLOOKUP($F2, $W$1:$AB$10, 3, FALSE)</f>
        <v>Freshwater_crayfish</v>
      </c>
      <c r="I2" t="str">
        <f t="shared" ref="I2:I65" si="3">VLOOKUP($F2, $W$1:$AB$10, 4, FALSE)</f>
        <v>Kōura</v>
      </c>
      <c r="J2" t="str">
        <f t="shared" ref="J2:J65" si="4">VLOOKUP($F2, $W$1:$AC$10, 5, FALSE)</f>
        <v>Native</v>
      </c>
      <c r="K2" t="str">
        <f t="shared" ref="K2:K65" si="5">VLOOKUP($F2, $W$1:$AB$10, 6, FALSE)</f>
        <v>Yes</v>
      </c>
      <c r="L2" t="s">
        <v>228</v>
      </c>
      <c r="M2">
        <v>53</v>
      </c>
      <c r="N2">
        <v>52</v>
      </c>
      <c r="O2">
        <v>1</v>
      </c>
      <c r="T2" t="str">
        <f t="shared" ref="T2:T65" si="6">IF(S2&lt;&gt;"", S2*236.588, "")</f>
        <v/>
      </c>
      <c r="W2" s="25" t="s">
        <v>222</v>
      </c>
      <c r="X2" t="s">
        <v>224</v>
      </c>
      <c r="Y2" t="s">
        <v>225</v>
      </c>
      <c r="Z2" t="s">
        <v>222</v>
      </c>
      <c r="AA2" t="s">
        <v>226</v>
      </c>
      <c r="AB2" s="37" t="s">
        <v>227</v>
      </c>
    </row>
    <row r="3" spans="1:28" x14ac:dyDescent="0.55000000000000004">
      <c r="A3">
        <v>98</v>
      </c>
      <c r="B3" t="str">
        <f t="shared" si="0"/>
        <v>98_0</v>
      </c>
      <c r="C3" s="2">
        <v>45603.5625</v>
      </c>
      <c r="D3" t="s">
        <v>245</v>
      </c>
      <c r="E3">
        <v>2</v>
      </c>
      <c r="F3" t="s">
        <v>222</v>
      </c>
      <c r="G3" t="str">
        <f t="shared" si="1"/>
        <v>Paranephrops planifrons</v>
      </c>
      <c r="H3" t="str">
        <f t="shared" si="2"/>
        <v>Freshwater_crayfish</v>
      </c>
      <c r="I3" t="str">
        <f t="shared" si="3"/>
        <v>Kōura</v>
      </c>
      <c r="J3" t="str">
        <f t="shared" si="4"/>
        <v>Native</v>
      </c>
      <c r="K3" t="str">
        <f t="shared" si="5"/>
        <v>Yes</v>
      </c>
      <c r="L3" t="s">
        <v>228</v>
      </c>
      <c r="M3">
        <v>48.77</v>
      </c>
      <c r="O3">
        <v>1</v>
      </c>
      <c r="T3" t="str">
        <f t="shared" si="6"/>
        <v/>
      </c>
      <c r="W3" s="26" t="s">
        <v>229</v>
      </c>
      <c r="X3" t="s">
        <v>230</v>
      </c>
      <c r="Y3" t="s">
        <v>229</v>
      </c>
      <c r="Z3" t="s">
        <v>229</v>
      </c>
      <c r="AA3" t="s">
        <v>231</v>
      </c>
      <c r="AB3" s="37" t="s">
        <v>232</v>
      </c>
    </row>
    <row r="4" spans="1:28" x14ac:dyDescent="0.55000000000000004">
      <c r="A4">
        <v>109</v>
      </c>
      <c r="B4" t="str">
        <f t="shared" si="0"/>
        <v>109_0</v>
      </c>
      <c r="C4" s="2">
        <v>45597.541666608799</v>
      </c>
      <c r="D4" t="s">
        <v>221</v>
      </c>
      <c r="E4">
        <v>2</v>
      </c>
      <c r="F4" t="s">
        <v>233</v>
      </c>
      <c r="G4" t="str">
        <f t="shared" si="1"/>
        <v>Galaxias brevipinnis</v>
      </c>
      <c r="H4" t="str">
        <f t="shared" si="2"/>
        <v>Climbing_galaxias</v>
      </c>
      <c r="I4" t="str">
        <f t="shared" si="3"/>
        <v>Kōaro</v>
      </c>
      <c r="J4" t="str">
        <f t="shared" si="4"/>
        <v>Native</v>
      </c>
      <c r="K4" t="str">
        <f t="shared" si="5"/>
        <v>Yes</v>
      </c>
      <c r="M4">
        <v>120</v>
      </c>
      <c r="N4">
        <v>24</v>
      </c>
      <c r="O4">
        <v>1</v>
      </c>
      <c r="T4" t="str">
        <f t="shared" si="6"/>
        <v/>
      </c>
      <c r="W4" s="25" t="s">
        <v>236</v>
      </c>
      <c r="X4" t="s">
        <v>235</v>
      </c>
      <c r="Y4" t="s">
        <v>236</v>
      </c>
      <c r="Z4" t="s">
        <v>234</v>
      </c>
      <c r="AA4" t="s">
        <v>231</v>
      </c>
      <c r="AB4" s="37" t="s">
        <v>232</v>
      </c>
    </row>
    <row r="5" spans="1:28" x14ac:dyDescent="0.55000000000000004">
      <c r="A5">
        <v>109</v>
      </c>
      <c r="B5" t="str">
        <f t="shared" si="0"/>
        <v>109_0</v>
      </c>
      <c r="C5" s="2">
        <v>45597.541666608799</v>
      </c>
      <c r="D5" t="s">
        <v>221</v>
      </c>
      <c r="E5">
        <v>2</v>
      </c>
      <c r="F5" t="s">
        <v>233</v>
      </c>
      <c r="G5" t="str">
        <f t="shared" si="1"/>
        <v>Galaxias brevipinnis</v>
      </c>
      <c r="H5" t="str">
        <f t="shared" si="2"/>
        <v>Climbing_galaxias</v>
      </c>
      <c r="I5" t="str">
        <f t="shared" si="3"/>
        <v>Kōaro</v>
      </c>
      <c r="J5" t="str">
        <f t="shared" si="4"/>
        <v>Native</v>
      </c>
      <c r="K5" t="str">
        <f t="shared" si="5"/>
        <v>Yes</v>
      </c>
      <c r="M5">
        <v>75</v>
      </c>
      <c r="N5">
        <v>8</v>
      </c>
      <c r="O5">
        <v>1</v>
      </c>
      <c r="T5" t="str">
        <f t="shared" si="6"/>
        <v/>
      </c>
      <c r="W5" s="26" t="s">
        <v>233</v>
      </c>
      <c r="X5" t="s">
        <v>237</v>
      </c>
      <c r="Y5" t="s">
        <v>238</v>
      </c>
      <c r="Z5" t="s">
        <v>233</v>
      </c>
      <c r="AA5" t="s">
        <v>226</v>
      </c>
      <c r="AB5" s="37" t="s">
        <v>227</v>
      </c>
    </row>
    <row r="6" spans="1:28" x14ac:dyDescent="0.55000000000000004">
      <c r="A6">
        <v>109</v>
      </c>
      <c r="B6" t="str">
        <f t="shared" si="0"/>
        <v>109_0</v>
      </c>
      <c r="C6" s="2">
        <v>45597.541666608799</v>
      </c>
      <c r="D6" t="s">
        <v>221</v>
      </c>
      <c r="E6">
        <v>2</v>
      </c>
      <c r="F6" t="s">
        <v>233</v>
      </c>
      <c r="G6" t="str">
        <f t="shared" si="1"/>
        <v>Galaxias brevipinnis</v>
      </c>
      <c r="H6" t="str">
        <f t="shared" si="2"/>
        <v>Climbing_galaxias</v>
      </c>
      <c r="I6" t="str">
        <f t="shared" si="3"/>
        <v>Kōaro</v>
      </c>
      <c r="J6" t="str">
        <f t="shared" si="4"/>
        <v>Native</v>
      </c>
      <c r="K6" t="str">
        <f t="shared" si="5"/>
        <v>Yes</v>
      </c>
      <c r="M6">
        <v>70</v>
      </c>
      <c r="N6">
        <v>4</v>
      </c>
      <c r="O6">
        <v>1</v>
      </c>
      <c r="T6" t="str">
        <f t="shared" si="6"/>
        <v/>
      </c>
      <c r="W6" s="25" t="s">
        <v>239</v>
      </c>
      <c r="X6" t="s">
        <v>240</v>
      </c>
      <c r="Y6" t="s">
        <v>241</v>
      </c>
      <c r="Z6" t="s">
        <v>241</v>
      </c>
      <c r="AA6" t="s">
        <v>231</v>
      </c>
      <c r="AB6" s="37" t="s">
        <v>232</v>
      </c>
    </row>
    <row r="7" spans="1:28" x14ac:dyDescent="0.55000000000000004">
      <c r="A7">
        <v>109</v>
      </c>
      <c r="B7" t="str">
        <f t="shared" si="0"/>
        <v>109_0</v>
      </c>
      <c r="C7" s="2">
        <v>45597.541666608799</v>
      </c>
      <c r="D7" t="s">
        <v>221</v>
      </c>
      <c r="E7">
        <v>2</v>
      </c>
      <c r="F7" t="s">
        <v>242</v>
      </c>
      <c r="G7" t="str">
        <f t="shared" si="1"/>
        <v>Gobiomorphus cotidianus</v>
      </c>
      <c r="H7" t="str">
        <f t="shared" si="2"/>
        <v>Common_bully</v>
      </c>
      <c r="I7" t="str">
        <f t="shared" si="3"/>
        <v>Toitoi</v>
      </c>
      <c r="J7" t="str">
        <f t="shared" si="4"/>
        <v>Native</v>
      </c>
      <c r="K7" t="str">
        <f t="shared" si="5"/>
        <v>No</v>
      </c>
      <c r="O7">
        <v>15</v>
      </c>
      <c r="T7" t="str">
        <f t="shared" si="6"/>
        <v/>
      </c>
      <c r="W7" s="25" t="s">
        <v>243</v>
      </c>
      <c r="X7" t="s">
        <v>244</v>
      </c>
      <c r="Y7" t="s">
        <v>243</v>
      </c>
      <c r="Z7" t="s">
        <v>243</v>
      </c>
      <c r="AA7" t="s">
        <v>226</v>
      </c>
      <c r="AB7" s="37" t="s">
        <v>232</v>
      </c>
    </row>
    <row r="8" spans="1:28" x14ac:dyDescent="0.55000000000000004">
      <c r="A8">
        <v>99</v>
      </c>
      <c r="B8" t="str">
        <f t="shared" si="0"/>
        <v>99_0</v>
      </c>
      <c r="C8" s="2">
        <v>45603.395833333336</v>
      </c>
      <c r="D8" t="s">
        <v>221</v>
      </c>
      <c r="E8">
        <v>2</v>
      </c>
      <c r="F8" t="s">
        <v>222</v>
      </c>
      <c r="G8" t="str">
        <f t="shared" si="1"/>
        <v>Paranephrops planifrons</v>
      </c>
      <c r="H8" t="str">
        <f t="shared" si="2"/>
        <v>Freshwater_crayfish</v>
      </c>
      <c r="I8" t="str">
        <f t="shared" si="3"/>
        <v>Kōura</v>
      </c>
      <c r="J8" t="str">
        <f t="shared" si="4"/>
        <v>Native</v>
      </c>
      <c r="K8" t="str">
        <f t="shared" si="5"/>
        <v>Yes</v>
      </c>
      <c r="L8" t="s">
        <v>228</v>
      </c>
      <c r="M8">
        <v>48.33</v>
      </c>
      <c r="N8">
        <v>87</v>
      </c>
      <c r="O8">
        <v>1</v>
      </c>
      <c r="T8" t="str">
        <f t="shared" si="6"/>
        <v/>
      </c>
      <c r="W8" s="25" t="s">
        <v>242</v>
      </c>
      <c r="X8" t="s">
        <v>246</v>
      </c>
      <c r="Y8" t="s">
        <v>247</v>
      </c>
      <c r="Z8" t="s">
        <v>248</v>
      </c>
      <c r="AA8" t="s">
        <v>226</v>
      </c>
      <c r="AB8" s="37" t="s">
        <v>232</v>
      </c>
    </row>
    <row r="9" spans="1:28" x14ac:dyDescent="0.55000000000000004">
      <c r="A9">
        <v>98</v>
      </c>
      <c r="B9" t="str">
        <f t="shared" si="0"/>
        <v>98_0</v>
      </c>
      <c r="C9" s="2">
        <v>45603.5625</v>
      </c>
      <c r="D9" t="s">
        <v>245</v>
      </c>
      <c r="E9">
        <v>2</v>
      </c>
      <c r="F9" t="s">
        <v>222</v>
      </c>
      <c r="G9" t="str">
        <f t="shared" si="1"/>
        <v>Paranephrops planifrons</v>
      </c>
      <c r="H9" t="str">
        <f t="shared" si="2"/>
        <v>Freshwater_crayfish</v>
      </c>
      <c r="I9" t="str">
        <f t="shared" si="3"/>
        <v>Kōura</v>
      </c>
      <c r="J9" t="str">
        <f t="shared" si="4"/>
        <v>Native</v>
      </c>
      <c r="K9" t="str">
        <f t="shared" si="5"/>
        <v>Yes</v>
      </c>
      <c r="L9" t="s">
        <v>228</v>
      </c>
      <c r="M9">
        <v>46.44</v>
      </c>
      <c r="O9">
        <v>1</v>
      </c>
      <c r="T9" t="str">
        <f t="shared" si="6"/>
        <v/>
      </c>
      <c r="W9" s="25" t="s">
        <v>316</v>
      </c>
      <c r="X9" t="s">
        <v>317</v>
      </c>
      <c r="Y9" t="s">
        <v>318</v>
      </c>
      <c r="Z9" t="s">
        <v>316</v>
      </c>
      <c r="AA9" t="s">
        <v>231</v>
      </c>
      <c r="AB9" s="37" t="s">
        <v>232</v>
      </c>
    </row>
    <row r="10" spans="1:28" ht="14.7" thickBot="1" x14ac:dyDescent="0.6">
      <c r="A10">
        <v>103</v>
      </c>
      <c r="B10" t="str">
        <f t="shared" si="0"/>
        <v>103_0</v>
      </c>
      <c r="C10" s="2">
        <v>45604.486111053244</v>
      </c>
      <c r="D10" t="s">
        <v>221</v>
      </c>
      <c r="E10">
        <v>2</v>
      </c>
      <c r="F10" t="s">
        <v>222</v>
      </c>
      <c r="G10" t="str">
        <f t="shared" si="1"/>
        <v>Paranephrops planifrons</v>
      </c>
      <c r="H10" t="str">
        <f t="shared" si="2"/>
        <v>Freshwater_crayfish</v>
      </c>
      <c r="I10" t="str">
        <f t="shared" si="3"/>
        <v>Kōura</v>
      </c>
      <c r="J10" t="str">
        <f t="shared" si="4"/>
        <v>Native</v>
      </c>
      <c r="K10" t="str">
        <f t="shared" si="5"/>
        <v>Yes</v>
      </c>
      <c r="L10" t="s">
        <v>223</v>
      </c>
      <c r="M10">
        <v>46.16</v>
      </c>
      <c r="O10">
        <v>1</v>
      </c>
      <c r="Q10">
        <v>1</v>
      </c>
      <c r="T10" t="str">
        <f t="shared" si="6"/>
        <v/>
      </c>
      <c r="W10" s="27" t="s">
        <v>249</v>
      </c>
      <c r="X10" s="28" t="s">
        <v>250</v>
      </c>
      <c r="Y10" s="28" t="s">
        <v>251</v>
      </c>
      <c r="Z10" s="28" t="s">
        <v>252</v>
      </c>
      <c r="AA10" s="28" t="s">
        <v>226</v>
      </c>
      <c r="AB10" s="29" t="s">
        <v>227</v>
      </c>
    </row>
    <row r="11" spans="1:28" x14ac:dyDescent="0.55000000000000004">
      <c r="A11">
        <v>119</v>
      </c>
      <c r="B11" t="str">
        <f t="shared" si="0"/>
        <v>119_0</v>
      </c>
      <c r="C11" s="2">
        <v>45597.395833333336</v>
      </c>
      <c r="D11" t="s">
        <v>245</v>
      </c>
      <c r="E11">
        <v>2</v>
      </c>
      <c r="F11" t="s">
        <v>222</v>
      </c>
      <c r="G11" t="str">
        <f t="shared" si="1"/>
        <v>Paranephrops planifrons</v>
      </c>
      <c r="H11" t="str">
        <f t="shared" si="2"/>
        <v>Freshwater_crayfish</v>
      </c>
      <c r="I11" t="str">
        <f t="shared" si="3"/>
        <v>Kōura</v>
      </c>
      <c r="J11" t="str">
        <f t="shared" si="4"/>
        <v>Native</v>
      </c>
      <c r="K11" t="str">
        <f t="shared" si="5"/>
        <v>Yes</v>
      </c>
      <c r="L11" t="s">
        <v>228</v>
      </c>
      <c r="M11">
        <v>46</v>
      </c>
      <c r="N11">
        <v>65</v>
      </c>
      <c r="O11">
        <v>1</v>
      </c>
      <c r="T11" t="str">
        <f t="shared" si="6"/>
        <v/>
      </c>
    </row>
    <row r="12" spans="1:28" x14ac:dyDescent="0.55000000000000004">
      <c r="A12">
        <v>102</v>
      </c>
      <c r="B12" t="str">
        <f t="shared" si="0"/>
        <v>102_0</v>
      </c>
      <c r="C12" s="2">
        <v>45603.477083333331</v>
      </c>
      <c r="D12" t="s">
        <v>245</v>
      </c>
      <c r="E12">
        <v>2</v>
      </c>
      <c r="F12" t="s">
        <v>222</v>
      </c>
      <c r="G12" t="str">
        <f t="shared" si="1"/>
        <v>Paranephrops planifrons</v>
      </c>
      <c r="H12" t="str">
        <f t="shared" si="2"/>
        <v>Freshwater_crayfish</v>
      </c>
      <c r="I12" t="str">
        <f t="shared" si="3"/>
        <v>Kōura</v>
      </c>
      <c r="J12" t="str">
        <f t="shared" si="4"/>
        <v>Native</v>
      </c>
      <c r="K12" t="str">
        <f t="shared" si="5"/>
        <v>Yes</v>
      </c>
      <c r="L12" t="s">
        <v>223</v>
      </c>
      <c r="M12">
        <v>45</v>
      </c>
      <c r="N12">
        <v>56</v>
      </c>
      <c r="O12">
        <v>1</v>
      </c>
      <c r="T12" t="str">
        <f t="shared" si="6"/>
        <v/>
      </c>
    </row>
    <row r="13" spans="1:28" x14ac:dyDescent="0.55000000000000004">
      <c r="A13">
        <v>117</v>
      </c>
      <c r="B13" t="str">
        <f t="shared" si="0"/>
        <v>117_0</v>
      </c>
      <c r="C13" s="2">
        <v>45597.520833333336</v>
      </c>
      <c r="D13" t="s">
        <v>245</v>
      </c>
      <c r="E13">
        <v>2</v>
      </c>
      <c r="F13" t="s">
        <v>222</v>
      </c>
      <c r="G13" t="str">
        <f t="shared" si="1"/>
        <v>Paranephrops planifrons</v>
      </c>
      <c r="H13" t="str">
        <f t="shared" si="2"/>
        <v>Freshwater_crayfish</v>
      </c>
      <c r="I13" t="str">
        <f t="shared" si="3"/>
        <v>Kōura</v>
      </c>
      <c r="J13" t="str">
        <f t="shared" si="4"/>
        <v>Native</v>
      </c>
      <c r="K13" t="str">
        <f t="shared" si="5"/>
        <v>Yes</v>
      </c>
      <c r="L13" t="s">
        <v>223</v>
      </c>
      <c r="M13">
        <v>45</v>
      </c>
      <c r="O13">
        <v>1</v>
      </c>
      <c r="R13">
        <v>1</v>
      </c>
      <c r="T13" t="str">
        <f t="shared" si="6"/>
        <v/>
      </c>
    </row>
    <row r="14" spans="1:28" x14ac:dyDescent="0.55000000000000004">
      <c r="A14">
        <v>109</v>
      </c>
      <c r="B14" t="str">
        <f t="shared" si="0"/>
        <v>109_0</v>
      </c>
      <c r="C14" s="2">
        <v>45597.541666608799</v>
      </c>
      <c r="D14" t="s">
        <v>245</v>
      </c>
      <c r="E14">
        <v>2</v>
      </c>
      <c r="F14" t="s">
        <v>242</v>
      </c>
      <c r="G14" t="str">
        <f t="shared" si="1"/>
        <v>Gobiomorphus cotidianus</v>
      </c>
      <c r="H14" t="str">
        <f t="shared" si="2"/>
        <v>Common_bully</v>
      </c>
      <c r="I14" t="str">
        <f t="shared" si="3"/>
        <v>Toitoi</v>
      </c>
      <c r="J14" t="str">
        <f t="shared" si="4"/>
        <v>Native</v>
      </c>
      <c r="K14" t="str">
        <f t="shared" si="5"/>
        <v>No</v>
      </c>
      <c r="O14">
        <v>1</v>
      </c>
      <c r="T14" t="str">
        <f t="shared" si="6"/>
        <v/>
      </c>
    </row>
    <row r="15" spans="1:28" x14ac:dyDescent="0.55000000000000004">
      <c r="A15">
        <v>115</v>
      </c>
      <c r="B15" t="str">
        <f t="shared" si="0"/>
        <v>115_0</v>
      </c>
      <c r="C15" s="2">
        <v>45597.590277777781</v>
      </c>
      <c r="D15" t="s">
        <v>245</v>
      </c>
      <c r="E15">
        <v>2</v>
      </c>
      <c r="F15" t="s">
        <v>222</v>
      </c>
      <c r="G15" t="str">
        <f t="shared" si="1"/>
        <v>Paranephrops planifrons</v>
      </c>
      <c r="H15" t="str">
        <f t="shared" si="2"/>
        <v>Freshwater_crayfish</v>
      </c>
      <c r="I15" t="str">
        <f t="shared" si="3"/>
        <v>Kōura</v>
      </c>
      <c r="J15" t="str">
        <f t="shared" si="4"/>
        <v>Native</v>
      </c>
      <c r="K15" t="str">
        <f t="shared" si="5"/>
        <v>Yes</v>
      </c>
      <c r="L15" t="s">
        <v>228</v>
      </c>
      <c r="M15">
        <v>43</v>
      </c>
      <c r="N15">
        <v>58</v>
      </c>
      <c r="O15">
        <v>1</v>
      </c>
      <c r="T15" t="str">
        <f t="shared" si="6"/>
        <v/>
      </c>
    </row>
    <row r="16" spans="1:28" x14ac:dyDescent="0.55000000000000004">
      <c r="A16">
        <v>110</v>
      </c>
      <c r="B16" t="str">
        <f t="shared" si="0"/>
        <v>110_0</v>
      </c>
      <c r="C16" s="2">
        <v>45597.493055555555</v>
      </c>
      <c r="D16" t="s">
        <v>245</v>
      </c>
      <c r="E16">
        <v>2</v>
      </c>
      <c r="F16" t="s">
        <v>233</v>
      </c>
      <c r="G16" t="str">
        <f t="shared" si="1"/>
        <v>Galaxias brevipinnis</v>
      </c>
      <c r="H16" t="str">
        <f t="shared" si="2"/>
        <v>Climbing_galaxias</v>
      </c>
      <c r="I16" t="str">
        <f t="shared" si="3"/>
        <v>Kōaro</v>
      </c>
      <c r="J16" t="str">
        <f t="shared" si="4"/>
        <v>Native</v>
      </c>
      <c r="K16" t="str">
        <f t="shared" si="5"/>
        <v>Yes</v>
      </c>
      <c r="M16">
        <v>70</v>
      </c>
      <c r="N16">
        <v>3</v>
      </c>
      <c r="O16">
        <v>1</v>
      </c>
      <c r="T16" t="str">
        <f t="shared" si="6"/>
        <v/>
      </c>
    </row>
    <row r="17" spans="1:21" x14ac:dyDescent="0.55000000000000004">
      <c r="A17">
        <v>110</v>
      </c>
      <c r="B17" t="str">
        <f t="shared" si="0"/>
        <v>110_0</v>
      </c>
      <c r="C17" s="2">
        <v>45597.493055497682</v>
      </c>
      <c r="D17" t="s">
        <v>245</v>
      </c>
      <c r="E17">
        <v>2</v>
      </c>
      <c r="F17" t="s">
        <v>242</v>
      </c>
      <c r="G17" t="str">
        <f t="shared" si="1"/>
        <v>Gobiomorphus cotidianus</v>
      </c>
      <c r="H17" t="str">
        <f t="shared" si="2"/>
        <v>Common_bully</v>
      </c>
      <c r="I17" t="str">
        <f t="shared" si="3"/>
        <v>Toitoi</v>
      </c>
      <c r="J17" t="str">
        <f t="shared" si="4"/>
        <v>Native</v>
      </c>
      <c r="K17" t="str">
        <f t="shared" si="5"/>
        <v>No</v>
      </c>
      <c r="O17">
        <v>11</v>
      </c>
      <c r="T17" t="str">
        <f t="shared" si="6"/>
        <v/>
      </c>
    </row>
    <row r="18" spans="1:21" x14ac:dyDescent="0.55000000000000004">
      <c r="A18">
        <v>114</v>
      </c>
      <c r="B18" t="str">
        <f t="shared" si="0"/>
        <v>114_0</v>
      </c>
      <c r="C18" s="2">
        <v>45597.479166608799</v>
      </c>
      <c r="D18" t="s">
        <v>245</v>
      </c>
      <c r="E18">
        <v>2</v>
      </c>
      <c r="F18" t="s">
        <v>222</v>
      </c>
      <c r="G18" t="str">
        <f t="shared" si="1"/>
        <v>Paranephrops planifrons</v>
      </c>
      <c r="H18" t="str">
        <f t="shared" si="2"/>
        <v>Freshwater_crayfish</v>
      </c>
      <c r="I18" t="str">
        <f t="shared" si="3"/>
        <v>Kōura</v>
      </c>
      <c r="J18" t="str">
        <f t="shared" si="4"/>
        <v>Native</v>
      </c>
      <c r="K18" t="str">
        <f t="shared" si="5"/>
        <v>Yes</v>
      </c>
      <c r="L18" t="s">
        <v>228</v>
      </c>
      <c r="M18">
        <v>43</v>
      </c>
      <c r="N18">
        <v>55</v>
      </c>
      <c r="O18">
        <v>1</v>
      </c>
      <c r="T18" t="str">
        <f t="shared" si="6"/>
        <v/>
      </c>
    </row>
    <row r="19" spans="1:21" x14ac:dyDescent="0.55000000000000004">
      <c r="A19">
        <v>96</v>
      </c>
      <c r="B19" t="str">
        <f t="shared" si="0"/>
        <v>96_0</v>
      </c>
      <c r="C19" s="2">
        <v>45638.489583333336</v>
      </c>
      <c r="D19" t="s">
        <v>221</v>
      </c>
      <c r="E19">
        <v>2</v>
      </c>
      <c r="F19" t="s">
        <v>222</v>
      </c>
      <c r="G19" t="str">
        <f t="shared" si="1"/>
        <v>Paranephrops planifrons</v>
      </c>
      <c r="H19" t="str">
        <f t="shared" si="2"/>
        <v>Freshwater_crayfish</v>
      </c>
      <c r="I19" t="str">
        <f t="shared" si="3"/>
        <v>Kōura</v>
      </c>
      <c r="J19" t="str">
        <f t="shared" si="4"/>
        <v>Native</v>
      </c>
      <c r="K19" t="str">
        <f t="shared" si="5"/>
        <v>Yes</v>
      </c>
      <c r="L19" t="s">
        <v>223</v>
      </c>
      <c r="M19">
        <v>43</v>
      </c>
      <c r="N19">
        <v>50</v>
      </c>
      <c r="O19">
        <v>1</v>
      </c>
      <c r="T19" t="str">
        <f t="shared" si="6"/>
        <v/>
      </c>
    </row>
    <row r="20" spans="1:21" x14ac:dyDescent="0.55000000000000004">
      <c r="A20">
        <v>92</v>
      </c>
      <c r="B20" t="str">
        <f t="shared" si="0"/>
        <v>92_0</v>
      </c>
      <c r="C20" s="2">
        <v>45638.456944386577</v>
      </c>
      <c r="D20" t="s">
        <v>245</v>
      </c>
      <c r="E20">
        <v>2</v>
      </c>
      <c r="F20" t="s">
        <v>222</v>
      </c>
      <c r="G20" t="str">
        <f t="shared" si="1"/>
        <v>Paranephrops planifrons</v>
      </c>
      <c r="H20" t="str">
        <f t="shared" si="2"/>
        <v>Freshwater_crayfish</v>
      </c>
      <c r="I20" t="str">
        <f t="shared" si="3"/>
        <v>Kōura</v>
      </c>
      <c r="J20" t="str">
        <f t="shared" si="4"/>
        <v>Native</v>
      </c>
      <c r="K20" t="str">
        <f t="shared" si="5"/>
        <v>Yes</v>
      </c>
      <c r="L20" t="s">
        <v>228</v>
      </c>
      <c r="M20">
        <v>42.99</v>
      </c>
      <c r="N20">
        <v>57</v>
      </c>
      <c r="O20">
        <v>1</v>
      </c>
      <c r="T20" t="str">
        <f t="shared" si="6"/>
        <v/>
      </c>
    </row>
    <row r="21" spans="1:21" x14ac:dyDescent="0.55000000000000004">
      <c r="A21">
        <v>119</v>
      </c>
      <c r="B21" t="str">
        <f t="shared" si="0"/>
        <v>119_0</v>
      </c>
      <c r="C21" s="2">
        <v>45597.395833333336</v>
      </c>
      <c r="D21" t="s">
        <v>221</v>
      </c>
      <c r="E21">
        <v>2</v>
      </c>
      <c r="F21" t="s">
        <v>222</v>
      </c>
      <c r="G21" t="str">
        <f t="shared" si="1"/>
        <v>Paranephrops planifrons</v>
      </c>
      <c r="H21" t="str">
        <f t="shared" si="2"/>
        <v>Freshwater_crayfish</v>
      </c>
      <c r="I21" t="str">
        <f t="shared" si="3"/>
        <v>Kōura</v>
      </c>
      <c r="J21" t="str">
        <f t="shared" si="4"/>
        <v>Native</v>
      </c>
      <c r="K21" t="str">
        <f t="shared" si="5"/>
        <v>Yes</v>
      </c>
      <c r="L21" t="s">
        <v>228</v>
      </c>
      <c r="M21">
        <v>42</v>
      </c>
      <c r="N21">
        <v>54</v>
      </c>
      <c r="O21">
        <v>1</v>
      </c>
      <c r="T21" t="str">
        <f t="shared" si="6"/>
        <v/>
      </c>
    </row>
    <row r="22" spans="1:21" x14ac:dyDescent="0.55000000000000004">
      <c r="A22">
        <v>95</v>
      </c>
      <c r="B22" t="str">
        <f t="shared" si="0"/>
        <v>95_0</v>
      </c>
      <c r="C22" s="2">
        <v>45638.520833333336</v>
      </c>
      <c r="D22" t="s">
        <v>221</v>
      </c>
      <c r="E22">
        <v>2</v>
      </c>
      <c r="F22" t="s">
        <v>222</v>
      </c>
      <c r="G22" t="str">
        <f t="shared" si="1"/>
        <v>Paranephrops planifrons</v>
      </c>
      <c r="H22" t="str">
        <f t="shared" si="2"/>
        <v>Freshwater_crayfish</v>
      </c>
      <c r="I22" t="str">
        <f t="shared" si="3"/>
        <v>Kōura</v>
      </c>
      <c r="J22" t="str">
        <f t="shared" si="4"/>
        <v>Native</v>
      </c>
      <c r="K22" t="str">
        <f t="shared" si="5"/>
        <v>Yes</v>
      </c>
      <c r="L22" t="s">
        <v>223</v>
      </c>
      <c r="M22">
        <v>42</v>
      </c>
      <c r="N22">
        <v>49</v>
      </c>
      <c r="O22">
        <v>1</v>
      </c>
      <c r="T22" t="str">
        <f t="shared" si="6"/>
        <v/>
      </c>
    </row>
    <row r="23" spans="1:21" x14ac:dyDescent="0.55000000000000004">
      <c r="A23">
        <v>62</v>
      </c>
      <c r="B23" t="str">
        <f t="shared" si="0"/>
        <v>62_0</v>
      </c>
      <c r="C23" s="2">
        <v>45709.540972222225</v>
      </c>
      <c r="D23" t="s">
        <v>245</v>
      </c>
      <c r="E23">
        <v>2</v>
      </c>
      <c r="F23" t="s">
        <v>222</v>
      </c>
      <c r="G23" t="str">
        <f t="shared" si="1"/>
        <v>Paranephrops planifrons</v>
      </c>
      <c r="H23" t="str">
        <f t="shared" si="2"/>
        <v>Freshwater_crayfish</v>
      </c>
      <c r="I23" t="str">
        <f t="shared" si="3"/>
        <v>Kōura</v>
      </c>
      <c r="J23" t="str">
        <f t="shared" si="4"/>
        <v>Native</v>
      </c>
      <c r="K23" t="str">
        <f t="shared" si="5"/>
        <v>Yes</v>
      </c>
      <c r="L23" t="s">
        <v>228</v>
      </c>
      <c r="M23">
        <v>41.79</v>
      </c>
      <c r="N23">
        <v>56</v>
      </c>
      <c r="O23">
        <v>1</v>
      </c>
      <c r="T23" t="str">
        <f t="shared" si="6"/>
        <v/>
      </c>
    </row>
    <row r="24" spans="1:21" x14ac:dyDescent="0.55000000000000004">
      <c r="A24">
        <v>110</v>
      </c>
      <c r="B24" t="str">
        <f t="shared" si="0"/>
        <v>110_0</v>
      </c>
      <c r="C24" s="2">
        <v>45597.493055497682</v>
      </c>
      <c r="D24" t="s">
        <v>221</v>
      </c>
      <c r="E24">
        <v>2</v>
      </c>
      <c r="F24" t="s">
        <v>222</v>
      </c>
      <c r="G24" t="str">
        <f t="shared" si="1"/>
        <v>Paranephrops planifrons</v>
      </c>
      <c r="H24" t="str">
        <f t="shared" si="2"/>
        <v>Freshwater_crayfish</v>
      </c>
      <c r="I24" t="str">
        <f t="shared" si="3"/>
        <v>Kōura</v>
      </c>
      <c r="J24" t="str">
        <f t="shared" si="4"/>
        <v>Native</v>
      </c>
      <c r="K24" t="str">
        <f t="shared" si="5"/>
        <v>Yes</v>
      </c>
      <c r="L24" t="s">
        <v>228</v>
      </c>
      <c r="M24">
        <v>41</v>
      </c>
      <c r="N24">
        <v>56</v>
      </c>
      <c r="O24">
        <v>1</v>
      </c>
      <c r="T24" t="str">
        <f t="shared" si="6"/>
        <v/>
      </c>
    </row>
    <row r="25" spans="1:21" x14ac:dyDescent="0.55000000000000004">
      <c r="A25">
        <v>110</v>
      </c>
      <c r="B25" t="str">
        <f t="shared" si="0"/>
        <v>110_0</v>
      </c>
      <c r="C25" s="2">
        <v>45597.493055497682</v>
      </c>
      <c r="D25" t="s">
        <v>221</v>
      </c>
      <c r="E25">
        <v>2</v>
      </c>
      <c r="F25" t="s">
        <v>233</v>
      </c>
      <c r="G25" t="str">
        <f t="shared" si="1"/>
        <v>Galaxias brevipinnis</v>
      </c>
      <c r="H25" t="str">
        <f t="shared" si="2"/>
        <v>Climbing_galaxias</v>
      </c>
      <c r="I25" t="str">
        <f t="shared" si="3"/>
        <v>Kōaro</v>
      </c>
      <c r="J25" t="str">
        <f t="shared" si="4"/>
        <v>Native</v>
      </c>
      <c r="K25" t="str">
        <f t="shared" si="5"/>
        <v>Yes</v>
      </c>
      <c r="M25">
        <v>140</v>
      </c>
      <c r="N25">
        <v>36</v>
      </c>
      <c r="O25">
        <v>1</v>
      </c>
      <c r="T25" t="str">
        <f t="shared" si="6"/>
        <v/>
      </c>
    </row>
    <row r="26" spans="1:21" x14ac:dyDescent="0.55000000000000004">
      <c r="A26">
        <v>110</v>
      </c>
      <c r="B26" t="str">
        <f t="shared" si="0"/>
        <v>110_0</v>
      </c>
      <c r="C26" s="2">
        <v>45597.493055497682</v>
      </c>
      <c r="D26" t="s">
        <v>221</v>
      </c>
      <c r="E26">
        <v>2</v>
      </c>
      <c r="F26" t="s">
        <v>233</v>
      </c>
      <c r="G26" t="str">
        <f t="shared" si="1"/>
        <v>Galaxias brevipinnis</v>
      </c>
      <c r="H26" t="str">
        <f t="shared" si="2"/>
        <v>Climbing_galaxias</v>
      </c>
      <c r="I26" t="str">
        <f t="shared" si="3"/>
        <v>Kōaro</v>
      </c>
      <c r="J26" t="str">
        <f t="shared" si="4"/>
        <v>Native</v>
      </c>
      <c r="K26" t="str">
        <f t="shared" si="5"/>
        <v>Yes</v>
      </c>
      <c r="M26">
        <v>148</v>
      </c>
      <c r="N26">
        <v>40</v>
      </c>
      <c r="O26">
        <v>1</v>
      </c>
      <c r="T26" t="str">
        <f t="shared" si="6"/>
        <v/>
      </c>
    </row>
    <row r="27" spans="1:21" x14ac:dyDescent="0.55000000000000004">
      <c r="A27">
        <v>110</v>
      </c>
      <c r="B27" t="str">
        <f t="shared" si="0"/>
        <v>110_0</v>
      </c>
      <c r="C27" s="2">
        <v>45597.493055497682</v>
      </c>
      <c r="D27" t="s">
        <v>221</v>
      </c>
      <c r="E27">
        <v>2</v>
      </c>
      <c r="F27" t="s">
        <v>233</v>
      </c>
      <c r="G27" t="str">
        <f t="shared" si="1"/>
        <v>Galaxias brevipinnis</v>
      </c>
      <c r="H27" t="str">
        <f t="shared" si="2"/>
        <v>Climbing_galaxias</v>
      </c>
      <c r="I27" t="str">
        <f t="shared" si="3"/>
        <v>Kōaro</v>
      </c>
      <c r="J27" t="str">
        <f t="shared" si="4"/>
        <v>Native</v>
      </c>
      <c r="K27" t="str">
        <f t="shared" si="5"/>
        <v>Yes</v>
      </c>
      <c r="M27">
        <v>156</v>
      </c>
      <c r="N27">
        <v>48</v>
      </c>
      <c r="O27">
        <v>1</v>
      </c>
      <c r="T27" t="str">
        <f t="shared" si="6"/>
        <v/>
      </c>
    </row>
    <row r="28" spans="1:21" x14ac:dyDescent="0.55000000000000004">
      <c r="A28">
        <v>110</v>
      </c>
      <c r="B28" t="str">
        <f t="shared" si="0"/>
        <v>110_0</v>
      </c>
      <c r="C28" s="2">
        <v>45597.493055497682</v>
      </c>
      <c r="D28" t="s">
        <v>221</v>
      </c>
      <c r="E28">
        <v>2</v>
      </c>
      <c r="F28" t="s">
        <v>233</v>
      </c>
      <c r="G28" t="str">
        <f t="shared" si="1"/>
        <v>Galaxias brevipinnis</v>
      </c>
      <c r="H28" t="str">
        <f t="shared" si="2"/>
        <v>Climbing_galaxias</v>
      </c>
      <c r="I28" t="str">
        <f t="shared" si="3"/>
        <v>Kōaro</v>
      </c>
      <c r="J28" t="str">
        <f t="shared" si="4"/>
        <v>Native</v>
      </c>
      <c r="K28" t="str">
        <f t="shared" si="5"/>
        <v>Yes</v>
      </c>
      <c r="M28">
        <v>160</v>
      </c>
      <c r="N28">
        <v>41</v>
      </c>
      <c r="O28">
        <v>1</v>
      </c>
      <c r="T28" t="str">
        <f t="shared" si="6"/>
        <v/>
      </c>
    </row>
    <row r="29" spans="1:21" x14ac:dyDescent="0.55000000000000004">
      <c r="A29">
        <v>110</v>
      </c>
      <c r="B29" t="str">
        <f t="shared" si="0"/>
        <v>110_0</v>
      </c>
      <c r="C29" s="2">
        <v>45597.493055497682</v>
      </c>
      <c r="D29" t="s">
        <v>221</v>
      </c>
      <c r="E29">
        <v>2</v>
      </c>
      <c r="F29" t="s">
        <v>233</v>
      </c>
      <c r="G29" t="str">
        <f t="shared" si="1"/>
        <v>Galaxias brevipinnis</v>
      </c>
      <c r="H29" t="str">
        <f t="shared" si="2"/>
        <v>Climbing_galaxias</v>
      </c>
      <c r="I29" t="str">
        <f t="shared" si="3"/>
        <v>Kōaro</v>
      </c>
      <c r="J29" t="str">
        <f t="shared" si="4"/>
        <v>Native</v>
      </c>
      <c r="K29" t="str">
        <f t="shared" si="5"/>
        <v>Yes</v>
      </c>
      <c r="M29">
        <v>115</v>
      </c>
      <c r="N29">
        <v>19</v>
      </c>
      <c r="O29">
        <v>1</v>
      </c>
      <c r="T29" t="str">
        <f t="shared" si="6"/>
        <v/>
      </c>
    </row>
    <row r="30" spans="1:21" x14ac:dyDescent="0.55000000000000004">
      <c r="A30">
        <v>110</v>
      </c>
      <c r="B30" t="str">
        <f t="shared" si="0"/>
        <v>110_0</v>
      </c>
      <c r="C30" s="2">
        <v>45597.493055439816</v>
      </c>
      <c r="D30" t="s">
        <v>221</v>
      </c>
      <c r="E30">
        <v>2</v>
      </c>
      <c r="F30" t="s">
        <v>233</v>
      </c>
      <c r="G30" t="str">
        <f t="shared" si="1"/>
        <v>Galaxias brevipinnis</v>
      </c>
      <c r="H30" t="str">
        <f t="shared" si="2"/>
        <v>Climbing_galaxias</v>
      </c>
      <c r="I30" t="str">
        <f t="shared" si="3"/>
        <v>Kōaro</v>
      </c>
      <c r="J30" t="str">
        <f t="shared" si="4"/>
        <v>Native</v>
      </c>
      <c r="K30" t="str">
        <f t="shared" si="5"/>
        <v>Yes</v>
      </c>
      <c r="M30">
        <v>80</v>
      </c>
      <c r="N30">
        <v>5</v>
      </c>
      <c r="O30">
        <v>1</v>
      </c>
      <c r="T30" t="str">
        <f t="shared" si="6"/>
        <v/>
      </c>
    </row>
    <row r="31" spans="1:21" x14ac:dyDescent="0.55000000000000004">
      <c r="A31">
        <v>110</v>
      </c>
      <c r="B31" t="str">
        <f t="shared" si="0"/>
        <v>110_0</v>
      </c>
      <c r="C31" s="2">
        <v>45597.493055439816</v>
      </c>
      <c r="D31" t="s">
        <v>221</v>
      </c>
      <c r="E31">
        <v>2</v>
      </c>
      <c r="F31" t="s">
        <v>233</v>
      </c>
      <c r="G31" t="str">
        <f t="shared" si="1"/>
        <v>Galaxias brevipinnis</v>
      </c>
      <c r="H31" t="str">
        <f t="shared" si="2"/>
        <v>Climbing_galaxias</v>
      </c>
      <c r="I31" t="str">
        <f t="shared" si="3"/>
        <v>Kōaro</v>
      </c>
      <c r="J31" t="str">
        <f t="shared" si="4"/>
        <v>Native</v>
      </c>
      <c r="K31" t="str">
        <f t="shared" si="5"/>
        <v>Yes</v>
      </c>
      <c r="M31">
        <v>70</v>
      </c>
      <c r="N31">
        <v>3</v>
      </c>
      <c r="O31">
        <v>1</v>
      </c>
      <c r="T31" t="str">
        <f t="shared" si="6"/>
        <v/>
      </c>
    </row>
    <row r="32" spans="1:21" x14ac:dyDescent="0.55000000000000004">
      <c r="A32">
        <v>110</v>
      </c>
      <c r="B32" t="str">
        <f t="shared" si="0"/>
        <v>110_0</v>
      </c>
      <c r="C32" s="2">
        <v>45597.493055439816</v>
      </c>
      <c r="D32" t="s">
        <v>221</v>
      </c>
      <c r="E32">
        <v>2</v>
      </c>
      <c r="F32" t="s">
        <v>243</v>
      </c>
      <c r="G32" t="str">
        <f t="shared" si="1"/>
        <v>Retropinna retropinna</v>
      </c>
      <c r="H32" t="str">
        <f t="shared" si="2"/>
        <v>Common_smelt</v>
      </c>
      <c r="I32" t="str">
        <f t="shared" si="3"/>
        <v>Common_smelt</v>
      </c>
      <c r="J32" t="str">
        <f t="shared" si="4"/>
        <v>Native</v>
      </c>
      <c r="K32" t="str">
        <f t="shared" si="5"/>
        <v>No</v>
      </c>
      <c r="O32">
        <v>60</v>
      </c>
      <c r="T32" t="str">
        <f t="shared" si="6"/>
        <v/>
      </c>
      <c r="U32" t="s">
        <v>253</v>
      </c>
    </row>
    <row r="33" spans="1:21" x14ac:dyDescent="0.55000000000000004">
      <c r="A33">
        <v>110</v>
      </c>
      <c r="B33" t="str">
        <f t="shared" si="0"/>
        <v>110_0</v>
      </c>
      <c r="C33" s="2">
        <v>45597.493055439816</v>
      </c>
      <c r="D33" t="s">
        <v>221</v>
      </c>
      <c r="E33">
        <v>2</v>
      </c>
      <c r="F33" t="s">
        <v>242</v>
      </c>
      <c r="G33" t="str">
        <f t="shared" si="1"/>
        <v>Gobiomorphus cotidianus</v>
      </c>
      <c r="H33" t="str">
        <f t="shared" si="2"/>
        <v>Common_bully</v>
      </c>
      <c r="I33" t="str">
        <f t="shared" si="3"/>
        <v>Toitoi</v>
      </c>
      <c r="J33" t="str">
        <f t="shared" si="4"/>
        <v>Native</v>
      </c>
      <c r="K33" t="str">
        <f t="shared" si="5"/>
        <v>No</v>
      </c>
      <c r="O33">
        <v>80</v>
      </c>
      <c r="T33" t="str">
        <f t="shared" si="6"/>
        <v/>
      </c>
      <c r="U33" t="s">
        <v>253</v>
      </c>
    </row>
    <row r="34" spans="1:21" x14ac:dyDescent="0.55000000000000004">
      <c r="A34">
        <v>110</v>
      </c>
      <c r="B34" t="str">
        <f t="shared" si="0"/>
        <v>110_0</v>
      </c>
      <c r="C34" s="2">
        <v>45597.493055439816</v>
      </c>
      <c r="D34" t="s">
        <v>221</v>
      </c>
      <c r="E34">
        <v>2</v>
      </c>
      <c r="F34" t="s">
        <v>233</v>
      </c>
      <c r="G34" t="str">
        <f t="shared" si="1"/>
        <v>Galaxias brevipinnis</v>
      </c>
      <c r="H34" t="str">
        <f t="shared" si="2"/>
        <v>Climbing_galaxias</v>
      </c>
      <c r="I34" t="str">
        <f t="shared" si="3"/>
        <v>Kōaro</v>
      </c>
      <c r="J34" t="str">
        <f t="shared" si="4"/>
        <v>Native</v>
      </c>
      <c r="K34" t="str">
        <f t="shared" si="5"/>
        <v>Yes</v>
      </c>
      <c r="M34">
        <v>171</v>
      </c>
      <c r="N34">
        <v>66</v>
      </c>
      <c r="O34">
        <v>1</v>
      </c>
      <c r="T34" t="str">
        <f t="shared" si="6"/>
        <v/>
      </c>
    </row>
    <row r="35" spans="1:21" x14ac:dyDescent="0.55000000000000004">
      <c r="A35">
        <v>110</v>
      </c>
      <c r="B35" t="str">
        <f t="shared" si="0"/>
        <v>110_0</v>
      </c>
      <c r="C35" s="2">
        <v>45597.493055439816</v>
      </c>
      <c r="D35" t="s">
        <v>221</v>
      </c>
      <c r="E35">
        <v>2</v>
      </c>
      <c r="F35" t="s">
        <v>233</v>
      </c>
      <c r="G35" t="str">
        <f t="shared" si="1"/>
        <v>Galaxias brevipinnis</v>
      </c>
      <c r="H35" t="str">
        <f t="shared" si="2"/>
        <v>Climbing_galaxias</v>
      </c>
      <c r="I35" t="str">
        <f t="shared" si="3"/>
        <v>Kōaro</v>
      </c>
      <c r="J35" t="str">
        <f t="shared" si="4"/>
        <v>Native</v>
      </c>
      <c r="K35" t="str">
        <f t="shared" si="5"/>
        <v>Yes</v>
      </c>
      <c r="M35">
        <v>150</v>
      </c>
      <c r="N35">
        <v>37</v>
      </c>
      <c r="O35">
        <v>1</v>
      </c>
      <c r="T35" t="str">
        <f t="shared" si="6"/>
        <v/>
      </c>
    </row>
    <row r="36" spans="1:21" x14ac:dyDescent="0.55000000000000004">
      <c r="A36">
        <v>110</v>
      </c>
      <c r="B36" t="str">
        <f t="shared" si="0"/>
        <v>110_0</v>
      </c>
      <c r="C36" s="2">
        <v>45597.493055439816</v>
      </c>
      <c r="D36" t="s">
        <v>221</v>
      </c>
      <c r="E36">
        <v>2</v>
      </c>
      <c r="F36" t="s">
        <v>233</v>
      </c>
      <c r="G36" t="str">
        <f t="shared" si="1"/>
        <v>Galaxias brevipinnis</v>
      </c>
      <c r="H36" t="str">
        <f t="shared" si="2"/>
        <v>Climbing_galaxias</v>
      </c>
      <c r="I36" t="str">
        <f t="shared" si="3"/>
        <v>Kōaro</v>
      </c>
      <c r="J36" t="str">
        <f t="shared" si="4"/>
        <v>Native</v>
      </c>
      <c r="K36" t="str">
        <f t="shared" si="5"/>
        <v>Yes</v>
      </c>
      <c r="M36">
        <v>124</v>
      </c>
      <c r="N36">
        <v>24</v>
      </c>
      <c r="O36">
        <v>1</v>
      </c>
      <c r="T36" t="str">
        <f t="shared" si="6"/>
        <v/>
      </c>
    </row>
    <row r="37" spans="1:21" x14ac:dyDescent="0.55000000000000004">
      <c r="A37">
        <v>110</v>
      </c>
      <c r="B37" t="str">
        <f t="shared" si="0"/>
        <v>110_0</v>
      </c>
      <c r="C37" s="2">
        <v>45597.493055439816</v>
      </c>
      <c r="D37" t="s">
        <v>221</v>
      </c>
      <c r="E37">
        <v>2</v>
      </c>
      <c r="F37" t="s">
        <v>243</v>
      </c>
      <c r="G37" t="str">
        <f t="shared" si="1"/>
        <v>Retropinna retropinna</v>
      </c>
      <c r="H37" t="str">
        <f t="shared" si="2"/>
        <v>Common_smelt</v>
      </c>
      <c r="I37" t="str">
        <f t="shared" si="3"/>
        <v>Common_smelt</v>
      </c>
      <c r="J37" t="str">
        <f t="shared" si="4"/>
        <v>Native</v>
      </c>
      <c r="K37" t="str">
        <f t="shared" si="5"/>
        <v>No</v>
      </c>
      <c r="O37">
        <v>40</v>
      </c>
      <c r="T37" t="str">
        <f t="shared" si="6"/>
        <v/>
      </c>
      <c r="U37" t="s">
        <v>253</v>
      </c>
    </row>
    <row r="38" spans="1:21" x14ac:dyDescent="0.55000000000000004">
      <c r="A38">
        <v>110</v>
      </c>
      <c r="B38" t="str">
        <f t="shared" si="0"/>
        <v>110_0</v>
      </c>
      <c r="C38" s="2">
        <v>45597.493055439816</v>
      </c>
      <c r="D38" t="s">
        <v>221</v>
      </c>
      <c r="E38">
        <v>2</v>
      </c>
      <c r="F38" t="s">
        <v>242</v>
      </c>
      <c r="G38" t="str">
        <f t="shared" si="1"/>
        <v>Gobiomorphus cotidianus</v>
      </c>
      <c r="H38" t="str">
        <f t="shared" si="2"/>
        <v>Common_bully</v>
      </c>
      <c r="I38" t="str">
        <f t="shared" si="3"/>
        <v>Toitoi</v>
      </c>
      <c r="J38" t="str">
        <f t="shared" si="4"/>
        <v>Native</v>
      </c>
      <c r="K38" t="str">
        <f t="shared" si="5"/>
        <v>No</v>
      </c>
      <c r="O38">
        <v>40</v>
      </c>
      <c r="T38" t="str">
        <f t="shared" si="6"/>
        <v/>
      </c>
      <c r="U38" t="s">
        <v>253</v>
      </c>
    </row>
    <row r="39" spans="1:21" x14ac:dyDescent="0.55000000000000004">
      <c r="A39">
        <v>111</v>
      </c>
      <c r="B39" t="str">
        <f t="shared" si="0"/>
        <v>111_0</v>
      </c>
      <c r="C39" s="2">
        <v>45597.416666666664</v>
      </c>
      <c r="D39" t="s">
        <v>221</v>
      </c>
      <c r="E39">
        <v>2</v>
      </c>
      <c r="F39" t="s">
        <v>242</v>
      </c>
      <c r="G39" t="str">
        <f t="shared" si="1"/>
        <v>Gobiomorphus cotidianus</v>
      </c>
      <c r="H39" t="str">
        <f t="shared" si="2"/>
        <v>Common_bully</v>
      </c>
      <c r="I39" t="str">
        <f t="shared" si="3"/>
        <v>Toitoi</v>
      </c>
      <c r="J39" t="str">
        <f t="shared" si="4"/>
        <v>Native</v>
      </c>
      <c r="K39" t="str">
        <f t="shared" si="5"/>
        <v>No</v>
      </c>
      <c r="O39">
        <v>180</v>
      </c>
      <c r="T39" t="str">
        <f t="shared" si="6"/>
        <v/>
      </c>
      <c r="U39" t="s">
        <v>253</v>
      </c>
    </row>
    <row r="40" spans="1:21" x14ac:dyDescent="0.55000000000000004">
      <c r="A40">
        <v>111</v>
      </c>
      <c r="B40" t="str">
        <f t="shared" si="0"/>
        <v>111_0</v>
      </c>
      <c r="C40" s="2">
        <v>45597.416666666664</v>
      </c>
      <c r="D40" t="s">
        <v>221</v>
      </c>
      <c r="E40">
        <v>2</v>
      </c>
      <c r="F40" t="s">
        <v>242</v>
      </c>
      <c r="G40" t="str">
        <f t="shared" si="1"/>
        <v>Gobiomorphus cotidianus</v>
      </c>
      <c r="H40" t="str">
        <f t="shared" si="2"/>
        <v>Common_bully</v>
      </c>
      <c r="I40" t="str">
        <f t="shared" si="3"/>
        <v>Toitoi</v>
      </c>
      <c r="J40" t="str">
        <f t="shared" si="4"/>
        <v>Native</v>
      </c>
      <c r="K40" t="str">
        <f t="shared" si="5"/>
        <v>No</v>
      </c>
      <c r="O40">
        <v>200</v>
      </c>
      <c r="T40" t="str">
        <f t="shared" si="6"/>
        <v/>
      </c>
      <c r="U40" t="s">
        <v>253</v>
      </c>
    </row>
    <row r="41" spans="1:21" x14ac:dyDescent="0.55000000000000004">
      <c r="A41">
        <v>115</v>
      </c>
      <c r="B41" t="str">
        <f t="shared" si="0"/>
        <v>115_0</v>
      </c>
      <c r="C41" s="2">
        <v>45597.590277777781</v>
      </c>
      <c r="D41" t="s">
        <v>245</v>
      </c>
      <c r="E41">
        <v>2</v>
      </c>
      <c r="F41" t="s">
        <v>222</v>
      </c>
      <c r="G41" t="str">
        <f t="shared" si="1"/>
        <v>Paranephrops planifrons</v>
      </c>
      <c r="H41" t="str">
        <f t="shared" si="2"/>
        <v>Freshwater_crayfish</v>
      </c>
      <c r="I41" t="str">
        <f t="shared" si="3"/>
        <v>Kōura</v>
      </c>
      <c r="J41" t="str">
        <f t="shared" si="4"/>
        <v>Native</v>
      </c>
      <c r="K41" t="str">
        <f t="shared" si="5"/>
        <v>Yes</v>
      </c>
      <c r="L41" t="s">
        <v>228</v>
      </c>
      <c r="M41">
        <v>41</v>
      </c>
      <c r="N41">
        <v>53</v>
      </c>
      <c r="O41">
        <v>1</v>
      </c>
      <c r="T41" t="str">
        <f t="shared" si="6"/>
        <v/>
      </c>
    </row>
    <row r="42" spans="1:21" x14ac:dyDescent="0.55000000000000004">
      <c r="A42">
        <v>96</v>
      </c>
      <c r="B42" t="str">
        <f t="shared" si="0"/>
        <v>96_0</v>
      </c>
      <c r="C42" s="2">
        <v>45638.489583333336</v>
      </c>
      <c r="D42" t="s">
        <v>221</v>
      </c>
      <c r="E42">
        <v>2</v>
      </c>
      <c r="F42" t="s">
        <v>222</v>
      </c>
      <c r="G42" t="str">
        <f t="shared" si="1"/>
        <v>Paranephrops planifrons</v>
      </c>
      <c r="H42" t="str">
        <f t="shared" si="2"/>
        <v>Freshwater_crayfish</v>
      </c>
      <c r="I42" t="str">
        <f t="shared" si="3"/>
        <v>Kōura</v>
      </c>
      <c r="J42" t="str">
        <f t="shared" si="4"/>
        <v>Native</v>
      </c>
      <c r="K42" t="str">
        <f t="shared" si="5"/>
        <v>Yes</v>
      </c>
      <c r="L42" t="s">
        <v>228</v>
      </c>
      <c r="M42">
        <v>41</v>
      </c>
      <c r="N42">
        <v>47</v>
      </c>
      <c r="O42">
        <v>1</v>
      </c>
      <c r="P42">
        <v>1</v>
      </c>
      <c r="T42" t="str">
        <f t="shared" si="6"/>
        <v/>
      </c>
    </row>
    <row r="43" spans="1:21" x14ac:dyDescent="0.55000000000000004">
      <c r="A43">
        <v>111</v>
      </c>
      <c r="B43" t="str">
        <f t="shared" si="0"/>
        <v>111_0</v>
      </c>
      <c r="C43" s="2">
        <v>45597.416666666664</v>
      </c>
      <c r="D43" t="s">
        <v>245</v>
      </c>
      <c r="E43">
        <v>2</v>
      </c>
      <c r="F43" t="s">
        <v>242</v>
      </c>
      <c r="G43" t="str">
        <f t="shared" si="1"/>
        <v>Gobiomorphus cotidianus</v>
      </c>
      <c r="H43" t="str">
        <f t="shared" si="2"/>
        <v>Common_bully</v>
      </c>
      <c r="I43" t="str">
        <f t="shared" si="3"/>
        <v>Toitoi</v>
      </c>
      <c r="J43" t="str">
        <f t="shared" si="4"/>
        <v>Native</v>
      </c>
      <c r="K43" t="str">
        <f t="shared" si="5"/>
        <v>No</v>
      </c>
      <c r="O43">
        <v>15</v>
      </c>
      <c r="T43" t="str">
        <f t="shared" si="6"/>
        <v/>
      </c>
    </row>
    <row r="44" spans="1:21" x14ac:dyDescent="0.55000000000000004">
      <c r="A44">
        <v>111</v>
      </c>
      <c r="B44" t="str">
        <f t="shared" si="0"/>
        <v>111_0</v>
      </c>
      <c r="C44" s="2">
        <v>45597.416666666664</v>
      </c>
      <c r="D44" t="s">
        <v>245</v>
      </c>
      <c r="E44">
        <v>2</v>
      </c>
      <c r="F44" t="s">
        <v>233</v>
      </c>
      <c r="G44" t="str">
        <f t="shared" si="1"/>
        <v>Galaxias brevipinnis</v>
      </c>
      <c r="H44" t="str">
        <f t="shared" si="2"/>
        <v>Climbing_galaxias</v>
      </c>
      <c r="I44" t="str">
        <f t="shared" si="3"/>
        <v>Kōaro</v>
      </c>
      <c r="J44" t="str">
        <f t="shared" si="4"/>
        <v>Native</v>
      </c>
      <c r="K44" t="str">
        <f t="shared" si="5"/>
        <v>Yes</v>
      </c>
      <c r="M44">
        <v>105</v>
      </c>
      <c r="N44">
        <v>11</v>
      </c>
      <c r="O44">
        <v>1</v>
      </c>
      <c r="T44" t="str">
        <f t="shared" si="6"/>
        <v/>
      </c>
    </row>
    <row r="45" spans="1:21" x14ac:dyDescent="0.55000000000000004">
      <c r="A45">
        <v>111</v>
      </c>
      <c r="B45" t="str">
        <f t="shared" si="0"/>
        <v>111_0</v>
      </c>
      <c r="C45" s="2">
        <v>45597.416666666664</v>
      </c>
      <c r="D45" t="s">
        <v>245</v>
      </c>
      <c r="E45">
        <v>2</v>
      </c>
      <c r="F45" t="s">
        <v>222</v>
      </c>
      <c r="G45" t="str">
        <f t="shared" si="1"/>
        <v>Paranephrops planifrons</v>
      </c>
      <c r="H45" t="str">
        <f t="shared" si="2"/>
        <v>Freshwater_crayfish</v>
      </c>
      <c r="I45" t="str">
        <f t="shared" si="3"/>
        <v>Kōura</v>
      </c>
      <c r="J45" t="str">
        <f t="shared" si="4"/>
        <v>Native</v>
      </c>
      <c r="K45" t="str">
        <f t="shared" si="5"/>
        <v>Yes</v>
      </c>
      <c r="L45" t="s">
        <v>228</v>
      </c>
      <c r="M45">
        <v>41</v>
      </c>
      <c r="N45">
        <v>46</v>
      </c>
      <c r="O45">
        <v>1</v>
      </c>
      <c r="T45" t="str">
        <f t="shared" si="6"/>
        <v/>
      </c>
    </row>
    <row r="46" spans="1:21" x14ac:dyDescent="0.55000000000000004">
      <c r="A46">
        <v>114</v>
      </c>
      <c r="B46" t="str">
        <f t="shared" si="0"/>
        <v>114_0</v>
      </c>
      <c r="C46" s="2">
        <v>45597.479166666664</v>
      </c>
      <c r="D46" t="s">
        <v>221</v>
      </c>
      <c r="E46">
        <v>2</v>
      </c>
      <c r="F46" t="s">
        <v>233</v>
      </c>
      <c r="G46" t="str">
        <f t="shared" si="1"/>
        <v>Galaxias brevipinnis</v>
      </c>
      <c r="H46" t="str">
        <f t="shared" si="2"/>
        <v>Climbing_galaxias</v>
      </c>
      <c r="I46" t="str">
        <f t="shared" si="3"/>
        <v>Kōaro</v>
      </c>
      <c r="J46" t="str">
        <f t="shared" si="4"/>
        <v>Native</v>
      </c>
      <c r="K46" t="str">
        <f t="shared" si="5"/>
        <v>Yes</v>
      </c>
      <c r="M46">
        <v>80</v>
      </c>
      <c r="N46">
        <v>3</v>
      </c>
      <c r="O46">
        <v>1</v>
      </c>
      <c r="T46" t="str">
        <f t="shared" si="6"/>
        <v/>
      </c>
    </row>
    <row r="47" spans="1:21" x14ac:dyDescent="0.55000000000000004">
      <c r="A47">
        <v>114</v>
      </c>
      <c r="B47" t="str">
        <f t="shared" si="0"/>
        <v>114_0</v>
      </c>
      <c r="C47" s="2">
        <v>45597.479166608799</v>
      </c>
      <c r="D47" t="s">
        <v>221</v>
      </c>
      <c r="E47">
        <v>2</v>
      </c>
      <c r="F47" t="s">
        <v>242</v>
      </c>
      <c r="G47" t="str">
        <f t="shared" si="1"/>
        <v>Gobiomorphus cotidianus</v>
      </c>
      <c r="H47" t="str">
        <f t="shared" si="2"/>
        <v>Common_bully</v>
      </c>
      <c r="I47" t="str">
        <f t="shared" si="3"/>
        <v>Toitoi</v>
      </c>
      <c r="J47" t="str">
        <f t="shared" si="4"/>
        <v>Native</v>
      </c>
      <c r="K47" t="str">
        <f t="shared" si="5"/>
        <v>No</v>
      </c>
      <c r="O47">
        <v>50</v>
      </c>
      <c r="T47" t="str">
        <f t="shared" si="6"/>
        <v/>
      </c>
      <c r="U47" t="s">
        <v>253</v>
      </c>
    </row>
    <row r="48" spans="1:21" x14ac:dyDescent="0.55000000000000004">
      <c r="A48">
        <v>114</v>
      </c>
      <c r="B48" t="str">
        <f t="shared" si="0"/>
        <v>114_0</v>
      </c>
      <c r="C48" s="2">
        <v>45597.479166608799</v>
      </c>
      <c r="D48" t="s">
        <v>221</v>
      </c>
      <c r="E48">
        <v>2</v>
      </c>
      <c r="F48" t="s">
        <v>233</v>
      </c>
      <c r="G48" t="str">
        <f t="shared" si="1"/>
        <v>Galaxias brevipinnis</v>
      </c>
      <c r="H48" t="str">
        <f t="shared" si="2"/>
        <v>Climbing_galaxias</v>
      </c>
      <c r="I48" t="str">
        <f t="shared" si="3"/>
        <v>Kōaro</v>
      </c>
      <c r="J48" t="str">
        <f t="shared" si="4"/>
        <v>Native</v>
      </c>
      <c r="K48" t="str">
        <f t="shared" si="5"/>
        <v>Yes</v>
      </c>
      <c r="M48">
        <v>125</v>
      </c>
      <c r="N48">
        <v>20</v>
      </c>
      <c r="O48">
        <v>1</v>
      </c>
      <c r="T48" t="str">
        <f t="shared" si="6"/>
        <v/>
      </c>
    </row>
    <row r="49" spans="1:21" x14ac:dyDescent="0.55000000000000004">
      <c r="A49">
        <v>92</v>
      </c>
      <c r="B49" t="str">
        <f t="shared" si="0"/>
        <v>92_0</v>
      </c>
      <c r="C49" s="2">
        <v>45638.456944386577</v>
      </c>
      <c r="D49" t="s">
        <v>245</v>
      </c>
      <c r="E49">
        <v>2</v>
      </c>
      <c r="F49" t="s">
        <v>222</v>
      </c>
      <c r="G49" t="str">
        <f t="shared" si="1"/>
        <v>Paranephrops planifrons</v>
      </c>
      <c r="H49" t="str">
        <f t="shared" si="2"/>
        <v>Freshwater_crayfish</v>
      </c>
      <c r="I49" t="str">
        <f t="shared" si="3"/>
        <v>Kōura</v>
      </c>
      <c r="J49" t="str">
        <f t="shared" si="4"/>
        <v>Native</v>
      </c>
      <c r="K49" t="str">
        <f t="shared" si="5"/>
        <v>Yes</v>
      </c>
      <c r="L49" t="s">
        <v>228</v>
      </c>
      <c r="M49">
        <v>40.6</v>
      </c>
      <c r="N49">
        <v>50</v>
      </c>
      <c r="O49">
        <v>1</v>
      </c>
      <c r="T49" t="str">
        <f t="shared" si="6"/>
        <v/>
      </c>
    </row>
    <row r="50" spans="1:21" x14ac:dyDescent="0.55000000000000004">
      <c r="A50">
        <v>113</v>
      </c>
      <c r="B50" t="str">
        <f t="shared" si="0"/>
        <v>113_0</v>
      </c>
      <c r="C50" s="2">
        <v>45680.387499999997</v>
      </c>
      <c r="D50" t="s">
        <v>245</v>
      </c>
      <c r="E50">
        <v>2</v>
      </c>
      <c r="F50" t="s">
        <v>222</v>
      </c>
      <c r="G50" t="str">
        <f t="shared" si="1"/>
        <v>Paranephrops planifrons</v>
      </c>
      <c r="H50" t="str">
        <f t="shared" si="2"/>
        <v>Freshwater_crayfish</v>
      </c>
      <c r="I50" t="str">
        <f t="shared" si="3"/>
        <v>Kōura</v>
      </c>
      <c r="J50" t="str">
        <f t="shared" si="4"/>
        <v>Native</v>
      </c>
      <c r="K50" t="str">
        <f t="shared" si="5"/>
        <v>Yes</v>
      </c>
      <c r="L50" t="s">
        <v>223</v>
      </c>
      <c r="M50">
        <v>40.56</v>
      </c>
      <c r="N50">
        <v>43</v>
      </c>
      <c r="O50">
        <v>1</v>
      </c>
      <c r="T50" t="str">
        <f t="shared" si="6"/>
        <v/>
      </c>
    </row>
    <row r="51" spans="1:21" x14ac:dyDescent="0.55000000000000004">
      <c r="A51">
        <v>114</v>
      </c>
      <c r="B51" t="str">
        <f t="shared" si="0"/>
        <v>114_0</v>
      </c>
      <c r="C51" s="2">
        <v>45597.479166608799</v>
      </c>
      <c r="D51" t="s">
        <v>245</v>
      </c>
      <c r="E51">
        <v>2</v>
      </c>
      <c r="F51" t="s">
        <v>242</v>
      </c>
      <c r="G51" t="str">
        <f t="shared" si="1"/>
        <v>Gobiomorphus cotidianus</v>
      </c>
      <c r="H51" t="str">
        <f t="shared" si="2"/>
        <v>Common_bully</v>
      </c>
      <c r="I51" t="str">
        <f t="shared" si="3"/>
        <v>Toitoi</v>
      </c>
      <c r="J51" t="str">
        <f t="shared" si="4"/>
        <v>Native</v>
      </c>
      <c r="K51" t="str">
        <f t="shared" si="5"/>
        <v>No</v>
      </c>
      <c r="O51">
        <v>25</v>
      </c>
      <c r="T51" t="str">
        <f t="shared" si="6"/>
        <v/>
      </c>
      <c r="U51" t="s">
        <v>253</v>
      </c>
    </row>
    <row r="52" spans="1:21" x14ac:dyDescent="0.55000000000000004">
      <c r="A52">
        <v>114</v>
      </c>
      <c r="B52" t="str">
        <f t="shared" si="0"/>
        <v>114_0</v>
      </c>
      <c r="C52" s="2">
        <v>45597.479166608799</v>
      </c>
      <c r="D52" t="s">
        <v>221</v>
      </c>
      <c r="E52">
        <v>2</v>
      </c>
      <c r="F52" t="s">
        <v>243</v>
      </c>
      <c r="G52" t="str">
        <f t="shared" si="1"/>
        <v>Retropinna retropinna</v>
      </c>
      <c r="H52" t="str">
        <f t="shared" si="2"/>
        <v>Common_smelt</v>
      </c>
      <c r="I52" t="str">
        <f t="shared" si="3"/>
        <v>Common_smelt</v>
      </c>
      <c r="J52" t="str">
        <f t="shared" si="4"/>
        <v>Native</v>
      </c>
      <c r="K52" t="str">
        <f t="shared" si="5"/>
        <v>No</v>
      </c>
      <c r="O52">
        <v>5</v>
      </c>
      <c r="T52" t="str">
        <f t="shared" si="6"/>
        <v/>
      </c>
    </row>
    <row r="53" spans="1:21" x14ac:dyDescent="0.55000000000000004">
      <c r="A53">
        <v>114</v>
      </c>
      <c r="B53" t="str">
        <f t="shared" si="0"/>
        <v>114_0</v>
      </c>
      <c r="C53" s="2">
        <v>45597.479166608799</v>
      </c>
      <c r="D53" t="s">
        <v>221</v>
      </c>
      <c r="E53">
        <v>2</v>
      </c>
      <c r="F53" t="s">
        <v>242</v>
      </c>
      <c r="G53" t="str">
        <f t="shared" si="1"/>
        <v>Gobiomorphus cotidianus</v>
      </c>
      <c r="H53" t="str">
        <f t="shared" si="2"/>
        <v>Common_bully</v>
      </c>
      <c r="I53" t="str">
        <f t="shared" si="3"/>
        <v>Toitoi</v>
      </c>
      <c r="J53" t="str">
        <f t="shared" si="4"/>
        <v>Native</v>
      </c>
      <c r="K53" t="str">
        <f t="shared" si="5"/>
        <v>No</v>
      </c>
      <c r="O53">
        <v>50</v>
      </c>
      <c r="T53" t="str">
        <f t="shared" si="6"/>
        <v/>
      </c>
      <c r="U53" t="s">
        <v>253</v>
      </c>
    </row>
    <row r="54" spans="1:21" x14ac:dyDescent="0.55000000000000004">
      <c r="A54">
        <v>73</v>
      </c>
      <c r="B54" t="str">
        <f t="shared" si="0"/>
        <v>73_0</v>
      </c>
      <c r="C54" s="2">
        <v>45674.479166608799</v>
      </c>
      <c r="D54" t="s">
        <v>221</v>
      </c>
      <c r="E54">
        <v>2</v>
      </c>
      <c r="F54" t="s">
        <v>222</v>
      </c>
      <c r="G54" t="str">
        <f t="shared" si="1"/>
        <v>Paranephrops planifrons</v>
      </c>
      <c r="H54" t="str">
        <f t="shared" si="2"/>
        <v>Freshwater_crayfish</v>
      </c>
      <c r="I54" t="str">
        <f t="shared" si="3"/>
        <v>Kōura</v>
      </c>
      <c r="J54" t="str">
        <f t="shared" si="4"/>
        <v>Native</v>
      </c>
      <c r="K54" t="str">
        <f t="shared" si="5"/>
        <v>Yes</v>
      </c>
      <c r="L54" t="s">
        <v>223</v>
      </c>
      <c r="M54">
        <v>40.020000000000003</v>
      </c>
      <c r="N54">
        <v>40</v>
      </c>
      <c r="O54">
        <v>1</v>
      </c>
      <c r="P54">
        <v>1</v>
      </c>
      <c r="T54" t="str">
        <f t="shared" si="6"/>
        <v/>
      </c>
    </row>
    <row r="55" spans="1:21" x14ac:dyDescent="0.55000000000000004">
      <c r="A55">
        <v>115</v>
      </c>
      <c r="B55" t="str">
        <f t="shared" si="0"/>
        <v>115_0</v>
      </c>
      <c r="C55" s="2">
        <v>45597.590277777781</v>
      </c>
      <c r="D55" t="s">
        <v>245</v>
      </c>
      <c r="E55">
        <v>2</v>
      </c>
      <c r="F55" t="s">
        <v>222</v>
      </c>
      <c r="G55" t="str">
        <f t="shared" si="1"/>
        <v>Paranephrops planifrons</v>
      </c>
      <c r="H55" t="str">
        <f t="shared" si="2"/>
        <v>Freshwater_crayfish</v>
      </c>
      <c r="I55" t="str">
        <f t="shared" si="3"/>
        <v>Kōura</v>
      </c>
      <c r="J55" t="str">
        <f t="shared" si="4"/>
        <v>Native</v>
      </c>
      <c r="K55" t="str">
        <f t="shared" si="5"/>
        <v>Yes</v>
      </c>
      <c r="L55" t="s">
        <v>228</v>
      </c>
      <c r="M55">
        <v>40</v>
      </c>
      <c r="N55">
        <v>60</v>
      </c>
      <c r="O55">
        <v>1</v>
      </c>
      <c r="T55" t="str">
        <f t="shared" si="6"/>
        <v/>
      </c>
    </row>
    <row r="56" spans="1:21" x14ac:dyDescent="0.55000000000000004">
      <c r="A56">
        <v>119</v>
      </c>
      <c r="B56" t="str">
        <f t="shared" si="0"/>
        <v>119_0</v>
      </c>
      <c r="C56" s="2">
        <v>45597.395833333336</v>
      </c>
      <c r="D56" t="s">
        <v>245</v>
      </c>
      <c r="E56">
        <v>2</v>
      </c>
      <c r="F56" t="s">
        <v>222</v>
      </c>
      <c r="G56" t="str">
        <f t="shared" si="1"/>
        <v>Paranephrops planifrons</v>
      </c>
      <c r="H56" t="str">
        <f t="shared" si="2"/>
        <v>Freshwater_crayfish</v>
      </c>
      <c r="I56" t="str">
        <f t="shared" si="3"/>
        <v>Kōura</v>
      </c>
      <c r="J56" t="str">
        <f t="shared" si="4"/>
        <v>Native</v>
      </c>
      <c r="K56" t="str">
        <f t="shared" si="5"/>
        <v>Yes</v>
      </c>
      <c r="L56" t="s">
        <v>228</v>
      </c>
      <c r="M56">
        <v>40</v>
      </c>
      <c r="N56">
        <v>50</v>
      </c>
      <c r="O56">
        <v>1</v>
      </c>
      <c r="T56" t="str">
        <f t="shared" si="6"/>
        <v/>
      </c>
    </row>
    <row r="57" spans="1:21" x14ac:dyDescent="0.55000000000000004">
      <c r="A57">
        <v>115</v>
      </c>
      <c r="B57" t="str">
        <f t="shared" si="0"/>
        <v>115_0</v>
      </c>
      <c r="C57" s="2">
        <v>45597.590277777781</v>
      </c>
      <c r="D57" t="s">
        <v>221</v>
      </c>
      <c r="E57">
        <v>2</v>
      </c>
      <c r="F57" t="s">
        <v>222</v>
      </c>
      <c r="G57" t="str">
        <f t="shared" si="1"/>
        <v>Paranephrops planifrons</v>
      </c>
      <c r="H57" t="str">
        <f t="shared" si="2"/>
        <v>Freshwater_crayfish</v>
      </c>
      <c r="I57" t="str">
        <f t="shared" si="3"/>
        <v>Kōura</v>
      </c>
      <c r="J57" t="str">
        <f t="shared" si="4"/>
        <v>Native</v>
      </c>
      <c r="K57" t="str">
        <f t="shared" si="5"/>
        <v>Yes</v>
      </c>
      <c r="L57" t="s">
        <v>228</v>
      </c>
      <c r="M57">
        <v>40</v>
      </c>
      <c r="N57">
        <v>49</v>
      </c>
      <c r="O57">
        <v>1</v>
      </c>
      <c r="P57">
        <v>1</v>
      </c>
      <c r="T57" t="str">
        <f t="shared" si="6"/>
        <v/>
      </c>
    </row>
    <row r="58" spans="1:21" x14ac:dyDescent="0.55000000000000004">
      <c r="A58">
        <v>115</v>
      </c>
      <c r="B58" t="str">
        <f t="shared" si="0"/>
        <v>115_0</v>
      </c>
      <c r="C58" s="2">
        <v>45597.590277777781</v>
      </c>
      <c r="D58" t="s">
        <v>245</v>
      </c>
      <c r="E58">
        <v>2</v>
      </c>
      <c r="F58" t="s">
        <v>222</v>
      </c>
      <c r="G58" t="str">
        <f t="shared" si="1"/>
        <v>Paranephrops planifrons</v>
      </c>
      <c r="H58" t="str">
        <f t="shared" si="2"/>
        <v>Freshwater_crayfish</v>
      </c>
      <c r="I58" t="str">
        <f t="shared" si="3"/>
        <v>Kōura</v>
      </c>
      <c r="J58" t="str">
        <f t="shared" si="4"/>
        <v>Native</v>
      </c>
      <c r="K58" t="str">
        <f t="shared" si="5"/>
        <v>Yes</v>
      </c>
      <c r="L58" t="s">
        <v>223</v>
      </c>
      <c r="M58">
        <v>40</v>
      </c>
      <c r="N58">
        <v>44</v>
      </c>
      <c r="O58">
        <v>1</v>
      </c>
      <c r="T58" t="str">
        <f t="shared" si="6"/>
        <v/>
      </c>
    </row>
    <row r="59" spans="1:21" x14ac:dyDescent="0.55000000000000004">
      <c r="A59">
        <v>111</v>
      </c>
      <c r="B59" t="str">
        <f t="shared" si="0"/>
        <v>111_0</v>
      </c>
      <c r="C59" s="2">
        <v>45597.416666666664</v>
      </c>
      <c r="D59" t="s">
        <v>245</v>
      </c>
      <c r="E59">
        <v>2</v>
      </c>
      <c r="F59" t="s">
        <v>222</v>
      </c>
      <c r="G59" t="str">
        <f t="shared" si="1"/>
        <v>Paranephrops planifrons</v>
      </c>
      <c r="H59" t="str">
        <f t="shared" si="2"/>
        <v>Freshwater_crayfish</v>
      </c>
      <c r="I59" t="str">
        <f t="shared" si="3"/>
        <v>Kōura</v>
      </c>
      <c r="J59" t="str">
        <f t="shared" si="4"/>
        <v>Native</v>
      </c>
      <c r="K59" t="str">
        <f t="shared" si="5"/>
        <v>Yes</v>
      </c>
      <c r="L59" t="s">
        <v>228</v>
      </c>
      <c r="M59">
        <v>40</v>
      </c>
      <c r="N59">
        <v>42</v>
      </c>
      <c r="O59">
        <v>1</v>
      </c>
      <c r="P59">
        <v>1</v>
      </c>
      <c r="T59" t="str">
        <f t="shared" si="6"/>
        <v/>
      </c>
    </row>
    <row r="60" spans="1:21" x14ac:dyDescent="0.55000000000000004">
      <c r="A60">
        <v>97</v>
      </c>
      <c r="B60" t="str">
        <f t="shared" si="0"/>
        <v>97_0</v>
      </c>
      <c r="C60" s="2">
        <v>45603.524305439816</v>
      </c>
      <c r="D60" t="s">
        <v>221</v>
      </c>
      <c r="E60">
        <v>2</v>
      </c>
      <c r="F60" t="s">
        <v>222</v>
      </c>
      <c r="G60" t="str">
        <f t="shared" si="1"/>
        <v>Paranephrops planifrons</v>
      </c>
      <c r="H60" t="str">
        <f t="shared" si="2"/>
        <v>Freshwater_crayfish</v>
      </c>
      <c r="I60" t="str">
        <f t="shared" si="3"/>
        <v>Kōura</v>
      </c>
      <c r="J60" t="str">
        <f t="shared" si="4"/>
        <v>Native</v>
      </c>
      <c r="K60" t="str">
        <f t="shared" si="5"/>
        <v>Yes</v>
      </c>
      <c r="L60" t="s">
        <v>228</v>
      </c>
      <c r="M60">
        <v>40</v>
      </c>
      <c r="O60">
        <v>1</v>
      </c>
      <c r="T60" t="str">
        <f t="shared" si="6"/>
        <v/>
      </c>
    </row>
    <row r="61" spans="1:21" x14ac:dyDescent="0.55000000000000004">
      <c r="A61">
        <v>92</v>
      </c>
      <c r="B61" t="str">
        <f t="shared" si="0"/>
        <v>92_0</v>
      </c>
      <c r="C61" s="2">
        <v>45638.456944386577</v>
      </c>
      <c r="D61" t="s">
        <v>245</v>
      </c>
      <c r="E61">
        <v>2</v>
      </c>
      <c r="F61" t="s">
        <v>222</v>
      </c>
      <c r="G61" t="str">
        <f t="shared" si="1"/>
        <v>Paranephrops planifrons</v>
      </c>
      <c r="H61" t="str">
        <f t="shared" si="2"/>
        <v>Freshwater_crayfish</v>
      </c>
      <c r="I61" t="str">
        <f t="shared" si="3"/>
        <v>Kōura</v>
      </c>
      <c r="J61" t="str">
        <f t="shared" si="4"/>
        <v>Native</v>
      </c>
      <c r="K61" t="str">
        <f t="shared" si="5"/>
        <v>Yes</v>
      </c>
      <c r="L61" t="s">
        <v>223</v>
      </c>
      <c r="M61">
        <v>39.82</v>
      </c>
      <c r="N61">
        <v>44</v>
      </c>
      <c r="O61">
        <v>1</v>
      </c>
      <c r="T61" t="str">
        <f t="shared" si="6"/>
        <v/>
      </c>
    </row>
    <row r="62" spans="1:21" x14ac:dyDescent="0.55000000000000004">
      <c r="A62">
        <v>73</v>
      </c>
      <c r="B62" t="str">
        <f t="shared" si="0"/>
        <v>73_0</v>
      </c>
      <c r="C62" s="2">
        <v>45674.479166608799</v>
      </c>
      <c r="D62" t="s">
        <v>221</v>
      </c>
      <c r="E62">
        <v>2</v>
      </c>
      <c r="F62" t="s">
        <v>222</v>
      </c>
      <c r="G62" t="str">
        <f t="shared" si="1"/>
        <v>Paranephrops planifrons</v>
      </c>
      <c r="H62" t="str">
        <f t="shared" si="2"/>
        <v>Freshwater_crayfish</v>
      </c>
      <c r="I62" t="str">
        <f t="shared" si="3"/>
        <v>Kōura</v>
      </c>
      <c r="J62" t="str">
        <f t="shared" si="4"/>
        <v>Native</v>
      </c>
      <c r="K62" t="str">
        <f t="shared" si="5"/>
        <v>Yes</v>
      </c>
      <c r="L62" t="s">
        <v>223</v>
      </c>
      <c r="M62">
        <v>39.799999999999997</v>
      </c>
      <c r="N62">
        <v>19</v>
      </c>
      <c r="O62">
        <v>1</v>
      </c>
      <c r="T62" t="str">
        <f t="shared" si="6"/>
        <v/>
      </c>
    </row>
    <row r="63" spans="1:21" x14ac:dyDescent="0.55000000000000004">
      <c r="A63">
        <v>76</v>
      </c>
      <c r="B63" t="str">
        <f t="shared" si="0"/>
        <v>76_0</v>
      </c>
      <c r="C63" s="2">
        <v>45673.348611111112</v>
      </c>
      <c r="D63" t="s">
        <v>245</v>
      </c>
      <c r="E63">
        <v>2</v>
      </c>
      <c r="F63" t="s">
        <v>222</v>
      </c>
      <c r="G63" t="str">
        <f t="shared" si="1"/>
        <v>Paranephrops planifrons</v>
      </c>
      <c r="H63" t="str">
        <f t="shared" si="2"/>
        <v>Freshwater_crayfish</v>
      </c>
      <c r="I63" t="str">
        <f t="shared" si="3"/>
        <v>Kōura</v>
      </c>
      <c r="J63" t="str">
        <f t="shared" si="4"/>
        <v>Native</v>
      </c>
      <c r="K63" t="str">
        <f t="shared" si="5"/>
        <v>Yes</v>
      </c>
      <c r="L63" t="s">
        <v>228</v>
      </c>
      <c r="M63">
        <v>39.44</v>
      </c>
      <c r="N63">
        <v>49</v>
      </c>
      <c r="O63">
        <v>1</v>
      </c>
      <c r="T63" t="str">
        <f t="shared" si="6"/>
        <v/>
      </c>
    </row>
    <row r="64" spans="1:21" x14ac:dyDescent="0.55000000000000004">
      <c r="A64">
        <v>96</v>
      </c>
      <c r="B64" t="str">
        <f t="shared" si="0"/>
        <v>96_0</v>
      </c>
      <c r="C64" s="2">
        <v>45638.489583333336</v>
      </c>
      <c r="D64" t="s">
        <v>221</v>
      </c>
      <c r="E64">
        <v>2</v>
      </c>
      <c r="F64" t="s">
        <v>222</v>
      </c>
      <c r="G64" t="str">
        <f t="shared" si="1"/>
        <v>Paranephrops planifrons</v>
      </c>
      <c r="H64" t="str">
        <f t="shared" si="2"/>
        <v>Freshwater_crayfish</v>
      </c>
      <c r="I64" t="str">
        <f t="shared" si="3"/>
        <v>Kōura</v>
      </c>
      <c r="J64" t="str">
        <f t="shared" si="4"/>
        <v>Native</v>
      </c>
      <c r="K64" t="str">
        <f t="shared" si="5"/>
        <v>Yes</v>
      </c>
      <c r="L64" t="s">
        <v>228</v>
      </c>
      <c r="M64">
        <v>39</v>
      </c>
      <c r="N64">
        <v>49</v>
      </c>
      <c r="O64">
        <v>1</v>
      </c>
      <c r="T64" t="str">
        <f t="shared" si="6"/>
        <v/>
      </c>
    </row>
    <row r="65" spans="1:21" x14ac:dyDescent="0.55000000000000004">
      <c r="A65">
        <v>115</v>
      </c>
      <c r="B65" t="str">
        <f t="shared" si="0"/>
        <v>115_0</v>
      </c>
      <c r="C65" s="2">
        <v>45597.590277777781</v>
      </c>
      <c r="D65" t="s">
        <v>245</v>
      </c>
      <c r="E65">
        <v>2</v>
      </c>
      <c r="F65" t="s">
        <v>242</v>
      </c>
      <c r="G65" t="str">
        <f t="shared" si="1"/>
        <v>Gobiomorphus cotidianus</v>
      </c>
      <c r="H65" t="str">
        <f t="shared" si="2"/>
        <v>Common_bully</v>
      </c>
      <c r="I65" t="str">
        <f t="shared" si="3"/>
        <v>Toitoi</v>
      </c>
      <c r="J65" t="str">
        <f t="shared" si="4"/>
        <v>Native</v>
      </c>
      <c r="K65" t="str">
        <f t="shared" si="5"/>
        <v>No</v>
      </c>
      <c r="O65">
        <v>10</v>
      </c>
      <c r="T65" t="str">
        <f t="shared" si="6"/>
        <v/>
      </c>
    </row>
    <row r="66" spans="1:21" x14ac:dyDescent="0.55000000000000004">
      <c r="A66">
        <v>96</v>
      </c>
      <c r="B66" t="str">
        <f t="shared" ref="B66:B129" si="7">A66 &amp; "_0"</f>
        <v>96_0</v>
      </c>
      <c r="C66" s="2">
        <v>45638.489583333336</v>
      </c>
      <c r="D66" t="s">
        <v>221</v>
      </c>
      <c r="E66">
        <v>2</v>
      </c>
      <c r="F66" t="s">
        <v>222</v>
      </c>
      <c r="G66" t="str">
        <f t="shared" ref="G66:G129" si="8">VLOOKUP($F66, $W$1:$AB$10, 2, FALSE)</f>
        <v>Paranephrops planifrons</v>
      </c>
      <c r="H66" t="str">
        <f t="shared" ref="H66:H129" si="9">VLOOKUP($F66, $W$1:$AB$10, 3, FALSE)</f>
        <v>Freshwater_crayfish</v>
      </c>
      <c r="I66" t="str">
        <f t="shared" ref="I66:I129" si="10">VLOOKUP($F66, $W$1:$AB$10, 4, FALSE)</f>
        <v>Kōura</v>
      </c>
      <c r="J66" t="str">
        <f t="shared" ref="J66:J129" si="11">VLOOKUP($F66, $W$1:$AC$10, 5, FALSE)</f>
        <v>Native</v>
      </c>
      <c r="K66" t="str">
        <f t="shared" ref="K66:K129" si="12">VLOOKUP($F66, $W$1:$AB$10, 6, FALSE)</f>
        <v>Yes</v>
      </c>
      <c r="L66" t="s">
        <v>228</v>
      </c>
      <c r="M66">
        <v>39</v>
      </c>
      <c r="N66">
        <v>44</v>
      </c>
      <c r="O66">
        <v>1</v>
      </c>
      <c r="T66" t="str">
        <f t="shared" ref="T66:T129" si="13">IF(S66&lt;&gt;"", S66*236.588, "")</f>
        <v/>
      </c>
    </row>
    <row r="67" spans="1:21" x14ac:dyDescent="0.55000000000000004">
      <c r="A67">
        <v>96</v>
      </c>
      <c r="B67" t="str">
        <f t="shared" si="7"/>
        <v>96_0</v>
      </c>
      <c r="C67" s="2">
        <v>45638.489583333336</v>
      </c>
      <c r="D67" t="s">
        <v>221</v>
      </c>
      <c r="E67">
        <v>2</v>
      </c>
      <c r="F67" t="s">
        <v>222</v>
      </c>
      <c r="G67" t="str">
        <f t="shared" si="8"/>
        <v>Paranephrops planifrons</v>
      </c>
      <c r="H67" t="str">
        <f t="shared" si="9"/>
        <v>Freshwater_crayfish</v>
      </c>
      <c r="I67" t="str">
        <f t="shared" si="10"/>
        <v>Kōura</v>
      </c>
      <c r="J67" t="str">
        <f t="shared" si="11"/>
        <v>Native</v>
      </c>
      <c r="K67" t="str">
        <f t="shared" si="12"/>
        <v>Yes</v>
      </c>
      <c r="L67" t="s">
        <v>228</v>
      </c>
      <c r="M67">
        <v>39</v>
      </c>
      <c r="N67">
        <v>40</v>
      </c>
      <c r="O67">
        <v>1</v>
      </c>
      <c r="T67" t="str">
        <f t="shared" si="13"/>
        <v/>
      </c>
    </row>
    <row r="68" spans="1:21" x14ac:dyDescent="0.55000000000000004">
      <c r="A68">
        <v>69</v>
      </c>
      <c r="B68" t="str">
        <f t="shared" si="7"/>
        <v>69_0</v>
      </c>
      <c r="C68" s="2">
        <v>45709.0625</v>
      </c>
      <c r="D68" t="s">
        <v>245</v>
      </c>
      <c r="E68">
        <v>2</v>
      </c>
      <c r="F68" t="s">
        <v>222</v>
      </c>
      <c r="G68" t="str">
        <f t="shared" si="8"/>
        <v>Paranephrops planifrons</v>
      </c>
      <c r="H68" t="str">
        <f t="shared" si="9"/>
        <v>Freshwater_crayfish</v>
      </c>
      <c r="I68" t="str">
        <f t="shared" si="10"/>
        <v>Kōura</v>
      </c>
      <c r="J68" t="str">
        <f t="shared" si="11"/>
        <v>Native</v>
      </c>
      <c r="K68" t="str">
        <f t="shared" si="12"/>
        <v>Yes</v>
      </c>
      <c r="L68" t="s">
        <v>223</v>
      </c>
      <c r="M68">
        <v>38.549999999999997</v>
      </c>
      <c r="N68">
        <v>45</v>
      </c>
      <c r="O68">
        <v>1</v>
      </c>
      <c r="T68" t="str">
        <f t="shared" si="13"/>
        <v/>
      </c>
    </row>
    <row r="69" spans="1:21" x14ac:dyDescent="0.55000000000000004">
      <c r="A69">
        <v>73</v>
      </c>
      <c r="B69" t="str">
        <f t="shared" si="7"/>
        <v>73_0</v>
      </c>
      <c r="C69" s="2">
        <v>45674.479166608799</v>
      </c>
      <c r="D69" t="s">
        <v>221</v>
      </c>
      <c r="E69">
        <v>2</v>
      </c>
      <c r="F69" t="s">
        <v>222</v>
      </c>
      <c r="G69" t="str">
        <f t="shared" si="8"/>
        <v>Paranephrops planifrons</v>
      </c>
      <c r="H69" t="str">
        <f t="shared" si="9"/>
        <v>Freshwater_crayfish</v>
      </c>
      <c r="I69" t="str">
        <f t="shared" si="10"/>
        <v>Kōura</v>
      </c>
      <c r="J69" t="str">
        <f t="shared" si="11"/>
        <v>Native</v>
      </c>
      <c r="K69" t="str">
        <f t="shared" si="12"/>
        <v>Yes</v>
      </c>
      <c r="L69" t="s">
        <v>228</v>
      </c>
      <c r="M69">
        <v>38.54</v>
      </c>
      <c r="N69">
        <v>40</v>
      </c>
      <c r="O69">
        <v>1</v>
      </c>
      <c r="T69" t="str">
        <f t="shared" si="13"/>
        <v/>
      </c>
    </row>
    <row r="70" spans="1:21" x14ac:dyDescent="0.55000000000000004">
      <c r="A70">
        <v>115</v>
      </c>
      <c r="B70" t="str">
        <f t="shared" si="7"/>
        <v>115_0</v>
      </c>
      <c r="C70" s="2">
        <v>45597.590277777781</v>
      </c>
      <c r="D70" t="s">
        <v>221</v>
      </c>
      <c r="E70">
        <v>2</v>
      </c>
      <c r="F70" t="s">
        <v>242</v>
      </c>
      <c r="G70" t="str">
        <f t="shared" si="8"/>
        <v>Gobiomorphus cotidianus</v>
      </c>
      <c r="H70" t="str">
        <f t="shared" si="9"/>
        <v>Common_bully</v>
      </c>
      <c r="I70" t="str">
        <f t="shared" si="10"/>
        <v>Toitoi</v>
      </c>
      <c r="J70" t="str">
        <f t="shared" si="11"/>
        <v>Native</v>
      </c>
      <c r="K70" t="str">
        <f t="shared" si="12"/>
        <v>No</v>
      </c>
      <c r="O70">
        <v>60</v>
      </c>
      <c r="T70" t="str">
        <f t="shared" si="13"/>
        <v/>
      </c>
      <c r="U70" t="s">
        <v>253</v>
      </c>
    </row>
    <row r="71" spans="1:21" x14ac:dyDescent="0.55000000000000004">
      <c r="A71">
        <v>115</v>
      </c>
      <c r="B71" t="str">
        <f t="shared" si="7"/>
        <v>115_0</v>
      </c>
      <c r="C71" s="2">
        <v>45597.590277777781</v>
      </c>
      <c r="D71" t="s">
        <v>221</v>
      </c>
      <c r="E71">
        <v>2</v>
      </c>
      <c r="F71" t="s">
        <v>233</v>
      </c>
      <c r="G71" t="str">
        <f t="shared" si="8"/>
        <v>Galaxias brevipinnis</v>
      </c>
      <c r="H71" t="str">
        <f t="shared" si="9"/>
        <v>Climbing_galaxias</v>
      </c>
      <c r="I71" t="str">
        <f t="shared" si="10"/>
        <v>Kōaro</v>
      </c>
      <c r="J71" t="str">
        <f t="shared" si="11"/>
        <v>Native</v>
      </c>
      <c r="K71" t="str">
        <f t="shared" si="12"/>
        <v>Yes</v>
      </c>
      <c r="M71">
        <v>225</v>
      </c>
      <c r="N71">
        <v>154</v>
      </c>
      <c r="O71">
        <v>1</v>
      </c>
      <c r="T71" t="str">
        <f t="shared" si="13"/>
        <v/>
      </c>
    </row>
    <row r="72" spans="1:21" x14ac:dyDescent="0.55000000000000004">
      <c r="A72">
        <v>115</v>
      </c>
      <c r="B72" t="str">
        <f t="shared" si="7"/>
        <v>115_0</v>
      </c>
      <c r="C72" s="2">
        <v>45597.590277777781</v>
      </c>
      <c r="D72" t="s">
        <v>221</v>
      </c>
      <c r="E72">
        <v>2</v>
      </c>
      <c r="F72" t="s">
        <v>236</v>
      </c>
      <c r="G72" t="str">
        <f t="shared" si="8"/>
        <v>Carassius auratus</v>
      </c>
      <c r="H72" t="str">
        <f t="shared" si="9"/>
        <v>Goldfish</v>
      </c>
      <c r="I72" t="str">
        <f t="shared" si="10"/>
        <v>Morihana</v>
      </c>
      <c r="J72" t="str">
        <f t="shared" si="11"/>
        <v>Nonnative</v>
      </c>
      <c r="K72" t="str">
        <f t="shared" si="12"/>
        <v>No</v>
      </c>
      <c r="M72">
        <v>206</v>
      </c>
      <c r="N72">
        <v>226</v>
      </c>
      <c r="O72">
        <v>1</v>
      </c>
      <c r="T72" t="str">
        <f t="shared" si="13"/>
        <v/>
      </c>
    </row>
    <row r="73" spans="1:21" x14ac:dyDescent="0.55000000000000004">
      <c r="A73">
        <v>73</v>
      </c>
      <c r="B73" t="str">
        <f t="shared" si="7"/>
        <v>73_0</v>
      </c>
      <c r="C73" s="2">
        <v>45674.479166608799</v>
      </c>
      <c r="D73" t="s">
        <v>221</v>
      </c>
      <c r="E73">
        <v>2</v>
      </c>
      <c r="F73" t="s">
        <v>222</v>
      </c>
      <c r="G73" t="str">
        <f t="shared" si="8"/>
        <v>Paranephrops planifrons</v>
      </c>
      <c r="H73" t="str">
        <f t="shared" si="9"/>
        <v>Freshwater_crayfish</v>
      </c>
      <c r="I73" t="str">
        <f t="shared" si="10"/>
        <v>Kōura</v>
      </c>
      <c r="J73" t="str">
        <f t="shared" si="11"/>
        <v>Native</v>
      </c>
      <c r="K73" t="str">
        <f t="shared" si="12"/>
        <v>Yes</v>
      </c>
      <c r="L73" t="s">
        <v>228</v>
      </c>
      <c r="M73">
        <v>38.53</v>
      </c>
      <c r="N73">
        <v>37</v>
      </c>
      <c r="O73">
        <v>1</v>
      </c>
      <c r="T73" t="str">
        <f t="shared" si="13"/>
        <v/>
      </c>
    </row>
    <row r="74" spans="1:21" x14ac:dyDescent="0.55000000000000004">
      <c r="A74">
        <v>66</v>
      </c>
      <c r="B74" t="str">
        <f t="shared" si="7"/>
        <v>66_0</v>
      </c>
      <c r="C74" s="2">
        <v>45709.513888888891</v>
      </c>
      <c r="D74" t="s">
        <v>245</v>
      </c>
      <c r="E74">
        <v>2</v>
      </c>
      <c r="F74" t="s">
        <v>222</v>
      </c>
      <c r="G74" t="str">
        <f t="shared" si="8"/>
        <v>Paranephrops planifrons</v>
      </c>
      <c r="H74" t="str">
        <f t="shared" si="9"/>
        <v>Freshwater_crayfish</v>
      </c>
      <c r="I74" t="str">
        <f t="shared" si="10"/>
        <v>Kōura</v>
      </c>
      <c r="J74" t="str">
        <f t="shared" si="11"/>
        <v>Native</v>
      </c>
      <c r="K74" t="str">
        <f t="shared" si="12"/>
        <v>Yes</v>
      </c>
      <c r="L74" t="s">
        <v>228</v>
      </c>
      <c r="M74">
        <v>38.04</v>
      </c>
      <c r="N74">
        <v>35</v>
      </c>
      <c r="O74">
        <v>1</v>
      </c>
      <c r="P74">
        <v>1</v>
      </c>
      <c r="T74" t="str">
        <f t="shared" si="13"/>
        <v/>
      </c>
    </row>
    <row r="75" spans="1:21" x14ac:dyDescent="0.55000000000000004">
      <c r="A75">
        <v>96</v>
      </c>
      <c r="B75" t="str">
        <f t="shared" si="7"/>
        <v>96_0</v>
      </c>
      <c r="C75" s="2">
        <v>45638.489583333336</v>
      </c>
      <c r="D75" t="s">
        <v>221</v>
      </c>
      <c r="E75">
        <v>2</v>
      </c>
      <c r="F75" t="s">
        <v>222</v>
      </c>
      <c r="G75" t="str">
        <f t="shared" si="8"/>
        <v>Paranephrops planifrons</v>
      </c>
      <c r="H75" t="str">
        <f t="shared" si="9"/>
        <v>Freshwater_crayfish</v>
      </c>
      <c r="I75" t="str">
        <f t="shared" si="10"/>
        <v>Kōura</v>
      </c>
      <c r="J75" t="str">
        <f t="shared" si="11"/>
        <v>Native</v>
      </c>
      <c r="K75" t="str">
        <f t="shared" si="12"/>
        <v>Yes</v>
      </c>
      <c r="L75" t="s">
        <v>223</v>
      </c>
      <c r="M75">
        <v>38</v>
      </c>
      <c r="N75">
        <v>40</v>
      </c>
      <c r="O75">
        <v>1</v>
      </c>
      <c r="T75" t="str">
        <f t="shared" si="13"/>
        <v/>
      </c>
    </row>
    <row r="76" spans="1:21" x14ac:dyDescent="0.55000000000000004">
      <c r="A76">
        <v>92</v>
      </c>
      <c r="B76" t="str">
        <f t="shared" si="7"/>
        <v>92_0</v>
      </c>
      <c r="C76" s="2">
        <v>45638.456944444442</v>
      </c>
      <c r="D76" t="s">
        <v>245</v>
      </c>
      <c r="E76">
        <v>2</v>
      </c>
      <c r="F76" t="s">
        <v>222</v>
      </c>
      <c r="G76" t="str">
        <f t="shared" si="8"/>
        <v>Paranephrops planifrons</v>
      </c>
      <c r="H76" t="str">
        <f t="shared" si="9"/>
        <v>Freshwater_crayfish</v>
      </c>
      <c r="I76" t="str">
        <f t="shared" si="10"/>
        <v>Kōura</v>
      </c>
      <c r="J76" t="str">
        <f t="shared" si="11"/>
        <v>Native</v>
      </c>
      <c r="K76" t="str">
        <f t="shared" si="12"/>
        <v>Yes</v>
      </c>
      <c r="L76" t="s">
        <v>223</v>
      </c>
      <c r="M76">
        <v>37.85</v>
      </c>
      <c r="N76">
        <v>36</v>
      </c>
      <c r="O76">
        <v>1</v>
      </c>
      <c r="T76" t="str">
        <f t="shared" si="13"/>
        <v/>
      </c>
    </row>
    <row r="77" spans="1:21" x14ac:dyDescent="0.55000000000000004">
      <c r="A77">
        <v>96</v>
      </c>
      <c r="B77" t="str">
        <f t="shared" si="7"/>
        <v>96_0</v>
      </c>
      <c r="C77" s="2">
        <v>45638.489583333336</v>
      </c>
      <c r="D77" t="s">
        <v>221</v>
      </c>
      <c r="E77">
        <v>2</v>
      </c>
      <c r="F77" t="s">
        <v>222</v>
      </c>
      <c r="G77" t="str">
        <f t="shared" si="8"/>
        <v>Paranephrops planifrons</v>
      </c>
      <c r="H77" t="str">
        <f t="shared" si="9"/>
        <v>Freshwater_crayfish</v>
      </c>
      <c r="I77" t="str">
        <f t="shared" si="10"/>
        <v>Kōura</v>
      </c>
      <c r="J77" t="str">
        <f t="shared" si="11"/>
        <v>Native</v>
      </c>
      <c r="K77" t="str">
        <f t="shared" si="12"/>
        <v>Yes</v>
      </c>
      <c r="L77" t="s">
        <v>228</v>
      </c>
      <c r="M77">
        <v>37</v>
      </c>
      <c r="N77">
        <v>40</v>
      </c>
      <c r="O77">
        <v>1</v>
      </c>
      <c r="T77" t="str">
        <f t="shared" si="13"/>
        <v/>
      </c>
    </row>
    <row r="78" spans="1:21" x14ac:dyDescent="0.55000000000000004">
      <c r="A78">
        <v>96</v>
      </c>
      <c r="B78" t="str">
        <f t="shared" si="7"/>
        <v>96_0</v>
      </c>
      <c r="C78" s="2">
        <v>45638.489583333336</v>
      </c>
      <c r="D78" t="s">
        <v>221</v>
      </c>
      <c r="E78">
        <v>2</v>
      </c>
      <c r="F78" t="s">
        <v>222</v>
      </c>
      <c r="G78" t="str">
        <f t="shared" si="8"/>
        <v>Paranephrops planifrons</v>
      </c>
      <c r="H78" t="str">
        <f t="shared" si="9"/>
        <v>Freshwater_crayfish</v>
      </c>
      <c r="I78" t="str">
        <f t="shared" si="10"/>
        <v>Kōura</v>
      </c>
      <c r="J78" t="str">
        <f t="shared" si="11"/>
        <v>Native</v>
      </c>
      <c r="K78" t="str">
        <f t="shared" si="12"/>
        <v>Yes</v>
      </c>
      <c r="L78" t="s">
        <v>228</v>
      </c>
      <c r="M78">
        <v>37</v>
      </c>
      <c r="N78">
        <v>35</v>
      </c>
      <c r="O78">
        <v>1</v>
      </c>
      <c r="T78" t="str">
        <f t="shared" si="13"/>
        <v/>
      </c>
    </row>
    <row r="79" spans="1:21" x14ac:dyDescent="0.55000000000000004">
      <c r="A79">
        <v>115</v>
      </c>
      <c r="B79" t="str">
        <f t="shared" si="7"/>
        <v>115_0</v>
      </c>
      <c r="C79" s="2">
        <v>45597.590277777781</v>
      </c>
      <c r="D79" t="s">
        <v>221</v>
      </c>
      <c r="E79">
        <v>2</v>
      </c>
      <c r="F79" t="s">
        <v>242</v>
      </c>
      <c r="G79" t="str">
        <f t="shared" si="8"/>
        <v>Gobiomorphus cotidianus</v>
      </c>
      <c r="H79" t="str">
        <f t="shared" si="9"/>
        <v>Common_bully</v>
      </c>
      <c r="I79" t="str">
        <f t="shared" si="10"/>
        <v>Toitoi</v>
      </c>
      <c r="J79" t="str">
        <f t="shared" si="11"/>
        <v>Native</v>
      </c>
      <c r="K79" t="str">
        <f t="shared" si="12"/>
        <v>No</v>
      </c>
      <c r="O79">
        <v>110</v>
      </c>
      <c r="T79" t="str">
        <f t="shared" si="13"/>
        <v/>
      </c>
      <c r="U79" t="s">
        <v>253</v>
      </c>
    </row>
    <row r="80" spans="1:21" x14ac:dyDescent="0.55000000000000004">
      <c r="A80">
        <v>115</v>
      </c>
      <c r="B80" t="str">
        <f t="shared" si="7"/>
        <v>115_0</v>
      </c>
      <c r="C80" s="2">
        <v>45597.590277777781</v>
      </c>
      <c r="D80" t="s">
        <v>221</v>
      </c>
      <c r="E80">
        <v>2</v>
      </c>
      <c r="F80" t="s">
        <v>243</v>
      </c>
      <c r="G80" t="str">
        <f t="shared" si="8"/>
        <v>Retropinna retropinna</v>
      </c>
      <c r="H80" t="str">
        <f t="shared" si="9"/>
        <v>Common_smelt</v>
      </c>
      <c r="I80" t="str">
        <f t="shared" si="10"/>
        <v>Common_smelt</v>
      </c>
      <c r="J80" t="str">
        <f t="shared" si="11"/>
        <v>Native</v>
      </c>
      <c r="K80" t="str">
        <f t="shared" si="12"/>
        <v>No</v>
      </c>
      <c r="O80">
        <v>3</v>
      </c>
      <c r="T80" t="str">
        <f t="shared" si="13"/>
        <v/>
      </c>
    </row>
    <row r="81" spans="1:21" x14ac:dyDescent="0.55000000000000004">
      <c r="A81">
        <v>116</v>
      </c>
      <c r="B81" t="str">
        <f t="shared" si="7"/>
        <v>116_0</v>
      </c>
      <c r="C81" s="2">
        <v>45597.555555555555</v>
      </c>
      <c r="D81" t="s">
        <v>245</v>
      </c>
      <c r="E81">
        <v>2</v>
      </c>
      <c r="F81" t="s">
        <v>242</v>
      </c>
      <c r="G81" t="str">
        <f t="shared" si="8"/>
        <v>Gobiomorphus cotidianus</v>
      </c>
      <c r="H81" t="str">
        <f t="shared" si="9"/>
        <v>Common_bully</v>
      </c>
      <c r="I81" t="str">
        <f t="shared" si="10"/>
        <v>Toitoi</v>
      </c>
      <c r="J81" t="str">
        <f t="shared" si="11"/>
        <v>Native</v>
      </c>
      <c r="K81" t="str">
        <f t="shared" si="12"/>
        <v>No</v>
      </c>
      <c r="O81">
        <v>20</v>
      </c>
      <c r="T81" t="str">
        <f t="shared" si="13"/>
        <v/>
      </c>
      <c r="U81" t="s">
        <v>253</v>
      </c>
    </row>
    <row r="82" spans="1:21" x14ac:dyDescent="0.55000000000000004">
      <c r="A82">
        <v>116</v>
      </c>
      <c r="B82" t="str">
        <f t="shared" si="7"/>
        <v>116_0</v>
      </c>
      <c r="C82" s="2">
        <v>45597.555555555555</v>
      </c>
      <c r="D82" t="s">
        <v>221</v>
      </c>
      <c r="E82">
        <v>2</v>
      </c>
      <c r="F82" t="s">
        <v>236</v>
      </c>
      <c r="G82" t="str">
        <f t="shared" si="8"/>
        <v>Carassius auratus</v>
      </c>
      <c r="H82" t="str">
        <f t="shared" si="9"/>
        <v>Goldfish</v>
      </c>
      <c r="I82" t="str">
        <f t="shared" si="10"/>
        <v>Morihana</v>
      </c>
      <c r="J82" t="str">
        <f t="shared" si="11"/>
        <v>Nonnative</v>
      </c>
      <c r="K82" t="str">
        <f t="shared" si="12"/>
        <v>No</v>
      </c>
      <c r="M82">
        <v>235</v>
      </c>
      <c r="N82">
        <v>366</v>
      </c>
      <c r="O82">
        <v>1</v>
      </c>
      <c r="T82" t="str">
        <f t="shared" si="13"/>
        <v/>
      </c>
    </row>
    <row r="83" spans="1:21" x14ac:dyDescent="0.55000000000000004">
      <c r="A83">
        <v>116</v>
      </c>
      <c r="B83" t="str">
        <f t="shared" si="7"/>
        <v>116_0</v>
      </c>
      <c r="C83" s="2">
        <v>45597.555555497682</v>
      </c>
      <c r="D83" t="s">
        <v>221</v>
      </c>
      <c r="E83">
        <v>2</v>
      </c>
      <c r="F83" t="s">
        <v>236</v>
      </c>
      <c r="G83" t="str">
        <f t="shared" si="8"/>
        <v>Carassius auratus</v>
      </c>
      <c r="H83" t="str">
        <f t="shared" si="9"/>
        <v>Goldfish</v>
      </c>
      <c r="I83" t="str">
        <f t="shared" si="10"/>
        <v>Morihana</v>
      </c>
      <c r="J83" t="str">
        <f t="shared" si="11"/>
        <v>Nonnative</v>
      </c>
      <c r="K83" t="str">
        <f t="shared" si="12"/>
        <v>No</v>
      </c>
      <c r="M83">
        <v>205</v>
      </c>
      <c r="N83">
        <v>235</v>
      </c>
      <c r="O83">
        <v>1</v>
      </c>
      <c r="T83" t="str">
        <f t="shared" si="13"/>
        <v/>
      </c>
    </row>
    <row r="84" spans="1:21" x14ac:dyDescent="0.55000000000000004">
      <c r="A84">
        <v>116</v>
      </c>
      <c r="B84" t="str">
        <f t="shared" si="7"/>
        <v>116_0</v>
      </c>
      <c r="C84" s="2">
        <v>45597.555555497682</v>
      </c>
      <c r="D84" t="s">
        <v>221</v>
      </c>
      <c r="E84">
        <v>2</v>
      </c>
      <c r="F84" t="s">
        <v>236</v>
      </c>
      <c r="G84" t="str">
        <f t="shared" si="8"/>
        <v>Carassius auratus</v>
      </c>
      <c r="H84" t="str">
        <f t="shared" si="9"/>
        <v>Goldfish</v>
      </c>
      <c r="I84" t="str">
        <f t="shared" si="10"/>
        <v>Morihana</v>
      </c>
      <c r="J84" t="str">
        <f t="shared" si="11"/>
        <v>Nonnative</v>
      </c>
      <c r="K84" t="str">
        <f t="shared" si="12"/>
        <v>No</v>
      </c>
      <c r="M84">
        <v>207</v>
      </c>
      <c r="N84">
        <v>225</v>
      </c>
      <c r="O84">
        <v>1</v>
      </c>
      <c r="T84" t="str">
        <f t="shared" si="13"/>
        <v/>
      </c>
    </row>
    <row r="85" spans="1:21" x14ac:dyDescent="0.55000000000000004">
      <c r="A85">
        <v>116</v>
      </c>
      <c r="B85" t="str">
        <f t="shared" si="7"/>
        <v>116_0</v>
      </c>
      <c r="C85" s="2">
        <v>45597.555555497682</v>
      </c>
      <c r="D85" t="s">
        <v>221</v>
      </c>
      <c r="E85">
        <v>2</v>
      </c>
      <c r="F85" t="s">
        <v>236</v>
      </c>
      <c r="G85" t="str">
        <f t="shared" si="8"/>
        <v>Carassius auratus</v>
      </c>
      <c r="H85" t="str">
        <f t="shared" si="9"/>
        <v>Goldfish</v>
      </c>
      <c r="I85" t="str">
        <f t="shared" si="10"/>
        <v>Morihana</v>
      </c>
      <c r="J85" t="str">
        <f t="shared" si="11"/>
        <v>Nonnative</v>
      </c>
      <c r="K85" t="str">
        <f t="shared" si="12"/>
        <v>No</v>
      </c>
      <c r="M85">
        <v>177</v>
      </c>
      <c r="N85">
        <v>136</v>
      </c>
      <c r="O85">
        <v>1</v>
      </c>
      <c r="T85" t="str">
        <f t="shared" si="13"/>
        <v/>
      </c>
    </row>
    <row r="86" spans="1:21" x14ac:dyDescent="0.55000000000000004">
      <c r="A86">
        <v>116</v>
      </c>
      <c r="B86" t="str">
        <f t="shared" si="7"/>
        <v>116_0</v>
      </c>
      <c r="C86" s="2">
        <v>45597.555555497682</v>
      </c>
      <c r="D86" t="s">
        <v>221</v>
      </c>
      <c r="E86">
        <v>2</v>
      </c>
      <c r="F86" t="s">
        <v>236</v>
      </c>
      <c r="G86" t="str">
        <f t="shared" si="8"/>
        <v>Carassius auratus</v>
      </c>
      <c r="H86" t="str">
        <f t="shared" si="9"/>
        <v>Goldfish</v>
      </c>
      <c r="I86" t="str">
        <f t="shared" si="10"/>
        <v>Morihana</v>
      </c>
      <c r="J86" t="str">
        <f t="shared" si="11"/>
        <v>Nonnative</v>
      </c>
      <c r="K86" t="str">
        <f t="shared" si="12"/>
        <v>No</v>
      </c>
      <c r="M86">
        <v>188</v>
      </c>
      <c r="N86">
        <v>158</v>
      </c>
      <c r="O86">
        <v>1</v>
      </c>
      <c r="T86" t="str">
        <f t="shared" si="13"/>
        <v/>
      </c>
    </row>
    <row r="87" spans="1:21" x14ac:dyDescent="0.55000000000000004">
      <c r="A87">
        <v>116</v>
      </c>
      <c r="B87" t="str">
        <f t="shared" si="7"/>
        <v>116_0</v>
      </c>
      <c r="C87" s="2">
        <v>45597.555555497682</v>
      </c>
      <c r="D87" t="s">
        <v>221</v>
      </c>
      <c r="E87">
        <v>2</v>
      </c>
      <c r="F87" t="s">
        <v>236</v>
      </c>
      <c r="G87" t="str">
        <f t="shared" si="8"/>
        <v>Carassius auratus</v>
      </c>
      <c r="H87" t="str">
        <f t="shared" si="9"/>
        <v>Goldfish</v>
      </c>
      <c r="I87" t="str">
        <f t="shared" si="10"/>
        <v>Morihana</v>
      </c>
      <c r="J87" t="str">
        <f t="shared" si="11"/>
        <v>Nonnative</v>
      </c>
      <c r="K87" t="str">
        <f t="shared" si="12"/>
        <v>No</v>
      </c>
      <c r="M87">
        <v>161</v>
      </c>
      <c r="N87">
        <v>115</v>
      </c>
      <c r="O87">
        <v>1</v>
      </c>
      <c r="T87" t="str">
        <f t="shared" si="13"/>
        <v/>
      </c>
    </row>
    <row r="88" spans="1:21" x14ac:dyDescent="0.55000000000000004">
      <c r="A88">
        <v>116</v>
      </c>
      <c r="B88" t="str">
        <f t="shared" si="7"/>
        <v>116_0</v>
      </c>
      <c r="C88" s="2">
        <v>45597.555555497682</v>
      </c>
      <c r="D88" t="s">
        <v>221</v>
      </c>
      <c r="E88">
        <v>2</v>
      </c>
      <c r="F88" t="s">
        <v>236</v>
      </c>
      <c r="G88" t="str">
        <f t="shared" si="8"/>
        <v>Carassius auratus</v>
      </c>
      <c r="H88" t="str">
        <f t="shared" si="9"/>
        <v>Goldfish</v>
      </c>
      <c r="I88" t="str">
        <f t="shared" si="10"/>
        <v>Morihana</v>
      </c>
      <c r="J88" t="str">
        <f t="shared" si="11"/>
        <v>Nonnative</v>
      </c>
      <c r="K88" t="str">
        <f t="shared" si="12"/>
        <v>No</v>
      </c>
      <c r="M88">
        <v>135</v>
      </c>
      <c r="N88">
        <v>45</v>
      </c>
      <c r="O88">
        <v>1</v>
      </c>
      <c r="T88" t="str">
        <f t="shared" si="13"/>
        <v/>
      </c>
    </row>
    <row r="89" spans="1:21" x14ac:dyDescent="0.55000000000000004">
      <c r="A89">
        <v>116</v>
      </c>
      <c r="B89" t="str">
        <f t="shared" si="7"/>
        <v>116_0</v>
      </c>
      <c r="C89" s="2">
        <v>45597.555555497682</v>
      </c>
      <c r="D89" t="s">
        <v>221</v>
      </c>
      <c r="E89">
        <v>2</v>
      </c>
      <c r="F89" t="s">
        <v>236</v>
      </c>
      <c r="G89" t="str">
        <f t="shared" si="8"/>
        <v>Carassius auratus</v>
      </c>
      <c r="H89" t="str">
        <f t="shared" si="9"/>
        <v>Goldfish</v>
      </c>
      <c r="I89" t="str">
        <f t="shared" si="10"/>
        <v>Morihana</v>
      </c>
      <c r="J89" t="str">
        <f t="shared" si="11"/>
        <v>Nonnative</v>
      </c>
      <c r="K89" t="str">
        <f t="shared" si="12"/>
        <v>No</v>
      </c>
      <c r="M89">
        <v>85</v>
      </c>
      <c r="N89">
        <v>21</v>
      </c>
      <c r="O89">
        <v>1</v>
      </c>
      <c r="T89" t="str">
        <f t="shared" si="13"/>
        <v/>
      </c>
    </row>
    <row r="90" spans="1:21" x14ac:dyDescent="0.55000000000000004">
      <c r="A90">
        <v>116</v>
      </c>
      <c r="B90" t="str">
        <f t="shared" si="7"/>
        <v>116_0</v>
      </c>
      <c r="C90" s="2">
        <v>45597.555555497682</v>
      </c>
      <c r="D90" t="s">
        <v>221</v>
      </c>
      <c r="E90">
        <v>2</v>
      </c>
      <c r="F90" t="s">
        <v>236</v>
      </c>
      <c r="G90" t="str">
        <f t="shared" si="8"/>
        <v>Carassius auratus</v>
      </c>
      <c r="H90" t="str">
        <f t="shared" si="9"/>
        <v>Goldfish</v>
      </c>
      <c r="I90" t="str">
        <f t="shared" si="10"/>
        <v>Morihana</v>
      </c>
      <c r="J90" t="str">
        <f t="shared" si="11"/>
        <v>Nonnative</v>
      </c>
      <c r="K90" t="str">
        <f t="shared" si="12"/>
        <v>No</v>
      </c>
      <c r="M90">
        <v>110</v>
      </c>
      <c r="N90">
        <v>30</v>
      </c>
      <c r="O90">
        <v>1</v>
      </c>
      <c r="T90" t="str">
        <f t="shared" si="13"/>
        <v/>
      </c>
    </row>
    <row r="91" spans="1:21" x14ac:dyDescent="0.55000000000000004">
      <c r="A91">
        <v>116</v>
      </c>
      <c r="B91" t="str">
        <f t="shared" si="7"/>
        <v>116_0</v>
      </c>
      <c r="C91" s="2">
        <v>45597.555555497682</v>
      </c>
      <c r="D91" t="s">
        <v>221</v>
      </c>
      <c r="E91">
        <v>2</v>
      </c>
      <c r="F91" t="s">
        <v>236</v>
      </c>
      <c r="G91" t="str">
        <f t="shared" si="8"/>
        <v>Carassius auratus</v>
      </c>
      <c r="H91" t="str">
        <f t="shared" si="9"/>
        <v>Goldfish</v>
      </c>
      <c r="I91" t="str">
        <f t="shared" si="10"/>
        <v>Morihana</v>
      </c>
      <c r="J91" t="str">
        <f t="shared" si="11"/>
        <v>Nonnative</v>
      </c>
      <c r="K91" t="str">
        <f t="shared" si="12"/>
        <v>No</v>
      </c>
      <c r="M91">
        <v>80</v>
      </c>
      <c r="N91">
        <v>11</v>
      </c>
      <c r="O91">
        <v>1</v>
      </c>
      <c r="T91" t="str">
        <f t="shared" si="13"/>
        <v/>
      </c>
    </row>
    <row r="92" spans="1:21" x14ac:dyDescent="0.55000000000000004">
      <c r="A92">
        <v>116</v>
      </c>
      <c r="B92" t="str">
        <f t="shared" si="7"/>
        <v>116_0</v>
      </c>
      <c r="C92" s="2">
        <v>45597.555555497682</v>
      </c>
      <c r="D92" t="s">
        <v>221</v>
      </c>
      <c r="E92">
        <v>2</v>
      </c>
      <c r="F92" t="s">
        <v>236</v>
      </c>
      <c r="G92" t="str">
        <f t="shared" si="8"/>
        <v>Carassius auratus</v>
      </c>
      <c r="H92" t="str">
        <f t="shared" si="9"/>
        <v>Goldfish</v>
      </c>
      <c r="I92" t="str">
        <f t="shared" si="10"/>
        <v>Morihana</v>
      </c>
      <c r="J92" t="str">
        <f t="shared" si="11"/>
        <v>Nonnative</v>
      </c>
      <c r="K92" t="str">
        <f t="shared" si="12"/>
        <v>No</v>
      </c>
      <c r="M92">
        <v>123</v>
      </c>
      <c r="N92">
        <v>41</v>
      </c>
      <c r="O92">
        <v>1</v>
      </c>
      <c r="T92" t="str">
        <f t="shared" si="13"/>
        <v/>
      </c>
    </row>
    <row r="93" spans="1:21" x14ac:dyDescent="0.55000000000000004">
      <c r="A93">
        <v>116</v>
      </c>
      <c r="B93" t="str">
        <f t="shared" si="7"/>
        <v>116_0</v>
      </c>
      <c r="C93" s="2">
        <v>45597.555555497682</v>
      </c>
      <c r="D93" t="s">
        <v>221</v>
      </c>
      <c r="E93">
        <v>2</v>
      </c>
      <c r="F93" t="s">
        <v>236</v>
      </c>
      <c r="G93" t="str">
        <f t="shared" si="8"/>
        <v>Carassius auratus</v>
      </c>
      <c r="H93" t="str">
        <f t="shared" si="9"/>
        <v>Goldfish</v>
      </c>
      <c r="I93" t="str">
        <f t="shared" si="10"/>
        <v>Morihana</v>
      </c>
      <c r="J93" t="str">
        <f t="shared" si="11"/>
        <v>Nonnative</v>
      </c>
      <c r="K93" t="str">
        <f t="shared" si="12"/>
        <v>No</v>
      </c>
      <c r="M93">
        <v>115</v>
      </c>
      <c r="N93">
        <v>23</v>
      </c>
      <c r="O93">
        <v>1</v>
      </c>
      <c r="T93" t="str">
        <f t="shared" si="13"/>
        <v/>
      </c>
    </row>
    <row r="94" spans="1:21" x14ac:dyDescent="0.55000000000000004">
      <c r="A94">
        <v>116</v>
      </c>
      <c r="B94" t="str">
        <f t="shared" si="7"/>
        <v>116_0</v>
      </c>
      <c r="C94" s="2">
        <v>45597.555555497682</v>
      </c>
      <c r="D94" t="s">
        <v>221</v>
      </c>
      <c r="E94">
        <v>2</v>
      </c>
      <c r="F94" t="s">
        <v>236</v>
      </c>
      <c r="G94" t="str">
        <f t="shared" si="8"/>
        <v>Carassius auratus</v>
      </c>
      <c r="H94" t="str">
        <f t="shared" si="9"/>
        <v>Goldfish</v>
      </c>
      <c r="I94" t="str">
        <f t="shared" si="10"/>
        <v>Morihana</v>
      </c>
      <c r="J94" t="str">
        <f t="shared" si="11"/>
        <v>Nonnative</v>
      </c>
      <c r="K94" t="str">
        <f t="shared" si="12"/>
        <v>No</v>
      </c>
      <c r="M94">
        <v>90</v>
      </c>
      <c r="N94">
        <v>15</v>
      </c>
      <c r="O94">
        <v>1</v>
      </c>
      <c r="T94" t="str">
        <f t="shared" si="13"/>
        <v/>
      </c>
    </row>
    <row r="95" spans="1:21" x14ac:dyDescent="0.55000000000000004">
      <c r="A95">
        <v>116</v>
      </c>
      <c r="B95" t="str">
        <f t="shared" si="7"/>
        <v>116_0</v>
      </c>
      <c r="C95" s="2">
        <v>45597.555555497682</v>
      </c>
      <c r="D95" t="s">
        <v>221</v>
      </c>
      <c r="E95">
        <v>2</v>
      </c>
      <c r="F95" t="s">
        <v>236</v>
      </c>
      <c r="G95" t="str">
        <f t="shared" si="8"/>
        <v>Carassius auratus</v>
      </c>
      <c r="H95" t="str">
        <f t="shared" si="9"/>
        <v>Goldfish</v>
      </c>
      <c r="I95" t="str">
        <f t="shared" si="10"/>
        <v>Morihana</v>
      </c>
      <c r="J95" t="str">
        <f t="shared" si="11"/>
        <v>Nonnative</v>
      </c>
      <c r="K95" t="str">
        <f t="shared" si="12"/>
        <v>No</v>
      </c>
      <c r="M95">
        <v>125</v>
      </c>
      <c r="N95">
        <v>44</v>
      </c>
      <c r="O95">
        <v>1</v>
      </c>
      <c r="T95" t="str">
        <f t="shared" si="13"/>
        <v/>
      </c>
    </row>
    <row r="96" spans="1:21" x14ac:dyDescent="0.55000000000000004">
      <c r="A96">
        <v>116</v>
      </c>
      <c r="B96" t="str">
        <f t="shared" si="7"/>
        <v>116_0</v>
      </c>
      <c r="C96" s="2">
        <v>45597.555555497682</v>
      </c>
      <c r="D96" t="s">
        <v>221</v>
      </c>
      <c r="E96">
        <v>2</v>
      </c>
      <c r="F96" t="s">
        <v>236</v>
      </c>
      <c r="G96" t="str">
        <f t="shared" si="8"/>
        <v>Carassius auratus</v>
      </c>
      <c r="H96" t="str">
        <f t="shared" si="9"/>
        <v>Goldfish</v>
      </c>
      <c r="I96" t="str">
        <f t="shared" si="10"/>
        <v>Morihana</v>
      </c>
      <c r="J96" t="str">
        <f t="shared" si="11"/>
        <v>Nonnative</v>
      </c>
      <c r="K96" t="str">
        <f t="shared" si="12"/>
        <v>No</v>
      </c>
      <c r="M96">
        <v>65</v>
      </c>
      <c r="N96">
        <v>6</v>
      </c>
      <c r="O96">
        <v>1</v>
      </c>
      <c r="T96" t="str">
        <f t="shared" si="13"/>
        <v/>
      </c>
    </row>
    <row r="97" spans="1:21" x14ac:dyDescent="0.55000000000000004">
      <c r="A97">
        <v>116</v>
      </c>
      <c r="B97" t="str">
        <f t="shared" si="7"/>
        <v>116_0</v>
      </c>
      <c r="C97" s="2">
        <v>45597.555555497682</v>
      </c>
      <c r="D97" t="s">
        <v>221</v>
      </c>
      <c r="E97">
        <v>2</v>
      </c>
      <c r="F97" t="s">
        <v>243</v>
      </c>
      <c r="G97" t="str">
        <f t="shared" si="8"/>
        <v>Retropinna retropinna</v>
      </c>
      <c r="H97" t="str">
        <f t="shared" si="9"/>
        <v>Common_smelt</v>
      </c>
      <c r="I97" t="str">
        <f t="shared" si="10"/>
        <v>Common_smelt</v>
      </c>
      <c r="J97" t="str">
        <f t="shared" si="11"/>
        <v>Native</v>
      </c>
      <c r="K97" t="str">
        <f t="shared" si="12"/>
        <v>No</v>
      </c>
      <c r="O97">
        <v>100</v>
      </c>
      <c r="T97" t="str">
        <f t="shared" si="13"/>
        <v/>
      </c>
      <c r="U97" t="s">
        <v>253</v>
      </c>
    </row>
    <row r="98" spans="1:21" x14ac:dyDescent="0.55000000000000004">
      <c r="A98">
        <v>116</v>
      </c>
      <c r="B98" t="str">
        <f t="shared" si="7"/>
        <v>116_0</v>
      </c>
      <c r="C98" s="2">
        <v>45597.555555439816</v>
      </c>
      <c r="D98" t="s">
        <v>221</v>
      </c>
      <c r="E98">
        <v>2</v>
      </c>
      <c r="F98" t="s">
        <v>242</v>
      </c>
      <c r="G98" t="str">
        <f t="shared" si="8"/>
        <v>Gobiomorphus cotidianus</v>
      </c>
      <c r="H98" t="str">
        <f t="shared" si="9"/>
        <v>Common_bully</v>
      </c>
      <c r="I98" t="str">
        <f t="shared" si="10"/>
        <v>Toitoi</v>
      </c>
      <c r="J98" t="str">
        <f t="shared" si="11"/>
        <v>Native</v>
      </c>
      <c r="K98" t="str">
        <f t="shared" si="12"/>
        <v>No</v>
      </c>
      <c r="O98">
        <v>1000</v>
      </c>
      <c r="T98" t="str">
        <f t="shared" si="13"/>
        <v/>
      </c>
      <c r="U98" t="s">
        <v>253</v>
      </c>
    </row>
    <row r="99" spans="1:21" x14ac:dyDescent="0.55000000000000004">
      <c r="A99">
        <v>116</v>
      </c>
      <c r="B99" t="str">
        <f t="shared" si="7"/>
        <v>116_0</v>
      </c>
      <c r="C99" s="2">
        <v>45597.555555439816</v>
      </c>
      <c r="D99" t="s">
        <v>221</v>
      </c>
      <c r="E99">
        <v>2</v>
      </c>
      <c r="F99" t="s">
        <v>233</v>
      </c>
      <c r="G99" t="str">
        <f t="shared" si="8"/>
        <v>Galaxias brevipinnis</v>
      </c>
      <c r="H99" t="str">
        <f t="shared" si="9"/>
        <v>Climbing_galaxias</v>
      </c>
      <c r="I99" t="str">
        <f t="shared" si="10"/>
        <v>Kōaro</v>
      </c>
      <c r="J99" t="str">
        <f t="shared" si="11"/>
        <v>Native</v>
      </c>
      <c r="K99" t="str">
        <f t="shared" si="12"/>
        <v>Yes</v>
      </c>
      <c r="M99">
        <v>75</v>
      </c>
      <c r="N99">
        <v>4</v>
      </c>
      <c r="O99">
        <v>1</v>
      </c>
      <c r="T99" t="str">
        <f t="shared" si="13"/>
        <v/>
      </c>
    </row>
    <row r="100" spans="1:21" x14ac:dyDescent="0.55000000000000004">
      <c r="A100">
        <v>116</v>
      </c>
      <c r="B100" t="str">
        <f t="shared" si="7"/>
        <v>116_0</v>
      </c>
      <c r="C100" s="2">
        <v>45597.555555439816</v>
      </c>
      <c r="D100" t="s">
        <v>221</v>
      </c>
      <c r="E100">
        <v>2</v>
      </c>
      <c r="F100" t="s">
        <v>236</v>
      </c>
      <c r="G100" t="str">
        <f t="shared" si="8"/>
        <v>Carassius auratus</v>
      </c>
      <c r="H100" t="str">
        <f t="shared" si="9"/>
        <v>Goldfish</v>
      </c>
      <c r="I100" t="str">
        <f t="shared" si="10"/>
        <v>Morihana</v>
      </c>
      <c r="J100" t="str">
        <f t="shared" si="11"/>
        <v>Nonnative</v>
      </c>
      <c r="K100" t="str">
        <f t="shared" si="12"/>
        <v>No</v>
      </c>
      <c r="M100">
        <v>195</v>
      </c>
      <c r="N100">
        <v>224</v>
      </c>
      <c r="O100">
        <v>1</v>
      </c>
      <c r="T100" t="str">
        <f t="shared" si="13"/>
        <v/>
      </c>
    </row>
    <row r="101" spans="1:21" x14ac:dyDescent="0.55000000000000004">
      <c r="A101">
        <v>116</v>
      </c>
      <c r="B101" t="str">
        <f t="shared" si="7"/>
        <v>116_0</v>
      </c>
      <c r="C101" s="2">
        <v>45597.555555439816</v>
      </c>
      <c r="D101" t="s">
        <v>221</v>
      </c>
      <c r="E101">
        <v>2</v>
      </c>
      <c r="F101" t="s">
        <v>233</v>
      </c>
      <c r="G101" t="str">
        <f t="shared" si="8"/>
        <v>Galaxias brevipinnis</v>
      </c>
      <c r="H101" t="str">
        <f t="shared" si="9"/>
        <v>Climbing_galaxias</v>
      </c>
      <c r="I101" t="str">
        <f t="shared" si="10"/>
        <v>Kōaro</v>
      </c>
      <c r="J101" t="str">
        <f t="shared" si="11"/>
        <v>Native</v>
      </c>
      <c r="K101" t="str">
        <f t="shared" si="12"/>
        <v>Yes</v>
      </c>
      <c r="M101">
        <v>90</v>
      </c>
      <c r="N101">
        <v>8</v>
      </c>
      <c r="O101">
        <v>1</v>
      </c>
      <c r="T101" t="str">
        <f t="shared" si="13"/>
        <v/>
      </c>
    </row>
    <row r="102" spans="1:21" x14ac:dyDescent="0.55000000000000004">
      <c r="A102">
        <v>116</v>
      </c>
      <c r="B102" t="str">
        <f t="shared" si="7"/>
        <v>116_0</v>
      </c>
      <c r="C102" s="2">
        <v>45597.555555439816</v>
      </c>
      <c r="D102" t="s">
        <v>221</v>
      </c>
      <c r="E102">
        <v>2</v>
      </c>
      <c r="F102" t="s">
        <v>236</v>
      </c>
      <c r="G102" t="str">
        <f t="shared" si="8"/>
        <v>Carassius auratus</v>
      </c>
      <c r="H102" t="str">
        <f t="shared" si="9"/>
        <v>Goldfish</v>
      </c>
      <c r="I102" t="str">
        <f t="shared" si="10"/>
        <v>Morihana</v>
      </c>
      <c r="J102" t="str">
        <f t="shared" si="11"/>
        <v>Nonnative</v>
      </c>
      <c r="K102" t="str">
        <f t="shared" si="12"/>
        <v>No</v>
      </c>
      <c r="M102">
        <v>63</v>
      </c>
      <c r="N102">
        <v>4</v>
      </c>
      <c r="O102">
        <v>1</v>
      </c>
      <c r="T102" t="str">
        <f t="shared" si="13"/>
        <v/>
      </c>
    </row>
    <row r="103" spans="1:21" x14ac:dyDescent="0.55000000000000004">
      <c r="A103">
        <v>116</v>
      </c>
      <c r="B103" t="str">
        <f t="shared" si="7"/>
        <v>116_0</v>
      </c>
      <c r="C103" s="2">
        <v>45597.555555439816</v>
      </c>
      <c r="D103" t="s">
        <v>221</v>
      </c>
      <c r="E103">
        <v>2</v>
      </c>
      <c r="F103" t="s">
        <v>236</v>
      </c>
      <c r="G103" t="str">
        <f t="shared" si="8"/>
        <v>Carassius auratus</v>
      </c>
      <c r="H103" t="str">
        <f t="shared" si="9"/>
        <v>Goldfish</v>
      </c>
      <c r="I103" t="str">
        <f t="shared" si="10"/>
        <v>Morihana</v>
      </c>
      <c r="J103" t="str">
        <f t="shared" si="11"/>
        <v>Nonnative</v>
      </c>
      <c r="K103" t="str">
        <f t="shared" si="12"/>
        <v>No</v>
      </c>
      <c r="M103">
        <v>75</v>
      </c>
      <c r="N103">
        <v>10</v>
      </c>
      <c r="O103">
        <v>1</v>
      </c>
      <c r="T103" t="str">
        <f t="shared" si="13"/>
        <v/>
      </c>
    </row>
    <row r="104" spans="1:21" x14ac:dyDescent="0.55000000000000004">
      <c r="A104">
        <v>116</v>
      </c>
      <c r="B104" t="str">
        <f t="shared" si="7"/>
        <v>116_0</v>
      </c>
      <c r="C104" s="2">
        <v>45597.555555439816</v>
      </c>
      <c r="D104" t="s">
        <v>221</v>
      </c>
      <c r="E104">
        <v>2</v>
      </c>
      <c r="F104" t="s">
        <v>242</v>
      </c>
      <c r="G104" t="str">
        <f t="shared" si="8"/>
        <v>Gobiomorphus cotidianus</v>
      </c>
      <c r="H104" t="str">
        <f t="shared" si="9"/>
        <v>Common_bully</v>
      </c>
      <c r="I104" t="str">
        <f t="shared" si="10"/>
        <v>Toitoi</v>
      </c>
      <c r="J104" t="str">
        <f t="shared" si="11"/>
        <v>Native</v>
      </c>
      <c r="K104" t="str">
        <f t="shared" si="12"/>
        <v>No</v>
      </c>
      <c r="O104">
        <v>400</v>
      </c>
      <c r="T104" t="str">
        <f t="shared" si="13"/>
        <v/>
      </c>
      <c r="U104" t="s">
        <v>253</v>
      </c>
    </row>
    <row r="105" spans="1:21" x14ac:dyDescent="0.55000000000000004">
      <c r="A105">
        <v>116</v>
      </c>
      <c r="B105" t="str">
        <f t="shared" si="7"/>
        <v>116_0</v>
      </c>
      <c r="C105" s="2">
        <v>45597.555555439816</v>
      </c>
      <c r="D105" t="s">
        <v>221</v>
      </c>
      <c r="E105">
        <v>2</v>
      </c>
      <c r="F105" t="s">
        <v>233</v>
      </c>
      <c r="G105" t="str">
        <f t="shared" si="8"/>
        <v>Galaxias brevipinnis</v>
      </c>
      <c r="H105" t="str">
        <f t="shared" si="9"/>
        <v>Climbing_galaxias</v>
      </c>
      <c r="I105" t="str">
        <f t="shared" si="10"/>
        <v>Kōaro</v>
      </c>
      <c r="J105" t="str">
        <f t="shared" si="11"/>
        <v>Native</v>
      </c>
      <c r="K105" t="str">
        <f t="shared" si="12"/>
        <v>Yes</v>
      </c>
      <c r="M105">
        <v>85</v>
      </c>
      <c r="N105">
        <v>3</v>
      </c>
      <c r="O105">
        <v>1</v>
      </c>
      <c r="T105" t="str">
        <f t="shared" si="13"/>
        <v/>
      </c>
    </row>
    <row r="106" spans="1:21" x14ac:dyDescent="0.55000000000000004">
      <c r="A106">
        <v>116</v>
      </c>
      <c r="B106" t="str">
        <f t="shared" si="7"/>
        <v>116_0</v>
      </c>
      <c r="C106" s="2">
        <v>45597.555555555555</v>
      </c>
      <c r="D106" t="s">
        <v>221</v>
      </c>
      <c r="E106">
        <v>2</v>
      </c>
      <c r="F106" t="s">
        <v>243</v>
      </c>
      <c r="G106" t="str">
        <f t="shared" si="8"/>
        <v>Retropinna retropinna</v>
      </c>
      <c r="H106" t="str">
        <f t="shared" si="9"/>
        <v>Common_smelt</v>
      </c>
      <c r="I106" t="str">
        <f t="shared" si="10"/>
        <v>Common_smelt</v>
      </c>
      <c r="J106" t="str">
        <f t="shared" si="11"/>
        <v>Native</v>
      </c>
      <c r="K106" t="str">
        <f t="shared" si="12"/>
        <v>No</v>
      </c>
      <c r="O106">
        <v>5</v>
      </c>
      <c r="T106" t="str">
        <f t="shared" si="13"/>
        <v/>
      </c>
    </row>
    <row r="107" spans="1:21" x14ac:dyDescent="0.55000000000000004">
      <c r="A107">
        <v>117</v>
      </c>
      <c r="B107" t="str">
        <f t="shared" si="7"/>
        <v>117_0</v>
      </c>
      <c r="C107" s="2">
        <v>45597.520833333336</v>
      </c>
      <c r="D107" t="s">
        <v>221</v>
      </c>
      <c r="E107">
        <v>2</v>
      </c>
      <c r="F107" t="s">
        <v>242</v>
      </c>
      <c r="G107" t="str">
        <f t="shared" si="8"/>
        <v>Gobiomorphus cotidianus</v>
      </c>
      <c r="H107" t="str">
        <f t="shared" si="9"/>
        <v>Common_bully</v>
      </c>
      <c r="I107" t="str">
        <f t="shared" si="10"/>
        <v>Toitoi</v>
      </c>
      <c r="J107" t="str">
        <f t="shared" si="11"/>
        <v>Native</v>
      </c>
      <c r="K107" t="str">
        <f t="shared" si="12"/>
        <v>No</v>
      </c>
      <c r="O107">
        <v>30</v>
      </c>
      <c r="T107" t="str">
        <f t="shared" si="13"/>
        <v/>
      </c>
      <c r="U107" t="s">
        <v>253</v>
      </c>
    </row>
    <row r="108" spans="1:21" x14ac:dyDescent="0.55000000000000004">
      <c r="A108">
        <v>96</v>
      </c>
      <c r="B108" t="str">
        <f t="shared" si="7"/>
        <v>96_0</v>
      </c>
      <c r="C108" s="2">
        <v>45638.489583333336</v>
      </c>
      <c r="D108" t="s">
        <v>221</v>
      </c>
      <c r="E108">
        <v>2</v>
      </c>
      <c r="F108" t="s">
        <v>222</v>
      </c>
      <c r="G108" t="str">
        <f t="shared" si="8"/>
        <v>Paranephrops planifrons</v>
      </c>
      <c r="H108" t="str">
        <f t="shared" si="9"/>
        <v>Freshwater_crayfish</v>
      </c>
      <c r="I108" t="str">
        <f t="shared" si="10"/>
        <v>Kōura</v>
      </c>
      <c r="J108" t="str">
        <f t="shared" si="11"/>
        <v>Native</v>
      </c>
      <c r="K108" t="str">
        <f t="shared" si="12"/>
        <v>Yes</v>
      </c>
      <c r="L108" t="s">
        <v>223</v>
      </c>
      <c r="M108">
        <v>37</v>
      </c>
      <c r="N108">
        <v>35</v>
      </c>
      <c r="O108">
        <v>1</v>
      </c>
      <c r="T108" t="str">
        <f t="shared" si="13"/>
        <v/>
      </c>
    </row>
    <row r="109" spans="1:21" x14ac:dyDescent="0.55000000000000004">
      <c r="A109">
        <v>119</v>
      </c>
      <c r="B109" t="str">
        <f t="shared" si="7"/>
        <v>119_0</v>
      </c>
      <c r="C109" s="2">
        <v>45597.395833333336</v>
      </c>
      <c r="D109" t="s">
        <v>245</v>
      </c>
      <c r="E109">
        <v>2</v>
      </c>
      <c r="F109" t="s">
        <v>222</v>
      </c>
      <c r="G109" t="str">
        <f t="shared" si="8"/>
        <v>Paranephrops planifrons</v>
      </c>
      <c r="H109" t="str">
        <f t="shared" si="9"/>
        <v>Freshwater_crayfish</v>
      </c>
      <c r="I109" t="str">
        <f t="shared" si="10"/>
        <v>Kōura</v>
      </c>
      <c r="J109" t="str">
        <f t="shared" si="11"/>
        <v>Native</v>
      </c>
      <c r="K109" t="str">
        <f t="shared" si="12"/>
        <v>Yes</v>
      </c>
      <c r="L109" t="s">
        <v>228</v>
      </c>
      <c r="M109">
        <v>37</v>
      </c>
      <c r="N109">
        <v>34</v>
      </c>
      <c r="O109">
        <v>1</v>
      </c>
      <c r="T109" t="str">
        <f t="shared" si="13"/>
        <v/>
      </c>
    </row>
    <row r="110" spans="1:21" x14ac:dyDescent="0.55000000000000004">
      <c r="A110">
        <v>73</v>
      </c>
      <c r="B110" t="str">
        <f t="shared" si="7"/>
        <v>73_0</v>
      </c>
      <c r="C110" s="2">
        <v>45674.479166608799</v>
      </c>
      <c r="D110" t="s">
        <v>221</v>
      </c>
      <c r="E110">
        <v>2</v>
      </c>
      <c r="F110" t="s">
        <v>222</v>
      </c>
      <c r="G110" t="str">
        <f t="shared" si="8"/>
        <v>Paranephrops planifrons</v>
      </c>
      <c r="H110" t="str">
        <f t="shared" si="9"/>
        <v>Freshwater_crayfish</v>
      </c>
      <c r="I110" t="str">
        <f t="shared" si="10"/>
        <v>Kōura</v>
      </c>
      <c r="J110" t="str">
        <f t="shared" si="11"/>
        <v>Native</v>
      </c>
      <c r="K110" t="str">
        <f t="shared" si="12"/>
        <v>Yes</v>
      </c>
      <c r="L110" t="s">
        <v>228</v>
      </c>
      <c r="M110">
        <v>36.46</v>
      </c>
      <c r="N110">
        <v>40</v>
      </c>
      <c r="O110">
        <v>1</v>
      </c>
      <c r="T110" t="str">
        <f t="shared" si="13"/>
        <v/>
      </c>
    </row>
    <row r="111" spans="1:21" x14ac:dyDescent="0.55000000000000004">
      <c r="A111">
        <v>73</v>
      </c>
      <c r="B111" t="str">
        <f t="shared" si="7"/>
        <v>73_0</v>
      </c>
      <c r="C111" s="2">
        <v>45674.479166608799</v>
      </c>
      <c r="D111" t="s">
        <v>221</v>
      </c>
      <c r="E111">
        <v>2</v>
      </c>
      <c r="F111" t="s">
        <v>222</v>
      </c>
      <c r="G111" t="str">
        <f t="shared" si="8"/>
        <v>Paranephrops planifrons</v>
      </c>
      <c r="H111" t="str">
        <f t="shared" si="9"/>
        <v>Freshwater_crayfish</v>
      </c>
      <c r="I111" t="str">
        <f t="shared" si="10"/>
        <v>Kōura</v>
      </c>
      <c r="J111" t="str">
        <f t="shared" si="11"/>
        <v>Native</v>
      </c>
      <c r="K111" t="str">
        <f t="shared" si="12"/>
        <v>Yes</v>
      </c>
      <c r="L111" t="s">
        <v>228</v>
      </c>
      <c r="M111">
        <v>36.46</v>
      </c>
      <c r="N111">
        <v>30</v>
      </c>
      <c r="O111">
        <v>1</v>
      </c>
      <c r="T111" t="str">
        <f t="shared" si="13"/>
        <v/>
      </c>
    </row>
    <row r="112" spans="1:21" x14ac:dyDescent="0.55000000000000004">
      <c r="A112">
        <v>73</v>
      </c>
      <c r="B112" t="str">
        <f t="shared" si="7"/>
        <v>73_0</v>
      </c>
      <c r="C112" s="2">
        <v>45674.479166666664</v>
      </c>
      <c r="D112" t="s">
        <v>221</v>
      </c>
      <c r="E112">
        <v>2</v>
      </c>
      <c r="F112" t="s">
        <v>222</v>
      </c>
      <c r="G112" t="str">
        <f t="shared" si="8"/>
        <v>Paranephrops planifrons</v>
      </c>
      <c r="H112" t="str">
        <f t="shared" si="9"/>
        <v>Freshwater_crayfish</v>
      </c>
      <c r="I112" t="str">
        <f t="shared" si="10"/>
        <v>Kōura</v>
      </c>
      <c r="J112" t="str">
        <f t="shared" si="11"/>
        <v>Native</v>
      </c>
      <c r="K112" t="str">
        <f t="shared" si="12"/>
        <v>Yes</v>
      </c>
      <c r="L112" t="s">
        <v>228</v>
      </c>
      <c r="M112">
        <v>36.28</v>
      </c>
      <c r="N112">
        <v>36</v>
      </c>
      <c r="O112">
        <v>1</v>
      </c>
      <c r="T112" t="str">
        <f t="shared" si="13"/>
        <v/>
      </c>
    </row>
    <row r="113" spans="1:21" x14ac:dyDescent="0.55000000000000004">
      <c r="A113">
        <v>96</v>
      </c>
      <c r="B113" t="str">
        <f t="shared" si="7"/>
        <v>96_0</v>
      </c>
      <c r="C113" s="2">
        <v>45638.489583333336</v>
      </c>
      <c r="D113" t="s">
        <v>221</v>
      </c>
      <c r="E113">
        <v>2</v>
      </c>
      <c r="F113" t="s">
        <v>222</v>
      </c>
      <c r="G113" t="str">
        <f t="shared" si="8"/>
        <v>Paranephrops planifrons</v>
      </c>
      <c r="H113" t="str">
        <f t="shared" si="9"/>
        <v>Freshwater_crayfish</v>
      </c>
      <c r="I113" t="str">
        <f t="shared" si="10"/>
        <v>Kōura</v>
      </c>
      <c r="J113" t="str">
        <f t="shared" si="11"/>
        <v>Native</v>
      </c>
      <c r="K113" t="str">
        <f t="shared" si="12"/>
        <v>Yes</v>
      </c>
      <c r="L113" t="s">
        <v>228</v>
      </c>
      <c r="M113">
        <v>36</v>
      </c>
      <c r="N113">
        <v>35</v>
      </c>
      <c r="O113">
        <v>1</v>
      </c>
      <c r="T113" t="str">
        <f t="shared" si="13"/>
        <v/>
      </c>
    </row>
    <row r="114" spans="1:21" x14ac:dyDescent="0.55000000000000004">
      <c r="A114">
        <v>92</v>
      </c>
      <c r="B114" t="str">
        <f t="shared" si="7"/>
        <v>92_0</v>
      </c>
      <c r="C114" s="2">
        <v>45638.456944386577</v>
      </c>
      <c r="D114" t="s">
        <v>245</v>
      </c>
      <c r="E114">
        <v>2</v>
      </c>
      <c r="F114" t="s">
        <v>222</v>
      </c>
      <c r="G114" t="str">
        <f t="shared" si="8"/>
        <v>Paranephrops planifrons</v>
      </c>
      <c r="H114" t="str">
        <f t="shared" si="9"/>
        <v>Freshwater_crayfish</v>
      </c>
      <c r="I114" t="str">
        <f t="shared" si="10"/>
        <v>Kōura</v>
      </c>
      <c r="J114" t="str">
        <f t="shared" si="11"/>
        <v>Native</v>
      </c>
      <c r="K114" t="str">
        <f t="shared" si="12"/>
        <v>Yes</v>
      </c>
      <c r="L114" t="s">
        <v>223</v>
      </c>
      <c r="M114">
        <v>36</v>
      </c>
      <c r="N114">
        <v>34</v>
      </c>
      <c r="O114">
        <v>1</v>
      </c>
      <c r="T114" t="str">
        <f t="shared" si="13"/>
        <v/>
      </c>
      <c r="U114" t="s">
        <v>262</v>
      </c>
    </row>
    <row r="115" spans="1:21" x14ac:dyDescent="0.55000000000000004">
      <c r="A115">
        <v>96</v>
      </c>
      <c r="B115" t="str">
        <f t="shared" si="7"/>
        <v>96_0</v>
      </c>
      <c r="C115" s="2">
        <v>45638.489583333336</v>
      </c>
      <c r="D115" t="s">
        <v>221</v>
      </c>
      <c r="E115">
        <v>2</v>
      </c>
      <c r="F115" t="s">
        <v>222</v>
      </c>
      <c r="G115" t="str">
        <f t="shared" si="8"/>
        <v>Paranephrops planifrons</v>
      </c>
      <c r="H115" t="str">
        <f t="shared" si="9"/>
        <v>Freshwater_crayfish</v>
      </c>
      <c r="I115" t="str">
        <f t="shared" si="10"/>
        <v>Kōura</v>
      </c>
      <c r="J115" t="str">
        <f t="shared" si="11"/>
        <v>Native</v>
      </c>
      <c r="K115" t="str">
        <f t="shared" si="12"/>
        <v>Yes</v>
      </c>
      <c r="L115" t="s">
        <v>228</v>
      </c>
      <c r="M115">
        <v>36</v>
      </c>
      <c r="N115">
        <v>34</v>
      </c>
      <c r="O115">
        <v>1</v>
      </c>
      <c r="T115" t="str">
        <f t="shared" si="13"/>
        <v/>
      </c>
    </row>
    <row r="116" spans="1:21" x14ac:dyDescent="0.55000000000000004">
      <c r="A116">
        <v>96</v>
      </c>
      <c r="B116" t="str">
        <f t="shared" si="7"/>
        <v>96_0</v>
      </c>
      <c r="C116" s="2">
        <v>45638.489583333336</v>
      </c>
      <c r="D116" t="s">
        <v>221</v>
      </c>
      <c r="E116">
        <v>2</v>
      </c>
      <c r="F116" t="s">
        <v>222</v>
      </c>
      <c r="G116" t="str">
        <f t="shared" si="8"/>
        <v>Paranephrops planifrons</v>
      </c>
      <c r="H116" t="str">
        <f t="shared" si="9"/>
        <v>Freshwater_crayfish</v>
      </c>
      <c r="I116" t="str">
        <f t="shared" si="10"/>
        <v>Kōura</v>
      </c>
      <c r="J116" t="str">
        <f t="shared" si="11"/>
        <v>Native</v>
      </c>
      <c r="K116" t="str">
        <f t="shared" si="12"/>
        <v>Yes</v>
      </c>
      <c r="L116" t="s">
        <v>223</v>
      </c>
      <c r="M116">
        <v>36</v>
      </c>
      <c r="N116">
        <v>33</v>
      </c>
      <c r="O116">
        <v>1</v>
      </c>
      <c r="T116" t="str">
        <f t="shared" si="13"/>
        <v/>
      </c>
    </row>
    <row r="117" spans="1:21" x14ac:dyDescent="0.55000000000000004">
      <c r="A117">
        <v>115</v>
      </c>
      <c r="B117" t="str">
        <f t="shared" si="7"/>
        <v>115_0</v>
      </c>
      <c r="C117" s="2">
        <v>45597.590277777781</v>
      </c>
      <c r="D117" t="s">
        <v>221</v>
      </c>
      <c r="E117">
        <v>2</v>
      </c>
      <c r="F117" t="s">
        <v>222</v>
      </c>
      <c r="G117" t="str">
        <f t="shared" si="8"/>
        <v>Paranephrops planifrons</v>
      </c>
      <c r="H117" t="str">
        <f t="shared" si="9"/>
        <v>Freshwater_crayfish</v>
      </c>
      <c r="I117" t="str">
        <f t="shared" si="10"/>
        <v>Kōura</v>
      </c>
      <c r="J117" t="str">
        <f t="shared" si="11"/>
        <v>Native</v>
      </c>
      <c r="K117" t="str">
        <f t="shared" si="12"/>
        <v>Yes</v>
      </c>
      <c r="L117" t="s">
        <v>228</v>
      </c>
      <c r="M117">
        <v>36</v>
      </c>
      <c r="N117">
        <v>30</v>
      </c>
      <c r="O117">
        <v>1</v>
      </c>
      <c r="T117" t="str">
        <f t="shared" si="13"/>
        <v/>
      </c>
    </row>
    <row r="118" spans="1:21" x14ac:dyDescent="0.55000000000000004">
      <c r="A118">
        <v>113</v>
      </c>
      <c r="B118" t="str">
        <f t="shared" si="7"/>
        <v>113_0</v>
      </c>
      <c r="C118" s="2">
        <v>45680.387499942131</v>
      </c>
      <c r="D118" t="s">
        <v>245</v>
      </c>
      <c r="E118">
        <v>2</v>
      </c>
      <c r="F118" t="s">
        <v>222</v>
      </c>
      <c r="G118" t="str">
        <f t="shared" si="8"/>
        <v>Paranephrops planifrons</v>
      </c>
      <c r="H118" t="str">
        <f t="shared" si="9"/>
        <v>Freshwater_crayfish</v>
      </c>
      <c r="I118" t="str">
        <f t="shared" si="10"/>
        <v>Kōura</v>
      </c>
      <c r="J118" t="str">
        <f t="shared" si="11"/>
        <v>Native</v>
      </c>
      <c r="K118" t="str">
        <f t="shared" si="12"/>
        <v>Yes</v>
      </c>
      <c r="L118" t="s">
        <v>223</v>
      </c>
      <c r="M118">
        <v>35.93</v>
      </c>
      <c r="N118">
        <v>33</v>
      </c>
      <c r="O118">
        <v>1</v>
      </c>
      <c r="T118" t="str">
        <f t="shared" si="13"/>
        <v/>
      </c>
    </row>
    <row r="119" spans="1:21" x14ac:dyDescent="0.55000000000000004">
      <c r="A119">
        <v>92</v>
      </c>
      <c r="B119" t="str">
        <f t="shared" si="7"/>
        <v>92_0</v>
      </c>
      <c r="C119" s="2">
        <v>45638.456944386577</v>
      </c>
      <c r="D119" t="s">
        <v>245</v>
      </c>
      <c r="E119">
        <v>2</v>
      </c>
      <c r="F119" t="s">
        <v>222</v>
      </c>
      <c r="G119" t="str">
        <f t="shared" si="8"/>
        <v>Paranephrops planifrons</v>
      </c>
      <c r="H119" t="str">
        <f t="shared" si="9"/>
        <v>Freshwater_crayfish</v>
      </c>
      <c r="I119" t="str">
        <f t="shared" si="10"/>
        <v>Kōura</v>
      </c>
      <c r="J119" t="str">
        <f t="shared" si="11"/>
        <v>Native</v>
      </c>
      <c r="K119" t="str">
        <f t="shared" si="12"/>
        <v>Yes</v>
      </c>
      <c r="L119" t="s">
        <v>223</v>
      </c>
      <c r="M119">
        <v>35.61</v>
      </c>
      <c r="N119">
        <v>29</v>
      </c>
      <c r="O119">
        <v>1</v>
      </c>
      <c r="T119" t="str">
        <f t="shared" si="13"/>
        <v/>
      </c>
    </row>
    <row r="120" spans="1:21" x14ac:dyDescent="0.55000000000000004">
      <c r="A120">
        <v>117</v>
      </c>
      <c r="B120" t="str">
        <f t="shared" si="7"/>
        <v>117_0</v>
      </c>
      <c r="C120" s="2">
        <v>45597.520833333336</v>
      </c>
      <c r="D120" t="s">
        <v>245</v>
      </c>
      <c r="E120">
        <v>2</v>
      </c>
      <c r="F120" t="s">
        <v>242</v>
      </c>
      <c r="G120" t="str">
        <f t="shared" si="8"/>
        <v>Gobiomorphus cotidianus</v>
      </c>
      <c r="H120" t="str">
        <f t="shared" si="9"/>
        <v>Common_bully</v>
      </c>
      <c r="I120" t="str">
        <f t="shared" si="10"/>
        <v>Toitoi</v>
      </c>
      <c r="J120" t="str">
        <f t="shared" si="11"/>
        <v>Native</v>
      </c>
      <c r="K120" t="str">
        <f t="shared" si="12"/>
        <v>No</v>
      </c>
      <c r="O120">
        <v>3</v>
      </c>
      <c r="T120" t="str">
        <f t="shared" si="13"/>
        <v/>
      </c>
    </row>
    <row r="121" spans="1:21" x14ac:dyDescent="0.55000000000000004">
      <c r="A121">
        <v>113</v>
      </c>
      <c r="B121" t="str">
        <f t="shared" si="7"/>
        <v>113_0</v>
      </c>
      <c r="C121" s="2">
        <v>45680.387499942131</v>
      </c>
      <c r="D121" t="s">
        <v>245</v>
      </c>
      <c r="E121">
        <v>2</v>
      </c>
      <c r="F121" t="s">
        <v>222</v>
      </c>
      <c r="G121" t="str">
        <f t="shared" si="8"/>
        <v>Paranephrops planifrons</v>
      </c>
      <c r="H121" t="str">
        <f t="shared" si="9"/>
        <v>Freshwater_crayfish</v>
      </c>
      <c r="I121" t="str">
        <f t="shared" si="10"/>
        <v>Kōura</v>
      </c>
      <c r="J121" t="str">
        <f t="shared" si="11"/>
        <v>Native</v>
      </c>
      <c r="K121" t="str">
        <f t="shared" si="12"/>
        <v>Yes</v>
      </c>
      <c r="L121" t="s">
        <v>228</v>
      </c>
      <c r="M121">
        <v>35.520000000000003</v>
      </c>
      <c r="N121">
        <v>33</v>
      </c>
      <c r="O121">
        <v>1</v>
      </c>
      <c r="T121" t="str">
        <f t="shared" si="13"/>
        <v/>
      </c>
    </row>
    <row r="122" spans="1:21" x14ac:dyDescent="0.55000000000000004">
      <c r="A122">
        <v>113</v>
      </c>
      <c r="B122" t="str">
        <f t="shared" si="7"/>
        <v>113_0</v>
      </c>
      <c r="C122" s="2">
        <v>45680.387499942131</v>
      </c>
      <c r="D122" t="s">
        <v>245</v>
      </c>
      <c r="E122">
        <v>2</v>
      </c>
      <c r="F122" t="s">
        <v>222</v>
      </c>
      <c r="G122" t="str">
        <f t="shared" si="8"/>
        <v>Paranephrops planifrons</v>
      </c>
      <c r="H122" t="str">
        <f t="shared" si="9"/>
        <v>Freshwater_crayfish</v>
      </c>
      <c r="I122" t="str">
        <f t="shared" si="10"/>
        <v>Kōura</v>
      </c>
      <c r="J122" t="str">
        <f t="shared" si="11"/>
        <v>Native</v>
      </c>
      <c r="K122" t="str">
        <f t="shared" si="12"/>
        <v>Yes</v>
      </c>
      <c r="L122" t="s">
        <v>228</v>
      </c>
      <c r="M122">
        <v>35.44</v>
      </c>
      <c r="N122">
        <v>30</v>
      </c>
      <c r="O122">
        <v>1</v>
      </c>
      <c r="T122" t="str">
        <f t="shared" si="13"/>
        <v/>
      </c>
    </row>
    <row r="123" spans="1:21" x14ac:dyDescent="0.55000000000000004">
      <c r="A123">
        <v>87</v>
      </c>
      <c r="B123" t="str">
        <f t="shared" si="7"/>
        <v>87_0</v>
      </c>
      <c r="C123" s="2">
        <v>45637.625</v>
      </c>
      <c r="D123" t="s">
        <v>221</v>
      </c>
      <c r="E123">
        <v>2</v>
      </c>
      <c r="F123" t="s">
        <v>222</v>
      </c>
      <c r="G123" t="str">
        <f t="shared" si="8"/>
        <v>Paranephrops planifrons</v>
      </c>
      <c r="H123" t="str">
        <f t="shared" si="9"/>
        <v>Freshwater_crayfish</v>
      </c>
      <c r="I123" t="str">
        <f t="shared" si="10"/>
        <v>Kōura</v>
      </c>
      <c r="J123" t="str">
        <f t="shared" si="11"/>
        <v>Native</v>
      </c>
      <c r="K123" t="str">
        <f t="shared" si="12"/>
        <v>Yes</v>
      </c>
      <c r="L123" t="s">
        <v>228</v>
      </c>
      <c r="M123">
        <v>35.42</v>
      </c>
      <c r="N123">
        <v>31</v>
      </c>
      <c r="O123">
        <v>1</v>
      </c>
      <c r="P123">
        <v>1</v>
      </c>
      <c r="T123" t="str">
        <f t="shared" si="13"/>
        <v/>
      </c>
      <c r="U123" t="s">
        <v>257</v>
      </c>
    </row>
    <row r="124" spans="1:21" x14ac:dyDescent="0.55000000000000004">
      <c r="A124">
        <v>77</v>
      </c>
      <c r="B124" t="str">
        <f t="shared" si="7"/>
        <v>77_0</v>
      </c>
      <c r="C124" s="2">
        <v>45674.520833333336</v>
      </c>
      <c r="D124" t="s">
        <v>221</v>
      </c>
      <c r="E124">
        <v>2</v>
      </c>
      <c r="F124" t="s">
        <v>222</v>
      </c>
      <c r="G124" t="str">
        <f t="shared" si="8"/>
        <v>Paranephrops planifrons</v>
      </c>
      <c r="H124" t="str">
        <f t="shared" si="9"/>
        <v>Freshwater_crayfish</v>
      </c>
      <c r="I124" t="str">
        <f t="shared" si="10"/>
        <v>Kōura</v>
      </c>
      <c r="J124" t="str">
        <f t="shared" si="11"/>
        <v>Native</v>
      </c>
      <c r="K124" t="str">
        <f t="shared" si="12"/>
        <v>Yes</v>
      </c>
      <c r="L124" t="s">
        <v>228</v>
      </c>
      <c r="M124">
        <v>35.11</v>
      </c>
      <c r="N124">
        <v>27</v>
      </c>
      <c r="O124">
        <v>1</v>
      </c>
      <c r="P124">
        <v>1</v>
      </c>
      <c r="T124" t="str">
        <f t="shared" si="13"/>
        <v/>
      </c>
    </row>
    <row r="125" spans="1:21" x14ac:dyDescent="0.55000000000000004">
      <c r="A125">
        <v>66</v>
      </c>
      <c r="B125" t="str">
        <f t="shared" si="7"/>
        <v>66_0</v>
      </c>
      <c r="C125" s="2">
        <v>45709.513888888891</v>
      </c>
      <c r="D125" t="s">
        <v>245</v>
      </c>
      <c r="E125">
        <v>2</v>
      </c>
      <c r="F125" t="s">
        <v>222</v>
      </c>
      <c r="G125" t="str">
        <f t="shared" si="8"/>
        <v>Paranephrops planifrons</v>
      </c>
      <c r="H125" t="str">
        <f t="shared" si="9"/>
        <v>Freshwater_crayfish</v>
      </c>
      <c r="I125" t="str">
        <f t="shared" si="10"/>
        <v>Kōura</v>
      </c>
      <c r="J125" t="str">
        <f t="shared" si="11"/>
        <v>Native</v>
      </c>
      <c r="K125" t="str">
        <f t="shared" si="12"/>
        <v>Yes</v>
      </c>
      <c r="L125" t="s">
        <v>228</v>
      </c>
      <c r="M125">
        <v>35.090000000000003</v>
      </c>
      <c r="N125">
        <v>33</v>
      </c>
      <c r="O125">
        <v>1</v>
      </c>
      <c r="T125" t="str">
        <f t="shared" si="13"/>
        <v/>
      </c>
    </row>
    <row r="126" spans="1:21" x14ac:dyDescent="0.55000000000000004">
      <c r="A126">
        <v>117</v>
      </c>
      <c r="B126" t="str">
        <f t="shared" si="7"/>
        <v>117_0</v>
      </c>
      <c r="C126" s="2">
        <v>45597.520833333336</v>
      </c>
      <c r="D126" t="s">
        <v>221</v>
      </c>
      <c r="E126">
        <v>2</v>
      </c>
      <c r="F126" t="s">
        <v>243</v>
      </c>
      <c r="G126" t="str">
        <f t="shared" si="8"/>
        <v>Retropinna retropinna</v>
      </c>
      <c r="H126" t="str">
        <f t="shared" si="9"/>
        <v>Common_smelt</v>
      </c>
      <c r="I126" t="str">
        <f t="shared" si="10"/>
        <v>Common_smelt</v>
      </c>
      <c r="J126" t="str">
        <f t="shared" si="11"/>
        <v>Native</v>
      </c>
      <c r="K126" t="str">
        <f t="shared" si="12"/>
        <v>No</v>
      </c>
      <c r="O126">
        <v>5</v>
      </c>
      <c r="T126" t="str">
        <f t="shared" si="13"/>
        <v/>
      </c>
    </row>
    <row r="127" spans="1:21" x14ac:dyDescent="0.55000000000000004">
      <c r="A127">
        <v>117</v>
      </c>
      <c r="B127" t="str">
        <f t="shared" si="7"/>
        <v>117_0</v>
      </c>
      <c r="C127" s="2">
        <v>45597.520833333336</v>
      </c>
      <c r="D127" t="s">
        <v>221</v>
      </c>
      <c r="E127">
        <v>2</v>
      </c>
      <c r="F127" t="s">
        <v>242</v>
      </c>
      <c r="G127" t="str">
        <f t="shared" si="8"/>
        <v>Gobiomorphus cotidianus</v>
      </c>
      <c r="H127" t="str">
        <f t="shared" si="9"/>
        <v>Common_bully</v>
      </c>
      <c r="I127" t="str">
        <f t="shared" si="10"/>
        <v>Toitoi</v>
      </c>
      <c r="J127" t="str">
        <f t="shared" si="11"/>
        <v>Native</v>
      </c>
      <c r="K127" t="str">
        <f t="shared" si="12"/>
        <v>No</v>
      </c>
      <c r="O127">
        <v>20</v>
      </c>
      <c r="T127" t="str">
        <f t="shared" si="13"/>
        <v/>
      </c>
      <c r="U127" t="s">
        <v>253</v>
      </c>
    </row>
    <row r="128" spans="1:21" x14ac:dyDescent="0.55000000000000004">
      <c r="A128">
        <v>118</v>
      </c>
      <c r="B128" t="str">
        <f t="shared" si="7"/>
        <v>118_0</v>
      </c>
      <c r="C128" s="2">
        <v>45597.451388888891</v>
      </c>
      <c r="D128" t="s">
        <v>221</v>
      </c>
      <c r="E128">
        <v>2</v>
      </c>
      <c r="F128" t="s">
        <v>236</v>
      </c>
      <c r="G128" t="str">
        <f t="shared" si="8"/>
        <v>Carassius auratus</v>
      </c>
      <c r="H128" t="str">
        <f t="shared" si="9"/>
        <v>Goldfish</v>
      </c>
      <c r="I128" t="str">
        <f t="shared" si="10"/>
        <v>Morihana</v>
      </c>
      <c r="J128" t="str">
        <f t="shared" si="11"/>
        <v>Nonnative</v>
      </c>
      <c r="K128" t="str">
        <f t="shared" si="12"/>
        <v>No</v>
      </c>
      <c r="M128">
        <v>230</v>
      </c>
      <c r="N128">
        <v>281</v>
      </c>
      <c r="O128">
        <v>1</v>
      </c>
      <c r="T128" t="str">
        <f t="shared" si="13"/>
        <v/>
      </c>
    </row>
    <row r="129" spans="1:21" x14ac:dyDescent="0.55000000000000004">
      <c r="A129">
        <v>118</v>
      </c>
      <c r="B129" t="str">
        <f t="shared" si="7"/>
        <v>118_0</v>
      </c>
      <c r="C129" s="2">
        <v>45597.451388888891</v>
      </c>
      <c r="D129" t="s">
        <v>221</v>
      </c>
      <c r="E129">
        <v>2</v>
      </c>
      <c r="F129" t="s">
        <v>233</v>
      </c>
      <c r="G129" t="str">
        <f t="shared" si="8"/>
        <v>Galaxias brevipinnis</v>
      </c>
      <c r="H129" t="str">
        <f t="shared" si="9"/>
        <v>Climbing_galaxias</v>
      </c>
      <c r="I129" t="str">
        <f t="shared" si="10"/>
        <v>Kōaro</v>
      </c>
      <c r="J129" t="str">
        <f t="shared" si="11"/>
        <v>Native</v>
      </c>
      <c r="K129" t="str">
        <f t="shared" si="12"/>
        <v>Yes</v>
      </c>
      <c r="M129">
        <v>175</v>
      </c>
      <c r="N129">
        <v>50</v>
      </c>
      <c r="O129">
        <v>1</v>
      </c>
      <c r="T129" t="str">
        <f t="shared" si="13"/>
        <v/>
      </c>
    </row>
    <row r="130" spans="1:21" x14ac:dyDescent="0.55000000000000004">
      <c r="A130">
        <v>118</v>
      </c>
      <c r="B130" t="str">
        <f t="shared" ref="B130:B193" si="14">A130 &amp; "_0"</f>
        <v>118_0</v>
      </c>
      <c r="C130" s="2">
        <v>45597.451388888891</v>
      </c>
      <c r="D130" t="s">
        <v>221</v>
      </c>
      <c r="E130">
        <v>2</v>
      </c>
      <c r="F130" t="s">
        <v>233</v>
      </c>
      <c r="G130" t="str">
        <f t="shared" ref="G130:G193" si="15">VLOOKUP($F130, $W$1:$AB$10, 2, FALSE)</f>
        <v>Galaxias brevipinnis</v>
      </c>
      <c r="H130" t="str">
        <f t="shared" ref="H130:H193" si="16">VLOOKUP($F130, $W$1:$AB$10, 3, FALSE)</f>
        <v>Climbing_galaxias</v>
      </c>
      <c r="I130" t="str">
        <f t="shared" ref="I130:I193" si="17">VLOOKUP($F130, $W$1:$AB$10, 4, FALSE)</f>
        <v>Kōaro</v>
      </c>
      <c r="J130" t="str">
        <f t="shared" ref="J130:J193" si="18">VLOOKUP($F130, $W$1:$AC$10, 5, FALSE)</f>
        <v>Native</v>
      </c>
      <c r="K130" t="str">
        <f t="shared" ref="K130:K193" si="19">VLOOKUP($F130, $W$1:$AB$10, 6, FALSE)</f>
        <v>Yes</v>
      </c>
      <c r="M130">
        <v>135</v>
      </c>
      <c r="N130">
        <v>28</v>
      </c>
      <c r="O130">
        <v>1</v>
      </c>
      <c r="T130" t="str">
        <f t="shared" ref="T130:T193" si="20">IF(S130&lt;&gt;"", S130*236.588, "")</f>
        <v/>
      </c>
    </row>
    <row r="131" spans="1:21" x14ac:dyDescent="0.55000000000000004">
      <c r="A131">
        <v>118</v>
      </c>
      <c r="B131" t="str">
        <f t="shared" si="14"/>
        <v>118_0</v>
      </c>
      <c r="C131" s="2">
        <v>45597.451388888891</v>
      </c>
      <c r="D131" t="s">
        <v>221</v>
      </c>
      <c r="E131">
        <v>2</v>
      </c>
      <c r="F131" t="s">
        <v>233</v>
      </c>
      <c r="G131" t="str">
        <f t="shared" si="15"/>
        <v>Galaxias brevipinnis</v>
      </c>
      <c r="H131" t="str">
        <f t="shared" si="16"/>
        <v>Climbing_galaxias</v>
      </c>
      <c r="I131" t="str">
        <f t="shared" si="17"/>
        <v>Kōaro</v>
      </c>
      <c r="J131" t="str">
        <f t="shared" si="18"/>
        <v>Native</v>
      </c>
      <c r="K131" t="str">
        <f t="shared" si="19"/>
        <v>Yes</v>
      </c>
      <c r="M131">
        <v>126</v>
      </c>
      <c r="N131">
        <v>24</v>
      </c>
      <c r="O131">
        <v>1</v>
      </c>
      <c r="T131" t="str">
        <f t="shared" si="20"/>
        <v/>
      </c>
    </row>
    <row r="132" spans="1:21" x14ac:dyDescent="0.55000000000000004">
      <c r="A132">
        <v>118</v>
      </c>
      <c r="B132" t="str">
        <f t="shared" si="14"/>
        <v>118_0</v>
      </c>
      <c r="C132" s="2">
        <v>45597.451388888891</v>
      </c>
      <c r="D132" t="s">
        <v>221</v>
      </c>
      <c r="E132">
        <v>2</v>
      </c>
      <c r="F132" t="s">
        <v>242</v>
      </c>
      <c r="G132" t="str">
        <f t="shared" si="15"/>
        <v>Gobiomorphus cotidianus</v>
      </c>
      <c r="H132" t="str">
        <f t="shared" si="16"/>
        <v>Common_bully</v>
      </c>
      <c r="I132" t="str">
        <f t="shared" si="17"/>
        <v>Toitoi</v>
      </c>
      <c r="J132" t="str">
        <f t="shared" si="18"/>
        <v>Native</v>
      </c>
      <c r="K132" t="str">
        <f t="shared" si="19"/>
        <v>No</v>
      </c>
      <c r="O132">
        <v>100</v>
      </c>
      <c r="T132" t="str">
        <f t="shared" si="20"/>
        <v/>
      </c>
      <c r="U132" t="s">
        <v>253</v>
      </c>
    </row>
    <row r="133" spans="1:21" x14ac:dyDescent="0.55000000000000004">
      <c r="A133">
        <v>118</v>
      </c>
      <c r="B133" t="str">
        <f t="shared" si="14"/>
        <v>118_0</v>
      </c>
      <c r="C133" s="2">
        <v>45597.451388888891</v>
      </c>
      <c r="D133" t="s">
        <v>221</v>
      </c>
      <c r="E133">
        <v>2</v>
      </c>
      <c r="F133" t="s">
        <v>243</v>
      </c>
      <c r="G133" t="str">
        <f t="shared" si="15"/>
        <v>Retropinna retropinna</v>
      </c>
      <c r="H133" t="str">
        <f t="shared" si="16"/>
        <v>Common_smelt</v>
      </c>
      <c r="I133" t="str">
        <f t="shared" si="17"/>
        <v>Common_smelt</v>
      </c>
      <c r="J133" t="str">
        <f t="shared" si="18"/>
        <v>Native</v>
      </c>
      <c r="K133" t="str">
        <f t="shared" si="19"/>
        <v>No</v>
      </c>
      <c r="O133">
        <v>7</v>
      </c>
      <c r="T133" t="str">
        <f t="shared" si="20"/>
        <v/>
      </c>
    </row>
    <row r="134" spans="1:21" x14ac:dyDescent="0.55000000000000004">
      <c r="A134">
        <v>118</v>
      </c>
      <c r="B134" t="str">
        <f t="shared" si="14"/>
        <v>118_0</v>
      </c>
      <c r="C134" s="2">
        <v>45597.451388888891</v>
      </c>
      <c r="D134" t="s">
        <v>221</v>
      </c>
      <c r="E134">
        <v>2</v>
      </c>
      <c r="F134" t="s">
        <v>233</v>
      </c>
      <c r="G134" t="str">
        <f t="shared" si="15"/>
        <v>Galaxias brevipinnis</v>
      </c>
      <c r="H134" t="str">
        <f t="shared" si="16"/>
        <v>Climbing_galaxias</v>
      </c>
      <c r="I134" t="str">
        <f t="shared" si="17"/>
        <v>Kōaro</v>
      </c>
      <c r="J134" t="str">
        <f t="shared" si="18"/>
        <v>Native</v>
      </c>
      <c r="K134" t="str">
        <f t="shared" si="19"/>
        <v>Yes</v>
      </c>
      <c r="M134">
        <v>120</v>
      </c>
      <c r="N134">
        <v>20</v>
      </c>
      <c r="O134">
        <v>1</v>
      </c>
      <c r="T134" t="str">
        <f t="shared" si="20"/>
        <v/>
      </c>
    </row>
    <row r="135" spans="1:21" x14ac:dyDescent="0.55000000000000004">
      <c r="A135">
        <v>118</v>
      </c>
      <c r="B135" t="str">
        <f t="shared" si="14"/>
        <v>118_0</v>
      </c>
      <c r="C135" s="2">
        <v>45597.451388888891</v>
      </c>
      <c r="D135" t="s">
        <v>221</v>
      </c>
      <c r="E135">
        <v>2</v>
      </c>
      <c r="F135" t="s">
        <v>233</v>
      </c>
      <c r="G135" t="str">
        <f t="shared" si="15"/>
        <v>Galaxias brevipinnis</v>
      </c>
      <c r="H135" t="str">
        <f t="shared" si="16"/>
        <v>Climbing_galaxias</v>
      </c>
      <c r="I135" t="str">
        <f t="shared" si="17"/>
        <v>Kōaro</v>
      </c>
      <c r="J135" t="str">
        <f t="shared" si="18"/>
        <v>Native</v>
      </c>
      <c r="K135" t="str">
        <f t="shared" si="19"/>
        <v>Yes</v>
      </c>
      <c r="M135">
        <v>152</v>
      </c>
      <c r="N135">
        <v>36</v>
      </c>
      <c r="O135">
        <v>1</v>
      </c>
      <c r="T135" t="str">
        <f t="shared" si="20"/>
        <v/>
      </c>
    </row>
    <row r="136" spans="1:21" x14ac:dyDescent="0.55000000000000004">
      <c r="A136">
        <v>118</v>
      </c>
      <c r="B136" t="str">
        <f t="shared" si="14"/>
        <v>118_0</v>
      </c>
      <c r="C136" s="2">
        <v>45597.451388888891</v>
      </c>
      <c r="D136" t="s">
        <v>221</v>
      </c>
      <c r="E136">
        <v>2</v>
      </c>
      <c r="F136" t="s">
        <v>233</v>
      </c>
      <c r="G136" t="str">
        <f t="shared" si="15"/>
        <v>Galaxias brevipinnis</v>
      </c>
      <c r="H136" t="str">
        <f t="shared" si="16"/>
        <v>Climbing_galaxias</v>
      </c>
      <c r="I136" t="str">
        <f t="shared" si="17"/>
        <v>Kōaro</v>
      </c>
      <c r="J136" t="str">
        <f t="shared" si="18"/>
        <v>Native</v>
      </c>
      <c r="K136" t="str">
        <f t="shared" si="19"/>
        <v>Yes</v>
      </c>
      <c r="M136">
        <v>118</v>
      </c>
      <c r="N136">
        <v>19</v>
      </c>
      <c r="O136">
        <v>1</v>
      </c>
      <c r="T136" t="str">
        <f t="shared" si="20"/>
        <v/>
      </c>
    </row>
    <row r="137" spans="1:21" x14ac:dyDescent="0.55000000000000004">
      <c r="A137">
        <v>118</v>
      </c>
      <c r="B137" t="str">
        <f t="shared" si="14"/>
        <v>118_0</v>
      </c>
      <c r="C137" s="2">
        <v>45597.451388888891</v>
      </c>
      <c r="D137" t="s">
        <v>221</v>
      </c>
      <c r="E137">
        <v>2</v>
      </c>
      <c r="F137" t="s">
        <v>233</v>
      </c>
      <c r="G137" t="str">
        <f t="shared" si="15"/>
        <v>Galaxias brevipinnis</v>
      </c>
      <c r="H137" t="str">
        <f t="shared" si="16"/>
        <v>Climbing_galaxias</v>
      </c>
      <c r="I137" t="str">
        <f t="shared" si="17"/>
        <v>Kōaro</v>
      </c>
      <c r="J137" t="str">
        <f t="shared" si="18"/>
        <v>Native</v>
      </c>
      <c r="K137" t="str">
        <f t="shared" si="19"/>
        <v>Yes</v>
      </c>
      <c r="M137">
        <v>130</v>
      </c>
      <c r="N137">
        <v>26</v>
      </c>
      <c r="O137">
        <v>1</v>
      </c>
      <c r="T137" t="str">
        <f t="shared" si="20"/>
        <v/>
      </c>
    </row>
    <row r="138" spans="1:21" x14ac:dyDescent="0.55000000000000004">
      <c r="A138">
        <v>118</v>
      </c>
      <c r="B138" t="str">
        <f t="shared" si="14"/>
        <v>118_0</v>
      </c>
      <c r="C138" s="2">
        <v>45597.451388888891</v>
      </c>
      <c r="D138" t="s">
        <v>221</v>
      </c>
      <c r="E138">
        <v>2</v>
      </c>
      <c r="F138" t="s">
        <v>233</v>
      </c>
      <c r="G138" t="str">
        <f t="shared" si="15"/>
        <v>Galaxias brevipinnis</v>
      </c>
      <c r="H138" t="str">
        <f t="shared" si="16"/>
        <v>Climbing_galaxias</v>
      </c>
      <c r="I138" t="str">
        <f t="shared" si="17"/>
        <v>Kōaro</v>
      </c>
      <c r="J138" t="str">
        <f t="shared" si="18"/>
        <v>Native</v>
      </c>
      <c r="K138" t="str">
        <f t="shared" si="19"/>
        <v>Yes</v>
      </c>
      <c r="M138">
        <v>90</v>
      </c>
      <c r="N138">
        <v>12</v>
      </c>
      <c r="O138">
        <v>1</v>
      </c>
      <c r="T138" t="str">
        <f t="shared" si="20"/>
        <v/>
      </c>
    </row>
    <row r="139" spans="1:21" x14ac:dyDescent="0.55000000000000004">
      <c r="A139">
        <v>118</v>
      </c>
      <c r="B139" t="str">
        <f t="shared" si="14"/>
        <v>118_0</v>
      </c>
      <c r="C139" s="2">
        <v>45597.451388888891</v>
      </c>
      <c r="D139" t="s">
        <v>221</v>
      </c>
      <c r="E139">
        <v>2</v>
      </c>
      <c r="F139" t="s">
        <v>233</v>
      </c>
      <c r="G139" t="str">
        <f t="shared" si="15"/>
        <v>Galaxias brevipinnis</v>
      </c>
      <c r="H139" t="str">
        <f t="shared" si="16"/>
        <v>Climbing_galaxias</v>
      </c>
      <c r="I139" t="str">
        <f t="shared" si="17"/>
        <v>Kōaro</v>
      </c>
      <c r="J139" t="str">
        <f t="shared" si="18"/>
        <v>Native</v>
      </c>
      <c r="K139" t="str">
        <f t="shared" si="19"/>
        <v>Yes</v>
      </c>
      <c r="M139">
        <v>98</v>
      </c>
      <c r="N139">
        <v>8</v>
      </c>
      <c r="O139">
        <v>1</v>
      </c>
      <c r="T139" t="str">
        <f t="shared" si="20"/>
        <v/>
      </c>
    </row>
    <row r="140" spans="1:21" x14ac:dyDescent="0.55000000000000004">
      <c r="A140">
        <v>118</v>
      </c>
      <c r="B140" t="str">
        <f t="shared" si="14"/>
        <v>118_0</v>
      </c>
      <c r="C140" s="2">
        <v>45597.451388888891</v>
      </c>
      <c r="D140" t="s">
        <v>221</v>
      </c>
      <c r="E140">
        <v>2</v>
      </c>
      <c r="F140" t="s">
        <v>233</v>
      </c>
      <c r="G140" t="str">
        <f t="shared" si="15"/>
        <v>Galaxias brevipinnis</v>
      </c>
      <c r="H140" t="str">
        <f t="shared" si="16"/>
        <v>Climbing_galaxias</v>
      </c>
      <c r="I140" t="str">
        <f t="shared" si="17"/>
        <v>Kōaro</v>
      </c>
      <c r="J140" t="str">
        <f t="shared" si="18"/>
        <v>Native</v>
      </c>
      <c r="K140" t="str">
        <f t="shared" si="19"/>
        <v>Yes</v>
      </c>
      <c r="M140">
        <v>75</v>
      </c>
      <c r="N140">
        <v>7</v>
      </c>
      <c r="O140">
        <v>1</v>
      </c>
      <c r="T140" t="str">
        <f t="shared" si="20"/>
        <v/>
      </c>
    </row>
    <row r="141" spans="1:21" x14ac:dyDescent="0.55000000000000004">
      <c r="A141">
        <v>118</v>
      </c>
      <c r="B141" t="str">
        <f t="shared" si="14"/>
        <v>118_0</v>
      </c>
      <c r="C141" s="2">
        <v>45597.451388888891</v>
      </c>
      <c r="D141" t="s">
        <v>221</v>
      </c>
      <c r="E141">
        <v>2</v>
      </c>
      <c r="F141" t="s">
        <v>243</v>
      </c>
      <c r="G141" t="str">
        <f t="shared" si="15"/>
        <v>Retropinna retropinna</v>
      </c>
      <c r="H141" t="str">
        <f t="shared" si="16"/>
        <v>Common_smelt</v>
      </c>
      <c r="I141" t="str">
        <f t="shared" si="17"/>
        <v>Common_smelt</v>
      </c>
      <c r="J141" t="str">
        <f t="shared" si="18"/>
        <v>Native</v>
      </c>
      <c r="K141" t="str">
        <f t="shared" si="19"/>
        <v>No</v>
      </c>
      <c r="O141">
        <v>10</v>
      </c>
      <c r="T141" t="str">
        <f t="shared" si="20"/>
        <v/>
      </c>
    </row>
    <row r="142" spans="1:21" x14ac:dyDescent="0.55000000000000004">
      <c r="A142">
        <v>118</v>
      </c>
      <c r="B142" t="str">
        <f t="shared" si="14"/>
        <v>118_0</v>
      </c>
      <c r="C142" s="2">
        <v>45597.451388888891</v>
      </c>
      <c r="D142" t="s">
        <v>221</v>
      </c>
      <c r="E142">
        <v>2</v>
      </c>
      <c r="F142" t="s">
        <v>242</v>
      </c>
      <c r="G142" t="str">
        <f t="shared" si="15"/>
        <v>Gobiomorphus cotidianus</v>
      </c>
      <c r="H142" t="str">
        <f t="shared" si="16"/>
        <v>Common_bully</v>
      </c>
      <c r="I142" t="str">
        <f t="shared" si="17"/>
        <v>Toitoi</v>
      </c>
      <c r="J142" t="str">
        <f t="shared" si="18"/>
        <v>Native</v>
      </c>
      <c r="K142" t="str">
        <f t="shared" si="19"/>
        <v>No</v>
      </c>
      <c r="O142">
        <v>100</v>
      </c>
      <c r="T142" t="str">
        <f t="shared" si="20"/>
        <v/>
      </c>
      <c r="U142" t="s">
        <v>253</v>
      </c>
    </row>
    <row r="143" spans="1:21" x14ac:dyDescent="0.55000000000000004">
      <c r="A143">
        <v>118</v>
      </c>
      <c r="B143" t="str">
        <f t="shared" si="14"/>
        <v>118_0</v>
      </c>
      <c r="C143" s="2">
        <v>45597.451388888891</v>
      </c>
      <c r="D143" t="s">
        <v>245</v>
      </c>
      <c r="E143">
        <v>2</v>
      </c>
      <c r="F143" t="s">
        <v>242</v>
      </c>
      <c r="G143" t="str">
        <f t="shared" si="15"/>
        <v>Gobiomorphus cotidianus</v>
      </c>
      <c r="H143" t="str">
        <f t="shared" si="16"/>
        <v>Common_bully</v>
      </c>
      <c r="I143" t="str">
        <f t="shared" si="17"/>
        <v>Toitoi</v>
      </c>
      <c r="J143" t="str">
        <f t="shared" si="18"/>
        <v>Native</v>
      </c>
      <c r="K143" t="str">
        <f t="shared" si="19"/>
        <v>No</v>
      </c>
      <c r="O143">
        <v>1</v>
      </c>
      <c r="T143" t="str">
        <f t="shared" si="20"/>
        <v/>
      </c>
    </row>
    <row r="144" spans="1:21" x14ac:dyDescent="0.55000000000000004">
      <c r="A144">
        <v>115</v>
      </c>
      <c r="B144" t="str">
        <f t="shared" si="14"/>
        <v>115_0</v>
      </c>
      <c r="C144" s="2">
        <v>45597.590277777781</v>
      </c>
      <c r="D144" t="s">
        <v>221</v>
      </c>
      <c r="E144">
        <v>2</v>
      </c>
      <c r="F144" t="s">
        <v>222</v>
      </c>
      <c r="G144" t="str">
        <f t="shared" si="15"/>
        <v>Paranephrops planifrons</v>
      </c>
      <c r="H144" t="str">
        <f t="shared" si="16"/>
        <v>Freshwater_crayfish</v>
      </c>
      <c r="I144" t="str">
        <f t="shared" si="17"/>
        <v>Kōura</v>
      </c>
      <c r="J144" t="str">
        <f t="shared" si="18"/>
        <v>Native</v>
      </c>
      <c r="K144" t="str">
        <f t="shared" si="19"/>
        <v>Yes</v>
      </c>
      <c r="L144" t="s">
        <v>228</v>
      </c>
      <c r="M144">
        <v>35</v>
      </c>
      <c r="N144">
        <v>39</v>
      </c>
      <c r="O144">
        <v>1</v>
      </c>
      <c r="T144" t="str">
        <f t="shared" si="20"/>
        <v/>
      </c>
    </row>
    <row r="145" spans="1:21" x14ac:dyDescent="0.55000000000000004">
      <c r="A145">
        <v>119</v>
      </c>
      <c r="B145" t="str">
        <f t="shared" si="14"/>
        <v>119_0</v>
      </c>
      <c r="C145" s="2">
        <v>45597.395833333336</v>
      </c>
      <c r="D145" t="s">
        <v>221</v>
      </c>
      <c r="E145">
        <v>2</v>
      </c>
      <c r="F145" t="s">
        <v>242</v>
      </c>
      <c r="G145" t="str">
        <f t="shared" si="15"/>
        <v>Gobiomorphus cotidianus</v>
      </c>
      <c r="H145" t="str">
        <f t="shared" si="16"/>
        <v>Common_bully</v>
      </c>
      <c r="I145" t="str">
        <f t="shared" si="17"/>
        <v>Toitoi</v>
      </c>
      <c r="J145" t="str">
        <f t="shared" si="18"/>
        <v>Native</v>
      </c>
      <c r="K145" t="str">
        <f t="shared" si="19"/>
        <v>No</v>
      </c>
      <c r="O145">
        <v>85</v>
      </c>
      <c r="T145" t="str">
        <f t="shared" si="20"/>
        <v/>
      </c>
      <c r="U145" t="s">
        <v>253</v>
      </c>
    </row>
    <row r="146" spans="1:21" x14ac:dyDescent="0.55000000000000004">
      <c r="A146">
        <v>120</v>
      </c>
      <c r="B146" t="str">
        <f t="shared" si="14"/>
        <v>120_0</v>
      </c>
      <c r="C146" s="2">
        <v>45597.429166666669</v>
      </c>
      <c r="D146" t="s">
        <v>221</v>
      </c>
      <c r="E146">
        <v>2</v>
      </c>
      <c r="F146" t="s">
        <v>222</v>
      </c>
      <c r="G146" t="str">
        <f t="shared" si="15"/>
        <v>Paranephrops planifrons</v>
      </c>
      <c r="H146" t="str">
        <f t="shared" si="16"/>
        <v>Freshwater_crayfish</v>
      </c>
      <c r="I146" t="str">
        <f t="shared" si="17"/>
        <v>Kōura</v>
      </c>
      <c r="J146" t="str">
        <f t="shared" si="18"/>
        <v>Native</v>
      </c>
      <c r="K146" t="str">
        <f t="shared" si="19"/>
        <v>Yes</v>
      </c>
      <c r="L146" t="s">
        <v>228</v>
      </c>
      <c r="M146">
        <v>35</v>
      </c>
      <c r="N146">
        <v>36</v>
      </c>
      <c r="O146">
        <v>1</v>
      </c>
      <c r="T146" t="str">
        <f t="shared" si="20"/>
        <v/>
      </c>
    </row>
    <row r="147" spans="1:21" x14ac:dyDescent="0.55000000000000004">
      <c r="A147">
        <v>115</v>
      </c>
      <c r="B147" t="str">
        <f t="shared" si="14"/>
        <v>115_0</v>
      </c>
      <c r="C147" s="2">
        <v>45597.590277777781</v>
      </c>
      <c r="D147" t="s">
        <v>245</v>
      </c>
      <c r="E147">
        <v>2</v>
      </c>
      <c r="F147" t="s">
        <v>222</v>
      </c>
      <c r="G147" t="str">
        <f t="shared" si="15"/>
        <v>Paranephrops planifrons</v>
      </c>
      <c r="H147" t="str">
        <f t="shared" si="16"/>
        <v>Freshwater_crayfish</v>
      </c>
      <c r="I147" t="str">
        <f t="shared" si="17"/>
        <v>Kōura</v>
      </c>
      <c r="J147" t="str">
        <f t="shared" si="18"/>
        <v>Native</v>
      </c>
      <c r="K147" t="str">
        <f t="shared" si="19"/>
        <v>Yes</v>
      </c>
      <c r="L147" t="s">
        <v>228</v>
      </c>
      <c r="M147">
        <v>35</v>
      </c>
      <c r="N147">
        <v>32</v>
      </c>
      <c r="O147">
        <v>1</v>
      </c>
      <c r="T147" t="str">
        <f t="shared" si="20"/>
        <v/>
      </c>
    </row>
    <row r="148" spans="1:21" x14ac:dyDescent="0.55000000000000004">
      <c r="A148">
        <v>120</v>
      </c>
      <c r="B148" t="str">
        <f t="shared" si="14"/>
        <v>120_0</v>
      </c>
      <c r="C148" s="2">
        <v>45597.429166666669</v>
      </c>
      <c r="D148" t="s">
        <v>221</v>
      </c>
      <c r="E148">
        <v>2</v>
      </c>
      <c r="F148" t="s">
        <v>222</v>
      </c>
      <c r="G148" t="str">
        <f t="shared" si="15"/>
        <v>Paranephrops planifrons</v>
      </c>
      <c r="H148" t="str">
        <f t="shared" si="16"/>
        <v>Freshwater_crayfish</v>
      </c>
      <c r="I148" t="str">
        <f t="shared" si="17"/>
        <v>Kōura</v>
      </c>
      <c r="J148" t="str">
        <f t="shared" si="18"/>
        <v>Native</v>
      </c>
      <c r="K148" t="str">
        <f t="shared" si="19"/>
        <v>Yes</v>
      </c>
      <c r="L148" t="s">
        <v>228</v>
      </c>
      <c r="M148">
        <v>35</v>
      </c>
      <c r="N148">
        <v>32</v>
      </c>
      <c r="O148">
        <v>1</v>
      </c>
      <c r="T148" t="str">
        <f t="shared" si="20"/>
        <v/>
      </c>
    </row>
    <row r="149" spans="1:21" x14ac:dyDescent="0.55000000000000004">
      <c r="A149">
        <v>96</v>
      </c>
      <c r="B149" t="str">
        <f t="shared" si="14"/>
        <v>96_0</v>
      </c>
      <c r="C149" s="2">
        <v>45638.489583333336</v>
      </c>
      <c r="D149" t="s">
        <v>221</v>
      </c>
      <c r="E149">
        <v>2</v>
      </c>
      <c r="F149" t="s">
        <v>222</v>
      </c>
      <c r="G149" t="str">
        <f t="shared" si="15"/>
        <v>Paranephrops planifrons</v>
      </c>
      <c r="H149" t="str">
        <f t="shared" si="16"/>
        <v>Freshwater_crayfish</v>
      </c>
      <c r="I149" t="str">
        <f t="shared" si="17"/>
        <v>Kōura</v>
      </c>
      <c r="J149" t="str">
        <f t="shared" si="18"/>
        <v>Native</v>
      </c>
      <c r="K149" t="str">
        <f t="shared" si="19"/>
        <v>Yes</v>
      </c>
      <c r="L149" t="s">
        <v>223</v>
      </c>
      <c r="M149">
        <v>35</v>
      </c>
      <c r="N149">
        <v>30</v>
      </c>
      <c r="O149">
        <v>1</v>
      </c>
      <c r="P149">
        <v>1</v>
      </c>
      <c r="T149" t="str">
        <f t="shared" si="20"/>
        <v/>
      </c>
    </row>
    <row r="150" spans="1:21" x14ac:dyDescent="0.55000000000000004">
      <c r="A150">
        <v>120</v>
      </c>
      <c r="B150" t="str">
        <f t="shared" si="14"/>
        <v>120_0</v>
      </c>
      <c r="C150" s="2">
        <v>45597.429166666669</v>
      </c>
      <c r="D150" t="s">
        <v>221</v>
      </c>
      <c r="E150">
        <v>2</v>
      </c>
      <c r="F150" t="s">
        <v>222</v>
      </c>
      <c r="G150" t="str">
        <f t="shared" si="15"/>
        <v>Paranephrops planifrons</v>
      </c>
      <c r="H150" t="str">
        <f t="shared" si="16"/>
        <v>Freshwater_crayfish</v>
      </c>
      <c r="I150" t="str">
        <f t="shared" si="17"/>
        <v>Kōura</v>
      </c>
      <c r="J150" t="str">
        <f t="shared" si="18"/>
        <v>Native</v>
      </c>
      <c r="K150" t="str">
        <f t="shared" si="19"/>
        <v>Yes</v>
      </c>
      <c r="L150" t="s">
        <v>228</v>
      </c>
      <c r="M150">
        <v>35</v>
      </c>
      <c r="N150">
        <v>30</v>
      </c>
      <c r="O150">
        <v>1</v>
      </c>
      <c r="T150" t="str">
        <f t="shared" si="20"/>
        <v/>
      </c>
    </row>
    <row r="151" spans="1:21" x14ac:dyDescent="0.55000000000000004">
      <c r="A151">
        <v>119</v>
      </c>
      <c r="B151" t="str">
        <f t="shared" si="14"/>
        <v>119_0</v>
      </c>
      <c r="C151" s="2">
        <v>45597.395833333336</v>
      </c>
      <c r="D151" t="s">
        <v>245</v>
      </c>
      <c r="E151">
        <v>2</v>
      </c>
      <c r="F151" t="s">
        <v>242</v>
      </c>
      <c r="G151" t="str">
        <f t="shared" si="15"/>
        <v>Gobiomorphus cotidianus</v>
      </c>
      <c r="H151" t="str">
        <f t="shared" si="16"/>
        <v>Common_bully</v>
      </c>
      <c r="I151" t="str">
        <f t="shared" si="17"/>
        <v>Toitoi</v>
      </c>
      <c r="J151" t="str">
        <f t="shared" si="18"/>
        <v>Native</v>
      </c>
      <c r="K151" t="str">
        <f t="shared" si="19"/>
        <v>No</v>
      </c>
      <c r="O151">
        <v>30</v>
      </c>
      <c r="T151" t="str">
        <f t="shared" si="20"/>
        <v/>
      </c>
      <c r="U151" t="s">
        <v>253</v>
      </c>
    </row>
    <row r="152" spans="1:21" x14ac:dyDescent="0.55000000000000004">
      <c r="A152">
        <v>96</v>
      </c>
      <c r="B152" t="str">
        <f t="shared" si="14"/>
        <v>96_0</v>
      </c>
      <c r="C152" s="2">
        <v>45638.489583333336</v>
      </c>
      <c r="D152" t="s">
        <v>221</v>
      </c>
      <c r="E152">
        <v>2</v>
      </c>
      <c r="F152" t="s">
        <v>222</v>
      </c>
      <c r="G152" t="str">
        <f t="shared" si="15"/>
        <v>Paranephrops planifrons</v>
      </c>
      <c r="H152" t="str">
        <f t="shared" si="16"/>
        <v>Freshwater_crayfish</v>
      </c>
      <c r="I152" t="str">
        <f t="shared" si="17"/>
        <v>Kōura</v>
      </c>
      <c r="J152" t="str">
        <f t="shared" si="18"/>
        <v>Native</v>
      </c>
      <c r="K152" t="str">
        <f t="shared" si="19"/>
        <v>Yes</v>
      </c>
      <c r="L152" t="s">
        <v>223</v>
      </c>
      <c r="M152">
        <v>35</v>
      </c>
      <c r="N152">
        <v>29</v>
      </c>
      <c r="O152">
        <v>1</v>
      </c>
      <c r="P152">
        <v>1</v>
      </c>
      <c r="T152" t="str">
        <f t="shared" si="20"/>
        <v/>
      </c>
    </row>
    <row r="153" spans="1:21" x14ac:dyDescent="0.55000000000000004">
      <c r="A153">
        <v>119</v>
      </c>
      <c r="B153" t="str">
        <f t="shared" si="14"/>
        <v>119_0</v>
      </c>
      <c r="C153" s="2">
        <v>45597.395833333336</v>
      </c>
      <c r="D153" t="s">
        <v>221</v>
      </c>
      <c r="E153">
        <v>2</v>
      </c>
      <c r="F153" t="s">
        <v>242</v>
      </c>
      <c r="G153" t="str">
        <f t="shared" si="15"/>
        <v>Gobiomorphus cotidianus</v>
      </c>
      <c r="H153" t="str">
        <f t="shared" si="16"/>
        <v>Common_bully</v>
      </c>
      <c r="I153" t="str">
        <f t="shared" si="17"/>
        <v>Toitoi</v>
      </c>
      <c r="J153" t="str">
        <f t="shared" si="18"/>
        <v>Native</v>
      </c>
      <c r="K153" t="str">
        <f t="shared" si="19"/>
        <v>No</v>
      </c>
      <c r="M153">
        <v>90</v>
      </c>
      <c r="N153">
        <v>13</v>
      </c>
      <c r="O153">
        <v>1</v>
      </c>
      <c r="T153" t="str">
        <f t="shared" si="20"/>
        <v/>
      </c>
    </row>
    <row r="154" spans="1:21" x14ac:dyDescent="0.55000000000000004">
      <c r="A154">
        <v>119</v>
      </c>
      <c r="B154" t="str">
        <f t="shared" si="14"/>
        <v>119_0</v>
      </c>
      <c r="C154" s="2">
        <v>45597.395833333336</v>
      </c>
      <c r="D154" t="s">
        <v>221</v>
      </c>
      <c r="E154">
        <v>2</v>
      </c>
      <c r="F154" t="s">
        <v>242</v>
      </c>
      <c r="G154" t="str">
        <f t="shared" si="15"/>
        <v>Gobiomorphus cotidianus</v>
      </c>
      <c r="H154" t="str">
        <f t="shared" si="16"/>
        <v>Common_bully</v>
      </c>
      <c r="I154" t="str">
        <f t="shared" si="17"/>
        <v>Toitoi</v>
      </c>
      <c r="J154" t="str">
        <f t="shared" si="18"/>
        <v>Native</v>
      </c>
      <c r="K154" t="str">
        <f t="shared" si="19"/>
        <v>No</v>
      </c>
      <c r="O154">
        <v>50</v>
      </c>
      <c r="T154" t="str">
        <f t="shared" si="20"/>
        <v/>
      </c>
      <c r="U154" t="s">
        <v>253</v>
      </c>
    </row>
    <row r="155" spans="1:21" x14ac:dyDescent="0.55000000000000004">
      <c r="A155">
        <v>102</v>
      </c>
      <c r="B155" t="str">
        <f t="shared" si="14"/>
        <v>102_0</v>
      </c>
      <c r="C155" s="2">
        <v>45603.477083275466</v>
      </c>
      <c r="D155" t="s">
        <v>245</v>
      </c>
      <c r="E155">
        <v>2</v>
      </c>
      <c r="F155" t="s">
        <v>222</v>
      </c>
      <c r="G155" t="str">
        <f t="shared" si="15"/>
        <v>Paranephrops planifrons</v>
      </c>
      <c r="H155" t="str">
        <f t="shared" si="16"/>
        <v>Freshwater_crayfish</v>
      </c>
      <c r="I155" t="str">
        <f t="shared" si="17"/>
        <v>Kōura</v>
      </c>
      <c r="J155" t="str">
        <f t="shared" si="18"/>
        <v>Native</v>
      </c>
      <c r="K155" t="str">
        <f t="shared" si="19"/>
        <v>Yes</v>
      </c>
      <c r="L155" t="s">
        <v>228</v>
      </c>
      <c r="M155">
        <v>35</v>
      </c>
      <c r="N155">
        <v>26</v>
      </c>
      <c r="O155">
        <v>1</v>
      </c>
      <c r="T155" t="str">
        <f t="shared" si="20"/>
        <v/>
      </c>
    </row>
    <row r="156" spans="1:21" x14ac:dyDescent="0.55000000000000004">
      <c r="A156">
        <v>115</v>
      </c>
      <c r="B156" t="str">
        <f t="shared" si="14"/>
        <v>115_0</v>
      </c>
      <c r="C156" s="2">
        <v>45597.590277777781</v>
      </c>
      <c r="D156" t="s">
        <v>245</v>
      </c>
      <c r="E156">
        <v>2</v>
      </c>
      <c r="F156" t="s">
        <v>222</v>
      </c>
      <c r="G156" t="str">
        <f t="shared" si="15"/>
        <v>Paranephrops planifrons</v>
      </c>
      <c r="H156" t="str">
        <f t="shared" si="16"/>
        <v>Freshwater_crayfish</v>
      </c>
      <c r="I156" t="str">
        <f t="shared" si="17"/>
        <v>Kōura</v>
      </c>
      <c r="J156" t="str">
        <f t="shared" si="18"/>
        <v>Native</v>
      </c>
      <c r="K156" t="str">
        <f t="shared" si="19"/>
        <v>Yes</v>
      </c>
      <c r="L156" t="s">
        <v>228</v>
      </c>
      <c r="M156">
        <v>35</v>
      </c>
      <c r="N156">
        <v>26</v>
      </c>
      <c r="O156">
        <v>1</v>
      </c>
      <c r="P156">
        <v>1</v>
      </c>
      <c r="T156" t="str">
        <f t="shared" si="20"/>
        <v/>
      </c>
    </row>
    <row r="157" spans="1:21" x14ac:dyDescent="0.55000000000000004">
      <c r="A157">
        <v>105</v>
      </c>
      <c r="B157" t="str">
        <f t="shared" si="14"/>
        <v>105_0</v>
      </c>
      <c r="C157" s="2">
        <v>45603.541666608799</v>
      </c>
      <c r="D157" t="s">
        <v>221</v>
      </c>
      <c r="E157">
        <v>2</v>
      </c>
      <c r="F157" t="s">
        <v>222</v>
      </c>
      <c r="G157" t="str">
        <f t="shared" si="15"/>
        <v>Paranephrops planifrons</v>
      </c>
      <c r="H157" t="str">
        <f t="shared" si="16"/>
        <v>Freshwater_crayfish</v>
      </c>
      <c r="I157" t="str">
        <f t="shared" si="17"/>
        <v>Kōura</v>
      </c>
      <c r="J157" t="str">
        <f t="shared" si="18"/>
        <v>Native</v>
      </c>
      <c r="K157" t="str">
        <f t="shared" si="19"/>
        <v>Yes</v>
      </c>
      <c r="L157" t="s">
        <v>228</v>
      </c>
      <c r="M157">
        <v>35</v>
      </c>
      <c r="O157">
        <v>1</v>
      </c>
      <c r="T157" t="str">
        <f t="shared" si="20"/>
        <v/>
      </c>
    </row>
    <row r="158" spans="1:21" x14ac:dyDescent="0.55000000000000004">
      <c r="A158">
        <v>115</v>
      </c>
      <c r="B158" t="str">
        <f t="shared" si="14"/>
        <v>115_0</v>
      </c>
      <c r="C158" s="2">
        <v>45597.590277777781</v>
      </c>
      <c r="D158" t="s">
        <v>245</v>
      </c>
      <c r="E158">
        <v>2</v>
      </c>
      <c r="F158" t="s">
        <v>222</v>
      </c>
      <c r="G158" t="str">
        <f t="shared" si="15"/>
        <v>Paranephrops planifrons</v>
      </c>
      <c r="H158" t="str">
        <f t="shared" si="16"/>
        <v>Freshwater_crayfish</v>
      </c>
      <c r="I158" t="str">
        <f t="shared" si="17"/>
        <v>Kōura</v>
      </c>
      <c r="J158" t="str">
        <f t="shared" si="18"/>
        <v>Native</v>
      </c>
      <c r="K158" t="str">
        <f t="shared" si="19"/>
        <v>Yes</v>
      </c>
      <c r="L158" t="s">
        <v>223</v>
      </c>
      <c r="M158">
        <v>35</v>
      </c>
      <c r="O158">
        <v>1</v>
      </c>
      <c r="P158">
        <v>1</v>
      </c>
      <c r="T158" t="str">
        <f t="shared" si="20"/>
        <v/>
      </c>
    </row>
    <row r="159" spans="1:21" x14ac:dyDescent="0.55000000000000004">
      <c r="A159">
        <v>113</v>
      </c>
      <c r="B159" t="str">
        <f t="shared" si="14"/>
        <v>113_0</v>
      </c>
      <c r="C159" s="2">
        <v>45680.387499999997</v>
      </c>
      <c r="D159" t="s">
        <v>245</v>
      </c>
      <c r="E159">
        <v>2</v>
      </c>
      <c r="F159" t="s">
        <v>222</v>
      </c>
      <c r="G159" t="str">
        <f t="shared" si="15"/>
        <v>Paranephrops planifrons</v>
      </c>
      <c r="H159" t="str">
        <f t="shared" si="16"/>
        <v>Freshwater_crayfish</v>
      </c>
      <c r="I159" t="str">
        <f t="shared" si="17"/>
        <v>Kōura</v>
      </c>
      <c r="J159" t="str">
        <f t="shared" si="18"/>
        <v>Native</v>
      </c>
      <c r="K159" t="str">
        <f t="shared" si="19"/>
        <v>Yes</v>
      </c>
      <c r="L159" t="s">
        <v>223</v>
      </c>
      <c r="M159">
        <v>34.65</v>
      </c>
      <c r="N159">
        <v>27</v>
      </c>
      <c r="O159">
        <v>1</v>
      </c>
      <c r="T159" t="str">
        <f t="shared" si="20"/>
        <v/>
      </c>
    </row>
    <row r="160" spans="1:21" x14ac:dyDescent="0.55000000000000004">
      <c r="A160">
        <v>113</v>
      </c>
      <c r="B160" t="str">
        <f t="shared" si="14"/>
        <v>113_0</v>
      </c>
      <c r="C160" s="2">
        <v>45680.387499942131</v>
      </c>
      <c r="D160" t="s">
        <v>245</v>
      </c>
      <c r="E160">
        <v>2</v>
      </c>
      <c r="F160" t="s">
        <v>222</v>
      </c>
      <c r="G160" t="str">
        <f t="shared" si="15"/>
        <v>Paranephrops planifrons</v>
      </c>
      <c r="H160" t="str">
        <f t="shared" si="16"/>
        <v>Freshwater_crayfish</v>
      </c>
      <c r="I160" t="str">
        <f t="shared" si="17"/>
        <v>Kōura</v>
      </c>
      <c r="J160" t="str">
        <f t="shared" si="18"/>
        <v>Native</v>
      </c>
      <c r="K160" t="str">
        <f t="shared" si="19"/>
        <v>Yes</v>
      </c>
      <c r="L160" t="s">
        <v>223</v>
      </c>
      <c r="M160">
        <v>34.51</v>
      </c>
      <c r="N160">
        <v>27</v>
      </c>
      <c r="O160">
        <v>1</v>
      </c>
      <c r="T160" t="str">
        <f t="shared" si="20"/>
        <v/>
      </c>
    </row>
    <row r="161" spans="1:21" x14ac:dyDescent="0.55000000000000004">
      <c r="A161">
        <v>106</v>
      </c>
      <c r="B161" t="str">
        <f t="shared" si="14"/>
        <v>106_0</v>
      </c>
      <c r="C161" s="2">
        <v>45603.4375</v>
      </c>
      <c r="D161" t="s">
        <v>245</v>
      </c>
      <c r="E161">
        <v>2</v>
      </c>
      <c r="F161" t="s">
        <v>222</v>
      </c>
      <c r="G161" t="str">
        <f t="shared" si="15"/>
        <v>Paranephrops planifrons</v>
      </c>
      <c r="H161" t="str">
        <f t="shared" si="16"/>
        <v>Freshwater_crayfish</v>
      </c>
      <c r="I161" t="str">
        <f t="shared" si="17"/>
        <v>Kōura</v>
      </c>
      <c r="J161" t="str">
        <f t="shared" si="18"/>
        <v>Native</v>
      </c>
      <c r="K161" t="str">
        <f t="shared" si="19"/>
        <v>Yes</v>
      </c>
      <c r="L161" t="s">
        <v>223</v>
      </c>
      <c r="M161">
        <v>34.25</v>
      </c>
      <c r="N161">
        <v>33</v>
      </c>
      <c r="O161">
        <v>1</v>
      </c>
      <c r="R161">
        <v>1</v>
      </c>
      <c r="T161" t="str">
        <f t="shared" si="20"/>
        <v/>
      </c>
    </row>
    <row r="162" spans="1:21" x14ac:dyDescent="0.55000000000000004">
      <c r="A162">
        <v>73</v>
      </c>
      <c r="B162" t="str">
        <f t="shared" si="14"/>
        <v>73_0</v>
      </c>
      <c r="C162" s="2">
        <v>45674.479166666664</v>
      </c>
      <c r="D162" t="s">
        <v>221</v>
      </c>
      <c r="E162">
        <v>2</v>
      </c>
      <c r="F162" t="s">
        <v>222</v>
      </c>
      <c r="G162" t="str">
        <f t="shared" si="15"/>
        <v>Paranephrops planifrons</v>
      </c>
      <c r="H162" t="str">
        <f t="shared" si="16"/>
        <v>Freshwater_crayfish</v>
      </c>
      <c r="I162" t="str">
        <f t="shared" si="17"/>
        <v>Kōura</v>
      </c>
      <c r="J162" t="str">
        <f t="shared" si="18"/>
        <v>Native</v>
      </c>
      <c r="K162" t="str">
        <f t="shared" si="19"/>
        <v>Yes</v>
      </c>
      <c r="L162" t="s">
        <v>223</v>
      </c>
      <c r="M162">
        <v>34.01</v>
      </c>
      <c r="N162">
        <v>28</v>
      </c>
      <c r="O162">
        <v>1</v>
      </c>
      <c r="T162" t="str">
        <f t="shared" si="20"/>
        <v/>
      </c>
    </row>
    <row r="163" spans="1:21" x14ac:dyDescent="0.55000000000000004">
      <c r="A163">
        <v>98</v>
      </c>
      <c r="B163" t="str">
        <f t="shared" si="14"/>
        <v>98_0</v>
      </c>
      <c r="C163" s="2">
        <v>45603.5625</v>
      </c>
      <c r="D163" t="s">
        <v>245</v>
      </c>
      <c r="E163">
        <v>2</v>
      </c>
      <c r="F163" t="s">
        <v>222</v>
      </c>
      <c r="G163" t="str">
        <f t="shared" si="15"/>
        <v>Paranephrops planifrons</v>
      </c>
      <c r="H163" t="str">
        <f t="shared" si="16"/>
        <v>Freshwater_crayfish</v>
      </c>
      <c r="I163" t="str">
        <f t="shared" si="17"/>
        <v>Kōura</v>
      </c>
      <c r="J163" t="str">
        <f t="shared" si="18"/>
        <v>Native</v>
      </c>
      <c r="K163" t="str">
        <f t="shared" si="19"/>
        <v>Yes</v>
      </c>
      <c r="L163" t="s">
        <v>228</v>
      </c>
      <c r="M163">
        <v>34.01</v>
      </c>
      <c r="O163">
        <v>1</v>
      </c>
      <c r="T163" t="str">
        <f t="shared" si="20"/>
        <v/>
      </c>
    </row>
    <row r="164" spans="1:21" x14ac:dyDescent="0.55000000000000004">
      <c r="A164">
        <v>114</v>
      </c>
      <c r="B164" t="str">
        <f t="shared" si="14"/>
        <v>114_0</v>
      </c>
      <c r="C164" s="2">
        <v>45597.479166608799</v>
      </c>
      <c r="D164" t="s">
        <v>245</v>
      </c>
      <c r="E164">
        <v>2</v>
      </c>
      <c r="F164" t="s">
        <v>222</v>
      </c>
      <c r="G164" t="str">
        <f t="shared" si="15"/>
        <v>Paranephrops planifrons</v>
      </c>
      <c r="H164" t="str">
        <f t="shared" si="16"/>
        <v>Freshwater_crayfish</v>
      </c>
      <c r="I164" t="str">
        <f t="shared" si="17"/>
        <v>Kōura</v>
      </c>
      <c r="J164" t="str">
        <f t="shared" si="18"/>
        <v>Native</v>
      </c>
      <c r="K164" t="str">
        <f t="shared" si="19"/>
        <v>Yes</v>
      </c>
      <c r="L164" t="s">
        <v>228</v>
      </c>
      <c r="M164">
        <v>34</v>
      </c>
      <c r="N164">
        <v>31</v>
      </c>
      <c r="O164">
        <v>1</v>
      </c>
      <c r="T164" t="str">
        <f t="shared" si="20"/>
        <v/>
      </c>
    </row>
    <row r="165" spans="1:21" x14ac:dyDescent="0.55000000000000004">
      <c r="A165">
        <v>96</v>
      </c>
      <c r="B165" t="str">
        <f t="shared" si="14"/>
        <v>96_0</v>
      </c>
      <c r="C165" s="2">
        <v>45638.489583333336</v>
      </c>
      <c r="D165" t="s">
        <v>221</v>
      </c>
      <c r="E165">
        <v>2</v>
      </c>
      <c r="F165" t="s">
        <v>222</v>
      </c>
      <c r="G165" t="str">
        <f t="shared" si="15"/>
        <v>Paranephrops planifrons</v>
      </c>
      <c r="H165" t="str">
        <f t="shared" si="16"/>
        <v>Freshwater_crayfish</v>
      </c>
      <c r="I165" t="str">
        <f t="shared" si="17"/>
        <v>Kōura</v>
      </c>
      <c r="J165" t="str">
        <f t="shared" si="18"/>
        <v>Native</v>
      </c>
      <c r="K165" t="str">
        <f t="shared" si="19"/>
        <v>Yes</v>
      </c>
      <c r="L165" t="s">
        <v>223</v>
      </c>
      <c r="M165">
        <v>34</v>
      </c>
      <c r="N165">
        <v>27</v>
      </c>
      <c r="O165">
        <v>1</v>
      </c>
      <c r="T165" t="str">
        <f t="shared" si="20"/>
        <v/>
      </c>
    </row>
    <row r="166" spans="1:21" x14ac:dyDescent="0.55000000000000004">
      <c r="A166">
        <v>120</v>
      </c>
      <c r="B166" t="str">
        <f t="shared" si="14"/>
        <v>120_0</v>
      </c>
      <c r="C166" s="2">
        <v>45597.429166666669</v>
      </c>
      <c r="D166" t="s">
        <v>221</v>
      </c>
      <c r="E166">
        <v>2</v>
      </c>
      <c r="F166" t="s">
        <v>239</v>
      </c>
      <c r="G166" t="str">
        <f t="shared" si="15"/>
        <v>Oncorhynchus mykiss</v>
      </c>
      <c r="H166" t="str">
        <f t="shared" si="16"/>
        <v>Rainbow_trout</v>
      </c>
      <c r="I166" t="str">
        <f t="shared" si="17"/>
        <v>Rainbow_trout</v>
      </c>
      <c r="J166" t="str">
        <f t="shared" si="18"/>
        <v>Nonnative</v>
      </c>
      <c r="K166" t="str">
        <f t="shared" si="19"/>
        <v>No</v>
      </c>
      <c r="M166">
        <v>110</v>
      </c>
      <c r="N166">
        <v>15</v>
      </c>
      <c r="O166">
        <v>1</v>
      </c>
      <c r="T166" t="str">
        <f t="shared" si="20"/>
        <v/>
      </c>
    </row>
    <row r="167" spans="1:21" x14ac:dyDescent="0.55000000000000004">
      <c r="A167">
        <v>113</v>
      </c>
      <c r="B167" t="str">
        <f t="shared" si="14"/>
        <v>113_0</v>
      </c>
      <c r="C167" s="2">
        <v>45680.387499942131</v>
      </c>
      <c r="D167" t="s">
        <v>245</v>
      </c>
      <c r="E167">
        <v>2</v>
      </c>
      <c r="F167" t="s">
        <v>222</v>
      </c>
      <c r="G167" t="str">
        <f t="shared" si="15"/>
        <v>Paranephrops planifrons</v>
      </c>
      <c r="H167" t="str">
        <f t="shared" si="16"/>
        <v>Freshwater_crayfish</v>
      </c>
      <c r="I167" t="str">
        <f t="shared" si="17"/>
        <v>Kōura</v>
      </c>
      <c r="J167" t="str">
        <f t="shared" si="18"/>
        <v>Native</v>
      </c>
      <c r="K167" t="str">
        <f t="shared" si="19"/>
        <v>Yes</v>
      </c>
      <c r="L167" t="s">
        <v>223</v>
      </c>
      <c r="M167">
        <v>34</v>
      </c>
      <c r="N167">
        <v>27</v>
      </c>
      <c r="O167">
        <v>1</v>
      </c>
      <c r="T167" t="str">
        <f t="shared" si="20"/>
        <v/>
      </c>
    </row>
    <row r="168" spans="1:21" x14ac:dyDescent="0.55000000000000004">
      <c r="A168">
        <v>96</v>
      </c>
      <c r="B168" t="str">
        <f t="shared" si="14"/>
        <v>96_0</v>
      </c>
      <c r="C168" s="2">
        <v>45638.489583333336</v>
      </c>
      <c r="D168" t="s">
        <v>221</v>
      </c>
      <c r="E168">
        <v>2</v>
      </c>
      <c r="F168" t="s">
        <v>222</v>
      </c>
      <c r="G168" t="str">
        <f t="shared" si="15"/>
        <v>Paranephrops planifrons</v>
      </c>
      <c r="H168" t="str">
        <f t="shared" si="16"/>
        <v>Freshwater_crayfish</v>
      </c>
      <c r="I168" t="str">
        <f t="shared" si="17"/>
        <v>Kōura</v>
      </c>
      <c r="J168" t="str">
        <f t="shared" si="18"/>
        <v>Native</v>
      </c>
      <c r="K168" t="str">
        <f t="shared" si="19"/>
        <v>Yes</v>
      </c>
      <c r="L168" t="s">
        <v>223</v>
      </c>
      <c r="M168">
        <v>34</v>
      </c>
      <c r="N168">
        <v>26</v>
      </c>
      <c r="O168">
        <v>1</v>
      </c>
      <c r="T168" t="str">
        <f t="shared" si="20"/>
        <v/>
      </c>
    </row>
    <row r="169" spans="1:21" x14ac:dyDescent="0.55000000000000004">
      <c r="A169">
        <v>120</v>
      </c>
      <c r="B169" t="str">
        <f t="shared" si="14"/>
        <v>120_0</v>
      </c>
      <c r="C169" s="2">
        <v>45597.429166666669</v>
      </c>
      <c r="D169" t="s">
        <v>221</v>
      </c>
      <c r="E169">
        <v>2</v>
      </c>
      <c r="F169" t="s">
        <v>233</v>
      </c>
      <c r="G169" t="str">
        <f t="shared" si="15"/>
        <v>Galaxias brevipinnis</v>
      </c>
      <c r="H169" t="str">
        <f t="shared" si="16"/>
        <v>Climbing_galaxias</v>
      </c>
      <c r="I169" t="str">
        <f t="shared" si="17"/>
        <v>Kōaro</v>
      </c>
      <c r="J169" t="str">
        <f t="shared" si="18"/>
        <v>Native</v>
      </c>
      <c r="K169" t="str">
        <f t="shared" si="19"/>
        <v>Yes</v>
      </c>
      <c r="M169">
        <v>130</v>
      </c>
      <c r="N169">
        <v>23</v>
      </c>
      <c r="O169">
        <v>1</v>
      </c>
      <c r="T169" t="str">
        <f t="shared" si="20"/>
        <v/>
      </c>
    </row>
    <row r="170" spans="1:21" x14ac:dyDescent="0.55000000000000004">
      <c r="A170">
        <v>120</v>
      </c>
      <c r="B170" t="str">
        <f t="shared" si="14"/>
        <v>120_0</v>
      </c>
      <c r="C170" s="2">
        <v>45597.429166666669</v>
      </c>
      <c r="D170" t="s">
        <v>221</v>
      </c>
      <c r="E170">
        <v>2</v>
      </c>
      <c r="F170" t="s">
        <v>233</v>
      </c>
      <c r="G170" t="str">
        <f t="shared" si="15"/>
        <v>Galaxias brevipinnis</v>
      </c>
      <c r="H170" t="str">
        <f t="shared" si="16"/>
        <v>Climbing_galaxias</v>
      </c>
      <c r="I170" t="str">
        <f t="shared" si="17"/>
        <v>Kōaro</v>
      </c>
      <c r="J170" t="str">
        <f t="shared" si="18"/>
        <v>Native</v>
      </c>
      <c r="K170" t="str">
        <f t="shared" si="19"/>
        <v>Yes</v>
      </c>
      <c r="M170">
        <v>120</v>
      </c>
      <c r="N170">
        <v>15</v>
      </c>
      <c r="O170">
        <v>1</v>
      </c>
      <c r="T170" t="str">
        <f t="shared" si="20"/>
        <v/>
      </c>
    </row>
    <row r="171" spans="1:21" x14ac:dyDescent="0.55000000000000004">
      <c r="A171">
        <v>120</v>
      </c>
      <c r="B171" t="str">
        <f t="shared" si="14"/>
        <v>120_0</v>
      </c>
      <c r="C171" s="2">
        <v>45597.429166666669</v>
      </c>
      <c r="D171" t="s">
        <v>221</v>
      </c>
      <c r="E171">
        <v>2</v>
      </c>
      <c r="F171" t="s">
        <v>233</v>
      </c>
      <c r="G171" t="str">
        <f t="shared" si="15"/>
        <v>Galaxias brevipinnis</v>
      </c>
      <c r="H171" t="str">
        <f t="shared" si="16"/>
        <v>Climbing_galaxias</v>
      </c>
      <c r="I171" t="str">
        <f t="shared" si="17"/>
        <v>Kōaro</v>
      </c>
      <c r="J171" t="str">
        <f t="shared" si="18"/>
        <v>Native</v>
      </c>
      <c r="K171" t="str">
        <f t="shared" si="19"/>
        <v>Yes</v>
      </c>
      <c r="M171">
        <v>111</v>
      </c>
      <c r="N171">
        <v>14</v>
      </c>
      <c r="O171">
        <v>1</v>
      </c>
      <c r="T171" t="str">
        <f t="shared" si="20"/>
        <v/>
      </c>
    </row>
    <row r="172" spans="1:21" x14ac:dyDescent="0.55000000000000004">
      <c r="A172">
        <v>120</v>
      </c>
      <c r="B172" t="str">
        <f t="shared" si="14"/>
        <v>120_0</v>
      </c>
      <c r="C172" s="2">
        <v>45597.429166666669</v>
      </c>
      <c r="D172" t="s">
        <v>221</v>
      </c>
      <c r="E172">
        <v>2</v>
      </c>
      <c r="F172" t="s">
        <v>233</v>
      </c>
      <c r="G172" t="str">
        <f t="shared" si="15"/>
        <v>Galaxias brevipinnis</v>
      </c>
      <c r="H172" t="str">
        <f t="shared" si="16"/>
        <v>Climbing_galaxias</v>
      </c>
      <c r="I172" t="str">
        <f t="shared" si="17"/>
        <v>Kōaro</v>
      </c>
      <c r="J172" t="str">
        <f t="shared" si="18"/>
        <v>Native</v>
      </c>
      <c r="K172" t="str">
        <f t="shared" si="19"/>
        <v>Yes</v>
      </c>
      <c r="M172">
        <v>110</v>
      </c>
      <c r="N172">
        <v>13</v>
      </c>
      <c r="O172">
        <v>1</v>
      </c>
      <c r="T172" t="str">
        <f t="shared" si="20"/>
        <v/>
      </c>
    </row>
    <row r="173" spans="1:21" x14ac:dyDescent="0.55000000000000004">
      <c r="A173">
        <v>120</v>
      </c>
      <c r="B173" t="str">
        <f t="shared" si="14"/>
        <v>120_0</v>
      </c>
      <c r="C173" s="2">
        <v>45597.429166666669</v>
      </c>
      <c r="D173" t="s">
        <v>221</v>
      </c>
      <c r="E173">
        <v>2</v>
      </c>
      <c r="F173" t="s">
        <v>242</v>
      </c>
      <c r="G173" t="str">
        <f t="shared" si="15"/>
        <v>Gobiomorphus cotidianus</v>
      </c>
      <c r="H173" t="str">
        <f t="shared" si="16"/>
        <v>Common_bully</v>
      </c>
      <c r="I173" t="str">
        <f t="shared" si="17"/>
        <v>Toitoi</v>
      </c>
      <c r="J173" t="str">
        <f t="shared" si="18"/>
        <v>Native</v>
      </c>
      <c r="K173" t="str">
        <f t="shared" si="19"/>
        <v>No</v>
      </c>
      <c r="O173">
        <v>120</v>
      </c>
      <c r="T173" t="str">
        <f t="shared" si="20"/>
        <v/>
      </c>
      <c r="U173" t="s">
        <v>253</v>
      </c>
    </row>
    <row r="174" spans="1:21" x14ac:dyDescent="0.55000000000000004">
      <c r="A174">
        <v>96</v>
      </c>
      <c r="B174" t="str">
        <f t="shared" si="14"/>
        <v>96_0</v>
      </c>
      <c r="C174" s="2">
        <v>45638.489583333336</v>
      </c>
      <c r="D174" t="s">
        <v>221</v>
      </c>
      <c r="E174">
        <v>2</v>
      </c>
      <c r="F174" t="s">
        <v>222</v>
      </c>
      <c r="G174" t="str">
        <f t="shared" si="15"/>
        <v>Paranephrops planifrons</v>
      </c>
      <c r="H174" t="str">
        <f t="shared" si="16"/>
        <v>Freshwater_crayfish</v>
      </c>
      <c r="I174" t="str">
        <f t="shared" si="17"/>
        <v>Kōura</v>
      </c>
      <c r="J174" t="str">
        <f t="shared" si="18"/>
        <v>Native</v>
      </c>
      <c r="K174" t="str">
        <f t="shared" si="19"/>
        <v>Yes</v>
      </c>
      <c r="L174" t="s">
        <v>228</v>
      </c>
      <c r="M174">
        <v>34</v>
      </c>
      <c r="N174">
        <v>26</v>
      </c>
      <c r="O174">
        <v>1</v>
      </c>
      <c r="P174">
        <v>1</v>
      </c>
      <c r="T174" t="str">
        <f t="shared" si="20"/>
        <v/>
      </c>
    </row>
    <row r="175" spans="1:21" x14ac:dyDescent="0.55000000000000004">
      <c r="A175">
        <v>97</v>
      </c>
      <c r="B175" t="str">
        <f t="shared" si="14"/>
        <v>97_0</v>
      </c>
      <c r="C175" s="2">
        <v>45603.524305555555</v>
      </c>
      <c r="D175" t="s">
        <v>245</v>
      </c>
      <c r="E175">
        <v>2</v>
      </c>
      <c r="F175" t="s">
        <v>222</v>
      </c>
      <c r="G175" t="str">
        <f t="shared" si="15"/>
        <v>Paranephrops planifrons</v>
      </c>
      <c r="H175" t="str">
        <f t="shared" si="16"/>
        <v>Freshwater_crayfish</v>
      </c>
      <c r="I175" t="str">
        <f t="shared" si="17"/>
        <v>Kōura</v>
      </c>
      <c r="J175" t="str">
        <f t="shared" si="18"/>
        <v>Native</v>
      </c>
      <c r="K175" t="str">
        <f t="shared" si="19"/>
        <v>Yes</v>
      </c>
      <c r="L175" t="s">
        <v>223</v>
      </c>
      <c r="M175">
        <v>34</v>
      </c>
      <c r="O175">
        <v>1</v>
      </c>
      <c r="T175" t="str">
        <f t="shared" si="20"/>
        <v/>
      </c>
    </row>
    <row r="176" spans="1:21" x14ac:dyDescent="0.55000000000000004">
      <c r="A176">
        <v>105</v>
      </c>
      <c r="B176" t="str">
        <f t="shared" si="14"/>
        <v>105_0</v>
      </c>
      <c r="C176" s="2">
        <v>45603.541666608799</v>
      </c>
      <c r="D176" t="s">
        <v>221</v>
      </c>
      <c r="E176">
        <v>2</v>
      </c>
      <c r="F176" t="s">
        <v>222</v>
      </c>
      <c r="G176" t="str">
        <f t="shared" si="15"/>
        <v>Paranephrops planifrons</v>
      </c>
      <c r="H176" t="str">
        <f t="shared" si="16"/>
        <v>Freshwater_crayfish</v>
      </c>
      <c r="I176" t="str">
        <f t="shared" si="17"/>
        <v>Kōura</v>
      </c>
      <c r="J176" t="str">
        <f t="shared" si="18"/>
        <v>Native</v>
      </c>
      <c r="K176" t="str">
        <f t="shared" si="19"/>
        <v>Yes</v>
      </c>
      <c r="L176" t="s">
        <v>228</v>
      </c>
      <c r="M176">
        <v>34</v>
      </c>
      <c r="O176">
        <v>1</v>
      </c>
      <c r="T176" t="str">
        <f t="shared" si="20"/>
        <v/>
      </c>
    </row>
    <row r="177" spans="1:21" x14ac:dyDescent="0.55000000000000004">
      <c r="A177">
        <v>98</v>
      </c>
      <c r="B177" t="str">
        <f t="shared" si="14"/>
        <v>98_0</v>
      </c>
      <c r="C177" s="2">
        <v>45603.5625</v>
      </c>
      <c r="D177" t="s">
        <v>245</v>
      </c>
      <c r="E177">
        <v>2</v>
      </c>
      <c r="F177" t="s">
        <v>222</v>
      </c>
      <c r="G177" t="str">
        <f t="shared" si="15"/>
        <v>Paranephrops planifrons</v>
      </c>
      <c r="H177" t="str">
        <f t="shared" si="16"/>
        <v>Freshwater_crayfish</v>
      </c>
      <c r="I177" t="str">
        <f t="shared" si="17"/>
        <v>Kōura</v>
      </c>
      <c r="J177" t="str">
        <f t="shared" si="18"/>
        <v>Native</v>
      </c>
      <c r="K177" t="str">
        <f t="shared" si="19"/>
        <v>Yes</v>
      </c>
      <c r="L177" t="s">
        <v>228</v>
      </c>
      <c r="M177">
        <v>33.880000000000003</v>
      </c>
      <c r="O177">
        <v>1</v>
      </c>
      <c r="T177" t="str">
        <f t="shared" si="20"/>
        <v/>
      </c>
    </row>
    <row r="178" spans="1:21" x14ac:dyDescent="0.55000000000000004">
      <c r="A178">
        <v>113</v>
      </c>
      <c r="B178" t="str">
        <f t="shared" si="14"/>
        <v>113_0</v>
      </c>
      <c r="C178" s="2">
        <v>45680.387499942131</v>
      </c>
      <c r="D178" t="s">
        <v>245</v>
      </c>
      <c r="E178">
        <v>2</v>
      </c>
      <c r="F178" t="s">
        <v>222</v>
      </c>
      <c r="G178" t="str">
        <f t="shared" si="15"/>
        <v>Paranephrops planifrons</v>
      </c>
      <c r="H178" t="str">
        <f t="shared" si="16"/>
        <v>Freshwater_crayfish</v>
      </c>
      <c r="I178" t="str">
        <f t="shared" si="17"/>
        <v>Kōura</v>
      </c>
      <c r="J178" t="str">
        <f t="shared" si="18"/>
        <v>Native</v>
      </c>
      <c r="K178" t="str">
        <f t="shared" si="19"/>
        <v>Yes</v>
      </c>
      <c r="L178" t="s">
        <v>223</v>
      </c>
      <c r="M178">
        <v>33.74</v>
      </c>
      <c r="N178">
        <v>26</v>
      </c>
      <c r="O178">
        <v>1</v>
      </c>
      <c r="T178" t="str">
        <f t="shared" si="20"/>
        <v/>
      </c>
    </row>
    <row r="179" spans="1:21" x14ac:dyDescent="0.55000000000000004">
      <c r="A179">
        <v>66</v>
      </c>
      <c r="B179" t="str">
        <f t="shared" si="14"/>
        <v>66_0</v>
      </c>
      <c r="C179" s="2">
        <v>45709.513888888891</v>
      </c>
      <c r="D179" t="s">
        <v>221</v>
      </c>
      <c r="E179">
        <v>2</v>
      </c>
      <c r="F179" t="s">
        <v>222</v>
      </c>
      <c r="G179" t="str">
        <f t="shared" si="15"/>
        <v>Paranephrops planifrons</v>
      </c>
      <c r="H179" t="str">
        <f t="shared" si="16"/>
        <v>Freshwater_crayfish</v>
      </c>
      <c r="I179" t="str">
        <f t="shared" si="17"/>
        <v>Kōura</v>
      </c>
      <c r="J179" t="str">
        <f t="shared" si="18"/>
        <v>Native</v>
      </c>
      <c r="K179" t="str">
        <f t="shared" si="19"/>
        <v>Yes</v>
      </c>
      <c r="L179" t="s">
        <v>223</v>
      </c>
      <c r="M179">
        <v>33.64</v>
      </c>
      <c r="N179">
        <v>26</v>
      </c>
      <c r="O179">
        <v>1</v>
      </c>
      <c r="T179" t="str">
        <f t="shared" si="20"/>
        <v/>
      </c>
    </row>
    <row r="180" spans="1:21" x14ac:dyDescent="0.55000000000000004">
      <c r="A180">
        <v>120</v>
      </c>
      <c r="B180" t="str">
        <f t="shared" si="14"/>
        <v>120_0</v>
      </c>
      <c r="C180" s="2">
        <v>45597.429166666669</v>
      </c>
      <c r="D180" t="s">
        <v>221</v>
      </c>
      <c r="E180">
        <v>2</v>
      </c>
      <c r="F180" t="s">
        <v>233</v>
      </c>
      <c r="G180" t="str">
        <f t="shared" si="15"/>
        <v>Galaxias brevipinnis</v>
      </c>
      <c r="H180" t="str">
        <f t="shared" si="16"/>
        <v>Climbing_galaxias</v>
      </c>
      <c r="I180" t="str">
        <f t="shared" si="17"/>
        <v>Kōaro</v>
      </c>
      <c r="J180" t="str">
        <f t="shared" si="18"/>
        <v>Native</v>
      </c>
      <c r="K180" t="str">
        <f t="shared" si="19"/>
        <v>Yes</v>
      </c>
      <c r="M180">
        <v>100</v>
      </c>
      <c r="N180">
        <v>9</v>
      </c>
      <c r="O180">
        <v>1</v>
      </c>
      <c r="T180" t="str">
        <f t="shared" si="20"/>
        <v/>
      </c>
    </row>
    <row r="181" spans="1:21" x14ac:dyDescent="0.55000000000000004">
      <c r="A181">
        <v>120</v>
      </c>
      <c r="B181" t="str">
        <f t="shared" si="14"/>
        <v>120_0</v>
      </c>
      <c r="C181" s="2">
        <v>45597.429166666669</v>
      </c>
      <c r="D181" t="s">
        <v>221</v>
      </c>
      <c r="E181">
        <v>2</v>
      </c>
      <c r="F181" t="s">
        <v>233</v>
      </c>
      <c r="G181" t="str">
        <f t="shared" si="15"/>
        <v>Galaxias brevipinnis</v>
      </c>
      <c r="H181" t="str">
        <f t="shared" si="16"/>
        <v>Climbing_galaxias</v>
      </c>
      <c r="I181" t="str">
        <f t="shared" si="17"/>
        <v>Kōaro</v>
      </c>
      <c r="J181" t="str">
        <f t="shared" si="18"/>
        <v>Native</v>
      </c>
      <c r="K181" t="str">
        <f t="shared" si="19"/>
        <v>Yes</v>
      </c>
      <c r="M181">
        <v>80</v>
      </c>
      <c r="N181">
        <v>5</v>
      </c>
      <c r="O181">
        <v>1</v>
      </c>
      <c r="T181" t="str">
        <f t="shared" si="20"/>
        <v/>
      </c>
    </row>
    <row r="182" spans="1:21" x14ac:dyDescent="0.55000000000000004">
      <c r="A182">
        <v>120</v>
      </c>
      <c r="B182" t="str">
        <f t="shared" si="14"/>
        <v>120_0</v>
      </c>
      <c r="C182" s="2">
        <v>45597.429166666669</v>
      </c>
      <c r="D182" t="s">
        <v>221</v>
      </c>
      <c r="E182">
        <v>2</v>
      </c>
      <c r="F182" t="s">
        <v>243</v>
      </c>
      <c r="G182" t="str">
        <f t="shared" si="15"/>
        <v>Retropinna retropinna</v>
      </c>
      <c r="H182" t="str">
        <f t="shared" si="16"/>
        <v>Common_smelt</v>
      </c>
      <c r="I182" t="str">
        <f t="shared" si="17"/>
        <v>Common_smelt</v>
      </c>
      <c r="J182" t="str">
        <f t="shared" si="18"/>
        <v>Native</v>
      </c>
      <c r="K182" t="str">
        <f t="shared" si="19"/>
        <v>No</v>
      </c>
      <c r="M182">
        <v>55</v>
      </c>
      <c r="O182">
        <v>1</v>
      </c>
      <c r="T182" t="str">
        <f t="shared" si="20"/>
        <v/>
      </c>
    </row>
    <row r="183" spans="1:21" x14ac:dyDescent="0.55000000000000004">
      <c r="A183">
        <v>120</v>
      </c>
      <c r="B183" t="str">
        <f t="shared" si="14"/>
        <v>120_0</v>
      </c>
      <c r="C183" s="2">
        <v>45597.429166666669</v>
      </c>
      <c r="D183" t="s">
        <v>221</v>
      </c>
      <c r="E183">
        <v>2</v>
      </c>
      <c r="F183" t="s">
        <v>243</v>
      </c>
      <c r="G183" t="str">
        <f t="shared" si="15"/>
        <v>Retropinna retropinna</v>
      </c>
      <c r="H183" t="str">
        <f t="shared" si="16"/>
        <v>Common_smelt</v>
      </c>
      <c r="I183" t="str">
        <f t="shared" si="17"/>
        <v>Common_smelt</v>
      </c>
      <c r="J183" t="str">
        <f t="shared" si="18"/>
        <v>Native</v>
      </c>
      <c r="K183" t="str">
        <f t="shared" si="19"/>
        <v>No</v>
      </c>
      <c r="M183">
        <v>55</v>
      </c>
      <c r="O183">
        <v>1</v>
      </c>
      <c r="T183" t="str">
        <f t="shared" si="20"/>
        <v/>
      </c>
    </row>
    <row r="184" spans="1:21" x14ac:dyDescent="0.55000000000000004">
      <c r="A184">
        <v>120</v>
      </c>
      <c r="B184" t="str">
        <f t="shared" si="14"/>
        <v>120_0</v>
      </c>
      <c r="C184" s="2">
        <v>45597.429166666669</v>
      </c>
      <c r="D184" t="s">
        <v>221</v>
      </c>
      <c r="E184">
        <v>2</v>
      </c>
      <c r="F184" t="s">
        <v>242</v>
      </c>
      <c r="G184" t="str">
        <f t="shared" si="15"/>
        <v>Gobiomorphus cotidianus</v>
      </c>
      <c r="H184" t="str">
        <f t="shared" si="16"/>
        <v>Common_bully</v>
      </c>
      <c r="I184" t="str">
        <f t="shared" si="17"/>
        <v>Toitoi</v>
      </c>
      <c r="J184" t="str">
        <f t="shared" si="18"/>
        <v>Native</v>
      </c>
      <c r="K184" t="str">
        <f t="shared" si="19"/>
        <v>No</v>
      </c>
      <c r="O184">
        <v>50</v>
      </c>
      <c r="T184" t="str">
        <f t="shared" si="20"/>
        <v/>
      </c>
      <c r="U184" t="s">
        <v>253</v>
      </c>
    </row>
    <row r="185" spans="1:21" x14ac:dyDescent="0.55000000000000004">
      <c r="A185">
        <v>107</v>
      </c>
      <c r="B185" t="str">
        <f t="shared" si="14"/>
        <v>107_0</v>
      </c>
      <c r="C185" s="2">
        <v>45604.388888888891</v>
      </c>
      <c r="D185" t="s">
        <v>245</v>
      </c>
      <c r="E185">
        <v>2</v>
      </c>
      <c r="F185" t="s">
        <v>222</v>
      </c>
      <c r="G185" t="str">
        <f t="shared" si="15"/>
        <v>Paranephrops planifrons</v>
      </c>
      <c r="H185" t="str">
        <f t="shared" si="16"/>
        <v>Freshwater_crayfish</v>
      </c>
      <c r="I185" t="str">
        <f t="shared" si="17"/>
        <v>Kōura</v>
      </c>
      <c r="J185" t="str">
        <f t="shared" si="18"/>
        <v>Native</v>
      </c>
      <c r="K185" t="str">
        <f t="shared" si="19"/>
        <v>Yes</v>
      </c>
      <c r="L185" t="s">
        <v>228</v>
      </c>
      <c r="M185">
        <v>33.64</v>
      </c>
      <c r="O185">
        <v>1</v>
      </c>
      <c r="T185" t="str">
        <f t="shared" si="20"/>
        <v/>
      </c>
    </row>
    <row r="186" spans="1:21" x14ac:dyDescent="0.55000000000000004">
      <c r="A186">
        <v>113</v>
      </c>
      <c r="B186" t="str">
        <f t="shared" si="14"/>
        <v>113_0</v>
      </c>
      <c r="C186" s="2">
        <v>45680.387499942131</v>
      </c>
      <c r="D186" t="s">
        <v>245</v>
      </c>
      <c r="E186">
        <v>2</v>
      </c>
      <c r="F186" t="s">
        <v>222</v>
      </c>
      <c r="G186" t="str">
        <f t="shared" si="15"/>
        <v>Paranephrops planifrons</v>
      </c>
      <c r="H186" t="str">
        <f t="shared" si="16"/>
        <v>Freshwater_crayfish</v>
      </c>
      <c r="I186" t="str">
        <f t="shared" si="17"/>
        <v>Kōura</v>
      </c>
      <c r="J186" t="str">
        <f t="shared" si="18"/>
        <v>Native</v>
      </c>
      <c r="K186" t="str">
        <f t="shared" si="19"/>
        <v>Yes</v>
      </c>
      <c r="L186" t="s">
        <v>223</v>
      </c>
      <c r="M186">
        <v>33.29</v>
      </c>
      <c r="N186">
        <v>25</v>
      </c>
      <c r="O186">
        <v>1</v>
      </c>
      <c r="T186" t="str">
        <f t="shared" si="20"/>
        <v/>
      </c>
    </row>
    <row r="187" spans="1:21" x14ac:dyDescent="0.55000000000000004">
      <c r="A187">
        <v>73</v>
      </c>
      <c r="B187" t="str">
        <f t="shared" si="14"/>
        <v>73_0</v>
      </c>
      <c r="C187" s="2">
        <v>45674.479166608799</v>
      </c>
      <c r="D187" t="s">
        <v>221</v>
      </c>
      <c r="E187">
        <v>2</v>
      </c>
      <c r="F187" t="s">
        <v>222</v>
      </c>
      <c r="G187" t="str">
        <f t="shared" si="15"/>
        <v>Paranephrops planifrons</v>
      </c>
      <c r="H187" t="str">
        <f t="shared" si="16"/>
        <v>Freshwater_crayfish</v>
      </c>
      <c r="I187" t="str">
        <f t="shared" si="17"/>
        <v>Kōura</v>
      </c>
      <c r="J187" t="str">
        <f t="shared" si="18"/>
        <v>Native</v>
      </c>
      <c r="K187" t="str">
        <f t="shared" si="19"/>
        <v>Yes</v>
      </c>
      <c r="L187" t="s">
        <v>223</v>
      </c>
      <c r="M187">
        <v>33.159999999999997</v>
      </c>
      <c r="N187">
        <v>25</v>
      </c>
      <c r="O187">
        <v>1</v>
      </c>
      <c r="T187" t="str">
        <f t="shared" si="20"/>
        <v/>
      </c>
    </row>
    <row r="188" spans="1:21" x14ac:dyDescent="0.55000000000000004">
      <c r="A188">
        <v>96</v>
      </c>
      <c r="B188" t="str">
        <f t="shared" si="14"/>
        <v>96_0</v>
      </c>
      <c r="C188" s="2">
        <v>45638.489583333336</v>
      </c>
      <c r="D188" t="s">
        <v>221</v>
      </c>
      <c r="E188">
        <v>2</v>
      </c>
      <c r="F188" t="s">
        <v>222</v>
      </c>
      <c r="G188" t="str">
        <f t="shared" si="15"/>
        <v>Paranephrops planifrons</v>
      </c>
      <c r="H188" t="str">
        <f t="shared" si="16"/>
        <v>Freshwater_crayfish</v>
      </c>
      <c r="I188" t="str">
        <f t="shared" si="17"/>
        <v>Kōura</v>
      </c>
      <c r="J188" t="str">
        <f t="shared" si="18"/>
        <v>Native</v>
      </c>
      <c r="K188" t="str">
        <f t="shared" si="19"/>
        <v>Yes</v>
      </c>
      <c r="L188" t="s">
        <v>223</v>
      </c>
      <c r="M188">
        <v>33</v>
      </c>
      <c r="N188">
        <v>28</v>
      </c>
      <c r="O188">
        <v>1</v>
      </c>
      <c r="T188" t="str">
        <f t="shared" si="20"/>
        <v/>
      </c>
    </row>
    <row r="189" spans="1:21" x14ac:dyDescent="0.55000000000000004">
      <c r="A189">
        <v>115</v>
      </c>
      <c r="B189" t="str">
        <f t="shared" si="14"/>
        <v>115_0</v>
      </c>
      <c r="C189" s="2">
        <v>45597.590277777781</v>
      </c>
      <c r="D189" t="s">
        <v>245</v>
      </c>
      <c r="E189">
        <v>2</v>
      </c>
      <c r="F189" t="s">
        <v>222</v>
      </c>
      <c r="G189" t="str">
        <f t="shared" si="15"/>
        <v>Paranephrops planifrons</v>
      </c>
      <c r="H189" t="str">
        <f t="shared" si="16"/>
        <v>Freshwater_crayfish</v>
      </c>
      <c r="I189" t="str">
        <f t="shared" si="17"/>
        <v>Kōura</v>
      </c>
      <c r="J189" t="str">
        <f t="shared" si="18"/>
        <v>Native</v>
      </c>
      <c r="K189" t="str">
        <f t="shared" si="19"/>
        <v>Yes</v>
      </c>
      <c r="L189" t="s">
        <v>228</v>
      </c>
      <c r="M189">
        <v>33</v>
      </c>
      <c r="N189">
        <v>28</v>
      </c>
      <c r="O189">
        <v>1</v>
      </c>
      <c r="T189" t="str">
        <f t="shared" si="20"/>
        <v/>
      </c>
    </row>
    <row r="190" spans="1:21" x14ac:dyDescent="0.55000000000000004">
      <c r="A190">
        <v>120</v>
      </c>
      <c r="B190" t="str">
        <f t="shared" si="14"/>
        <v>120_0</v>
      </c>
      <c r="C190" s="2">
        <v>45597.429166666669</v>
      </c>
      <c r="D190" t="s">
        <v>221</v>
      </c>
      <c r="E190">
        <v>2</v>
      </c>
      <c r="F190" t="s">
        <v>222</v>
      </c>
      <c r="G190" t="str">
        <f t="shared" si="15"/>
        <v>Paranephrops planifrons</v>
      </c>
      <c r="H190" t="str">
        <f t="shared" si="16"/>
        <v>Freshwater_crayfish</v>
      </c>
      <c r="I190" t="str">
        <f t="shared" si="17"/>
        <v>Kōura</v>
      </c>
      <c r="J190" t="str">
        <f t="shared" si="18"/>
        <v>Native</v>
      </c>
      <c r="K190" t="str">
        <f t="shared" si="19"/>
        <v>Yes</v>
      </c>
      <c r="L190" t="s">
        <v>228</v>
      </c>
      <c r="M190">
        <v>33</v>
      </c>
      <c r="N190">
        <v>28</v>
      </c>
      <c r="O190">
        <v>1</v>
      </c>
      <c r="T190" t="str">
        <f t="shared" si="20"/>
        <v/>
      </c>
    </row>
    <row r="191" spans="1:21" x14ac:dyDescent="0.55000000000000004">
      <c r="A191">
        <v>97</v>
      </c>
      <c r="B191" t="str">
        <f t="shared" si="14"/>
        <v>97_0</v>
      </c>
      <c r="C191" s="2">
        <v>45603.524305497682</v>
      </c>
      <c r="D191" t="s">
        <v>245</v>
      </c>
      <c r="E191">
        <v>2</v>
      </c>
      <c r="F191" t="s">
        <v>242</v>
      </c>
      <c r="G191" t="str">
        <f t="shared" si="15"/>
        <v>Gobiomorphus cotidianus</v>
      </c>
      <c r="H191" t="str">
        <f t="shared" si="16"/>
        <v>Common_bully</v>
      </c>
      <c r="I191" t="str">
        <f t="shared" si="17"/>
        <v>Toitoi</v>
      </c>
      <c r="J191" t="str">
        <f t="shared" si="18"/>
        <v>Native</v>
      </c>
      <c r="K191" t="str">
        <f t="shared" si="19"/>
        <v>No</v>
      </c>
      <c r="M191">
        <v>43</v>
      </c>
      <c r="O191">
        <v>1</v>
      </c>
      <c r="T191" t="str">
        <f t="shared" si="20"/>
        <v/>
      </c>
    </row>
    <row r="192" spans="1:21" x14ac:dyDescent="0.55000000000000004">
      <c r="A192">
        <v>97</v>
      </c>
      <c r="B192" t="str">
        <f t="shared" si="14"/>
        <v>97_0</v>
      </c>
      <c r="C192" s="2">
        <v>45603.524305497682</v>
      </c>
      <c r="D192" t="s">
        <v>221</v>
      </c>
      <c r="E192">
        <v>2</v>
      </c>
      <c r="F192" t="s">
        <v>242</v>
      </c>
      <c r="G192" t="str">
        <f t="shared" si="15"/>
        <v>Gobiomorphus cotidianus</v>
      </c>
      <c r="H192" t="str">
        <f t="shared" si="16"/>
        <v>Common_bully</v>
      </c>
      <c r="I192" t="str">
        <f t="shared" si="17"/>
        <v>Toitoi</v>
      </c>
      <c r="J192" t="str">
        <f t="shared" si="18"/>
        <v>Native</v>
      </c>
      <c r="K192" t="str">
        <f t="shared" si="19"/>
        <v>No</v>
      </c>
      <c r="S192">
        <v>1.3</v>
      </c>
      <c r="T192">
        <f t="shared" si="20"/>
        <v>307.56439999999998</v>
      </c>
    </row>
    <row r="193" spans="1:20" x14ac:dyDescent="0.55000000000000004">
      <c r="A193">
        <v>96</v>
      </c>
      <c r="B193" t="str">
        <f t="shared" si="14"/>
        <v>96_0</v>
      </c>
      <c r="C193" s="2">
        <v>45638.489583333336</v>
      </c>
      <c r="D193" t="s">
        <v>221</v>
      </c>
      <c r="E193">
        <v>2</v>
      </c>
      <c r="F193" t="s">
        <v>222</v>
      </c>
      <c r="G193" t="str">
        <f t="shared" si="15"/>
        <v>Paranephrops planifrons</v>
      </c>
      <c r="H193" t="str">
        <f t="shared" si="16"/>
        <v>Freshwater_crayfish</v>
      </c>
      <c r="I193" t="str">
        <f t="shared" si="17"/>
        <v>Kōura</v>
      </c>
      <c r="J193" t="str">
        <f t="shared" si="18"/>
        <v>Native</v>
      </c>
      <c r="K193" t="str">
        <f t="shared" si="19"/>
        <v>Yes</v>
      </c>
      <c r="L193" t="s">
        <v>223</v>
      </c>
      <c r="M193">
        <v>33</v>
      </c>
      <c r="N193">
        <v>26</v>
      </c>
      <c r="O193">
        <v>1</v>
      </c>
      <c r="P193">
        <v>1</v>
      </c>
      <c r="T193" t="str">
        <f t="shared" si="20"/>
        <v/>
      </c>
    </row>
    <row r="194" spans="1:20" x14ac:dyDescent="0.55000000000000004">
      <c r="A194">
        <v>76</v>
      </c>
      <c r="B194" t="str">
        <f t="shared" ref="B194:B257" si="21">A194 &amp; "_0"</f>
        <v>76_0</v>
      </c>
      <c r="C194" s="2">
        <v>45673.348611111112</v>
      </c>
      <c r="D194" t="s">
        <v>245</v>
      </c>
      <c r="E194">
        <v>2</v>
      </c>
      <c r="F194" t="s">
        <v>222</v>
      </c>
      <c r="G194" t="str">
        <f t="shared" ref="G194:G257" si="22">VLOOKUP($F194, $W$1:$AB$10, 2, FALSE)</f>
        <v>Paranephrops planifrons</v>
      </c>
      <c r="H194" t="str">
        <f t="shared" ref="H194:H257" si="23">VLOOKUP($F194, $W$1:$AB$10, 3, FALSE)</f>
        <v>Freshwater_crayfish</v>
      </c>
      <c r="I194" t="str">
        <f t="shared" ref="I194:I257" si="24">VLOOKUP($F194, $W$1:$AB$10, 4, FALSE)</f>
        <v>Kōura</v>
      </c>
      <c r="J194" t="str">
        <f t="shared" ref="J194:J257" si="25">VLOOKUP($F194, $W$1:$AC$10, 5, FALSE)</f>
        <v>Native</v>
      </c>
      <c r="K194" t="str">
        <f t="shared" ref="K194:K257" si="26">VLOOKUP($F194, $W$1:$AB$10, 6, FALSE)</f>
        <v>Yes</v>
      </c>
      <c r="L194" t="s">
        <v>223</v>
      </c>
      <c r="M194">
        <v>32.799999999999997</v>
      </c>
      <c r="N194">
        <v>28</v>
      </c>
      <c r="O194">
        <v>1</v>
      </c>
      <c r="T194" t="str">
        <f t="shared" ref="T194:T257" si="27">IF(S194&lt;&gt;"", S194*236.588, "")</f>
        <v/>
      </c>
    </row>
    <row r="195" spans="1:20" x14ac:dyDescent="0.55000000000000004">
      <c r="A195">
        <v>96</v>
      </c>
      <c r="B195" t="str">
        <f t="shared" si="21"/>
        <v>96_0</v>
      </c>
      <c r="C195" s="2">
        <v>45638.489583333336</v>
      </c>
      <c r="D195" t="s">
        <v>245</v>
      </c>
      <c r="E195">
        <v>1</v>
      </c>
      <c r="F195" t="s">
        <v>222</v>
      </c>
      <c r="G195" t="str">
        <f t="shared" si="22"/>
        <v>Paranephrops planifrons</v>
      </c>
      <c r="H195" t="str">
        <f t="shared" si="23"/>
        <v>Freshwater_crayfish</v>
      </c>
      <c r="I195" t="str">
        <f t="shared" si="24"/>
        <v>Kōura</v>
      </c>
      <c r="J195" t="str">
        <f t="shared" si="25"/>
        <v>Native</v>
      </c>
      <c r="K195" t="str">
        <f t="shared" si="26"/>
        <v>Yes</v>
      </c>
      <c r="L195" t="s">
        <v>223</v>
      </c>
      <c r="M195">
        <v>32.42</v>
      </c>
      <c r="N195">
        <v>22</v>
      </c>
      <c r="O195">
        <v>1</v>
      </c>
      <c r="T195" t="str">
        <f t="shared" si="27"/>
        <v/>
      </c>
    </row>
    <row r="196" spans="1:20" x14ac:dyDescent="0.55000000000000004">
      <c r="A196">
        <v>113</v>
      </c>
      <c r="B196" t="str">
        <f t="shared" si="21"/>
        <v>113_0</v>
      </c>
      <c r="C196" s="2">
        <v>45680.387499942131</v>
      </c>
      <c r="D196" t="s">
        <v>245</v>
      </c>
      <c r="E196">
        <v>2</v>
      </c>
      <c r="F196" t="s">
        <v>222</v>
      </c>
      <c r="G196" t="str">
        <f t="shared" si="22"/>
        <v>Paranephrops planifrons</v>
      </c>
      <c r="H196" t="str">
        <f t="shared" si="23"/>
        <v>Freshwater_crayfish</v>
      </c>
      <c r="I196" t="str">
        <f t="shared" si="24"/>
        <v>Kōura</v>
      </c>
      <c r="J196" t="str">
        <f t="shared" si="25"/>
        <v>Native</v>
      </c>
      <c r="K196" t="str">
        <f t="shared" si="26"/>
        <v>Yes</v>
      </c>
      <c r="L196" t="s">
        <v>223</v>
      </c>
      <c r="M196">
        <v>32.39</v>
      </c>
      <c r="N196">
        <v>27</v>
      </c>
      <c r="O196">
        <v>1</v>
      </c>
      <c r="T196" t="str">
        <f t="shared" si="27"/>
        <v/>
      </c>
    </row>
    <row r="197" spans="1:20" x14ac:dyDescent="0.55000000000000004">
      <c r="A197">
        <v>76</v>
      </c>
      <c r="B197" t="str">
        <f t="shared" si="21"/>
        <v>76_0</v>
      </c>
      <c r="C197" s="2">
        <v>45673.348611111112</v>
      </c>
      <c r="D197" t="s">
        <v>245</v>
      </c>
      <c r="E197">
        <v>2</v>
      </c>
      <c r="F197" t="s">
        <v>222</v>
      </c>
      <c r="G197" t="str">
        <f t="shared" si="22"/>
        <v>Paranephrops planifrons</v>
      </c>
      <c r="H197" t="str">
        <f t="shared" si="23"/>
        <v>Freshwater_crayfish</v>
      </c>
      <c r="I197" t="str">
        <f t="shared" si="24"/>
        <v>Kōura</v>
      </c>
      <c r="J197" t="str">
        <f t="shared" si="25"/>
        <v>Native</v>
      </c>
      <c r="K197" t="str">
        <f t="shared" si="26"/>
        <v>Yes</v>
      </c>
      <c r="L197" t="s">
        <v>223</v>
      </c>
      <c r="M197">
        <v>32.380000000000003</v>
      </c>
      <c r="N197">
        <v>26</v>
      </c>
      <c r="O197">
        <v>1</v>
      </c>
      <c r="T197" t="str">
        <f t="shared" si="27"/>
        <v/>
      </c>
    </row>
    <row r="198" spans="1:20" x14ac:dyDescent="0.55000000000000004">
      <c r="A198">
        <v>97</v>
      </c>
      <c r="B198" t="str">
        <f t="shared" si="21"/>
        <v>97_0</v>
      </c>
      <c r="C198" s="2">
        <v>45603.524305439816</v>
      </c>
      <c r="D198" t="s">
        <v>221</v>
      </c>
      <c r="E198">
        <v>2</v>
      </c>
      <c r="F198" t="s">
        <v>236</v>
      </c>
      <c r="G198" t="str">
        <f t="shared" si="22"/>
        <v>Carassius auratus</v>
      </c>
      <c r="H198" t="str">
        <f t="shared" si="23"/>
        <v>Goldfish</v>
      </c>
      <c r="I198" t="str">
        <f t="shared" si="24"/>
        <v>Morihana</v>
      </c>
      <c r="J198" t="str">
        <f t="shared" si="25"/>
        <v>Nonnative</v>
      </c>
      <c r="K198" t="str">
        <f t="shared" si="26"/>
        <v>No</v>
      </c>
      <c r="M198">
        <v>161</v>
      </c>
      <c r="O198">
        <v>1</v>
      </c>
      <c r="T198" t="str">
        <f t="shared" si="27"/>
        <v/>
      </c>
    </row>
    <row r="199" spans="1:20" x14ac:dyDescent="0.55000000000000004">
      <c r="A199">
        <v>97</v>
      </c>
      <c r="B199" t="str">
        <f t="shared" si="21"/>
        <v>97_0</v>
      </c>
      <c r="C199" s="2">
        <v>45603.524305439816</v>
      </c>
      <c r="D199" t="s">
        <v>221</v>
      </c>
      <c r="E199">
        <v>2</v>
      </c>
      <c r="F199" t="s">
        <v>242</v>
      </c>
      <c r="G199" t="str">
        <f t="shared" si="22"/>
        <v>Gobiomorphus cotidianus</v>
      </c>
      <c r="H199" t="str">
        <f t="shared" si="23"/>
        <v>Common_bully</v>
      </c>
      <c r="I199" t="str">
        <f t="shared" si="24"/>
        <v>Toitoi</v>
      </c>
      <c r="J199" t="str">
        <f t="shared" si="25"/>
        <v>Native</v>
      </c>
      <c r="K199" t="str">
        <f t="shared" si="26"/>
        <v>No</v>
      </c>
      <c r="S199">
        <v>2</v>
      </c>
      <c r="T199">
        <f t="shared" si="27"/>
        <v>473.17599999999999</v>
      </c>
    </row>
    <row r="200" spans="1:20" x14ac:dyDescent="0.55000000000000004">
      <c r="A200">
        <v>73</v>
      </c>
      <c r="B200" t="str">
        <f t="shared" si="21"/>
        <v>73_0</v>
      </c>
      <c r="C200" s="2">
        <v>45674.479166608799</v>
      </c>
      <c r="D200" t="s">
        <v>221</v>
      </c>
      <c r="E200">
        <v>2</v>
      </c>
      <c r="F200" t="s">
        <v>222</v>
      </c>
      <c r="G200" t="str">
        <f t="shared" si="22"/>
        <v>Paranephrops planifrons</v>
      </c>
      <c r="H200" t="str">
        <f t="shared" si="23"/>
        <v>Freshwater_crayfish</v>
      </c>
      <c r="I200" t="str">
        <f t="shared" si="24"/>
        <v>Kōura</v>
      </c>
      <c r="J200" t="str">
        <f t="shared" si="25"/>
        <v>Native</v>
      </c>
      <c r="K200" t="str">
        <f t="shared" si="26"/>
        <v>Yes</v>
      </c>
      <c r="L200" t="s">
        <v>223</v>
      </c>
      <c r="M200">
        <v>32.22</v>
      </c>
      <c r="N200">
        <v>23</v>
      </c>
      <c r="O200">
        <v>1</v>
      </c>
      <c r="T200" t="str">
        <f t="shared" si="27"/>
        <v/>
      </c>
    </row>
    <row r="201" spans="1:20" x14ac:dyDescent="0.55000000000000004">
      <c r="A201">
        <v>77</v>
      </c>
      <c r="B201" t="str">
        <f t="shared" si="21"/>
        <v>77_0</v>
      </c>
      <c r="C201" s="2">
        <v>45674.520833333336</v>
      </c>
      <c r="D201" t="s">
        <v>221</v>
      </c>
      <c r="E201">
        <v>2</v>
      </c>
      <c r="F201" t="s">
        <v>222</v>
      </c>
      <c r="G201" t="str">
        <f t="shared" si="22"/>
        <v>Paranephrops planifrons</v>
      </c>
      <c r="H201" t="str">
        <f t="shared" si="23"/>
        <v>Freshwater_crayfish</v>
      </c>
      <c r="I201" t="str">
        <f t="shared" si="24"/>
        <v>Kōura</v>
      </c>
      <c r="J201" t="str">
        <f t="shared" si="25"/>
        <v>Native</v>
      </c>
      <c r="K201" t="str">
        <f t="shared" si="26"/>
        <v>Yes</v>
      </c>
      <c r="L201" t="s">
        <v>223</v>
      </c>
      <c r="M201">
        <v>32.08</v>
      </c>
      <c r="N201">
        <v>14</v>
      </c>
      <c r="O201">
        <v>1</v>
      </c>
      <c r="T201" t="str">
        <f t="shared" si="27"/>
        <v/>
      </c>
    </row>
    <row r="202" spans="1:20" x14ac:dyDescent="0.55000000000000004">
      <c r="A202">
        <v>120</v>
      </c>
      <c r="B202" t="str">
        <f t="shared" si="21"/>
        <v>120_0</v>
      </c>
      <c r="C202" s="2">
        <v>45597.429166666669</v>
      </c>
      <c r="D202" t="s">
        <v>221</v>
      </c>
      <c r="E202">
        <v>2</v>
      </c>
      <c r="F202" t="s">
        <v>222</v>
      </c>
      <c r="G202" t="str">
        <f t="shared" si="22"/>
        <v>Paranephrops planifrons</v>
      </c>
      <c r="H202" t="str">
        <f t="shared" si="23"/>
        <v>Freshwater_crayfish</v>
      </c>
      <c r="I202" t="str">
        <f t="shared" si="24"/>
        <v>Kōura</v>
      </c>
      <c r="J202" t="str">
        <f t="shared" si="25"/>
        <v>Native</v>
      </c>
      <c r="K202" t="str">
        <f t="shared" si="26"/>
        <v>Yes</v>
      </c>
      <c r="L202" t="s">
        <v>228</v>
      </c>
      <c r="M202">
        <v>32</v>
      </c>
      <c r="N202">
        <v>27</v>
      </c>
      <c r="O202">
        <v>1</v>
      </c>
      <c r="T202" t="str">
        <f t="shared" si="27"/>
        <v/>
      </c>
    </row>
    <row r="203" spans="1:20" x14ac:dyDescent="0.55000000000000004">
      <c r="A203">
        <v>102</v>
      </c>
      <c r="B203" t="str">
        <f t="shared" si="21"/>
        <v>102_0</v>
      </c>
      <c r="C203" s="2">
        <v>45603.477083333331</v>
      </c>
      <c r="D203" t="s">
        <v>245</v>
      </c>
      <c r="E203">
        <v>2</v>
      </c>
      <c r="F203" t="s">
        <v>222</v>
      </c>
      <c r="G203" t="str">
        <f t="shared" si="22"/>
        <v>Paranephrops planifrons</v>
      </c>
      <c r="H203" t="str">
        <f t="shared" si="23"/>
        <v>Freshwater_crayfish</v>
      </c>
      <c r="I203" t="str">
        <f t="shared" si="24"/>
        <v>Kōura</v>
      </c>
      <c r="J203" t="str">
        <f t="shared" si="25"/>
        <v>Native</v>
      </c>
      <c r="K203" t="str">
        <f t="shared" si="26"/>
        <v>Yes</v>
      </c>
      <c r="L203" t="s">
        <v>228</v>
      </c>
      <c r="M203">
        <v>32</v>
      </c>
      <c r="N203">
        <v>25</v>
      </c>
      <c r="O203">
        <v>1</v>
      </c>
      <c r="T203" t="str">
        <f t="shared" si="27"/>
        <v/>
      </c>
    </row>
    <row r="204" spans="1:20" x14ac:dyDescent="0.55000000000000004">
      <c r="A204">
        <v>120</v>
      </c>
      <c r="B204" t="str">
        <f t="shared" si="21"/>
        <v>120_0</v>
      </c>
      <c r="C204" s="2">
        <v>45597.429166666669</v>
      </c>
      <c r="D204" t="s">
        <v>221</v>
      </c>
      <c r="E204">
        <v>2</v>
      </c>
      <c r="F204" t="s">
        <v>222</v>
      </c>
      <c r="G204" t="str">
        <f t="shared" si="22"/>
        <v>Paranephrops planifrons</v>
      </c>
      <c r="H204" t="str">
        <f t="shared" si="23"/>
        <v>Freshwater_crayfish</v>
      </c>
      <c r="I204" t="str">
        <f t="shared" si="24"/>
        <v>Kōura</v>
      </c>
      <c r="J204" t="str">
        <f t="shared" si="25"/>
        <v>Native</v>
      </c>
      <c r="K204" t="str">
        <f t="shared" si="26"/>
        <v>Yes</v>
      </c>
      <c r="L204" t="s">
        <v>228</v>
      </c>
      <c r="M204">
        <v>32</v>
      </c>
      <c r="N204">
        <v>25</v>
      </c>
      <c r="O204">
        <v>1</v>
      </c>
      <c r="T204" t="str">
        <f t="shared" si="27"/>
        <v/>
      </c>
    </row>
    <row r="205" spans="1:20" x14ac:dyDescent="0.55000000000000004">
      <c r="A205">
        <v>95</v>
      </c>
      <c r="B205" t="str">
        <f t="shared" si="21"/>
        <v>95_0</v>
      </c>
      <c r="C205" s="2">
        <v>45638.520833333336</v>
      </c>
      <c r="D205" t="s">
        <v>245</v>
      </c>
      <c r="E205">
        <v>2</v>
      </c>
      <c r="F205" t="s">
        <v>222</v>
      </c>
      <c r="G205" t="str">
        <f t="shared" si="22"/>
        <v>Paranephrops planifrons</v>
      </c>
      <c r="H205" t="str">
        <f t="shared" si="23"/>
        <v>Freshwater_crayfish</v>
      </c>
      <c r="I205" t="str">
        <f t="shared" si="24"/>
        <v>Kōura</v>
      </c>
      <c r="J205" t="str">
        <f t="shared" si="25"/>
        <v>Native</v>
      </c>
      <c r="K205" t="str">
        <f t="shared" si="26"/>
        <v>Yes</v>
      </c>
      <c r="L205" t="s">
        <v>228</v>
      </c>
      <c r="M205">
        <v>32</v>
      </c>
      <c r="N205">
        <v>20</v>
      </c>
      <c r="O205">
        <v>1</v>
      </c>
      <c r="P205">
        <v>1</v>
      </c>
      <c r="T205" t="str">
        <f t="shared" si="27"/>
        <v/>
      </c>
    </row>
    <row r="206" spans="1:20" x14ac:dyDescent="0.55000000000000004">
      <c r="A206">
        <v>119</v>
      </c>
      <c r="B206" t="str">
        <f t="shared" si="21"/>
        <v>119_0</v>
      </c>
      <c r="C206" s="2">
        <v>45597.395833333336</v>
      </c>
      <c r="D206" t="s">
        <v>221</v>
      </c>
      <c r="E206">
        <v>2</v>
      </c>
      <c r="F206" t="s">
        <v>222</v>
      </c>
      <c r="G206" t="str">
        <f t="shared" si="22"/>
        <v>Paranephrops planifrons</v>
      </c>
      <c r="H206" t="str">
        <f t="shared" si="23"/>
        <v>Freshwater_crayfish</v>
      </c>
      <c r="I206" t="str">
        <f t="shared" si="24"/>
        <v>Kōura</v>
      </c>
      <c r="J206" t="str">
        <f t="shared" si="25"/>
        <v>Native</v>
      </c>
      <c r="K206" t="str">
        <f t="shared" si="26"/>
        <v>Yes</v>
      </c>
      <c r="L206" t="s">
        <v>228</v>
      </c>
      <c r="M206">
        <v>32</v>
      </c>
      <c r="N206">
        <v>20</v>
      </c>
      <c r="O206">
        <v>1</v>
      </c>
      <c r="T206" t="str">
        <f t="shared" si="27"/>
        <v/>
      </c>
    </row>
    <row r="207" spans="1:20" x14ac:dyDescent="0.55000000000000004">
      <c r="A207">
        <v>77</v>
      </c>
      <c r="B207" t="str">
        <f t="shared" si="21"/>
        <v>77_0</v>
      </c>
      <c r="C207" s="2">
        <v>45674.520833333336</v>
      </c>
      <c r="D207" t="s">
        <v>245</v>
      </c>
      <c r="E207">
        <v>2</v>
      </c>
      <c r="F207" t="s">
        <v>222</v>
      </c>
      <c r="G207" t="str">
        <f t="shared" si="22"/>
        <v>Paranephrops planifrons</v>
      </c>
      <c r="H207" t="str">
        <f t="shared" si="23"/>
        <v>Freshwater_crayfish</v>
      </c>
      <c r="I207" t="str">
        <f t="shared" si="24"/>
        <v>Kōura</v>
      </c>
      <c r="J207" t="str">
        <f t="shared" si="25"/>
        <v>Native</v>
      </c>
      <c r="K207" t="str">
        <f t="shared" si="26"/>
        <v>Yes</v>
      </c>
      <c r="L207" t="s">
        <v>228</v>
      </c>
      <c r="M207">
        <v>31.8</v>
      </c>
      <c r="N207">
        <v>22</v>
      </c>
      <c r="O207">
        <v>1</v>
      </c>
      <c r="T207" t="str">
        <f t="shared" si="27"/>
        <v/>
      </c>
    </row>
    <row r="208" spans="1:20" x14ac:dyDescent="0.55000000000000004">
      <c r="A208">
        <v>106</v>
      </c>
      <c r="B208" t="str">
        <f t="shared" si="21"/>
        <v>106_0</v>
      </c>
      <c r="C208" s="2">
        <v>45603.4375</v>
      </c>
      <c r="D208" t="s">
        <v>245</v>
      </c>
      <c r="E208">
        <v>2</v>
      </c>
      <c r="F208" t="s">
        <v>222</v>
      </c>
      <c r="G208" t="str">
        <f t="shared" si="22"/>
        <v>Paranephrops planifrons</v>
      </c>
      <c r="H208" t="str">
        <f t="shared" si="23"/>
        <v>Freshwater_crayfish</v>
      </c>
      <c r="I208" t="str">
        <f t="shared" si="24"/>
        <v>Kōura</v>
      </c>
      <c r="J208" t="str">
        <f t="shared" si="25"/>
        <v>Native</v>
      </c>
      <c r="K208" t="str">
        <f t="shared" si="26"/>
        <v>Yes</v>
      </c>
      <c r="L208" t="s">
        <v>223</v>
      </c>
      <c r="M208">
        <v>31.75</v>
      </c>
      <c r="N208">
        <v>30</v>
      </c>
      <c r="O208">
        <v>1</v>
      </c>
      <c r="R208">
        <v>1</v>
      </c>
      <c r="T208" t="str">
        <f t="shared" si="27"/>
        <v/>
      </c>
    </row>
    <row r="209" spans="1:20" x14ac:dyDescent="0.55000000000000004">
      <c r="A209">
        <v>113</v>
      </c>
      <c r="B209" t="str">
        <f t="shared" si="21"/>
        <v>113_0</v>
      </c>
      <c r="C209" s="2">
        <v>45680.387499942131</v>
      </c>
      <c r="D209" t="s">
        <v>221</v>
      </c>
      <c r="E209">
        <v>2</v>
      </c>
      <c r="F209" t="s">
        <v>222</v>
      </c>
      <c r="G209" t="str">
        <f t="shared" si="22"/>
        <v>Paranephrops planifrons</v>
      </c>
      <c r="H209" t="str">
        <f t="shared" si="23"/>
        <v>Freshwater_crayfish</v>
      </c>
      <c r="I209" t="str">
        <f t="shared" si="24"/>
        <v>Kōura</v>
      </c>
      <c r="J209" t="str">
        <f t="shared" si="25"/>
        <v>Native</v>
      </c>
      <c r="K209" t="str">
        <f t="shared" si="26"/>
        <v>Yes</v>
      </c>
      <c r="L209" t="s">
        <v>223</v>
      </c>
      <c r="M209">
        <v>31.71</v>
      </c>
      <c r="N209">
        <v>21</v>
      </c>
      <c r="O209">
        <v>1</v>
      </c>
      <c r="T209" t="str">
        <f t="shared" si="27"/>
        <v/>
      </c>
    </row>
    <row r="210" spans="1:20" x14ac:dyDescent="0.55000000000000004">
      <c r="A210">
        <v>73</v>
      </c>
      <c r="B210" t="str">
        <f t="shared" si="21"/>
        <v>73_0</v>
      </c>
      <c r="C210" s="2">
        <v>45674.479166608799</v>
      </c>
      <c r="D210" t="s">
        <v>221</v>
      </c>
      <c r="E210">
        <v>2</v>
      </c>
      <c r="F210" t="s">
        <v>222</v>
      </c>
      <c r="G210" t="str">
        <f t="shared" si="22"/>
        <v>Paranephrops planifrons</v>
      </c>
      <c r="H210" t="str">
        <f t="shared" si="23"/>
        <v>Freshwater_crayfish</v>
      </c>
      <c r="I210" t="str">
        <f t="shared" si="24"/>
        <v>Kōura</v>
      </c>
      <c r="J210" t="str">
        <f t="shared" si="25"/>
        <v>Native</v>
      </c>
      <c r="K210" t="str">
        <f t="shared" si="26"/>
        <v>Yes</v>
      </c>
      <c r="L210" t="s">
        <v>228</v>
      </c>
      <c r="M210">
        <v>31.65</v>
      </c>
      <c r="N210">
        <v>24</v>
      </c>
      <c r="O210">
        <v>1</v>
      </c>
      <c r="T210" t="str">
        <f t="shared" si="27"/>
        <v/>
      </c>
    </row>
    <row r="211" spans="1:20" x14ac:dyDescent="0.55000000000000004">
      <c r="A211">
        <v>113</v>
      </c>
      <c r="B211" t="str">
        <f t="shared" si="21"/>
        <v>113_0</v>
      </c>
      <c r="C211" s="2">
        <v>45680.387499942131</v>
      </c>
      <c r="D211" t="s">
        <v>245</v>
      </c>
      <c r="E211">
        <v>2</v>
      </c>
      <c r="F211" t="s">
        <v>222</v>
      </c>
      <c r="G211" t="str">
        <f t="shared" si="22"/>
        <v>Paranephrops planifrons</v>
      </c>
      <c r="H211" t="str">
        <f t="shared" si="23"/>
        <v>Freshwater_crayfish</v>
      </c>
      <c r="I211" t="str">
        <f t="shared" si="24"/>
        <v>Kōura</v>
      </c>
      <c r="J211" t="str">
        <f t="shared" si="25"/>
        <v>Native</v>
      </c>
      <c r="K211" t="str">
        <f t="shared" si="26"/>
        <v>Yes</v>
      </c>
      <c r="L211" t="s">
        <v>223</v>
      </c>
      <c r="M211">
        <v>31.44</v>
      </c>
      <c r="N211">
        <v>23</v>
      </c>
      <c r="O211">
        <v>1</v>
      </c>
      <c r="T211" t="str">
        <f t="shared" si="27"/>
        <v/>
      </c>
    </row>
    <row r="212" spans="1:20" x14ac:dyDescent="0.55000000000000004">
      <c r="A212">
        <v>85</v>
      </c>
      <c r="B212" t="str">
        <f t="shared" si="21"/>
        <v>85_0</v>
      </c>
      <c r="C212" s="2">
        <v>45637.409722164353</v>
      </c>
      <c r="D212" t="s">
        <v>221</v>
      </c>
      <c r="E212">
        <v>2</v>
      </c>
      <c r="F212" t="s">
        <v>222</v>
      </c>
      <c r="G212" t="str">
        <f t="shared" si="22"/>
        <v>Paranephrops planifrons</v>
      </c>
      <c r="H212" t="str">
        <f t="shared" si="23"/>
        <v>Freshwater_crayfish</v>
      </c>
      <c r="I212" t="str">
        <f t="shared" si="24"/>
        <v>Kōura</v>
      </c>
      <c r="J212" t="str">
        <f t="shared" si="25"/>
        <v>Native</v>
      </c>
      <c r="K212" t="str">
        <f t="shared" si="26"/>
        <v>Yes</v>
      </c>
      <c r="L212" t="s">
        <v>223</v>
      </c>
      <c r="M212">
        <v>31.35</v>
      </c>
      <c r="N212">
        <v>28</v>
      </c>
      <c r="O212">
        <v>1</v>
      </c>
      <c r="P212">
        <v>1</v>
      </c>
      <c r="T212" t="str">
        <f t="shared" si="27"/>
        <v/>
      </c>
    </row>
    <row r="213" spans="1:20" x14ac:dyDescent="0.55000000000000004">
      <c r="A213">
        <v>120</v>
      </c>
      <c r="B213" t="str">
        <f t="shared" si="21"/>
        <v>120_0</v>
      </c>
      <c r="C213" s="2">
        <v>45597.429166666669</v>
      </c>
      <c r="D213" t="s">
        <v>221</v>
      </c>
      <c r="E213">
        <v>2</v>
      </c>
      <c r="F213" t="s">
        <v>222</v>
      </c>
      <c r="G213" t="str">
        <f t="shared" si="22"/>
        <v>Paranephrops planifrons</v>
      </c>
      <c r="H213" t="str">
        <f t="shared" si="23"/>
        <v>Freshwater_crayfish</v>
      </c>
      <c r="I213" t="str">
        <f t="shared" si="24"/>
        <v>Kōura</v>
      </c>
      <c r="J213" t="str">
        <f t="shared" si="25"/>
        <v>Native</v>
      </c>
      <c r="K213" t="str">
        <f t="shared" si="26"/>
        <v>Yes</v>
      </c>
      <c r="L213" t="s">
        <v>228</v>
      </c>
      <c r="M213">
        <v>31</v>
      </c>
      <c r="N213">
        <v>28</v>
      </c>
      <c r="O213">
        <v>1</v>
      </c>
      <c r="T213" t="str">
        <f t="shared" si="27"/>
        <v/>
      </c>
    </row>
    <row r="214" spans="1:20" x14ac:dyDescent="0.55000000000000004">
      <c r="A214">
        <v>96</v>
      </c>
      <c r="B214" t="str">
        <f t="shared" si="21"/>
        <v>96_0</v>
      </c>
      <c r="C214" s="2">
        <v>45638.489583333336</v>
      </c>
      <c r="D214" t="s">
        <v>221</v>
      </c>
      <c r="E214">
        <v>2</v>
      </c>
      <c r="F214" t="s">
        <v>222</v>
      </c>
      <c r="G214" t="str">
        <f t="shared" si="22"/>
        <v>Paranephrops planifrons</v>
      </c>
      <c r="H214" t="str">
        <f t="shared" si="23"/>
        <v>Freshwater_crayfish</v>
      </c>
      <c r="I214" t="str">
        <f t="shared" si="24"/>
        <v>Kōura</v>
      </c>
      <c r="J214" t="str">
        <f t="shared" si="25"/>
        <v>Native</v>
      </c>
      <c r="K214" t="str">
        <f t="shared" si="26"/>
        <v>Yes</v>
      </c>
      <c r="L214" t="s">
        <v>223</v>
      </c>
      <c r="M214">
        <v>31</v>
      </c>
      <c r="N214">
        <v>22</v>
      </c>
      <c r="O214">
        <v>1</v>
      </c>
      <c r="P214">
        <v>1</v>
      </c>
      <c r="T214" t="str">
        <f t="shared" si="27"/>
        <v/>
      </c>
    </row>
    <row r="215" spans="1:20" x14ac:dyDescent="0.55000000000000004">
      <c r="A215">
        <v>97</v>
      </c>
      <c r="B215" t="str">
        <f t="shared" si="21"/>
        <v>97_0</v>
      </c>
      <c r="C215" s="2">
        <v>45603.524305497682</v>
      </c>
      <c r="D215" t="s">
        <v>245</v>
      </c>
      <c r="E215">
        <v>2</v>
      </c>
      <c r="F215" t="s">
        <v>222</v>
      </c>
      <c r="G215" t="str">
        <f t="shared" si="22"/>
        <v>Paranephrops planifrons</v>
      </c>
      <c r="H215" t="str">
        <f t="shared" si="23"/>
        <v>Freshwater_crayfish</v>
      </c>
      <c r="I215" t="str">
        <f t="shared" si="24"/>
        <v>Kōura</v>
      </c>
      <c r="J215" t="str">
        <f t="shared" si="25"/>
        <v>Native</v>
      </c>
      <c r="K215" t="str">
        <f t="shared" si="26"/>
        <v>Yes</v>
      </c>
      <c r="L215" t="s">
        <v>228</v>
      </c>
      <c r="M215">
        <v>31</v>
      </c>
      <c r="O215">
        <v>1</v>
      </c>
      <c r="T215" t="str">
        <f t="shared" si="27"/>
        <v/>
      </c>
    </row>
    <row r="216" spans="1:20" x14ac:dyDescent="0.55000000000000004">
      <c r="A216">
        <v>105</v>
      </c>
      <c r="B216" t="str">
        <f t="shared" si="21"/>
        <v>105_0</v>
      </c>
      <c r="C216" s="2">
        <v>45603.541666666664</v>
      </c>
      <c r="D216" t="s">
        <v>245</v>
      </c>
      <c r="E216">
        <v>2</v>
      </c>
      <c r="F216" t="s">
        <v>222</v>
      </c>
      <c r="G216" t="str">
        <f t="shared" si="22"/>
        <v>Paranephrops planifrons</v>
      </c>
      <c r="H216" t="str">
        <f t="shared" si="23"/>
        <v>Freshwater_crayfish</v>
      </c>
      <c r="I216" t="str">
        <f t="shared" si="24"/>
        <v>Kōura</v>
      </c>
      <c r="J216" t="str">
        <f t="shared" si="25"/>
        <v>Native</v>
      </c>
      <c r="K216" t="str">
        <f t="shared" si="26"/>
        <v>Yes</v>
      </c>
      <c r="L216" t="s">
        <v>228</v>
      </c>
      <c r="M216">
        <v>31</v>
      </c>
      <c r="O216">
        <v>1</v>
      </c>
      <c r="T216" t="str">
        <f t="shared" si="27"/>
        <v/>
      </c>
    </row>
    <row r="217" spans="1:20" x14ac:dyDescent="0.55000000000000004">
      <c r="A217">
        <v>73</v>
      </c>
      <c r="B217" t="str">
        <f t="shared" si="21"/>
        <v>73_0</v>
      </c>
      <c r="C217" s="2">
        <v>45674.479166608799</v>
      </c>
      <c r="D217" t="s">
        <v>221</v>
      </c>
      <c r="E217">
        <v>2</v>
      </c>
      <c r="F217" t="s">
        <v>222</v>
      </c>
      <c r="G217" t="str">
        <f t="shared" si="22"/>
        <v>Paranephrops planifrons</v>
      </c>
      <c r="H217" t="str">
        <f t="shared" si="23"/>
        <v>Freshwater_crayfish</v>
      </c>
      <c r="I217" t="str">
        <f t="shared" si="24"/>
        <v>Kōura</v>
      </c>
      <c r="J217" t="str">
        <f t="shared" si="25"/>
        <v>Native</v>
      </c>
      <c r="K217" t="str">
        <f t="shared" si="26"/>
        <v>Yes</v>
      </c>
      <c r="L217" t="s">
        <v>228</v>
      </c>
      <c r="M217">
        <v>30.65</v>
      </c>
      <c r="N217">
        <v>23</v>
      </c>
      <c r="O217">
        <v>1</v>
      </c>
      <c r="T217" t="str">
        <f t="shared" si="27"/>
        <v/>
      </c>
    </row>
    <row r="218" spans="1:20" x14ac:dyDescent="0.55000000000000004">
      <c r="A218">
        <v>113</v>
      </c>
      <c r="B218" t="str">
        <f t="shared" si="21"/>
        <v>113_0</v>
      </c>
      <c r="C218" s="2">
        <v>45680.387499942131</v>
      </c>
      <c r="D218" t="s">
        <v>245</v>
      </c>
      <c r="E218">
        <v>2</v>
      </c>
      <c r="F218" t="s">
        <v>222</v>
      </c>
      <c r="G218" t="str">
        <f t="shared" si="22"/>
        <v>Paranephrops planifrons</v>
      </c>
      <c r="H218" t="str">
        <f t="shared" si="23"/>
        <v>Freshwater_crayfish</v>
      </c>
      <c r="I218" t="str">
        <f t="shared" si="24"/>
        <v>Kōura</v>
      </c>
      <c r="J218" t="str">
        <f t="shared" si="25"/>
        <v>Native</v>
      </c>
      <c r="K218" t="str">
        <f t="shared" si="26"/>
        <v>Yes</v>
      </c>
      <c r="L218" t="s">
        <v>223</v>
      </c>
      <c r="M218">
        <v>30.44</v>
      </c>
      <c r="N218">
        <v>20</v>
      </c>
      <c r="O218">
        <v>1</v>
      </c>
      <c r="T218" t="str">
        <f t="shared" si="27"/>
        <v/>
      </c>
    </row>
    <row r="219" spans="1:20" x14ac:dyDescent="0.55000000000000004">
      <c r="A219">
        <v>77</v>
      </c>
      <c r="B219" t="str">
        <f t="shared" si="21"/>
        <v>77_0</v>
      </c>
      <c r="C219" s="2">
        <v>45674.520833333336</v>
      </c>
      <c r="D219" t="s">
        <v>245</v>
      </c>
      <c r="E219">
        <v>2</v>
      </c>
      <c r="F219" t="s">
        <v>222</v>
      </c>
      <c r="G219" t="str">
        <f t="shared" si="22"/>
        <v>Paranephrops planifrons</v>
      </c>
      <c r="H219" t="str">
        <f t="shared" si="23"/>
        <v>Freshwater_crayfish</v>
      </c>
      <c r="I219" t="str">
        <f t="shared" si="24"/>
        <v>Kōura</v>
      </c>
      <c r="J219" t="str">
        <f t="shared" si="25"/>
        <v>Native</v>
      </c>
      <c r="K219" t="str">
        <f t="shared" si="26"/>
        <v>Yes</v>
      </c>
      <c r="L219" t="s">
        <v>223</v>
      </c>
      <c r="M219">
        <v>30.2</v>
      </c>
      <c r="N219">
        <v>17</v>
      </c>
      <c r="O219">
        <v>1</v>
      </c>
      <c r="P219">
        <v>1</v>
      </c>
      <c r="T219" t="str">
        <f t="shared" si="27"/>
        <v/>
      </c>
    </row>
    <row r="220" spans="1:20" x14ac:dyDescent="0.55000000000000004">
      <c r="A220">
        <v>77</v>
      </c>
      <c r="B220" t="str">
        <f t="shared" si="21"/>
        <v>77_0</v>
      </c>
      <c r="C220" s="2">
        <v>45674.520833333336</v>
      </c>
      <c r="D220" t="s">
        <v>221</v>
      </c>
      <c r="E220">
        <v>2</v>
      </c>
      <c r="F220" t="s">
        <v>222</v>
      </c>
      <c r="G220" t="str">
        <f t="shared" si="22"/>
        <v>Paranephrops planifrons</v>
      </c>
      <c r="H220" t="str">
        <f t="shared" si="23"/>
        <v>Freshwater_crayfish</v>
      </c>
      <c r="I220" t="str">
        <f t="shared" si="24"/>
        <v>Kōura</v>
      </c>
      <c r="J220" t="str">
        <f t="shared" si="25"/>
        <v>Native</v>
      </c>
      <c r="K220" t="str">
        <f t="shared" si="26"/>
        <v>Yes</v>
      </c>
      <c r="L220" t="s">
        <v>228</v>
      </c>
      <c r="M220">
        <v>30.19</v>
      </c>
      <c r="N220">
        <v>21</v>
      </c>
      <c r="O220">
        <v>1</v>
      </c>
      <c r="T220" t="str">
        <f t="shared" si="27"/>
        <v/>
      </c>
    </row>
    <row r="221" spans="1:20" x14ac:dyDescent="0.55000000000000004">
      <c r="A221">
        <v>113</v>
      </c>
      <c r="B221" t="str">
        <f t="shared" si="21"/>
        <v>113_0</v>
      </c>
      <c r="C221" s="2">
        <v>45680.387499942131</v>
      </c>
      <c r="D221" t="s">
        <v>221</v>
      </c>
      <c r="E221">
        <v>2</v>
      </c>
      <c r="F221" t="s">
        <v>222</v>
      </c>
      <c r="G221" t="str">
        <f t="shared" si="22"/>
        <v>Paranephrops planifrons</v>
      </c>
      <c r="H221" t="str">
        <f t="shared" si="23"/>
        <v>Freshwater_crayfish</v>
      </c>
      <c r="I221" t="str">
        <f t="shared" si="24"/>
        <v>Kōura</v>
      </c>
      <c r="J221" t="str">
        <f t="shared" si="25"/>
        <v>Native</v>
      </c>
      <c r="K221" t="str">
        <f t="shared" si="26"/>
        <v>Yes</v>
      </c>
      <c r="L221" t="s">
        <v>223</v>
      </c>
      <c r="M221">
        <v>30.16</v>
      </c>
      <c r="N221">
        <v>18</v>
      </c>
      <c r="O221">
        <v>1</v>
      </c>
      <c r="T221" t="str">
        <f t="shared" si="27"/>
        <v/>
      </c>
    </row>
    <row r="222" spans="1:20" x14ac:dyDescent="0.55000000000000004">
      <c r="A222">
        <v>98</v>
      </c>
      <c r="B222" t="str">
        <f t="shared" si="21"/>
        <v>98_0</v>
      </c>
      <c r="C222" s="2">
        <v>45603.5625</v>
      </c>
      <c r="D222" t="s">
        <v>245</v>
      </c>
      <c r="E222">
        <v>2</v>
      </c>
      <c r="F222" t="s">
        <v>242</v>
      </c>
      <c r="G222" t="str">
        <f t="shared" si="22"/>
        <v>Gobiomorphus cotidianus</v>
      </c>
      <c r="H222" t="str">
        <f t="shared" si="23"/>
        <v>Common_bully</v>
      </c>
      <c r="I222" t="str">
        <f t="shared" si="24"/>
        <v>Toitoi</v>
      </c>
      <c r="J222" t="str">
        <f t="shared" si="25"/>
        <v>Native</v>
      </c>
      <c r="K222" t="str">
        <f t="shared" si="26"/>
        <v>No</v>
      </c>
      <c r="O222">
        <v>27</v>
      </c>
      <c r="T222" t="str">
        <f t="shared" si="27"/>
        <v/>
      </c>
    </row>
    <row r="223" spans="1:20" x14ac:dyDescent="0.55000000000000004">
      <c r="A223">
        <v>98</v>
      </c>
      <c r="B223" t="str">
        <f t="shared" si="21"/>
        <v>98_0</v>
      </c>
      <c r="C223" s="2">
        <v>45603.5625</v>
      </c>
      <c r="D223" t="s">
        <v>245</v>
      </c>
      <c r="E223">
        <v>2</v>
      </c>
      <c r="F223" t="s">
        <v>222</v>
      </c>
      <c r="G223" t="str">
        <f t="shared" si="22"/>
        <v>Paranephrops planifrons</v>
      </c>
      <c r="H223" t="str">
        <f t="shared" si="23"/>
        <v>Freshwater_crayfish</v>
      </c>
      <c r="I223" t="str">
        <f t="shared" si="24"/>
        <v>Kōura</v>
      </c>
      <c r="J223" t="str">
        <f t="shared" si="25"/>
        <v>Native</v>
      </c>
      <c r="K223" t="str">
        <f t="shared" si="26"/>
        <v>Yes</v>
      </c>
      <c r="L223" t="s">
        <v>228</v>
      </c>
      <c r="M223">
        <v>30.16</v>
      </c>
      <c r="O223">
        <v>1</v>
      </c>
      <c r="T223" t="str">
        <f t="shared" si="27"/>
        <v/>
      </c>
    </row>
    <row r="224" spans="1:20" x14ac:dyDescent="0.55000000000000004">
      <c r="A224">
        <v>115</v>
      </c>
      <c r="B224" t="str">
        <f t="shared" si="21"/>
        <v>115_0</v>
      </c>
      <c r="C224" s="2">
        <v>45597.590277777781</v>
      </c>
      <c r="D224" t="s">
        <v>221</v>
      </c>
      <c r="E224">
        <v>2</v>
      </c>
      <c r="F224" t="s">
        <v>222</v>
      </c>
      <c r="G224" t="str">
        <f t="shared" si="22"/>
        <v>Paranephrops planifrons</v>
      </c>
      <c r="H224" t="str">
        <f t="shared" si="23"/>
        <v>Freshwater_crayfish</v>
      </c>
      <c r="I224" t="str">
        <f t="shared" si="24"/>
        <v>Kōura</v>
      </c>
      <c r="J224" t="str">
        <f t="shared" si="25"/>
        <v>Native</v>
      </c>
      <c r="K224" t="str">
        <f t="shared" si="26"/>
        <v>Yes</v>
      </c>
      <c r="L224" t="s">
        <v>228</v>
      </c>
      <c r="M224">
        <v>30</v>
      </c>
      <c r="N224">
        <v>24</v>
      </c>
      <c r="O224">
        <v>1</v>
      </c>
      <c r="P224">
        <v>1</v>
      </c>
      <c r="T224" t="str">
        <f t="shared" si="27"/>
        <v/>
      </c>
    </row>
    <row r="225" spans="1:20" x14ac:dyDescent="0.55000000000000004">
      <c r="A225">
        <v>119</v>
      </c>
      <c r="B225" t="str">
        <f t="shared" si="21"/>
        <v>119_0</v>
      </c>
      <c r="C225" s="2">
        <v>45597.395833333336</v>
      </c>
      <c r="D225" t="s">
        <v>245</v>
      </c>
      <c r="E225">
        <v>2</v>
      </c>
      <c r="F225" t="s">
        <v>222</v>
      </c>
      <c r="G225" t="str">
        <f t="shared" si="22"/>
        <v>Paranephrops planifrons</v>
      </c>
      <c r="H225" t="str">
        <f t="shared" si="23"/>
        <v>Freshwater_crayfish</v>
      </c>
      <c r="I225" t="str">
        <f t="shared" si="24"/>
        <v>Kōura</v>
      </c>
      <c r="J225" t="str">
        <f t="shared" si="25"/>
        <v>Native</v>
      </c>
      <c r="K225" t="str">
        <f t="shared" si="26"/>
        <v>Yes</v>
      </c>
      <c r="L225" t="s">
        <v>228</v>
      </c>
      <c r="M225">
        <v>30</v>
      </c>
      <c r="N225">
        <v>24</v>
      </c>
      <c r="O225">
        <v>1</v>
      </c>
      <c r="T225" t="str">
        <f t="shared" si="27"/>
        <v/>
      </c>
    </row>
    <row r="226" spans="1:20" x14ac:dyDescent="0.55000000000000004">
      <c r="A226">
        <v>97</v>
      </c>
      <c r="B226" t="str">
        <f t="shared" si="21"/>
        <v>97_0</v>
      </c>
      <c r="C226" s="2">
        <v>45603.524305497682</v>
      </c>
      <c r="D226" t="s">
        <v>221</v>
      </c>
      <c r="E226">
        <v>2</v>
      </c>
      <c r="F226" t="s">
        <v>222</v>
      </c>
      <c r="G226" t="str">
        <f t="shared" si="22"/>
        <v>Paranephrops planifrons</v>
      </c>
      <c r="H226" t="str">
        <f t="shared" si="23"/>
        <v>Freshwater_crayfish</v>
      </c>
      <c r="I226" t="str">
        <f t="shared" si="24"/>
        <v>Kōura</v>
      </c>
      <c r="J226" t="str">
        <f t="shared" si="25"/>
        <v>Native</v>
      </c>
      <c r="K226" t="str">
        <f t="shared" si="26"/>
        <v>Yes</v>
      </c>
      <c r="L226" t="s">
        <v>223</v>
      </c>
      <c r="M226">
        <v>30</v>
      </c>
      <c r="O226">
        <v>1</v>
      </c>
      <c r="P226">
        <v>1</v>
      </c>
      <c r="T226" t="str">
        <f t="shared" si="27"/>
        <v/>
      </c>
    </row>
    <row r="227" spans="1:20" x14ac:dyDescent="0.55000000000000004">
      <c r="A227">
        <v>73</v>
      </c>
      <c r="B227" t="str">
        <f t="shared" si="21"/>
        <v>73_0</v>
      </c>
      <c r="C227" s="2">
        <v>45674.479166608799</v>
      </c>
      <c r="D227" t="s">
        <v>221</v>
      </c>
      <c r="E227">
        <v>2</v>
      </c>
      <c r="F227" t="s">
        <v>222</v>
      </c>
      <c r="G227" t="str">
        <f t="shared" si="22"/>
        <v>Paranephrops planifrons</v>
      </c>
      <c r="H227" t="str">
        <f t="shared" si="23"/>
        <v>Freshwater_crayfish</v>
      </c>
      <c r="I227" t="str">
        <f t="shared" si="24"/>
        <v>Kōura</v>
      </c>
      <c r="J227" t="str">
        <f t="shared" si="25"/>
        <v>Native</v>
      </c>
      <c r="K227" t="str">
        <f t="shared" si="26"/>
        <v>Yes</v>
      </c>
      <c r="L227" t="s">
        <v>228</v>
      </c>
      <c r="M227">
        <v>29.93</v>
      </c>
      <c r="N227">
        <v>17</v>
      </c>
      <c r="O227">
        <v>1</v>
      </c>
      <c r="T227" t="str">
        <f t="shared" si="27"/>
        <v/>
      </c>
    </row>
    <row r="228" spans="1:20" x14ac:dyDescent="0.55000000000000004">
      <c r="A228">
        <v>113</v>
      </c>
      <c r="B228" t="str">
        <f t="shared" si="21"/>
        <v>113_0</v>
      </c>
      <c r="C228" s="2">
        <v>45680.387499942131</v>
      </c>
      <c r="D228" t="s">
        <v>245</v>
      </c>
      <c r="E228">
        <v>2</v>
      </c>
      <c r="F228" t="s">
        <v>222</v>
      </c>
      <c r="G228" t="str">
        <f t="shared" si="22"/>
        <v>Paranephrops planifrons</v>
      </c>
      <c r="H228" t="str">
        <f t="shared" si="23"/>
        <v>Freshwater_crayfish</v>
      </c>
      <c r="I228" t="str">
        <f t="shared" si="24"/>
        <v>Kōura</v>
      </c>
      <c r="J228" t="str">
        <f t="shared" si="25"/>
        <v>Native</v>
      </c>
      <c r="K228" t="str">
        <f t="shared" si="26"/>
        <v>Yes</v>
      </c>
      <c r="L228" t="s">
        <v>223</v>
      </c>
      <c r="M228">
        <v>29.79</v>
      </c>
      <c r="N228">
        <v>21</v>
      </c>
      <c r="O228">
        <v>1</v>
      </c>
      <c r="T228" t="str">
        <f t="shared" si="27"/>
        <v/>
      </c>
    </row>
    <row r="229" spans="1:20" x14ac:dyDescent="0.55000000000000004">
      <c r="A229">
        <v>66</v>
      </c>
      <c r="B229" t="str">
        <f t="shared" si="21"/>
        <v>66_0</v>
      </c>
      <c r="C229" s="2">
        <v>45709.513888888891</v>
      </c>
      <c r="D229" t="s">
        <v>245</v>
      </c>
      <c r="E229">
        <v>2</v>
      </c>
      <c r="F229" t="s">
        <v>222</v>
      </c>
      <c r="G229" t="str">
        <f t="shared" si="22"/>
        <v>Paranephrops planifrons</v>
      </c>
      <c r="H229" t="str">
        <f t="shared" si="23"/>
        <v>Freshwater_crayfish</v>
      </c>
      <c r="I229" t="str">
        <f t="shared" si="24"/>
        <v>Kōura</v>
      </c>
      <c r="J229" t="str">
        <f t="shared" si="25"/>
        <v>Native</v>
      </c>
      <c r="K229" t="str">
        <f t="shared" si="26"/>
        <v>Yes</v>
      </c>
      <c r="L229" t="s">
        <v>228</v>
      </c>
      <c r="M229">
        <v>29.66</v>
      </c>
      <c r="N229">
        <v>21</v>
      </c>
      <c r="O229">
        <v>1</v>
      </c>
      <c r="P229">
        <v>1</v>
      </c>
      <c r="T229" t="str">
        <f t="shared" si="27"/>
        <v/>
      </c>
    </row>
    <row r="230" spans="1:20" x14ac:dyDescent="0.55000000000000004">
      <c r="A230">
        <v>73</v>
      </c>
      <c r="B230" t="str">
        <f t="shared" si="21"/>
        <v>73_0</v>
      </c>
      <c r="C230" s="2">
        <v>45674.479166608799</v>
      </c>
      <c r="D230" t="s">
        <v>221</v>
      </c>
      <c r="E230">
        <v>2</v>
      </c>
      <c r="F230" t="s">
        <v>222</v>
      </c>
      <c r="G230" t="str">
        <f t="shared" si="22"/>
        <v>Paranephrops planifrons</v>
      </c>
      <c r="H230" t="str">
        <f t="shared" si="23"/>
        <v>Freshwater_crayfish</v>
      </c>
      <c r="I230" t="str">
        <f t="shared" si="24"/>
        <v>Kōura</v>
      </c>
      <c r="J230" t="str">
        <f t="shared" si="25"/>
        <v>Native</v>
      </c>
      <c r="K230" t="str">
        <f t="shared" si="26"/>
        <v>Yes</v>
      </c>
      <c r="L230" t="s">
        <v>228</v>
      </c>
      <c r="M230">
        <v>29.57</v>
      </c>
      <c r="N230">
        <v>22</v>
      </c>
      <c r="O230">
        <v>1</v>
      </c>
      <c r="T230" t="str">
        <f t="shared" si="27"/>
        <v/>
      </c>
    </row>
    <row r="231" spans="1:20" x14ac:dyDescent="0.55000000000000004">
      <c r="A231">
        <v>66</v>
      </c>
      <c r="B231" t="str">
        <f t="shared" si="21"/>
        <v>66_0</v>
      </c>
      <c r="C231" s="2">
        <v>45709.513888888891</v>
      </c>
      <c r="D231" t="s">
        <v>245</v>
      </c>
      <c r="E231">
        <v>2</v>
      </c>
      <c r="F231" t="s">
        <v>222</v>
      </c>
      <c r="G231" t="str">
        <f t="shared" si="22"/>
        <v>Paranephrops planifrons</v>
      </c>
      <c r="H231" t="str">
        <f t="shared" si="23"/>
        <v>Freshwater_crayfish</v>
      </c>
      <c r="I231" t="str">
        <f t="shared" si="24"/>
        <v>Kōura</v>
      </c>
      <c r="J231" t="str">
        <f t="shared" si="25"/>
        <v>Native</v>
      </c>
      <c r="K231" t="str">
        <f t="shared" si="26"/>
        <v>Yes</v>
      </c>
      <c r="L231" t="s">
        <v>228</v>
      </c>
      <c r="M231">
        <v>29.57</v>
      </c>
      <c r="N231">
        <v>19</v>
      </c>
      <c r="O231">
        <v>1</v>
      </c>
      <c r="T231" t="str">
        <f t="shared" si="27"/>
        <v/>
      </c>
    </row>
    <row r="232" spans="1:20" x14ac:dyDescent="0.55000000000000004">
      <c r="A232">
        <v>113</v>
      </c>
      <c r="B232" t="str">
        <f t="shared" si="21"/>
        <v>113_0</v>
      </c>
      <c r="C232" s="2">
        <v>45680.387499942131</v>
      </c>
      <c r="D232" t="s">
        <v>245</v>
      </c>
      <c r="E232">
        <v>2</v>
      </c>
      <c r="F232" t="s">
        <v>222</v>
      </c>
      <c r="G232" t="str">
        <f t="shared" si="22"/>
        <v>Paranephrops planifrons</v>
      </c>
      <c r="H232" t="str">
        <f t="shared" si="23"/>
        <v>Freshwater_crayfish</v>
      </c>
      <c r="I232" t="str">
        <f t="shared" si="24"/>
        <v>Kōura</v>
      </c>
      <c r="J232" t="str">
        <f t="shared" si="25"/>
        <v>Native</v>
      </c>
      <c r="K232" t="str">
        <f t="shared" si="26"/>
        <v>Yes</v>
      </c>
      <c r="L232" t="s">
        <v>223</v>
      </c>
      <c r="M232">
        <v>29.3</v>
      </c>
      <c r="N232">
        <v>19</v>
      </c>
      <c r="O232">
        <v>1</v>
      </c>
      <c r="T232" t="str">
        <f t="shared" si="27"/>
        <v/>
      </c>
    </row>
    <row r="233" spans="1:20" x14ac:dyDescent="0.55000000000000004">
      <c r="A233">
        <v>97</v>
      </c>
      <c r="B233" t="str">
        <f t="shared" si="21"/>
        <v>97_0</v>
      </c>
      <c r="C233" s="2">
        <v>45603.524305555555</v>
      </c>
      <c r="D233" t="s">
        <v>245</v>
      </c>
      <c r="E233">
        <v>2</v>
      </c>
      <c r="F233" t="s">
        <v>222</v>
      </c>
      <c r="G233" t="str">
        <f t="shared" si="22"/>
        <v>Paranephrops planifrons</v>
      </c>
      <c r="H233" t="str">
        <f t="shared" si="23"/>
        <v>Freshwater_crayfish</v>
      </c>
      <c r="I233" t="str">
        <f t="shared" si="24"/>
        <v>Kōura</v>
      </c>
      <c r="J233" t="str">
        <f t="shared" si="25"/>
        <v>Native</v>
      </c>
      <c r="K233" t="str">
        <f t="shared" si="26"/>
        <v>Yes</v>
      </c>
      <c r="L233" t="s">
        <v>223</v>
      </c>
      <c r="M233">
        <v>29</v>
      </c>
      <c r="O233">
        <v>1</v>
      </c>
      <c r="T233" t="str">
        <f t="shared" si="27"/>
        <v/>
      </c>
    </row>
    <row r="234" spans="1:20" x14ac:dyDescent="0.55000000000000004">
      <c r="A234">
        <v>98</v>
      </c>
      <c r="B234" t="str">
        <f t="shared" si="21"/>
        <v>98_0</v>
      </c>
      <c r="C234" s="2">
        <v>45603.5625</v>
      </c>
      <c r="D234" t="s">
        <v>245</v>
      </c>
      <c r="E234">
        <v>2</v>
      </c>
      <c r="F234" t="s">
        <v>222</v>
      </c>
      <c r="G234" t="str">
        <f t="shared" si="22"/>
        <v>Paranephrops planifrons</v>
      </c>
      <c r="H234" t="str">
        <f t="shared" si="23"/>
        <v>Freshwater_crayfish</v>
      </c>
      <c r="I234" t="str">
        <f t="shared" si="24"/>
        <v>Kōura</v>
      </c>
      <c r="J234" t="str">
        <f t="shared" si="25"/>
        <v>Native</v>
      </c>
      <c r="K234" t="str">
        <f t="shared" si="26"/>
        <v>Yes</v>
      </c>
      <c r="L234" t="s">
        <v>223</v>
      </c>
      <c r="M234">
        <v>28.83</v>
      </c>
      <c r="O234">
        <v>1</v>
      </c>
      <c r="R234">
        <v>1</v>
      </c>
      <c r="T234" t="str">
        <f t="shared" si="27"/>
        <v/>
      </c>
    </row>
    <row r="235" spans="1:20" x14ac:dyDescent="0.55000000000000004">
      <c r="A235">
        <v>113</v>
      </c>
      <c r="B235" t="str">
        <f t="shared" si="21"/>
        <v>113_0</v>
      </c>
      <c r="C235" s="2">
        <v>45680.387499942131</v>
      </c>
      <c r="D235" t="s">
        <v>221</v>
      </c>
      <c r="E235">
        <v>2</v>
      </c>
      <c r="F235" t="s">
        <v>222</v>
      </c>
      <c r="G235" t="str">
        <f t="shared" si="22"/>
        <v>Paranephrops planifrons</v>
      </c>
      <c r="H235" t="str">
        <f t="shared" si="23"/>
        <v>Freshwater_crayfish</v>
      </c>
      <c r="I235" t="str">
        <f t="shared" si="24"/>
        <v>Kōura</v>
      </c>
      <c r="J235" t="str">
        <f t="shared" si="25"/>
        <v>Native</v>
      </c>
      <c r="K235" t="str">
        <f t="shared" si="26"/>
        <v>Yes</v>
      </c>
      <c r="L235" t="s">
        <v>223</v>
      </c>
      <c r="M235">
        <v>28.61</v>
      </c>
      <c r="N235">
        <v>18</v>
      </c>
      <c r="O235">
        <v>1</v>
      </c>
      <c r="T235" t="str">
        <f t="shared" si="27"/>
        <v/>
      </c>
    </row>
    <row r="236" spans="1:20" x14ac:dyDescent="0.55000000000000004">
      <c r="A236">
        <v>113</v>
      </c>
      <c r="B236" t="str">
        <f t="shared" si="21"/>
        <v>113_0</v>
      </c>
      <c r="C236" s="2">
        <v>45680.387499942131</v>
      </c>
      <c r="D236" t="s">
        <v>221</v>
      </c>
      <c r="E236">
        <v>2</v>
      </c>
      <c r="F236" t="s">
        <v>222</v>
      </c>
      <c r="G236" t="str">
        <f t="shared" si="22"/>
        <v>Paranephrops planifrons</v>
      </c>
      <c r="H236" t="str">
        <f t="shared" si="23"/>
        <v>Freshwater_crayfish</v>
      </c>
      <c r="I236" t="str">
        <f t="shared" si="24"/>
        <v>Kōura</v>
      </c>
      <c r="J236" t="str">
        <f t="shared" si="25"/>
        <v>Native</v>
      </c>
      <c r="K236" t="str">
        <f t="shared" si="26"/>
        <v>Yes</v>
      </c>
      <c r="L236" t="s">
        <v>223</v>
      </c>
      <c r="M236">
        <v>28.59</v>
      </c>
      <c r="N236">
        <v>17</v>
      </c>
      <c r="O236">
        <v>1</v>
      </c>
      <c r="T236" t="str">
        <f t="shared" si="27"/>
        <v/>
      </c>
    </row>
    <row r="237" spans="1:20" x14ac:dyDescent="0.55000000000000004">
      <c r="A237">
        <v>73</v>
      </c>
      <c r="B237" t="str">
        <f t="shared" si="21"/>
        <v>73_0</v>
      </c>
      <c r="C237" s="2">
        <v>45674.479166608799</v>
      </c>
      <c r="D237" t="s">
        <v>221</v>
      </c>
      <c r="E237">
        <v>2</v>
      </c>
      <c r="F237" t="s">
        <v>222</v>
      </c>
      <c r="G237" t="str">
        <f t="shared" si="22"/>
        <v>Paranephrops planifrons</v>
      </c>
      <c r="H237" t="str">
        <f t="shared" si="23"/>
        <v>Freshwater_crayfish</v>
      </c>
      <c r="I237" t="str">
        <f t="shared" si="24"/>
        <v>Kōura</v>
      </c>
      <c r="J237" t="str">
        <f t="shared" si="25"/>
        <v>Native</v>
      </c>
      <c r="K237" t="str">
        <f t="shared" si="26"/>
        <v>Yes</v>
      </c>
      <c r="L237" t="s">
        <v>223</v>
      </c>
      <c r="M237">
        <v>28.24</v>
      </c>
      <c r="N237">
        <v>17</v>
      </c>
      <c r="O237">
        <v>1</v>
      </c>
      <c r="T237" t="str">
        <f t="shared" si="27"/>
        <v/>
      </c>
    </row>
    <row r="238" spans="1:20" x14ac:dyDescent="0.55000000000000004">
      <c r="A238">
        <v>98</v>
      </c>
      <c r="B238" t="str">
        <f t="shared" si="21"/>
        <v>98_0</v>
      </c>
      <c r="C238" s="2">
        <v>45603.5625</v>
      </c>
      <c r="D238" t="s">
        <v>221</v>
      </c>
      <c r="E238">
        <v>2</v>
      </c>
      <c r="F238" t="s">
        <v>222</v>
      </c>
      <c r="G238" t="str">
        <f t="shared" si="22"/>
        <v>Paranephrops planifrons</v>
      </c>
      <c r="H238" t="str">
        <f t="shared" si="23"/>
        <v>Freshwater_crayfish</v>
      </c>
      <c r="I238" t="str">
        <f t="shared" si="24"/>
        <v>Kōura</v>
      </c>
      <c r="J238" t="str">
        <f t="shared" si="25"/>
        <v>Native</v>
      </c>
      <c r="K238" t="str">
        <f t="shared" si="26"/>
        <v>Yes</v>
      </c>
      <c r="L238" t="s">
        <v>228</v>
      </c>
      <c r="M238">
        <v>28.17</v>
      </c>
      <c r="O238">
        <v>1</v>
      </c>
      <c r="T238" t="str">
        <f t="shared" si="27"/>
        <v/>
      </c>
    </row>
    <row r="239" spans="1:20" x14ac:dyDescent="0.55000000000000004">
      <c r="A239">
        <v>113</v>
      </c>
      <c r="B239" t="str">
        <f t="shared" si="21"/>
        <v>113_0</v>
      </c>
      <c r="C239" s="2">
        <v>45680.387499942131</v>
      </c>
      <c r="D239" t="s">
        <v>245</v>
      </c>
      <c r="E239">
        <v>2</v>
      </c>
      <c r="F239" t="s">
        <v>222</v>
      </c>
      <c r="G239" t="str">
        <f t="shared" si="22"/>
        <v>Paranephrops planifrons</v>
      </c>
      <c r="H239" t="str">
        <f t="shared" si="23"/>
        <v>Freshwater_crayfish</v>
      </c>
      <c r="I239" t="str">
        <f t="shared" si="24"/>
        <v>Kōura</v>
      </c>
      <c r="J239" t="str">
        <f t="shared" si="25"/>
        <v>Native</v>
      </c>
      <c r="K239" t="str">
        <f t="shared" si="26"/>
        <v>Yes</v>
      </c>
      <c r="L239" t="s">
        <v>228</v>
      </c>
      <c r="M239">
        <v>28.06</v>
      </c>
      <c r="N239">
        <v>19</v>
      </c>
      <c r="O239">
        <v>1</v>
      </c>
      <c r="T239" t="str">
        <f t="shared" si="27"/>
        <v/>
      </c>
    </row>
    <row r="240" spans="1:20" x14ac:dyDescent="0.55000000000000004">
      <c r="A240">
        <v>77</v>
      </c>
      <c r="B240" t="str">
        <f t="shared" si="21"/>
        <v>77_0</v>
      </c>
      <c r="C240" s="2">
        <v>45674.520833333336</v>
      </c>
      <c r="D240" t="s">
        <v>221</v>
      </c>
      <c r="E240">
        <v>2</v>
      </c>
      <c r="F240" t="s">
        <v>222</v>
      </c>
      <c r="G240" t="str">
        <f t="shared" si="22"/>
        <v>Paranephrops planifrons</v>
      </c>
      <c r="H240" t="str">
        <f t="shared" si="23"/>
        <v>Freshwater_crayfish</v>
      </c>
      <c r="I240" t="str">
        <f t="shared" si="24"/>
        <v>Kōura</v>
      </c>
      <c r="J240" t="str">
        <f t="shared" si="25"/>
        <v>Native</v>
      </c>
      <c r="K240" t="str">
        <f t="shared" si="26"/>
        <v>Yes</v>
      </c>
      <c r="L240" t="s">
        <v>223</v>
      </c>
      <c r="M240">
        <v>28.06</v>
      </c>
      <c r="N240">
        <v>12</v>
      </c>
      <c r="O240">
        <v>1</v>
      </c>
      <c r="T240" t="str">
        <f t="shared" si="27"/>
        <v/>
      </c>
    </row>
    <row r="241" spans="1:20" x14ac:dyDescent="0.55000000000000004">
      <c r="A241">
        <v>113</v>
      </c>
      <c r="B241" t="str">
        <f t="shared" si="21"/>
        <v>113_0</v>
      </c>
      <c r="C241" s="2">
        <v>45680.387499942131</v>
      </c>
      <c r="D241" t="s">
        <v>245</v>
      </c>
      <c r="E241">
        <v>2</v>
      </c>
      <c r="F241" t="s">
        <v>222</v>
      </c>
      <c r="G241" t="str">
        <f t="shared" si="22"/>
        <v>Paranephrops planifrons</v>
      </c>
      <c r="H241" t="str">
        <f t="shared" si="23"/>
        <v>Freshwater_crayfish</v>
      </c>
      <c r="I241" t="str">
        <f t="shared" si="24"/>
        <v>Kōura</v>
      </c>
      <c r="J241" t="str">
        <f t="shared" si="25"/>
        <v>Native</v>
      </c>
      <c r="K241" t="str">
        <f t="shared" si="26"/>
        <v>Yes</v>
      </c>
      <c r="L241" t="s">
        <v>223</v>
      </c>
      <c r="M241">
        <v>28.03</v>
      </c>
      <c r="N241">
        <v>16</v>
      </c>
      <c r="O241">
        <v>1</v>
      </c>
      <c r="T241" t="str">
        <f t="shared" si="27"/>
        <v/>
      </c>
    </row>
    <row r="242" spans="1:20" x14ac:dyDescent="0.55000000000000004">
      <c r="A242">
        <v>110</v>
      </c>
      <c r="B242" t="str">
        <f t="shared" si="21"/>
        <v>110_0</v>
      </c>
      <c r="C242" s="2">
        <v>45597.493055497682</v>
      </c>
      <c r="D242" t="s">
        <v>221</v>
      </c>
      <c r="E242">
        <v>2</v>
      </c>
      <c r="F242" t="s">
        <v>222</v>
      </c>
      <c r="G242" t="str">
        <f t="shared" si="22"/>
        <v>Paranephrops planifrons</v>
      </c>
      <c r="H242" t="str">
        <f t="shared" si="23"/>
        <v>Freshwater_crayfish</v>
      </c>
      <c r="I242" t="str">
        <f t="shared" si="24"/>
        <v>Kōura</v>
      </c>
      <c r="J242" t="str">
        <f t="shared" si="25"/>
        <v>Native</v>
      </c>
      <c r="K242" t="str">
        <f t="shared" si="26"/>
        <v>Yes</v>
      </c>
      <c r="L242" t="s">
        <v>228</v>
      </c>
      <c r="M242">
        <v>28</v>
      </c>
      <c r="N242">
        <v>20</v>
      </c>
      <c r="O242">
        <v>1</v>
      </c>
      <c r="T242" t="str">
        <f t="shared" si="27"/>
        <v/>
      </c>
    </row>
    <row r="243" spans="1:20" x14ac:dyDescent="0.55000000000000004">
      <c r="A243">
        <v>96</v>
      </c>
      <c r="B243" t="str">
        <f t="shared" si="21"/>
        <v>96_0</v>
      </c>
      <c r="C243" s="2">
        <v>45638.489583333336</v>
      </c>
      <c r="D243" t="s">
        <v>221</v>
      </c>
      <c r="E243">
        <v>2</v>
      </c>
      <c r="F243" t="s">
        <v>222</v>
      </c>
      <c r="G243" t="str">
        <f t="shared" si="22"/>
        <v>Paranephrops planifrons</v>
      </c>
      <c r="H243" t="str">
        <f t="shared" si="23"/>
        <v>Freshwater_crayfish</v>
      </c>
      <c r="I243" t="str">
        <f t="shared" si="24"/>
        <v>Kōura</v>
      </c>
      <c r="J243" t="str">
        <f t="shared" si="25"/>
        <v>Native</v>
      </c>
      <c r="K243" t="str">
        <f t="shared" si="26"/>
        <v>Yes</v>
      </c>
      <c r="L243" t="s">
        <v>223</v>
      </c>
      <c r="M243">
        <v>28</v>
      </c>
      <c r="N243">
        <v>17</v>
      </c>
      <c r="O243">
        <v>1</v>
      </c>
      <c r="T243" t="str">
        <f t="shared" si="27"/>
        <v/>
      </c>
    </row>
    <row r="244" spans="1:20" x14ac:dyDescent="0.55000000000000004">
      <c r="A244">
        <v>98</v>
      </c>
      <c r="B244" t="str">
        <f t="shared" si="21"/>
        <v>98_0</v>
      </c>
      <c r="C244" s="2">
        <v>45603.5625</v>
      </c>
      <c r="D244" t="s">
        <v>221</v>
      </c>
      <c r="E244">
        <v>2</v>
      </c>
      <c r="F244" t="s">
        <v>242</v>
      </c>
      <c r="G244" t="str">
        <f t="shared" si="22"/>
        <v>Gobiomorphus cotidianus</v>
      </c>
      <c r="H244" t="str">
        <f t="shared" si="23"/>
        <v>Common_bully</v>
      </c>
      <c r="I244" t="str">
        <f t="shared" si="24"/>
        <v>Toitoi</v>
      </c>
      <c r="J244" t="str">
        <f t="shared" si="25"/>
        <v>Native</v>
      </c>
      <c r="K244" t="str">
        <f t="shared" si="26"/>
        <v>No</v>
      </c>
      <c r="S244">
        <v>1.6</v>
      </c>
      <c r="T244">
        <f t="shared" si="27"/>
        <v>378.54079999999999</v>
      </c>
    </row>
    <row r="245" spans="1:20" x14ac:dyDescent="0.55000000000000004">
      <c r="A245">
        <v>120</v>
      </c>
      <c r="B245" t="str">
        <f t="shared" si="21"/>
        <v>120_0</v>
      </c>
      <c r="C245" s="2">
        <v>45597.429166666669</v>
      </c>
      <c r="D245" t="s">
        <v>221</v>
      </c>
      <c r="E245">
        <v>2</v>
      </c>
      <c r="F245" t="s">
        <v>222</v>
      </c>
      <c r="G245" t="str">
        <f t="shared" si="22"/>
        <v>Paranephrops planifrons</v>
      </c>
      <c r="H245" t="str">
        <f t="shared" si="23"/>
        <v>Freshwater_crayfish</v>
      </c>
      <c r="I245" t="str">
        <f t="shared" si="24"/>
        <v>Kōura</v>
      </c>
      <c r="J245" t="str">
        <f t="shared" si="25"/>
        <v>Native</v>
      </c>
      <c r="K245" t="str">
        <f t="shared" si="26"/>
        <v>Yes</v>
      </c>
      <c r="L245" t="s">
        <v>228</v>
      </c>
      <c r="M245">
        <v>28</v>
      </c>
      <c r="N245">
        <v>17</v>
      </c>
      <c r="O245">
        <v>1</v>
      </c>
      <c r="T245" t="str">
        <f t="shared" si="27"/>
        <v/>
      </c>
    </row>
    <row r="246" spans="1:20" x14ac:dyDescent="0.55000000000000004">
      <c r="A246">
        <v>97</v>
      </c>
      <c r="B246" t="str">
        <f t="shared" si="21"/>
        <v>97_0</v>
      </c>
      <c r="C246" s="2">
        <v>45603.524305497682</v>
      </c>
      <c r="D246" t="s">
        <v>245</v>
      </c>
      <c r="E246">
        <v>2</v>
      </c>
      <c r="F246" t="s">
        <v>222</v>
      </c>
      <c r="G246" t="str">
        <f t="shared" si="22"/>
        <v>Paranephrops planifrons</v>
      </c>
      <c r="H246" t="str">
        <f t="shared" si="23"/>
        <v>Freshwater_crayfish</v>
      </c>
      <c r="I246" t="str">
        <f t="shared" si="24"/>
        <v>Kōura</v>
      </c>
      <c r="J246" t="str">
        <f t="shared" si="25"/>
        <v>Native</v>
      </c>
      <c r="K246" t="str">
        <f t="shared" si="26"/>
        <v>Yes</v>
      </c>
      <c r="L246" t="s">
        <v>228</v>
      </c>
      <c r="M246">
        <v>28</v>
      </c>
      <c r="O246">
        <v>1</v>
      </c>
      <c r="T246" t="str">
        <f t="shared" si="27"/>
        <v/>
      </c>
    </row>
    <row r="247" spans="1:20" x14ac:dyDescent="0.55000000000000004">
      <c r="A247">
        <v>98</v>
      </c>
      <c r="B247" t="str">
        <f t="shared" si="21"/>
        <v>98_0</v>
      </c>
      <c r="C247" s="2">
        <v>45603.5625</v>
      </c>
      <c r="D247" t="s">
        <v>221</v>
      </c>
      <c r="E247">
        <v>2</v>
      </c>
      <c r="F247" t="s">
        <v>249</v>
      </c>
      <c r="G247" t="str">
        <f t="shared" si="22"/>
        <v>Anguilla dieffenbachii</v>
      </c>
      <c r="H247" t="str">
        <f t="shared" si="23"/>
        <v>Long_fin_eel</v>
      </c>
      <c r="I247" t="str">
        <f t="shared" si="24"/>
        <v>Tuna</v>
      </c>
      <c r="J247" t="str">
        <f t="shared" si="25"/>
        <v>Native</v>
      </c>
      <c r="K247" t="str">
        <f t="shared" si="26"/>
        <v>Yes</v>
      </c>
      <c r="M247">
        <v>850</v>
      </c>
      <c r="O247">
        <v>1</v>
      </c>
      <c r="T247" t="str">
        <f t="shared" si="27"/>
        <v/>
      </c>
    </row>
    <row r="248" spans="1:20" x14ac:dyDescent="0.55000000000000004">
      <c r="A248">
        <v>98</v>
      </c>
      <c r="B248" t="str">
        <f t="shared" si="21"/>
        <v>98_0</v>
      </c>
      <c r="C248" s="2">
        <v>45603.5625</v>
      </c>
      <c r="D248" t="s">
        <v>221</v>
      </c>
      <c r="E248">
        <v>2</v>
      </c>
      <c r="F248" t="s">
        <v>242</v>
      </c>
      <c r="G248" t="str">
        <f t="shared" si="22"/>
        <v>Gobiomorphus cotidianus</v>
      </c>
      <c r="H248" t="str">
        <f t="shared" si="23"/>
        <v>Common_bully</v>
      </c>
      <c r="I248" t="str">
        <f t="shared" si="24"/>
        <v>Toitoi</v>
      </c>
      <c r="J248" t="str">
        <f t="shared" si="25"/>
        <v>Native</v>
      </c>
      <c r="K248" t="str">
        <f t="shared" si="26"/>
        <v>No</v>
      </c>
      <c r="S248">
        <v>0.33</v>
      </c>
      <c r="T248">
        <f t="shared" si="27"/>
        <v>78.074039999999997</v>
      </c>
    </row>
    <row r="249" spans="1:20" x14ac:dyDescent="0.55000000000000004">
      <c r="A249">
        <v>99</v>
      </c>
      <c r="B249" t="str">
        <f t="shared" si="21"/>
        <v>99_0</v>
      </c>
      <c r="C249" s="2">
        <v>45603.395833333336</v>
      </c>
      <c r="D249" t="s">
        <v>245</v>
      </c>
      <c r="E249">
        <v>2</v>
      </c>
      <c r="F249" t="s">
        <v>242</v>
      </c>
      <c r="G249" t="str">
        <f t="shared" si="22"/>
        <v>Gobiomorphus cotidianus</v>
      </c>
      <c r="H249" t="str">
        <f t="shared" si="23"/>
        <v>Common_bully</v>
      </c>
      <c r="I249" t="str">
        <f t="shared" si="24"/>
        <v>Toitoi</v>
      </c>
      <c r="J249" t="str">
        <f t="shared" si="25"/>
        <v>Native</v>
      </c>
      <c r="K249" t="str">
        <f t="shared" si="26"/>
        <v>No</v>
      </c>
      <c r="M249">
        <v>72</v>
      </c>
      <c r="N249">
        <f t="shared" ref="N249:N290" si="28">50/42</f>
        <v>1.1904761904761905</v>
      </c>
      <c r="O249">
        <v>1</v>
      </c>
      <c r="T249" t="str">
        <f t="shared" si="27"/>
        <v/>
      </c>
    </row>
    <row r="250" spans="1:20" x14ac:dyDescent="0.55000000000000004">
      <c r="A250">
        <v>99</v>
      </c>
      <c r="B250" t="str">
        <f t="shared" si="21"/>
        <v>99_0</v>
      </c>
      <c r="C250" s="2">
        <v>45603.395833333336</v>
      </c>
      <c r="D250" t="s">
        <v>245</v>
      </c>
      <c r="E250">
        <v>2</v>
      </c>
      <c r="F250" t="s">
        <v>242</v>
      </c>
      <c r="G250" t="str">
        <f t="shared" si="22"/>
        <v>Gobiomorphus cotidianus</v>
      </c>
      <c r="H250" t="str">
        <f t="shared" si="23"/>
        <v>Common_bully</v>
      </c>
      <c r="I250" t="str">
        <f t="shared" si="24"/>
        <v>Toitoi</v>
      </c>
      <c r="J250" t="str">
        <f t="shared" si="25"/>
        <v>Native</v>
      </c>
      <c r="K250" t="str">
        <f t="shared" si="26"/>
        <v>No</v>
      </c>
      <c r="M250">
        <v>57</v>
      </c>
      <c r="N250">
        <f t="shared" si="28"/>
        <v>1.1904761904761905</v>
      </c>
      <c r="O250">
        <v>1</v>
      </c>
      <c r="T250" t="str">
        <f t="shared" si="27"/>
        <v/>
      </c>
    </row>
    <row r="251" spans="1:20" x14ac:dyDescent="0.55000000000000004">
      <c r="A251">
        <v>99</v>
      </c>
      <c r="B251" t="str">
        <f t="shared" si="21"/>
        <v>99_0</v>
      </c>
      <c r="C251" s="2">
        <v>45603.395833333336</v>
      </c>
      <c r="D251" t="s">
        <v>245</v>
      </c>
      <c r="E251">
        <v>2</v>
      </c>
      <c r="F251" t="s">
        <v>242</v>
      </c>
      <c r="G251" t="str">
        <f t="shared" si="22"/>
        <v>Gobiomorphus cotidianus</v>
      </c>
      <c r="H251" t="str">
        <f t="shared" si="23"/>
        <v>Common_bully</v>
      </c>
      <c r="I251" t="str">
        <f t="shared" si="24"/>
        <v>Toitoi</v>
      </c>
      <c r="J251" t="str">
        <f t="shared" si="25"/>
        <v>Native</v>
      </c>
      <c r="K251" t="str">
        <f t="shared" si="26"/>
        <v>No</v>
      </c>
      <c r="M251">
        <v>79</v>
      </c>
      <c r="N251">
        <f t="shared" si="28"/>
        <v>1.1904761904761905</v>
      </c>
      <c r="O251">
        <v>1</v>
      </c>
      <c r="T251" t="str">
        <f t="shared" si="27"/>
        <v/>
      </c>
    </row>
    <row r="252" spans="1:20" x14ac:dyDescent="0.55000000000000004">
      <c r="A252">
        <v>99</v>
      </c>
      <c r="B252" t="str">
        <f t="shared" si="21"/>
        <v>99_0</v>
      </c>
      <c r="C252" s="2">
        <v>45603.395833333336</v>
      </c>
      <c r="D252" t="s">
        <v>245</v>
      </c>
      <c r="E252">
        <v>2</v>
      </c>
      <c r="F252" t="s">
        <v>242</v>
      </c>
      <c r="G252" t="str">
        <f t="shared" si="22"/>
        <v>Gobiomorphus cotidianus</v>
      </c>
      <c r="H252" t="str">
        <f t="shared" si="23"/>
        <v>Common_bully</v>
      </c>
      <c r="I252" t="str">
        <f t="shared" si="24"/>
        <v>Toitoi</v>
      </c>
      <c r="J252" t="str">
        <f t="shared" si="25"/>
        <v>Native</v>
      </c>
      <c r="K252" t="str">
        <f t="shared" si="26"/>
        <v>No</v>
      </c>
      <c r="M252">
        <v>65</v>
      </c>
      <c r="N252">
        <f t="shared" si="28"/>
        <v>1.1904761904761905</v>
      </c>
      <c r="O252">
        <v>1</v>
      </c>
      <c r="T252" t="str">
        <f t="shared" si="27"/>
        <v/>
      </c>
    </row>
    <row r="253" spans="1:20" x14ac:dyDescent="0.55000000000000004">
      <c r="A253">
        <v>99</v>
      </c>
      <c r="B253" t="str">
        <f t="shared" si="21"/>
        <v>99_0</v>
      </c>
      <c r="C253" s="2">
        <v>45603.395833333336</v>
      </c>
      <c r="D253" t="s">
        <v>245</v>
      </c>
      <c r="E253">
        <v>2</v>
      </c>
      <c r="F253" t="s">
        <v>242</v>
      </c>
      <c r="G253" t="str">
        <f t="shared" si="22"/>
        <v>Gobiomorphus cotidianus</v>
      </c>
      <c r="H253" t="str">
        <f t="shared" si="23"/>
        <v>Common_bully</v>
      </c>
      <c r="I253" t="str">
        <f t="shared" si="24"/>
        <v>Toitoi</v>
      </c>
      <c r="J253" t="str">
        <f t="shared" si="25"/>
        <v>Native</v>
      </c>
      <c r="K253" t="str">
        <f t="shared" si="26"/>
        <v>No</v>
      </c>
      <c r="M253">
        <v>62</v>
      </c>
      <c r="N253">
        <f t="shared" si="28"/>
        <v>1.1904761904761905</v>
      </c>
      <c r="O253">
        <v>1</v>
      </c>
      <c r="T253" t="str">
        <f t="shared" si="27"/>
        <v/>
      </c>
    </row>
    <row r="254" spans="1:20" x14ac:dyDescent="0.55000000000000004">
      <c r="A254">
        <v>99</v>
      </c>
      <c r="B254" t="str">
        <f t="shared" si="21"/>
        <v>99_0</v>
      </c>
      <c r="C254" s="2">
        <v>45603.395833333336</v>
      </c>
      <c r="D254" t="s">
        <v>245</v>
      </c>
      <c r="E254">
        <v>2</v>
      </c>
      <c r="F254" t="s">
        <v>242</v>
      </c>
      <c r="G254" t="str">
        <f t="shared" si="22"/>
        <v>Gobiomorphus cotidianus</v>
      </c>
      <c r="H254" t="str">
        <f t="shared" si="23"/>
        <v>Common_bully</v>
      </c>
      <c r="I254" t="str">
        <f t="shared" si="24"/>
        <v>Toitoi</v>
      </c>
      <c r="J254" t="str">
        <f t="shared" si="25"/>
        <v>Native</v>
      </c>
      <c r="K254" t="str">
        <f t="shared" si="26"/>
        <v>No</v>
      </c>
      <c r="M254">
        <v>75</v>
      </c>
      <c r="N254">
        <f t="shared" si="28"/>
        <v>1.1904761904761905</v>
      </c>
      <c r="O254">
        <v>1</v>
      </c>
      <c r="T254" t="str">
        <f t="shared" si="27"/>
        <v/>
      </c>
    </row>
    <row r="255" spans="1:20" x14ac:dyDescent="0.55000000000000004">
      <c r="A255">
        <v>99</v>
      </c>
      <c r="B255" t="str">
        <f t="shared" si="21"/>
        <v>99_0</v>
      </c>
      <c r="C255" s="2">
        <v>45603.395833333336</v>
      </c>
      <c r="D255" t="s">
        <v>245</v>
      </c>
      <c r="E255">
        <v>2</v>
      </c>
      <c r="F255" t="s">
        <v>242</v>
      </c>
      <c r="G255" t="str">
        <f t="shared" si="22"/>
        <v>Gobiomorphus cotidianus</v>
      </c>
      <c r="H255" t="str">
        <f t="shared" si="23"/>
        <v>Common_bully</v>
      </c>
      <c r="I255" t="str">
        <f t="shared" si="24"/>
        <v>Toitoi</v>
      </c>
      <c r="J255" t="str">
        <f t="shared" si="25"/>
        <v>Native</v>
      </c>
      <c r="K255" t="str">
        <f t="shared" si="26"/>
        <v>No</v>
      </c>
      <c r="M255">
        <v>36</v>
      </c>
      <c r="N255">
        <f t="shared" si="28"/>
        <v>1.1904761904761905</v>
      </c>
      <c r="O255">
        <v>1</v>
      </c>
      <c r="T255" t="str">
        <f t="shared" si="27"/>
        <v/>
      </c>
    </row>
    <row r="256" spans="1:20" x14ac:dyDescent="0.55000000000000004">
      <c r="A256">
        <v>99</v>
      </c>
      <c r="B256" t="str">
        <f t="shared" si="21"/>
        <v>99_0</v>
      </c>
      <c r="C256" s="2">
        <v>45603.395833333336</v>
      </c>
      <c r="D256" t="s">
        <v>245</v>
      </c>
      <c r="E256">
        <v>2</v>
      </c>
      <c r="F256" t="s">
        <v>242</v>
      </c>
      <c r="G256" t="str">
        <f t="shared" si="22"/>
        <v>Gobiomorphus cotidianus</v>
      </c>
      <c r="H256" t="str">
        <f t="shared" si="23"/>
        <v>Common_bully</v>
      </c>
      <c r="I256" t="str">
        <f t="shared" si="24"/>
        <v>Toitoi</v>
      </c>
      <c r="J256" t="str">
        <f t="shared" si="25"/>
        <v>Native</v>
      </c>
      <c r="K256" t="str">
        <f t="shared" si="26"/>
        <v>No</v>
      </c>
      <c r="M256">
        <v>55</v>
      </c>
      <c r="N256">
        <f t="shared" si="28"/>
        <v>1.1904761904761905</v>
      </c>
      <c r="O256">
        <v>1</v>
      </c>
      <c r="T256" t="str">
        <f t="shared" si="27"/>
        <v/>
      </c>
    </row>
    <row r="257" spans="1:20" x14ac:dyDescent="0.55000000000000004">
      <c r="A257">
        <v>99</v>
      </c>
      <c r="B257" t="str">
        <f t="shared" si="21"/>
        <v>99_0</v>
      </c>
      <c r="C257" s="2">
        <v>45603.395833333336</v>
      </c>
      <c r="D257" t="s">
        <v>245</v>
      </c>
      <c r="E257">
        <v>2</v>
      </c>
      <c r="F257" t="s">
        <v>242</v>
      </c>
      <c r="G257" t="str">
        <f t="shared" si="22"/>
        <v>Gobiomorphus cotidianus</v>
      </c>
      <c r="H257" t="str">
        <f t="shared" si="23"/>
        <v>Common_bully</v>
      </c>
      <c r="I257" t="str">
        <f t="shared" si="24"/>
        <v>Toitoi</v>
      </c>
      <c r="J257" t="str">
        <f t="shared" si="25"/>
        <v>Native</v>
      </c>
      <c r="K257" t="str">
        <f t="shared" si="26"/>
        <v>No</v>
      </c>
      <c r="M257">
        <v>42</v>
      </c>
      <c r="N257">
        <f t="shared" si="28"/>
        <v>1.1904761904761905</v>
      </c>
      <c r="O257">
        <v>1</v>
      </c>
      <c r="T257" t="str">
        <f t="shared" si="27"/>
        <v/>
      </c>
    </row>
    <row r="258" spans="1:20" x14ac:dyDescent="0.55000000000000004">
      <c r="A258">
        <v>99</v>
      </c>
      <c r="B258" t="str">
        <f t="shared" ref="B258:B321" si="29">A258 &amp; "_0"</f>
        <v>99_0</v>
      </c>
      <c r="C258" s="2">
        <v>45603.395833333336</v>
      </c>
      <c r="D258" t="s">
        <v>245</v>
      </c>
      <c r="E258">
        <v>2</v>
      </c>
      <c r="F258" t="s">
        <v>242</v>
      </c>
      <c r="G258" t="str">
        <f t="shared" ref="G258:G321" si="30">VLOOKUP($F258, $W$1:$AB$10, 2, FALSE)</f>
        <v>Gobiomorphus cotidianus</v>
      </c>
      <c r="H258" t="str">
        <f t="shared" ref="H258:H321" si="31">VLOOKUP($F258, $W$1:$AB$10, 3, FALSE)</f>
        <v>Common_bully</v>
      </c>
      <c r="I258" t="str">
        <f t="shared" ref="I258:I321" si="32">VLOOKUP($F258, $W$1:$AB$10, 4, FALSE)</f>
        <v>Toitoi</v>
      </c>
      <c r="J258" t="str">
        <f t="shared" ref="J258:J321" si="33">VLOOKUP($F258, $W$1:$AC$10, 5, FALSE)</f>
        <v>Native</v>
      </c>
      <c r="K258" t="str">
        <f t="shared" ref="K258:K321" si="34">VLOOKUP($F258, $W$1:$AB$10, 6, FALSE)</f>
        <v>No</v>
      </c>
      <c r="M258">
        <v>55</v>
      </c>
      <c r="N258">
        <f t="shared" si="28"/>
        <v>1.1904761904761905</v>
      </c>
      <c r="O258">
        <v>1</v>
      </c>
      <c r="T258" t="str">
        <f t="shared" ref="T258:T321" si="35">IF(S258&lt;&gt;"", S258*236.588, "")</f>
        <v/>
      </c>
    </row>
    <row r="259" spans="1:20" x14ac:dyDescent="0.55000000000000004">
      <c r="A259">
        <v>99</v>
      </c>
      <c r="B259" t="str">
        <f t="shared" si="29"/>
        <v>99_0</v>
      </c>
      <c r="C259" s="2">
        <v>45603.395833333336</v>
      </c>
      <c r="D259" t="s">
        <v>245</v>
      </c>
      <c r="E259">
        <v>2</v>
      </c>
      <c r="F259" t="s">
        <v>242</v>
      </c>
      <c r="G259" t="str">
        <f t="shared" si="30"/>
        <v>Gobiomorphus cotidianus</v>
      </c>
      <c r="H259" t="str">
        <f t="shared" si="31"/>
        <v>Common_bully</v>
      </c>
      <c r="I259" t="str">
        <f t="shared" si="32"/>
        <v>Toitoi</v>
      </c>
      <c r="J259" t="str">
        <f t="shared" si="33"/>
        <v>Native</v>
      </c>
      <c r="K259" t="str">
        <f t="shared" si="34"/>
        <v>No</v>
      </c>
      <c r="M259">
        <v>60</v>
      </c>
      <c r="N259">
        <f t="shared" si="28"/>
        <v>1.1904761904761905</v>
      </c>
      <c r="O259">
        <v>1</v>
      </c>
      <c r="T259" t="str">
        <f t="shared" si="35"/>
        <v/>
      </c>
    </row>
    <row r="260" spans="1:20" x14ac:dyDescent="0.55000000000000004">
      <c r="A260">
        <v>99</v>
      </c>
      <c r="B260" t="str">
        <f t="shared" si="29"/>
        <v>99_0</v>
      </c>
      <c r="C260" s="2">
        <v>45603.395833333336</v>
      </c>
      <c r="D260" t="s">
        <v>245</v>
      </c>
      <c r="E260">
        <v>2</v>
      </c>
      <c r="F260" t="s">
        <v>242</v>
      </c>
      <c r="G260" t="str">
        <f t="shared" si="30"/>
        <v>Gobiomorphus cotidianus</v>
      </c>
      <c r="H260" t="str">
        <f t="shared" si="31"/>
        <v>Common_bully</v>
      </c>
      <c r="I260" t="str">
        <f t="shared" si="32"/>
        <v>Toitoi</v>
      </c>
      <c r="J260" t="str">
        <f t="shared" si="33"/>
        <v>Native</v>
      </c>
      <c r="K260" t="str">
        <f t="shared" si="34"/>
        <v>No</v>
      </c>
      <c r="M260">
        <v>60</v>
      </c>
      <c r="N260">
        <f t="shared" si="28"/>
        <v>1.1904761904761905</v>
      </c>
      <c r="O260">
        <v>1</v>
      </c>
      <c r="T260" t="str">
        <f t="shared" si="35"/>
        <v/>
      </c>
    </row>
    <row r="261" spans="1:20" x14ac:dyDescent="0.55000000000000004">
      <c r="A261">
        <v>99</v>
      </c>
      <c r="B261" t="str">
        <f t="shared" si="29"/>
        <v>99_0</v>
      </c>
      <c r="C261" s="2">
        <v>45603.395833333336</v>
      </c>
      <c r="D261" t="s">
        <v>245</v>
      </c>
      <c r="E261">
        <v>2</v>
      </c>
      <c r="F261" t="s">
        <v>242</v>
      </c>
      <c r="G261" t="str">
        <f t="shared" si="30"/>
        <v>Gobiomorphus cotidianus</v>
      </c>
      <c r="H261" t="str">
        <f t="shared" si="31"/>
        <v>Common_bully</v>
      </c>
      <c r="I261" t="str">
        <f t="shared" si="32"/>
        <v>Toitoi</v>
      </c>
      <c r="J261" t="str">
        <f t="shared" si="33"/>
        <v>Native</v>
      </c>
      <c r="K261" t="str">
        <f t="shared" si="34"/>
        <v>No</v>
      </c>
      <c r="M261">
        <v>65</v>
      </c>
      <c r="N261">
        <f t="shared" si="28"/>
        <v>1.1904761904761905</v>
      </c>
      <c r="O261">
        <v>1</v>
      </c>
      <c r="T261" t="str">
        <f t="shared" si="35"/>
        <v/>
      </c>
    </row>
    <row r="262" spans="1:20" x14ac:dyDescent="0.55000000000000004">
      <c r="A262">
        <v>99</v>
      </c>
      <c r="B262" t="str">
        <f t="shared" si="29"/>
        <v>99_0</v>
      </c>
      <c r="C262" s="2">
        <v>45603.395833333336</v>
      </c>
      <c r="D262" t="s">
        <v>245</v>
      </c>
      <c r="E262">
        <v>2</v>
      </c>
      <c r="F262" t="s">
        <v>242</v>
      </c>
      <c r="G262" t="str">
        <f t="shared" si="30"/>
        <v>Gobiomorphus cotidianus</v>
      </c>
      <c r="H262" t="str">
        <f t="shared" si="31"/>
        <v>Common_bully</v>
      </c>
      <c r="I262" t="str">
        <f t="shared" si="32"/>
        <v>Toitoi</v>
      </c>
      <c r="J262" t="str">
        <f t="shared" si="33"/>
        <v>Native</v>
      </c>
      <c r="K262" t="str">
        <f t="shared" si="34"/>
        <v>No</v>
      </c>
      <c r="M262">
        <v>56</v>
      </c>
      <c r="N262">
        <f t="shared" si="28"/>
        <v>1.1904761904761905</v>
      </c>
      <c r="O262">
        <v>1</v>
      </c>
      <c r="T262" t="str">
        <f t="shared" si="35"/>
        <v/>
      </c>
    </row>
    <row r="263" spans="1:20" x14ac:dyDescent="0.55000000000000004">
      <c r="A263">
        <v>99</v>
      </c>
      <c r="B263" t="str">
        <f t="shared" si="29"/>
        <v>99_0</v>
      </c>
      <c r="C263" s="2">
        <v>45603.395833333336</v>
      </c>
      <c r="D263" t="s">
        <v>245</v>
      </c>
      <c r="E263">
        <v>2</v>
      </c>
      <c r="F263" t="s">
        <v>242</v>
      </c>
      <c r="G263" t="str">
        <f t="shared" si="30"/>
        <v>Gobiomorphus cotidianus</v>
      </c>
      <c r="H263" t="str">
        <f t="shared" si="31"/>
        <v>Common_bully</v>
      </c>
      <c r="I263" t="str">
        <f t="shared" si="32"/>
        <v>Toitoi</v>
      </c>
      <c r="J263" t="str">
        <f t="shared" si="33"/>
        <v>Native</v>
      </c>
      <c r="K263" t="str">
        <f t="shared" si="34"/>
        <v>No</v>
      </c>
      <c r="M263">
        <v>48</v>
      </c>
      <c r="N263">
        <f t="shared" si="28"/>
        <v>1.1904761904761905</v>
      </c>
      <c r="O263">
        <v>1</v>
      </c>
      <c r="T263" t="str">
        <f t="shared" si="35"/>
        <v/>
      </c>
    </row>
    <row r="264" spans="1:20" x14ac:dyDescent="0.55000000000000004">
      <c r="A264">
        <v>99</v>
      </c>
      <c r="B264" t="str">
        <f t="shared" si="29"/>
        <v>99_0</v>
      </c>
      <c r="C264" s="2">
        <v>45603.395833333336</v>
      </c>
      <c r="D264" t="s">
        <v>245</v>
      </c>
      <c r="E264">
        <v>2</v>
      </c>
      <c r="F264" t="s">
        <v>242</v>
      </c>
      <c r="G264" t="str">
        <f t="shared" si="30"/>
        <v>Gobiomorphus cotidianus</v>
      </c>
      <c r="H264" t="str">
        <f t="shared" si="31"/>
        <v>Common_bully</v>
      </c>
      <c r="I264" t="str">
        <f t="shared" si="32"/>
        <v>Toitoi</v>
      </c>
      <c r="J264" t="str">
        <f t="shared" si="33"/>
        <v>Native</v>
      </c>
      <c r="K264" t="str">
        <f t="shared" si="34"/>
        <v>No</v>
      </c>
      <c r="M264">
        <v>35</v>
      </c>
      <c r="N264">
        <f t="shared" si="28"/>
        <v>1.1904761904761905</v>
      </c>
      <c r="O264">
        <v>1</v>
      </c>
      <c r="T264" t="str">
        <f t="shared" si="35"/>
        <v/>
      </c>
    </row>
    <row r="265" spans="1:20" x14ac:dyDescent="0.55000000000000004">
      <c r="A265">
        <v>99</v>
      </c>
      <c r="B265" t="str">
        <f t="shared" si="29"/>
        <v>99_0</v>
      </c>
      <c r="C265" s="2">
        <v>45603.395833333336</v>
      </c>
      <c r="D265" t="s">
        <v>245</v>
      </c>
      <c r="E265">
        <v>2</v>
      </c>
      <c r="F265" t="s">
        <v>242</v>
      </c>
      <c r="G265" t="str">
        <f t="shared" si="30"/>
        <v>Gobiomorphus cotidianus</v>
      </c>
      <c r="H265" t="str">
        <f t="shared" si="31"/>
        <v>Common_bully</v>
      </c>
      <c r="I265" t="str">
        <f t="shared" si="32"/>
        <v>Toitoi</v>
      </c>
      <c r="J265" t="str">
        <f t="shared" si="33"/>
        <v>Native</v>
      </c>
      <c r="K265" t="str">
        <f t="shared" si="34"/>
        <v>No</v>
      </c>
      <c r="M265">
        <v>57</v>
      </c>
      <c r="N265">
        <f t="shared" si="28"/>
        <v>1.1904761904761905</v>
      </c>
      <c r="O265">
        <v>1</v>
      </c>
      <c r="T265" t="str">
        <f t="shared" si="35"/>
        <v/>
      </c>
    </row>
    <row r="266" spans="1:20" x14ac:dyDescent="0.55000000000000004">
      <c r="A266">
        <v>99</v>
      </c>
      <c r="B266" t="str">
        <f t="shared" si="29"/>
        <v>99_0</v>
      </c>
      <c r="C266" s="2">
        <v>45603.395833333336</v>
      </c>
      <c r="D266" t="s">
        <v>245</v>
      </c>
      <c r="E266">
        <v>2</v>
      </c>
      <c r="F266" t="s">
        <v>242</v>
      </c>
      <c r="G266" t="str">
        <f t="shared" si="30"/>
        <v>Gobiomorphus cotidianus</v>
      </c>
      <c r="H266" t="str">
        <f t="shared" si="31"/>
        <v>Common_bully</v>
      </c>
      <c r="I266" t="str">
        <f t="shared" si="32"/>
        <v>Toitoi</v>
      </c>
      <c r="J266" t="str">
        <f t="shared" si="33"/>
        <v>Native</v>
      </c>
      <c r="K266" t="str">
        <f t="shared" si="34"/>
        <v>No</v>
      </c>
      <c r="M266">
        <v>35</v>
      </c>
      <c r="N266">
        <f t="shared" si="28"/>
        <v>1.1904761904761905</v>
      </c>
      <c r="O266">
        <v>1</v>
      </c>
      <c r="T266" t="str">
        <f t="shared" si="35"/>
        <v/>
      </c>
    </row>
    <row r="267" spans="1:20" x14ac:dyDescent="0.55000000000000004">
      <c r="A267">
        <v>99</v>
      </c>
      <c r="B267" t="str">
        <f t="shared" si="29"/>
        <v>99_0</v>
      </c>
      <c r="C267" s="2">
        <v>45603.395833333336</v>
      </c>
      <c r="D267" t="s">
        <v>245</v>
      </c>
      <c r="E267">
        <v>2</v>
      </c>
      <c r="F267" t="s">
        <v>242</v>
      </c>
      <c r="G267" t="str">
        <f t="shared" si="30"/>
        <v>Gobiomorphus cotidianus</v>
      </c>
      <c r="H267" t="str">
        <f t="shared" si="31"/>
        <v>Common_bully</v>
      </c>
      <c r="I267" t="str">
        <f t="shared" si="32"/>
        <v>Toitoi</v>
      </c>
      <c r="J267" t="str">
        <f t="shared" si="33"/>
        <v>Native</v>
      </c>
      <c r="K267" t="str">
        <f t="shared" si="34"/>
        <v>No</v>
      </c>
      <c r="M267">
        <v>58</v>
      </c>
      <c r="N267">
        <f t="shared" si="28"/>
        <v>1.1904761904761905</v>
      </c>
      <c r="O267">
        <v>1</v>
      </c>
      <c r="T267" t="str">
        <f t="shared" si="35"/>
        <v/>
      </c>
    </row>
    <row r="268" spans="1:20" x14ac:dyDescent="0.55000000000000004">
      <c r="A268">
        <v>99</v>
      </c>
      <c r="B268" t="str">
        <f t="shared" si="29"/>
        <v>99_0</v>
      </c>
      <c r="C268" s="2">
        <v>45603.395833333336</v>
      </c>
      <c r="D268" t="s">
        <v>245</v>
      </c>
      <c r="E268">
        <v>2</v>
      </c>
      <c r="F268" t="s">
        <v>242</v>
      </c>
      <c r="G268" t="str">
        <f t="shared" si="30"/>
        <v>Gobiomorphus cotidianus</v>
      </c>
      <c r="H268" t="str">
        <f t="shared" si="31"/>
        <v>Common_bully</v>
      </c>
      <c r="I268" t="str">
        <f t="shared" si="32"/>
        <v>Toitoi</v>
      </c>
      <c r="J268" t="str">
        <f t="shared" si="33"/>
        <v>Native</v>
      </c>
      <c r="K268" t="str">
        <f t="shared" si="34"/>
        <v>No</v>
      </c>
      <c r="M268">
        <v>65</v>
      </c>
      <c r="N268">
        <f t="shared" si="28"/>
        <v>1.1904761904761905</v>
      </c>
      <c r="O268">
        <v>1</v>
      </c>
      <c r="T268" t="str">
        <f t="shared" si="35"/>
        <v/>
      </c>
    </row>
    <row r="269" spans="1:20" x14ac:dyDescent="0.55000000000000004">
      <c r="A269">
        <v>99</v>
      </c>
      <c r="B269" t="str">
        <f t="shared" si="29"/>
        <v>99_0</v>
      </c>
      <c r="C269" s="2">
        <v>45603.395833333336</v>
      </c>
      <c r="D269" t="s">
        <v>245</v>
      </c>
      <c r="E269">
        <v>2</v>
      </c>
      <c r="F269" t="s">
        <v>242</v>
      </c>
      <c r="G269" t="str">
        <f t="shared" si="30"/>
        <v>Gobiomorphus cotidianus</v>
      </c>
      <c r="H269" t="str">
        <f t="shared" si="31"/>
        <v>Common_bully</v>
      </c>
      <c r="I269" t="str">
        <f t="shared" si="32"/>
        <v>Toitoi</v>
      </c>
      <c r="J269" t="str">
        <f t="shared" si="33"/>
        <v>Native</v>
      </c>
      <c r="K269" t="str">
        <f t="shared" si="34"/>
        <v>No</v>
      </c>
      <c r="M269">
        <v>65</v>
      </c>
      <c r="N269">
        <f t="shared" si="28"/>
        <v>1.1904761904761905</v>
      </c>
      <c r="O269">
        <v>1</v>
      </c>
      <c r="T269" t="str">
        <f t="shared" si="35"/>
        <v/>
      </c>
    </row>
    <row r="270" spans="1:20" x14ac:dyDescent="0.55000000000000004">
      <c r="A270">
        <v>99</v>
      </c>
      <c r="B270" t="str">
        <f t="shared" si="29"/>
        <v>99_0</v>
      </c>
      <c r="C270" s="2">
        <v>45603.395833333336</v>
      </c>
      <c r="D270" t="s">
        <v>245</v>
      </c>
      <c r="E270">
        <v>2</v>
      </c>
      <c r="F270" t="s">
        <v>242</v>
      </c>
      <c r="G270" t="str">
        <f t="shared" si="30"/>
        <v>Gobiomorphus cotidianus</v>
      </c>
      <c r="H270" t="str">
        <f t="shared" si="31"/>
        <v>Common_bully</v>
      </c>
      <c r="I270" t="str">
        <f t="shared" si="32"/>
        <v>Toitoi</v>
      </c>
      <c r="J270" t="str">
        <f t="shared" si="33"/>
        <v>Native</v>
      </c>
      <c r="K270" t="str">
        <f t="shared" si="34"/>
        <v>No</v>
      </c>
      <c r="M270">
        <v>51</v>
      </c>
      <c r="N270">
        <f t="shared" si="28"/>
        <v>1.1904761904761905</v>
      </c>
      <c r="O270">
        <v>1</v>
      </c>
      <c r="T270" t="str">
        <f t="shared" si="35"/>
        <v/>
      </c>
    </row>
    <row r="271" spans="1:20" x14ac:dyDescent="0.55000000000000004">
      <c r="A271">
        <v>99</v>
      </c>
      <c r="B271" t="str">
        <f t="shared" si="29"/>
        <v>99_0</v>
      </c>
      <c r="C271" s="2">
        <v>45603.395833333336</v>
      </c>
      <c r="D271" t="s">
        <v>245</v>
      </c>
      <c r="E271">
        <v>2</v>
      </c>
      <c r="F271" t="s">
        <v>242</v>
      </c>
      <c r="G271" t="str">
        <f t="shared" si="30"/>
        <v>Gobiomorphus cotidianus</v>
      </c>
      <c r="H271" t="str">
        <f t="shared" si="31"/>
        <v>Common_bully</v>
      </c>
      <c r="I271" t="str">
        <f t="shared" si="32"/>
        <v>Toitoi</v>
      </c>
      <c r="J271" t="str">
        <f t="shared" si="33"/>
        <v>Native</v>
      </c>
      <c r="K271" t="str">
        <f t="shared" si="34"/>
        <v>No</v>
      </c>
      <c r="M271">
        <v>66</v>
      </c>
      <c r="N271">
        <f t="shared" si="28"/>
        <v>1.1904761904761905</v>
      </c>
      <c r="O271">
        <v>1</v>
      </c>
      <c r="T271" t="str">
        <f t="shared" si="35"/>
        <v/>
      </c>
    </row>
    <row r="272" spans="1:20" x14ac:dyDescent="0.55000000000000004">
      <c r="A272">
        <v>99</v>
      </c>
      <c r="B272" t="str">
        <f t="shared" si="29"/>
        <v>99_0</v>
      </c>
      <c r="C272" s="2">
        <v>45603.395833333336</v>
      </c>
      <c r="D272" t="s">
        <v>245</v>
      </c>
      <c r="E272">
        <v>2</v>
      </c>
      <c r="F272" t="s">
        <v>242</v>
      </c>
      <c r="G272" t="str">
        <f t="shared" si="30"/>
        <v>Gobiomorphus cotidianus</v>
      </c>
      <c r="H272" t="str">
        <f t="shared" si="31"/>
        <v>Common_bully</v>
      </c>
      <c r="I272" t="str">
        <f t="shared" si="32"/>
        <v>Toitoi</v>
      </c>
      <c r="J272" t="str">
        <f t="shared" si="33"/>
        <v>Native</v>
      </c>
      <c r="K272" t="str">
        <f t="shared" si="34"/>
        <v>No</v>
      </c>
      <c r="M272">
        <v>45</v>
      </c>
      <c r="N272">
        <f t="shared" si="28"/>
        <v>1.1904761904761905</v>
      </c>
      <c r="O272">
        <v>1</v>
      </c>
      <c r="T272" t="str">
        <f t="shared" si="35"/>
        <v/>
      </c>
    </row>
    <row r="273" spans="1:20" x14ac:dyDescent="0.55000000000000004">
      <c r="A273">
        <v>99</v>
      </c>
      <c r="B273" t="str">
        <f t="shared" si="29"/>
        <v>99_0</v>
      </c>
      <c r="C273" s="2">
        <v>45603.395833333336</v>
      </c>
      <c r="D273" t="s">
        <v>245</v>
      </c>
      <c r="E273">
        <v>2</v>
      </c>
      <c r="F273" t="s">
        <v>242</v>
      </c>
      <c r="G273" t="str">
        <f t="shared" si="30"/>
        <v>Gobiomorphus cotidianus</v>
      </c>
      <c r="H273" t="str">
        <f t="shared" si="31"/>
        <v>Common_bully</v>
      </c>
      <c r="I273" t="str">
        <f t="shared" si="32"/>
        <v>Toitoi</v>
      </c>
      <c r="J273" t="str">
        <f t="shared" si="33"/>
        <v>Native</v>
      </c>
      <c r="K273" t="str">
        <f t="shared" si="34"/>
        <v>No</v>
      </c>
      <c r="M273">
        <v>61</v>
      </c>
      <c r="N273">
        <f t="shared" si="28"/>
        <v>1.1904761904761905</v>
      </c>
      <c r="O273">
        <v>1</v>
      </c>
      <c r="T273" t="str">
        <f t="shared" si="35"/>
        <v/>
      </c>
    </row>
    <row r="274" spans="1:20" x14ac:dyDescent="0.55000000000000004">
      <c r="A274">
        <v>99</v>
      </c>
      <c r="B274" t="str">
        <f t="shared" si="29"/>
        <v>99_0</v>
      </c>
      <c r="C274" s="2">
        <v>45603.395833333336</v>
      </c>
      <c r="D274" t="s">
        <v>245</v>
      </c>
      <c r="E274">
        <v>2</v>
      </c>
      <c r="F274" t="s">
        <v>242</v>
      </c>
      <c r="G274" t="str">
        <f t="shared" si="30"/>
        <v>Gobiomorphus cotidianus</v>
      </c>
      <c r="H274" t="str">
        <f t="shared" si="31"/>
        <v>Common_bully</v>
      </c>
      <c r="I274" t="str">
        <f t="shared" si="32"/>
        <v>Toitoi</v>
      </c>
      <c r="J274" t="str">
        <f t="shared" si="33"/>
        <v>Native</v>
      </c>
      <c r="K274" t="str">
        <f t="shared" si="34"/>
        <v>No</v>
      </c>
      <c r="M274">
        <v>60</v>
      </c>
      <c r="N274">
        <f t="shared" si="28"/>
        <v>1.1904761904761905</v>
      </c>
      <c r="O274">
        <v>1</v>
      </c>
      <c r="T274" t="str">
        <f t="shared" si="35"/>
        <v/>
      </c>
    </row>
    <row r="275" spans="1:20" x14ac:dyDescent="0.55000000000000004">
      <c r="A275">
        <v>99</v>
      </c>
      <c r="B275" t="str">
        <f t="shared" si="29"/>
        <v>99_0</v>
      </c>
      <c r="C275" s="2">
        <v>45603.395833333336</v>
      </c>
      <c r="D275" t="s">
        <v>245</v>
      </c>
      <c r="E275">
        <v>2</v>
      </c>
      <c r="F275" t="s">
        <v>242</v>
      </c>
      <c r="G275" t="str">
        <f t="shared" si="30"/>
        <v>Gobiomorphus cotidianus</v>
      </c>
      <c r="H275" t="str">
        <f t="shared" si="31"/>
        <v>Common_bully</v>
      </c>
      <c r="I275" t="str">
        <f t="shared" si="32"/>
        <v>Toitoi</v>
      </c>
      <c r="J275" t="str">
        <f t="shared" si="33"/>
        <v>Native</v>
      </c>
      <c r="K275" t="str">
        <f t="shared" si="34"/>
        <v>No</v>
      </c>
      <c r="M275">
        <v>44</v>
      </c>
      <c r="N275">
        <f t="shared" si="28"/>
        <v>1.1904761904761905</v>
      </c>
      <c r="O275">
        <v>1</v>
      </c>
      <c r="T275" t="str">
        <f t="shared" si="35"/>
        <v/>
      </c>
    </row>
    <row r="276" spans="1:20" x14ac:dyDescent="0.55000000000000004">
      <c r="A276">
        <v>99</v>
      </c>
      <c r="B276" t="str">
        <f t="shared" si="29"/>
        <v>99_0</v>
      </c>
      <c r="C276" s="2">
        <v>45603.395833333336</v>
      </c>
      <c r="D276" t="s">
        <v>245</v>
      </c>
      <c r="E276">
        <v>2</v>
      </c>
      <c r="F276" t="s">
        <v>242</v>
      </c>
      <c r="G276" t="str">
        <f t="shared" si="30"/>
        <v>Gobiomorphus cotidianus</v>
      </c>
      <c r="H276" t="str">
        <f t="shared" si="31"/>
        <v>Common_bully</v>
      </c>
      <c r="I276" t="str">
        <f t="shared" si="32"/>
        <v>Toitoi</v>
      </c>
      <c r="J276" t="str">
        <f t="shared" si="33"/>
        <v>Native</v>
      </c>
      <c r="K276" t="str">
        <f t="shared" si="34"/>
        <v>No</v>
      </c>
      <c r="M276">
        <v>34</v>
      </c>
      <c r="N276">
        <f t="shared" si="28"/>
        <v>1.1904761904761905</v>
      </c>
      <c r="O276">
        <v>1</v>
      </c>
      <c r="T276" t="str">
        <f t="shared" si="35"/>
        <v/>
      </c>
    </row>
    <row r="277" spans="1:20" x14ac:dyDescent="0.55000000000000004">
      <c r="A277">
        <v>99</v>
      </c>
      <c r="B277" t="str">
        <f t="shared" si="29"/>
        <v>99_0</v>
      </c>
      <c r="C277" s="2">
        <v>45603.395833333336</v>
      </c>
      <c r="D277" t="s">
        <v>245</v>
      </c>
      <c r="E277">
        <v>2</v>
      </c>
      <c r="F277" t="s">
        <v>242</v>
      </c>
      <c r="G277" t="str">
        <f t="shared" si="30"/>
        <v>Gobiomorphus cotidianus</v>
      </c>
      <c r="H277" t="str">
        <f t="shared" si="31"/>
        <v>Common_bully</v>
      </c>
      <c r="I277" t="str">
        <f t="shared" si="32"/>
        <v>Toitoi</v>
      </c>
      <c r="J277" t="str">
        <f t="shared" si="33"/>
        <v>Native</v>
      </c>
      <c r="K277" t="str">
        <f t="shared" si="34"/>
        <v>No</v>
      </c>
      <c r="M277">
        <v>50</v>
      </c>
      <c r="N277">
        <f t="shared" si="28"/>
        <v>1.1904761904761905</v>
      </c>
      <c r="O277">
        <v>1</v>
      </c>
      <c r="T277" t="str">
        <f t="shared" si="35"/>
        <v/>
      </c>
    </row>
    <row r="278" spans="1:20" x14ac:dyDescent="0.55000000000000004">
      <c r="A278">
        <v>99</v>
      </c>
      <c r="B278" t="str">
        <f t="shared" si="29"/>
        <v>99_0</v>
      </c>
      <c r="C278" s="2">
        <v>45603.395833333336</v>
      </c>
      <c r="D278" t="s">
        <v>245</v>
      </c>
      <c r="E278">
        <v>2</v>
      </c>
      <c r="F278" t="s">
        <v>242</v>
      </c>
      <c r="G278" t="str">
        <f t="shared" si="30"/>
        <v>Gobiomorphus cotidianus</v>
      </c>
      <c r="H278" t="str">
        <f t="shared" si="31"/>
        <v>Common_bully</v>
      </c>
      <c r="I278" t="str">
        <f t="shared" si="32"/>
        <v>Toitoi</v>
      </c>
      <c r="J278" t="str">
        <f t="shared" si="33"/>
        <v>Native</v>
      </c>
      <c r="K278" t="str">
        <f t="shared" si="34"/>
        <v>No</v>
      </c>
      <c r="M278">
        <v>55</v>
      </c>
      <c r="N278">
        <f t="shared" si="28"/>
        <v>1.1904761904761905</v>
      </c>
      <c r="O278">
        <v>1</v>
      </c>
      <c r="T278" t="str">
        <f t="shared" si="35"/>
        <v/>
      </c>
    </row>
    <row r="279" spans="1:20" x14ac:dyDescent="0.55000000000000004">
      <c r="A279">
        <v>99</v>
      </c>
      <c r="B279" t="str">
        <f t="shared" si="29"/>
        <v>99_0</v>
      </c>
      <c r="C279" s="2">
        <v>45603.395833333336</v>
      </c>
      <c r="D279" t="s">
        <v>245</v>
      </c>
      <c r="E279">
        <v>2</v>
      </c>
      <c r="F279" t="s">
        <v>242</v>
      </c>
      <c r="G279" t="str">
        <f t="shared" si="30"/>
        <v>Gobiomorphus cotidianus</v>
      </c>
      <c r="H279" t="str">
        <f t="shared" si="31"/>
        <v>Common_bully</v>
      </c>
      <c r="I279" t="str">
        <f t="shared" si="32"/>
        <v>Toitoi</v>
      </c>
      <c r="J279" t="str">
        <f t="shared" si="33"/>
        <v>Native</v>
      </c>
      <c r="K279" t="str">
        <f t="shared" si="34"/>
        <v>No</v>
      </c>
      <c r="M279">
        <v>44</v>
      </c>
      <c r="N279">
        <f t="shared" si="28"/>
        <v>1.1904761904761905</v>
      </c>
      <c r="O279">
        <v>1</v>
      </c>
      <c r="T279" t="str">
        <f t="shared" si="35"/>
        <v/>
      </c>
    </row>
    <row r="280" spans="1:20" x14ac:dyDescent="0.55000000000000004">
      <c r="A280">
        <v>99</v>
      </c>
      <c r="B280" t="str">
        <f t="shared" si="29"/>
        <v>99_0</v>
      </c>
      <c r="C280" s="2">
        <v>45603.395833333336</v>
      </c>
      <c r="D280" t="s">
        <v>245</v>
      </c>
      <c r="E280">
        <v>2</v>
      </c>
      <c r="F280" t="s">
        <v>242</v>
      </c>
      <c r="G280" t="str">
        <f t="shared" si="30"/>
        <v>Gobiomorphus cotidianus</v>
      </c>
      <c r="H280" t="str">
        <f t="shared" si="31"/>
        <v>Common_bully</v>
      </c>
      <c r="I280" t="str">
        <f t="shared" si="32"/>
        <v>Toitoi</v>
      </c>
      <c r="J280" t="str">
        <f t="shared" si="33"/>
        <v>Native</v>
      </c>
      <c r="K280" t="str">
        <f t="shared" si="34"/>
        <v>No</v>
      </c>
      <c r="M280">
        <v>56</v>
      </c>
      <c r="N280">
        <f t="shared" si="28"/>
        <v>1.1904761904761905</v>
      </c>
      <c r="O280">
        <v>1</v>
      </c>
      <c r="T280" t="str">
        <f t="shared" si="35"/>
        <v/>
      </c>
    </row>
    <row r="281" spans="1:20" x14ac:dyDescent="0.55000000000000004">
      <c r="A281">
        <v>99</v>
      </c>
      <c r="B281" t="str">
        <f t="shared" si="29"/>
        <v>99_0</v>
      </c>
      <c r="C281" s="2">
        <v>45603.395833333336</v>
      </c>
      <c r="D281" t="s">
        <v>245</v>
      </c>
      <c r="E281">
        <v>2</v>
      </c>
      <c r="F281" t="s">
        <v>242</v>
      </c>
      <c r="G281" t="str">
        <f t="shared" si="30"/>
        <v>Gobiomorphus cotidianus</v>
      </c>
      <c r="H281" t="str">
        <f t="shared" si="31"/>
        <v>Common_bully</v>
      </c>
      <c r="I281" t="str">
        <f t="shared" si="32"/>
        <v>Toitoi</v>
      </c>
      <c r="J281" t="str">
        <f t="shared" si="33"/>
        <v>Native</v>
      </c>
      <c r="K281" t="str">
        <f t="shared" si="34"/>
        <v>No</v>
      </c>
      <c r="M281">
        <v>46</v>
      </c>
      <c r="N281">
        <f t="shared" si="28"/>
        <v>1.1904761904761905</v>
      </c>
      <c r="O281">
        <v>1</v>
      </c>
      <c r="T281" t="str">
        <f t="shared" si="35"/>
        <v/>
      </c>
    </row>
    <row r="282" spans="1:20" x14ac:dyDescent="0.55000000000000004">
      <c r="A282">
        <v>99</v>
      </c>
      <c r="B282" t="str">
        <f t="shared" si="29"/>
        <v>99_0</v>
      </c>
      <c r="C282" s="2">
        <v>45603.395833333336</v>
      </c>
      <c r="D282" t="s">
        <v>245</v>
      </c>
      <c r="E282">
        <v>2</v>
      </c>
      <c r="F282" t="s">
        <v>242</v>
      </c>
      <c r="G282" t="str">
        <f t="shared" si="30"/>
        <v>Gobiomorphus cotidianus</v>
      </c>
      <c r="H282" t="str">
        <f t="shared" si="31"/>
        <v>Common_bully</v>
      </c>
      <c r="I282" t="str">
        <f t="shared" si="32"/>
        <v>Toitoi</v>
      </c>
      <c r="J282" t="str">
        <f t="shared" si="33"/>
        <v>Native</v>
      </c>
      <c r="K282" t="str">
        <f t="shared" si="34"/>
        <v>No</v>
      </c>
      <c r="M282">
        <v>39</v>
      </c>
      <c r="N282">
        <f t="shared" si="28"/>
        <v>1.1904761904761905</v>
      </c>
      <c r="O282">
        <v>1</v>
      </c>
      <c r="T282" t="str">
        <f t="shared" si="35"/>
        <v/>
      </c>
    </row>
    <row r="283" spans="1:20" x14ac:dyDescent="0.55000000000000004">
      <c r="A283">
        <v>99</v>
      </c>
      <c r="B283" t="str">
        <f t="shared" si="29"/>
        <v>99_0</v>
      </c>
      <c r="C283" s="2">
        <v>45603.395833333336</v>
      </c>
      <c r="D283" t="s">
        <v>245</v>
      </c>
      <c r="E283">
        <v>2</v>
      </c>
      <c r="F283" t="s">
        <v>242</v>
      </c>
      <c r="G283" t="str">
        <f t="shared" si="30"/>
        <v>Gobiomorphus cotidianus</v>
      </c>
      <c r="H283" t="str">
        <f t="shared" si="31"/>
        <v>Common_bully</v>
      </c>
      <c r="I283" t="str">
        <f t="shared" si="32"/>
        <v>Toitoi</v>
      </c>
      <c r="J283" t="str">
        <f t="shared" si="33"/>
        <v>Native</v>
      </c>
      <c r="K283" t="str">
        <f t="shared" si="34"/>
        <v>No</v>
      </c>
      <c r="M283">
        <v>42</v>
      </c>
      <c r="N283">
        <f t="shared" si="28"/>
        <v>1.1904761904761905</v>
      </c>
      <c r="O283">
        <v>1</v>
      </c>
      <c r="T283" t="str">
        <f t="shared" si="35"/>
        <v/>
      </c>
    </row>
    <row r="284" spans="1:20" x14ac:dyDescent="0.55000000000000004">
      <c r="A284">
        <v>99</v>
      </c>
      <c r="B284" t="str">
        <f t="shared" si="29"/>
        <v>99_0</v>
      </c>
      <c r="C284" s="2">
        <v>45603.395833333336</v>
      </c>
      <c r="D284" t="s">
        <v>245</v>
      </c>
      <c r="E284">
        <v>2</v>
      </c>
      <c r="F284" t="s">
        <v>242</v>
      </c>
      <c r="G284" t="str">
        <f t="shared" si="30"/>
        <v>Gobiomorphus cotidianus</v>
      </c>
      <c r="H284" t="str">
        <f t="shared" si="31"/>
        <v>Common_bully</v>
      </c>
      <c r="I284" t="str">
        <f t="shared" si="32"/>
        <v>Toitoi</v>
      </c>
      <c r="J284" t="str">
        <f t="shared" si="33"/>
        <v>Native</v>
      </c>
      <c r="K284" t="str">
        <f t="shared" si="34"/>
        <v>No</v>
      </c>
      <c r="M284">
        <v>33</v>
      </c>
      <c r="N284">
        <f t="shared" si="28"/>
        <v>1.1904761904761905</v>
      </c>
      <c r="O284">
        <v>1</v>
      </c>
      <c r="T284" t="str">
        <f t="shared" si="35"/>
        <v/>
      </c>
    </row>
    <row r="285" spans="1:20" x14ac:dyDescent="0.55000000000000004">
      <c r="A285">
        <v>99</v>
      </c>
      <c r="B285" t="str">
        <f t="shared" si="29"/>
        <v>99_0</v>
      </c>
      <c r="C285" s="2">
        <v>45603.395833333336</v>
      </c>
      <c r="D285" t="s">
        <v>245</v>
      </c>
      <c r="E285">
        <v>2</v>
      </c>
      <c r="F285" t="s">
        <v>242</v>
      </c>
      <c r="G285" t="str">
        <f t="shared" si="30"/>
        <v>Gobiomorphus cotidianus</v>
      </c>
      <c r="H285" t="str">
        <f t="shared" si="31"/>
        <v>Common_bully</v>
      </c>
      <c r="I285" t="str">
        <f t="shared" si="32"/>
        <v>Toitoi</v>
      </c>
      <c r="J285" t="str">
        <f t="shared" si="33"/>
        <v>Native</v>
      </c>
      <c r="K285" t="str">
        <f t="shared" si="34"/>
        <v>No</v>
      </c>
      <c r="M285">
        <v>30</v>
      </c>
      <c r="N285">
        <f t="shared" si="28"/>
        <v>1.1904761904761905</v>
      </c>
      <c r="O285">
        <v>1</v>
      </c>
      <c r="T285" t="str">
        <f t="shared" si="35"/>
        <v/>
      </c>
    </row>
    <row r="286" spans="1:20" x14ac:dyDescent="0.55000000000000004">
      <c r="A286">
        <v>99</v>
      </c>
      <c r="B286" t="str">
        <f t="shared" si="29"/>
        <v>99_0</v>
      </c>
      <c r="C286" s="2">
        <v>45603.395833333336</v>
      </c>
      <c r="D286" t="s">
        <v>245</v>
      </c>
      <c r="E286">
        <v>2</v>
      </c>
      <c r="F286" t="s">
        <v>242</v>
      </c>
      <c r="G286" t="str">
        <f t="shared" si="30"/>
        <v>Gobiomorphus cotidianus</v>
      </c>
      <c r="H286" t="str">
        <f t="shared" si="31"/>
        <v>Common_bully</v>
      </c>
      <c r="I286" t="str">
        <f t="shared" si="32"/>
        <v>Toitoi</v>
      </c>
      <c r="J286" t="str">
        <f t="shared" si="33"/>
        <v>Native</v>
      </c>
      <c r="K286" t="str">
        <f t="shared" si="34"/>
        <v>No</v>
      </c>
      <c r="M286">
        <v>28</v>
      </c>
      <c r="N286">
        <f t="shared" si="28"/>
        <v>1.1904761904761905</v>
      </c>
      <c r="O286">
        <v>1</v>
      </c>
      <c r="T286" t="str">
        <f t="shared" si="35"/>
        <v/>
      </c>
    </row>
    <row r="287" spans="1:20" x14ac:dyDescent="0.55000000000000004">
      <c r="A287">
        <v>99</v>
      </c>
      <c r="B287" t="str">
        <f t="shared" si="29"/>
        <v>99_0</v>
      </c>
      <c r="C287" s="2">
        <v>45603.395833333336</v>
      </c>
      <c r="D287" t="s">
        <v>245</v>
      </c>
      <c r="E287">
        <v>2</v>
      </c>
      <c r="F287" t="s">
        <v>242</v>
      </c>
      <c r="G287" t="str">
        <f t="shared" si="30"/>
        <v>Gobiomorphus cotidianus</v>
      </c>
      <c r="H287" t="str">
        <f t="shared" si="31"/>
        <v>Common_bully</v>
      </c>
      <c r="I287" t="str">
        <f t="shared" si="32"/>
        <v>Toitoi</v>
      </c>
      <c r="J287" t="str">
        <f t="shared" si="33"/>
        <v>Native</v>
      </c>
      <c r="K287" t="str">
        <f t="shared" si="34"/>
        <v>No</v>
      </c>
      <c r="M287">
        <v>40</v>
      </c>
      <c r="N287">
        <f t="shared" si="28"/>
        <v>1.1904761904761905</v>
      </c>
      <c r="O287">
        <v>1</v>
      </c>
      <c r="T287" t="str">
        <f t="shared" si="35"/>
        <v/>
      </c>
    </row>
    <row r="288" spans="1:20" x14ac:dyDescent="0.55000000000000004">
      <c r="A288">
        <v>99</v>
      </c>
      <c r="B288" t="str">
        <f t="shared" si="29"/>
        <v>99_0</v>
      </c>
      <c r="C288" s="2">
        <v>45603.395833333336</v>
      </c>
      <c r="D288" t="s">
        <v>245</v>
      </c>
      <c r="E288">
        <v>2</v>
      </c>
      <c r="F288" t="s">
        <v>242</v>
      </c>
      <c r="G288" t="str">
        <f t="shared" si="30"/>
        <v>Gobiomorphus cotidianus</v>
      </c>
      <c r="H288" t="str">
        <f t="shared" si="31"/>
        <v>Common_bully</v>
      </c>
      <c r="I288" t="str">
        <f t="shared" si="32"/>
        <v>Toitoi</v>
      </c>
      <c r="J288" t="str">
        <f t="shared" si="33"/>
        <v>Native</v>
      </c>
      <c r="K288" t="str">
        <f t="shared" si="34"/>
        <v>No</v>
      </c>
      <c r="M288">
        <v>28</v>
      </c>
      <c r="N288">
        <f t="shared" si="28"/>
        <v>1.1904761904761905</v>
      </c>
      <c r="O288">
        <v>1</v>
      </c>
      <c r="T288" t="str">
        <f t="shared" si="35"/>
        <v/>
      </c>
    </row>
    <row r="289" spans="1:21" x14ac:dyDescent="0.55000000000000004">
      <c r="A289">
        <v>99</v>
      </c>
      <c r="B289" t="str">
        <f t="shared" si="29"/>
        <v>99_0</v>
      </c>
      <c r="C289" s="2">
        <v>45603.395833333336</v>
      </c>
      <c r="D289" t="s">
        <v>245</v>
      </c>
      <c r="E289">
        <v>2</v>
      </c>
      <c r="F289" t="s">
        <v>242</v>
      </c>
      <c r="G289" t="str">
        <f t="shared" si="30"/>
        <v>Gobiomorphus cotidianus</v>
      </c>
      <c r="H289" t="str">
        <f t="shared" si="31"/>
        <v>Common_bully</v>
      </c>
      <c r="I289" t="str">
        <f t="shared" si="32"/>
        <v>Toitoi</v>
      </c>
      <c r="J289" t="str">
        <f t="shared" si="33"/>
        <v>Native</v>
      </c>
      <c r="K289" t="str">
        <f t="shared" si="34"/>
        <v>No</v>
      </c>
      <c r="M289">
        <v>26</v>
      </c>
      <c r="N289">
        <f t="shared" si="28"/>
        <v>1.1904761904761905</v>
      </c>
      <c r="O289">
        <v>1</v>
      </c>
      <c r="T289" t="str">
        <f t="shared" si="35"/>
        <v/>
      </c>
    </row>
    <row r="290" spans="1:21" x14ac:dyDescent="0.55000000000000004">
      <c r="A290">
        <v>99</v>
      </c>
      <c r="B290" t="str">
        <f t="shared" si="29"/>
        <v>99_0</v>
      </c>
      <c r="C290" s="2">
        <v>45603.395833333336</v>
      </c>
      <c r="D290" t="s">
        <v>245</v>
      </c>
      <c r="E290">
        <v>2</v>
      </c>
      <c r="F290" t="s">
        <v>242</v>
      </c>
      <c r="G290" t="str">
        <f t="shared" si="30"/>
        <v>Gobiomorphus cotidianus</v>
      </c>
      <c r="H290" t="str">
        <f t="shared" si="31"/>
        <v>Common_bully</v>
      </c>
      <c r="I290" t="str">
        <f t="shared" si="32"/>
        <v>Toitoi</v>
      </c>
      <c r="J290" t="str">
        <f t="shared" si="33"/>
        <v>Native</v>
      </c>
      <c r="K290" t="str">
        <f t="shared" si="34"/>
        <v>No</v>
      </c>
      <c r="M290">
        <v>39</v>
      </c>
      <c r="N290">
        <f t="shared" si="28"/>
        <v>1.1904761904761905</v>
      </c>
      <c r="O290">
        <v>1</v>
      </c>
      <c r="T290" t="str">
        <f t="shared" si="35"/>
        <v/>
      </c>
    </row>
    <row r="291" spans="1:21" x14ac:dyDescent="0.55000000000000004">
      <c r="A291">
        <v>97</v>
      </c>
      <c r="B291" t="str">
        <f t="shared" si="29"/>
        <v>97_0</v>
      </c>
      <c r="C291" s="2">
        <v>45603.524305497682</v>
      </c>
      <c r="D291" t="s">
        <v>221</v>
      </c>
      <c r="E291">
        <v>2</v>
      </c>
      <c r="F291" t="s">
        <v>222</v>
      </c>
      <c r="G291" t="str">
        <f t="shared" si="30"/>
        <v>Paranephrops planifrons</v>
      </c>
      <c r="H291" t="str">
        <f t="shared" si="31"/>
        <v>Freshwater_crayfish</v>
      </c>
      <c r="I291" t="str">
        <f t="shared" si="32"/>
        <v>Kōura</v>
      </c>
      <c r="J291" t="str">
        <f t="shared" si="33"/>
        <v>Native</v>
      </c>
      <c r="K291" t="str">
        <f t="shared" si="34"/>
        <v>Yes</v>
      </c>
      <c r="L291" t="s">
        <v>228</v>
      </c>
      <c r="M291">
        <v>28</v>
      </c>
      <c r="O291">
        <v>1</v>
      </c>
      <c r="T291" t="str">
        <f t="shared" si="35"/>
        <v/>
      </c>
    </row>
    <row r="292" spans="1:21" x14ac:dyDescent="0.55000000000000004">
      <c r="A292">
        <v>106</v>
      </c>
      <c r="B292" t="str">
        <f t="shared" si="29"/>
        <v>106_0</v>
      </c>
      <c r="C292" s="2">
        <v>45603.4375</v>
      </c>
      <c r="D292" t="s">
        <v>221</v>
      </c>
      <c r="E292">
        <v>2</v>
      </c>
      <c r="F292" t="s">
        <v>222</v>
      </c>
      <c r="G292" t="str">
        <f t="shared" si="30"/>
        <v>Paranephrops planifrons</v>
      </c>
      <c r="H292" t="str">
        <f t="shared" si="31"/>
        <v>Freshwater_crayfish</v>
      </c>
      <c r="I292" t="str">
        <f t="shared" si="32"/>
        <v>Kōura</v>
      </c>
      <c r="J292" t="str">
        <f t="shared" si="33"/>
        <v>Native</v>
      </c>
      <c r="K292" t="str">
        <f t="shared" si="34"/>
        <v>Yes</v>
      </c>
      <c r="L292" t="s">
        <v>223</v>
      </c>
      <c r="M292">
        <v>28</v>
      </c>
      <c r="O292">
        <v>1</v>
      </c>
      <c r="T292" t="str">
        <f t="shared" si="35"/>
        <v/>
      </c>
    </row>
    <row r="293" spans="1:21" x14ac:dyDescent="0.55000000000000004">
      <c r="A293">
        <v>99</v>
      </c>
      <c r="B293" t="str">
        <f t="shared" si="29"/>
        <v>99_0</v>
      </c>
      <c r="C293" s="2">
        <v>45603.395833333336</v>
      </c>
      <c r="D293" t="s">
        <v>221</v>
      </c>
      <c r="E293">
        <v>2</v>
      </c>
      <c r="F293" t="s">
        <v>242</v>
      </c>
      <c r="G293" t="str">
        <f t="shared" si="30"/>
        <v>Gobiomorphus cotidianus</v>
      </c>
      <c r="H293" t="str">
        <f t="shared" si="31"/>
        <v>Common_bully</v>
      </c>
      <c r="I293" t="str">
        <f t="shared" si="32"/>
        <v>Toitoi</v>
      </c>
      <c r="J293" t="str">
        <f t="shared" si="33"/>
        <v>Native</v>
      </c>
      <c r="K293" t="str">
        <f t="shared" si="34"/>
        <v>No</v>
      </c>
      <c r="M293">
        <v>46</v>
      </c>
      <c r="N293">
        <f t="shared" ref="N293:N302" si="36">217/100</f>
        <v>2.17</v>
      </c>
      <c r="O293">
        <v>1</v>
      </c>
      <c r="T293" t="str">
        <f t="shared" si="35"/>
        <v/>
      </c>
      <c r="U293" t="s">
        <v>254</v>
      </c>
    </row>
    <row r="294" spans="1:21" x14ac:dyDescent="0.55000000000000004">
      <c r="A294">
        <v>99</v>
      </c>
      <c r="B294" t="str">
        <f t="shared" si="29"/>
        <v>99_0</v>
      </c>
      <c r="C294" s="2">
        <v>45603.395833333336</v>
      </c>
      <c r="D294" t="s">
        <v>221</v>
      </c>
      <c r="E294">
        <v>2</v>
      </c>
      <c r="F294" t="s">
        <v>242</v>
      </c>
      <c r="G294" t="str">
        <f t="shared" si="30"/>
        <v>Gobiomorphus cotidianus</v>
      </c>
      <c r="H294" t="str">
        <f t="shared" si="31"/>
        <v>Common_bully</v>
      </c>
      <c r="I294" t="str">
        <f t="shared" si="32"/>
        <v>Toitoi</v>
      </c>
      <c r="J294" t="str">
        <f t="shared" si="33"/>
        <v>Native</v>
      </c>
      <c r="K294" t="str">
        <f t="shared" si="34"/>
        <v>No</v>
      </c>
      <c r="M294">
        <v>84</v>
      </c>
      <c r="N294">
        <f t="shared" si="36"/>
        <v>2.17</v>
      </c>
      <c r="O294">
        <v>1</v>
      </c>
      <c r="T294" t="str">
        <f t="shared" si="35"/>
        <v/>
      </c>
      <c r="U294" t="s">
        <v>254</v>
      </c>
    </row>
    <row r="295" spans="1:21" x14ac:dyDescent="0.55000000000000004">
      <c r="A295">
        <v>99</v>
      </c>
      <c r="B295" t="str">
        <f t="shared" si="29"/>
        <v>99_0</v>
      </c>
      <c r="C295" s="2">
        <v>45603.395833333336</v>
      </c>
      <c r="D295" t="s">
        <v>221</v>
      </c>
      <c r="E295">
        <v>2</v>
      </c>
      <c r="F295" t="s">
        <v>242</v>
      </c>
      <c r="G295" t="str">
        <f t="shared" si="30"/>
        <v>Gobiomorphus cotidianus</v>
      </c>
      <c r="H295" t="str">
        <f t="shared" si="31"/>
        <v>Common_bully</v>
      </c>
      <c r="I295" t="str">
        <f t="shared" si="32"/>
        <v>Toitoi</v>
      </c>
      <c r="J295" t="str">
        <f t="shared" si="33"/>
        <v>Native</v>
      </c>
      <c r="K295" t="str">
        <f t="shared" si="34"/>
        <v>No</v>
      </c>
      <c r="M295">
        <v>72</v>
      </c>
      <c r="N295">
        <f t="shared" si="36"/>
        <v>2.17</v>
      </c>
      <c r="O295">
        <v>1</v>
      </c>
      <c r="T295" t="str">
        <f t="shared" si="35"/>
        <v/>
      </c>
      <c r="U295" t="s">
        <v>254</v>
      </c>
    </row>
    <row r="296" spans="1:21" x14ac:dyDescent="0.55000000000000004">
      <c r="A296">
        <v>99</v>
      </c>
      <c r="B296" t="str">
        <f t="shared" si="29"/>
        <v>99_0</v>
      </c>
      <c r="C296" s="2">
        <v>45603.395833333336</v>
      </c>
      <c r="D296" t="s">
        <v>221</v>
      </c>
      <c r="E296">
        <v>2</v>
      </c>
      <c r="F296" t="s">
        <v>242</v>
      </c>
      <c r="G296" t="str">
        <f t="shared" si="30"/>
        <v>Gobiomorphus cotidianus</v>
      </c>
      <c r="H296" t="str">
        <f t="shared" si="31"/>
        <v>Common_bully</v>
      </c>
      <c r="I296" t="str">
        <f t="shared" si="32"/>
        <v>Toitoi</v>
      </c>
      <c r="J296" t="str">
        <f t="shared" si="33"/>
        <v>Native</v>
      </c>
      <c r="K296" t="str">
        <f t="shared" si="34"/>
        <v>No</v>
      </c>
      <c r="M296">
        <v>44</v>
      </c>
      <c r="N296">
        <f t="shared" si="36"/>
        <v>2.17</v>
      </c>
      <c r="O296">
        <v>1</v>
      </c>
      <c r="T296" t="str">
        <f t="shared" si="35"/>
        <v/>
      </c>
      <c r="U296" t="s">
        <v>254</v>
      </c>
    </row>
    <row r="297" spans="1:21" x14ac:dyDescent="0.55000000000000004">
      <c r="A297">
        <v>99</v>
      </c>
      <c r="B297" t="str">
        <f t="shared" si="29"/>
        <v>99_0</v>
      </c>
      <c r="C297" s="2">
        <v>45603.395833333336</v>
      </c>
      <c r="D297" t="s">
        <v>221</v>
      </c>
      <c r="E297">
        <v>2</v>
      </c>
      <c r="F297" t="s">
        <v>242</v>
      </c>
      <c r="G297" t="str">
        <f t="shared" si="30"/>
        <v>Gobiomorphus cotidianus</v>
      </c>
      <c r="H297" t="str">
        <f t="shared" si="31"/>
        <v>Common_bully</v>
      </c>
      <c r="I297" t="str">
        <f t="shared" si="32"/>
        <v>Toitoi</v>
      </c>
      <c r="J297" t="str">
        <f t="shared" si="33"/>
        <v>Native</v>
      </c>
      <c r="K297" t="str">
        <f t="shared" si="34"/>
        <v>No</v>
      </c>
      <c r="M297">
        <v>50</v>
      </c>
      <c r="N297">
        <f t="shared" si="36"/>
        <v>2.17</v>
      </c>
      <c r="O297">
        <v>1</v>
      </c>
      <c r="T297" t="str">
        <f t="shared" si="35"/>
        <v/>
      </c>
      <c r="U297" t="s">
        <v>254</v>
      </c>
    </row>
    <row r="298" spans="1:21" x14ac:dyDescent="0.55000000000000004">
      <c r="A298">
        <v>99</v>
      </c>
      <c r="B298" t="str">
        <f t="shared" si="29"/>
        <v>99_0</v>
      </c>
      <c r="C298" s="2">
        <v>45603.395833333336</v>
      </c>
      <c r="D298" t="s">
        <v>221</v>
      </c>
      <c r="E298">
        <v>2</v>
      </c>
      <c r="F298" t="s">
        <v>242</v>
      </c>
      <c r="G298" t="str">
        <f t="shared" si="30"/>
        <v>Gobiomorphus cotidianus</v>
      </c>
      <c r="H298" t="str">
        <f t="shared" si="31"/>
        <v>Common_bully</v>
      </c>
      <c r="I298" t="str">
        <f t="shared" si="32"/>
        <v>Toitoi</v>
      </c>
      <c r="J298" t="str">
        <f t="shared" si="33"/>
        <v>Native</v>
      </c>
      <c r="K298" t="str">
        <f t="shared" si="34"/>
        <v>No</v>
      </c>
      <c r="M298">
        <v>56</v>
      </c>
      <c r="N298">
        <f t="shared" si="36"/>
        <v>2.17</v>
      </c>
      <c r="O298">
        <v>1</v>
      </c>
      <c r="T298" t="str">
        <f t="shared" si="35"/>
        <v/>
      </c>
      <c r="U298" t="s">
        <v>254</v>
      </c>
    </row>
    <row r="299" spans="1:21" x14ac:dyDescent="0.55000000000000004">
      <c r="A299">
        <v>99</v>
      </c>
      <c r="B299" t="str">
        <f t="shared" si="29"/>
        <v>99_0</v>
      </c>
      <c r="C299" s="2">
        <v>45603.395833333336</v>
      </c>
      <c r="D299" t="s">
        <v>221</v>
      </c>
      <c r="E299">
        <v>2</v>
      </c>
      <c r="F299" t="s">
        <v>242</v>
      </c>
      <c r="G299" t="str">
        <f t="shared" si="30"/>
        <v>Gobiomorphus cotidianus</v>
      </c>
      <c r="H299" t="str">
        <f t="shared" si="31"/>
        <v>Common_bully</v>
      </c>
      <c r="I299" t="str">
        <f t="shared" si="32"/>
        <v>Toitoi</v>
      </c>
      <c r="J299" t="str">
        <f t="shared" si="33"/>
        <v>Native</v>
      </c>
      <c r="K299" t="str">
        <f t="shared" si="34"/>
        <v>No</v>
      </c>
      <c r="M299">
        <v>39</v>
      </c>
      <c r="N299">
        <f t="shared" si="36"/>
        <v>2.17</v>
      </c>
      <c r="O299">
        <v>1</v>
      </c>
      <c r="T299" t="str">
        <f t="shared" si="35"/>
        <v/>
      </c>
      <c r="U299" t="s">
        <v>254</v>
      </c>
    </row>
    <row r="300" spans="1:21" x14ac:dyDescent="0.55000000000000004">
      <c r="A300">
        <v>99</v>
      </c>
      <c r="B300" t="str">
        <f t="shared" si="29"/>
        <v>99_0</v>
      </c>
      <c r="C300" s="2">
        <v>45603.395833333336</v>
      </c>
      <c r="D300" t="s">
        <v>221</v>
      </c>
      <c r="E300">
        <v>2</v>
      </c>
      <c r="F300" t="s">
        <v>242</v>
      </c>
      <c r="G300" t="str">
        <f t="shared" si="30"/>
        <v>Gobiomorphus cotidianus</v>
      </c>
      <c r="H300" t="str">
        <f t="shared" si="31"/>
        <v>Common_bully</v>
      </c>
      <c r="I300" t="str">
        <f t="shared" si="32"/>
        <v>Toitoi</v>
      </c>
      <c r="J300" t="str">
        <f t="shared" si="33"/>
        <v>Native</v>
      </c>
      <c r="K300" t="str">
        <f t="shared" si="34"/>
        <v>No</v>
      </c>
      <c r="M300">
        <v>53</v>
      </c>
      <c r="N300">
        <f t="shared" si="36"/>
        <v>2.17</v>
      </c>
      <c r="O300">
        <v>1</v>
      </c>
      <c r="T300" t="str">
        <f t="shared" si="35"/>
        <v/>
      </c>
      <c r="U300" t="s">
        <v>254</v>
      </c>
    </row>
    <row r="301" spans="1:21" x14ac:dyDescent="0.55000000000000004">
      <c r="A301">
        <v>99</v>
      </c>
      <c r="B301" t="str">
        <f t="shared" si="29"/>
        <v>99_0</v>
      </c>
      <c r="C301" s="2">
        <v>45603.395833333336</v>
      </c>
      <c r="D301" t="s">
        <v>221</v>
      </c>
      <c r="E301">
        <v>2</v>
      </c>
      <c r="F301" t="s">
        <v>242</v>
      </c>
      <c r="G301" t="str">
        <f t="shared" si="30"/>
        <v>Gobiomorphus cotidianus</v>
      </c>
      <c r="H301" t="str">
        <f t="shared" si="31"/>
        <v>Common_bully</v>
      </c>
      <c r="I301" t="str">
        <f t="shared" si="32"/>
        <v>Toitoi</v>
      </c>
      <c r="J301" t="str">
        <f t="shared" si="33"/>
        <v>Native</v>
      </c>
      <c r="K301" t="str">
        <f t="shared" si="34"/>
        <v>No</v>
      </c>
      <c r="M301">
        <v>63</v>
      </c>
      <c r="N301">
        <f t="shared" si="36"/>
        <v>2.17</v>
      </c>
      <c r="O301">
        <v>1</v>
      </c>
      <c r="T301" t="str">
        <f t="shared" si="35"/>
        <v/>
      </c>
      <c r="U301" t="s">
        <v>254</v>
      </c>
    </row>
    <row r="302" spans="1:21" x14ac:dyDescent="0.55000000000000004">
      <c r="A302">
        <v>99</v>
      </c>
      <c r="B302" t="str">
        <f t="shared" si="29"/>
        <v>99_0</v>
      </c>
      <c r="C302" s="2">
        <v>45603.395833333336</v>
      </c>
      <c r="D302" t="s">
        <v>221</v>
      </c>
      <c r="E302">
        <v>2</v>
      </c>
      <c r="F302" t="s">
        <v>242</v>
      </c>
      <c r="G302" t="str">
        <f t="shared" si="30"/>
        <v>Gobiomorphus cotidianus</v>
      </c>
      <c r="H302" t="str">
        <f t="shared" si="31"/>
        <v>Common_bully</v>
      </c>
      <c r="I302" t="str">
        <f t="shared" si="32"/>
        <v>Toitoi</v>
      </c>
      <c r="J302" t="str">
        <f t="shared" si="33"/>
        <v>Native</v>
      </c>
      <c r="K302" t="str">
        <f t="shared" si="34"/>
        <v>No</v>
      </c>
      <c r="M302">
        <v>56</v>
      </c>
      <c r="N302">
        <f t="shared" si="36"/>
        <v>2.17</v>
      </c>
      <c r="O302">
        <v>1</v>
      </c>
      <c r="T302" t="str">
        <f t="shared" si="35"/>
        <v/>
      </c>
      <c r="U302" t="s">
        <v>254</v>
      </c>
    </row>
    <row r="303" spans="1:21" x14ac:dyDescent="0.55000000000000004">
      <c r="A303">
        <v>99</v>
      </c>
      <c r="B303" t="str">
        <f t="shared" si="29"/>
        <v>99_0</v>
      </c>
      <c r="C303" s="2">
        <v>45603.395833333336</v>
      </c>
      <c r="D303" t="s">
        <v>221</v>
      </c>
      <c r="E303">
        <v>2</v>
      </c>
      <c r="F303" t="s">
        <v>242</v>
      </c>
      <c r="G303" t="str">
        <f t="shared" si="30"/>
        <v>Gobiomorphus cotidianus</v>
      </c>
      <c r="H303" t="str">
        <f t="shared" si="31"/>
        <v>Common_bully</v>
      </c>
      <c r="I303" t="str">
        <f t="shared" si="32"/>
        <v>Toitoi</v>
      </c>
      <c r="J303" t="str">
        <f t="shared" si="33"/>
        <v>Native</v>
      </c>
      <c r="K303" t="str">
        <f t="shared" si="34"/>
        <v>No</v>
      </c>
      <c r="N303">
        <f>217/100*90</f>
        <v>195.29999999999998</v>
      </c>
      <c r="O303">
        <v>90</v>
      </c>
      <c r="S303">
        <v>1</v>
      </c>
      <c r="T303">
        <f t="shared" si="35"/>
        <v>236.58799999999999</v>
      </c>
      <c r="U303" t="s">
        <v>254</v>
      </c>
    </row>
    <row r="304" spans="1:21" x14ac:dyDescent="0.55000000000000004">
      <c r="A304">
        <v>99</v>
      </c>
      <c r="B304" t="str">
        <f t="shared" si="29"/>
        <v>99_0</v>
      </c>
      <c r="C304" s="2">
        <v>45603.395833333336</v>
      </c>
      <c r="D304" t="s">
        <v>221</v>
      </c>
      <c r="E304">
        <v>2</v>
      </c>
      <c r="F304" t="s">
        <v>242</v>
      </c>
      <c r="G304" t="str">
        <f t="shared" si="30"/>
        <v>Gobiomorphus cotidianus</v>
      </c>
      <c r="H304" t="str">
        <f t="shared" si="31"/>
        <v>Common_bully</v>
      </c>
      <c r="I304" t="str">
        <f t="shared" si="32"/>
        <v>Toitoi</v>
      </c>
      <c r="J304" t="str">
        <f t="shared" si="33"/>
        <v>Native</v>
      </c>
      <c r="K304" t="str">
        <f t="shared" si="34"/>
        <v>No</v>
      </c>
      <c r="N304">
        <v>213</v>
      </c>
      <c r="S304">
        <v>1</v>
      </c>
      <c r="T304">
        <f t="shared" si="35"/>
        <v>236.58799999999999</v>
      </c>
    </row>
    <row r="305" spans="1:21" x14ac:dyDescent="0.55000000000000004">
      <c r="A305">
        <v>99</v>
      </c>
      <c r="B305" t="str">
        <f t="shared" si="29"/>
        <v>99_0</v>
      </c>
      <c r="C305" s="2">
        <v>45603.395833333336</v>
      </c>
      <c r="D305" t="s">
        <v>221</v>
      </c>
      <c r="E305">
        <v>2</v>
      </c>
      <c r="F305" t="s">
        <v>242</v>
      </c>
      <c r="G305" t="str">
        <f t="shared" si="30"/>
        <v>Gobiomorphus cotidianus</v>
      </c>
      <c r="H305" t="str">
        <f t="shared" si="31"/>
        <v>Common_bully</v>
      </c>
      <c r="I305" t="str">
        <f t="shared" si="32"/>
        <v>Toitoi</v>
      </c>
      <c r="J305" t="str">
        <f t="shared" si="33"/>
        <v>Native</v>
      </c>
      <c r="K305" t="str">
        <f t="shared" si="34"/>
        <v>No</v>
      </c>
      <c r="N305">
        <v>193</v>
      </c>
      <c r="S305">
        <v>1</v>
      </c>
      <c r="T305">
        <f t="shared" si="35"/>
        <v>236.58799999999999</v>
      </c>
    </row>
    <row r="306" spans="1:21" x14ac:dyDescent="0.55000000000000004">
      <c r="A306">
        <v>99</v>
      </c>
      <c r="B306" t="str">
        <f t="shared" si="29"/>
        <v>99_0</v>
      </c>
      <c r="C306" s="2">
        <v>45603.395833333336</v>
      </c>
      <c r="D306" t="s">
        <v>221</v>
      </c>
      <c r="E306">
        <v>2</v>
      </c>
      <c r="F306" t="s">
        <v>243</v>
      </c>
      <c r="G306" t="str">
        <f t="shared" si="30"/>
        <v>Retropinna retropinna</v>
      </c>
      <c r="H306" t="str">
        <f t="shared" si="31"/>
        <v>Common_smelt</v>
      </c>
      <c r="I306" t="str">
        <f t="shared" si="32"/>
        <v>Common_smelt</v>
      </c>
      <c r="J306" t="str">
        <f t="shared" si="33"/>
        <v>Native</v>
      </c>
      <c r="K306" t="str">
        <f t="shared" si="34"/>
        <v>No</v>
      </c>
      <c r="N306">
        <v>92</v>
      </c>
      <c r="S306">
        <v>0.5</v>
      </c>
      <c r="T306">
        <f t="shared" si="35"/>
        <v>118.294</v>
      </c>
    </row>
    <row r="307" spans="1:21" x14ac:dyDescent="0.55000000000000004">
      <c r="A307">
        <v>99</v>
      </c>
      <c r="B307" t="str">
        <f t="shared" si="29"/>
        <v>99_0</v>
      </c>
      <c r="C307" s="2">
        <v>45603.395833333336</v>
      </c>
      <c r="D307" t="s">
        <v>221</v>
      </c>
      <c r="E307">
        <v>2</v>
      </c>
      <c r="F307" t="s">
        <v>242</v>
      </c>
      <c r="G307" t="str">
        <f t="shared" si="30"/>
        <v>Gobiomorphus cotidianus</v>
      </c>
      <c r="H307" t="str">
        <f t="shared" si="31"/>
        <v>Common_bully</v>
      </c>
      <c r="I307" t="str">
        <f t="shared" si="32"/>
        <v>Toitoi</v>
      </c>
      <c r="J307" t="str">
        <f t="shared" si="33"/>
        <v>Native</v>
      </c>
      <c r="K307" t="str">
        <f t="shared" si="34"/>
        <v>No</v>
      </c>
      <c r="N307">
        <v>440</v>
      </c>
      <c r="S307">
        <v>2</v>
      </c>
      <c r="T307">
        <f t="shared" si="35"/>
        <v>473.17599999999999</v>
      </c>
    </row>
    <row r="308" spans="1:21" x14ac:dyDescent="0.55000000000000004">
      <c r="A308">
        <v>99</v>
      </c>
      <c r="B308" t="str">
        <f t="shared" si="29"/>
        <v>99_0</v>
      </c>
      <c r="C308" s="2">
        <v>45603.395833333336</v>
      </c>
      <c r="D308" t="s">
        <v>221</v>
      </c>
      <c r="E308">
        <v>2</v>
      </c>
      <c r="F308" t="s">
        <v>242</v>
      </c>
      <c r="G308" t="str">
        <f t="shared" si="30"/>
        <v>Gobiomorphus cotidianus</v>
      </c>
      <c r="H308" t="str">
        <f t="shared" si="31"/>
        <v>Common_bully</v>
      </c>
      <c r="I308" t="str">
        <f t="shared" si="32"/>
        <v>Toitoi</v>
      </c>
      <c r="J308" t="str">
        <f t="shared" si="33"/>
        <v>Native</v>
      </c>
      <c r="K308" t="str">
        <f t="shared" si="34"/>
        <v>No</v>
      </c>
      <c r="N308">
        <v>395</v>
      </c>
      <c r="S308">
        <v>2</v>
      </c>
      <c r="T308">
        <f t="shared" si="35"/>
        <v>473.17599999999999</v>
      </c>
    </row>
    <row r="309" spans="1:21" x14ac:dyDescent="0.55000000000000004">
      <c r="A309">
        <v>99</v>
      </c>
      <c r="B309" t="str">
        <f t="shared" si="29"/>
        <v>99_0</v>
      </c>
      <c r="C309" s="2">
        <v>45603.395833333336</v>
      </c>
      <c r="D309" t="s">
        <v>221</v>
      </c>
      <c r="E309">
        <v>2</v>
      </c>
      <c r="F309" t="s">
        <v>242</v>
      </c>
      <c r="G309" t="str">
        <f t="shared" si="30"/>
        <v>Gobiomorphus cotidianus</v>
      </c>
      <c r="H309" t="str">
        <f t="shared" si="31"/>
        <v>Common_bully</v>
      </c>
      <c r="I309" t="str">
        <f t="shared" si="32"/>
        <v>Toitoi</v>
      </c>
      <c r="J309" t="str">
        <f t="shared" si="33"/>
        <v>Native</v>
      </c>
      <c r="K309" t="str">
        <f t="shared" si="34"/>
        <v>No</v>
      </c>
      <c r="N309">
        <v>404</v>
      </c>
      <c r="S309">
        <v>2</v>
      </c>
      <c r="T309">
        <f t="shared" si="35"/>
        <v>473.17599999999999</v>
      </c>
    </row>
    <row r="310" spans="1:21" x14ac:dyDescent="0.55000000000000004">
      <c r="A310">
        <v>99</v>
      </c>
      <c r="B310" t="str">
        <f t="shared" si="29"/>
        <v>99_0</v>
      </c>
      <c r="C310" s="2">
        <v>45603.395833333336</v>
      </c>
      <c r="D310" t="s">
        <v>221</v>
      </c>
      <c r="E310">
        <v>2</v>
      </c>
      <c r="F310" t="s">
        <v>242</v>
      </c>
      <c r="G310" t="str">
        <f t="shared" si="30"/>
        <v>Gobiomorphus cotidianus</v>
      </c>
      <c r="H310" t="str">
        <f t="shared" si="31"/>
        <v>Common_bully</v>
      </c>
      <c r="I310" t="str">
        <f t="shared" si="32"/>
        <v>Toitoi</v>
      </c>
      <c r="J310" t="str">
        <f t="shared" si="33"/>
        <v>Native</v>
      </c>
      <c r="K310" t="str">
        <f t="shared" si="34"/>
        <v>No</v>
      </c>
      <c r="N310">
        <v>419</v>
      </c>
      <c r="S310">
        <v>2</v>
      </c>
      <c r="T310">
        <f t="shared" si="35"/>
        <v>473.17599999999999</v>
      </c>
    </row>
    <row r="311" spans="1:21" x14ac:dyDescent="0.55000000000000004">
      <c r="A311">
        <v>99</v>
      </c>
      <c r="B311" t="str">
        <f t="shared" si="29"/>
        <v>99_0</v>
      </c>
      <c r="C311" s="2">
        <v>45603.395833333336</v>
      </c>
      <c r="D311" t="s">
        <v>221</v>
      </c>
      <c r="E311">
        <v>2</v>
      </c>
      <c r="F311" t="s">
        <v>242</v>
      </c>
      <c r="G311" t="str">
        <f t="shared" si="30"/>
        <v>Gobiomorphus cotidianus</v>
      </c>
      <c r="H311" t="str">
        <f t="shared" si="31"/>
        <v>Common_bully</v>
      </c>
      <c r="I311" t="str">
        <f t="shared" si="32"/>
        <v>Toitoi</v>
      </c>
      <c r="J311" t="str">
        <f t="shared" si="33"/>
        <v>Native</v>
      </c>
      <c r="K311" t="str">
        <f t="shared" si="34"/>
        <v>No</v>
      </c>
      <c r="N311">
        <v>436</v>
      </c>
      <c r="S311">
        <v>2</v>
      </c>
      <c r="T311">
        <f t="shared" si="35"/>
        <v>473.17599999999999</v>
      </c>
    </row>
    <row r="312" spans="1:21" x14ac:dyDescent="0.55000000000000004">
      <c r="A312">
        <v>99</v>
      </c>
      <c r="B312" t="str">
        <f t="shared" si="29"/>
        <v>99_0</v>
      </c>
      <c r="C312" s="2">
        <v>45603.395833333336</v>
      </c>
      <c r="D312" t="s">
        <v>221</v>
      </c>
      <c r="E312">
        <v>2</v>
      </c>
      <c r="F312" t="s">
        <v>242</v>
      </c>
      <c r="G312" t="str">
        <f t="shared" si="30"/>
        <v>Gobiomorphus cotidianus</v>
      </c>
      <c r="H312" t="str">
        <f t="shared" si="31"/>
        <v>Common_bully</v>
      </c>
      <c r="I312" t="str">
        <f t="shared" si="32"/>
        <v>Toitoi</v>
      </c>
      <c r="J312" t="str">
        <f t="shared" si="33"/>
        <v>Native</v>
      </c>
      <c r="K312" t="str">
        <f t="shared" si="34"/>
        <v>No</v>
      </c>
      <c r="N312">
        <v>444</v>
      </c>
      <c r="S312">
        <v>2</v>
      </c>
      <c r="T312">
        <f t="shared" si="35"/>
        <v>473.17599999999999</v>
      </c>
    </row>
    <row r="313" spans="1:21" x14ac:dyDescent="0.55000000000000004">
      <c r="A313">
        <v>99</v>
      </c>
      <c r="B313" t="str">
        <f t="shared" si="29"/>
        <v>99_0</v>
      </c>
      <c r="C313" s="2">
        <v>45603.395833333336</v>
      </c>
      <c r="D313" t="s">
        <v>221</v>
      </c>
      <c r="E313">
        <v>2</v>
      </c>
      <c r="F313" t="s">
        <v>242</v>
      </c>
      <c r="G313" t="str">
        <f t="shared" si="30"/>
        <v>Gobiomorphus cotidianus</v>
      </c>
      <c r="H313" t="str">
        <f t="shared" si="31"/>
        <v>Common_bully</v>
      </c>
      <c r="I313" t="str">
        <f t="shared" si="32"/>
        <v>Toitoi</v>
      </c>
      <c r="J313" t="str">
        <f t="shared" si="33"/>
        <v>Native</v>
      </c>
      <c r="K313" t="str">
        <f t="shared" si="34"/>
        <v>No</v>
      </c>
      <c r="N313">
        <v>435</v>
      </c>
      <c r="S313">
        <v>2</v>
      </c>
      <c r="T313">
        <f t="shared" si="35"/>
        <v>473.17599999999999</v>
      </c>
    </row>
    <row r="314" spans="1:21" x14ac:dyDescent="0.55000000000000004">
      <c r="A314">
        <v>99</v>
      </c>
      <c r="B314" t="str">
        <f t="shared" si="29"/>
        <v>99_0</v>
      </c>
      <c r="C314" s="2">
        <v>45603.395833333336</v>
      </c>
      <c r="D314" t="s">
        <v>221</v>
      </c>
      <c r="E314">
        <v>2</v>
      </c>
      <c r="F314" t="s">
        <v>242</v>
      </c>
      <c r="G314" t="str">
        <f t="shared" si="30"/>
        <v>Gobiomorphus cotidianus</v>
      </c>
      <c r="H314" t="str">
        <f t="shared" si="31"/>
        <v>Common_bully</v>
      </c>
      <c r="I314" t="str">
        <f t="shared" si="32"/>
        <v>Toitoi</v>
      </c>
      <c r="J314" t="str">
        <f t="shared" si="33"/>
        <v>Native</v>
      </c>
      <c r="K314" t="str">
        <f t="shared" si="34"/>
        <v>No</v>
      </c>
      <c r="N314">
        <v>432</v>
      </c>
      <c r="S314">
        <v>2</v>
      </c>
      <c r="T314">
        <f t="shared" si="35"/>
        <v>473.17599999999999</v>
      </c>
    </row>
    <row r="315" spans="1:21" x14ac:dyDescent="0.55000000000000004">
      <c r="A315">
        <v>99</v>
      </c>
      <c r="B315" t="str">
        <f t="shared" si="29"/>
        <v>99_0</v>
      </c>
      <c r="C315" s="2">
        <v>45603.395833333336</v>
      </c>
      <c r="D315" t="s">
        <v>221</v>
      </c>
      <c r="E315">
        <v>2</v>
      </c>
      <c r="F315" t="s">
        <v>242</v>
      </c>
      <c r="G315" t="str">
        <f t="shared" si="30"/>
        <v>Gobiomorphus cotidianus</v>
      </c>
      <c r="H315" t="str">
        <f t="shared" si="31"/>
        <v>Common_bully</v>
      </c>
      <c r="I315" t="str">
        <f t="shared" si="32"/>
        <v>Toitoi</v>
      </c>
      <c r="J315" t="str">
        <f t="shared" si="33"/>
        <v>Native</v>
      </c>
      <c r="K315" t="str">
        <f t="shared" si="34"/>
        <v>No</v>
      </c>
      <c r="N315">
        <v>444</v>
      </c>
      <c r="S315">
        <v>2</v>
      </c>
      <c r="T315">
        <f t="shared" si="35"/>
        <v>473.17599999999999</v>
      </c>
    </row>
    <row r="316" spans="1:21" x14ac:dyDescent="0.55000000000000004">
      <c r="A316">
        <v>99</v>
      </c>
      <c r="B316" t="str">
        <f t="shared" si="29"/>
        <v>99_0</v>
      </c>
      <c r="C316" s="2">
        <v>45603.395833333336</v>
      </c>
      <c r="D316" t="s">
        <v>221</v>
      </c>
      <c r="E316">
        <v>2</v>
      </c>
      <c r="F316" t="s">
        <v>242</v>
      </c>
      <c r="G316" t="str">
        <f t="shared" si="30"/>
        <v>Gobiomorphus cotidianus</v>
      </c>
      <c r="H316" t="str">
        <f t="shared" si="31"/>
        <v>Common_bully</v>
      </c>
      <c r="I316" t="str">
        <f t="shared" si="32"/>
        <v>Toitoi</v>
      </c>
      <c r="J316" t="str">
        <f t="shared" si="33"/>
        <v>Native</v>
      </c>
      <c r="K316" t="str">
        <f t="shared" si="34"/>
        <v>No</v>
      </c>
      <c r="N316">
        <v>545</v>
      </c>
      <c r="S316">
        <v>2.5</v>
      </c>
      <c r="T316">
        <f t="shared" si="35"/>
        <v>591.47</v>
      </c>
    </row>
    <row r="317" spans="1:21" x14ac:dyDescent="0.55000000000000004">
      <c r="A317">
        <v>99</v>
      </c>
      <c r="B317" t="str">
        <f t="shared" si="29"/>
        <v>99_0</v>
      </c>
      <c r="C317" s="2">
        <v>45603.395833333336</v>
      </c>
      <c r="D317" t="s">
        <v>221</v>
      </c>
      <c r="E317">
        <v>2</v>
      </c>
      <c r="F317" t="s">
        <v>243</v>
      </c>
      <c r="G317" t="str">
        <f t="shared" si="30"/>
        <v>Retropinna retropinna</v>
      </c>
      <c r="H317" t="str">
        <f t="shared" si="31"/>
        <v>Common_smelt</v>
      </c>
      <c r="I317" t="str">
        <f t="shared" si="32"/>
        <v>Common_smelt</v>
      </c>
      <c r="J317" t="str">
        <f t="shared" si="33"/>
        <v>Native</v>
      </c>
      <c r="K317" t="str">
        <f t="shared" si="34"/>
        <v>No</v>
      </c>
      <c r="O317">
        <v>100</v>
      </c>
      <c r="T317" t="str">
        <f t="shared" si="35"/>
        <v/>
      </c>
      <c r="U317" t="s">
        <v>253</v>
      </c>
    </row>
    <row r="318" spans="1:21" x14ac:dyDescent="0.55000000000000004">
      <c r="A318">
        <v>66</v>
      </c>
      <c r="B318" t="str">
        <f t="shared" si="29"/>
        <v>66_0</v>
      </c>
      <c r="C318" s="2">
        <v>45709.513888888891</v>
      </c>
      <c r="D318" t="s">
        <v>245</v>
      </c>
      <c r="E318">
        <v>2</v>
      </c>
      <c r="F318" t="s">
        <v>222</v>
      </c>
      <c r="G318" t="str">
        <f t="shared" si="30"/>
        <v>Paranephrops planifrons</v>
      </c>
      <c r="H318" t="str">
        <f t="shared" si="31"/>
        <v>Freshwater_crayfish</v>
      </c>
      <c r="I318" t="str">
        <f t="shared" si="32"/>
        <v>Kōura</v>
      </c>
      <c r="J318" t="str">
        <f t="shared" si="33"/>
        <v>Native</v>
      </c>
      <c r="K318" t="str">
        <f t="shared" si="34"/>
        <v>Yes</v>
      </c>
      <c r="L318" t="s">
        <v>223</v>
      </c>
      <c r="M318">
        <v>27.95</v>
      </c>
      <c r="N318">
        <v>14</v>
      </c>
      <c r="O318">
        <v>1</v>
      </c>
      <c r="T318" t="str">
        <f t="shared" si="35"/>
        <v/>
      </c>
    </row>
    <row r="319" spans="1:21" x14ac:dyDescent="0.55000000000000004">
      <c r="A319">
        <v>100</v>
      </c>
      <c r="B319" t="str">
        <f t="shared" si="29"/>
        <v>100_0</v>
      </c>
      <c r="C319" s="2">
        <v>45604.4375</v>
      </c>
      <c r="D319" t="s">
        <v>245</v>
      </c>
      <c r="E319">
        <v>2</v>
      </c>
      <c r="F319" t="s">
        <v>242</v>
      </c>
      <c r="G319" t="str">
        <f t="shared" si="30"/>
        <v>Gobiomorphus cotidianus</v>
      </c>
      <c r="H319" t="str">
        <f t="shared" si="31"/>
        <v>Common_bully</v>
      </c>
      <c r="I319" t="str">
        <f t="shared" si="32"/>
        <v>Toitoi</v>
      </c>
      <c r="J319" t="str">
        <f t="shared" si="33"/>
        <v>Native</v>
      </c>
      <c r="K319" t="str">
        <f t="shared" si="34"/>
        <v>No</v>
      </c>
      <c r="M319">
        <v>53</v>
      </c>
      <c r="N319">
        <f t="shared" ref="N319:N328" si="37">27/10</f>
        <v>2.7</v>
      </c>
      <c r="O319">
        <v>1</v>
      </c>
      <c r="T319" t="str">
        <f t="shared" si="35"/>
        <v/>
      </c>
    </row>
    <row r="320" spans="1:21" x14ac:dyDescent="0.55000000000000004">
      <c r="A320">
        <v>100</v>
      </c>
      <c r="B320" t="str">
        <f t="shared" si="29"/>
        <v>100_0</v>
      </c>
      <c r="C320" s="2">
        <v>45604.4375</v>
      </c>
      <c r="D320" t="s">
        <v>245</v>
      </c>
      <c r="E320">
        <v>2</v>
      </c>
      <c r="F320" t="s">
        <v>242</v>
      </c>
      <c r="G320" t="str">
        <f t="shared" si="30"/>
        <v>Gobiomorphus cotidianus</v>
      </c>
      <c r="H320" t="str">
        <f t="shared" si="31"/>
        <v>Common_bully</v>
      </c>
      <c r="I320" t="str">
        <f t="shared" si="32"/>
        <v>Toitoi</v>
      </c>
      <c r="J320" t="str">
        <f t="shared" si="33"/>
        <v>Native</v>
      </c>
      <c r="K320" t="str">
        <f t="shared" si="34"/>
        <v>No</v>
      </c>
      <c r="M320">
        <v>45</v>
      </c>
      <c r="N320">
        <f t="shared" si="37"/>
        <v>2.7</v>
      </c>
      <c r="O320">
        <v>1</v>
      </c>
      <c r="T320" t="str">
        <f t="shared" si="35"/>
        <v/>
      </c>
    </row>
    <row r="321" spans="1:21" x14ac:dyDescent="0.55000000000000004">
      <c r="A321">
        <v>100</v>
      </c>
      <c r="B321" t="str">
        <f t="shared" si="29"/>
        <v>100_0</v>
      </c>
      <c r="C321" s="2">
        <v>45604.4375</v>
      </c>
      <c r="D321" t="s">
        <v>245</v>
      </c>
      <c r="E321">
        <v>2</v>
      </c>
      <c r="F321" t="s">
        <v>242</v>
      </c>
      <c r="G321" t="str">
        <f t="shared" si="30"/>
        <v>Gobiomorphus cotidianus</v>
      </c>
      <c r="H321" t="str">
        <f t="shared" si="31"/>
        <v>Common_bully</v>
      </c>
      <c r="I321" t="str">
        <f t="shared" si="32"/>
        <v>Toitoi</v>
      </c>
      <c r="J321" t="str">
        <f t="shared" si="33"/>
        <v>Native</v>
      </c>
      <c r="K321" t="str">
        <f t="shared" si="34"/>
        <v>No</v>
      </c>
      <c r="M321">
        <v>57</v>
      </c>
      <c r="N321">
        <f t="shared" si="37"/>
        <v>2.7</v>
      </c>
      <c r="O321">
        <v>1</v>
      </c>
      <c r="T321" t="str">
        <f t="shared" si="35"/>
        <v/>
      </c>
    </row>
    <row r="322" spans="1:21" x14ac:dyDescent="0.55000000000000004">
      <c r="A322">
        <v>100</v>
      </c>
      <c r="B322" t="str">
        <f t="shared" ref="B322:B385" si="38">A322 &amp; "_0"</f>
        <v>100_0</v>
      </c>
      <c r="C322" s="2">
        <v>45604.4375</v>
      </c>
      <c r="D322" t="s">
        <v>245</v>
      </c>
      <c r="E322">
        <v>2</v>
      </c>
      <c r="F322" t="s">
        <v>242</v>
      </c>
      <c r="G322" t="str">
        <f t="shared" ref="G322:G385" si="39">VLOOKUP($F322, $W$1:$AB$10, 2, FALSE)</f>
        <v>Gobiomorphus cotidianus</v>
      </c>
      <c r="H322" t="str">
        <f t="shared" ref="H322:H385" si="40">VLOOKUP($F322, $W$1:$AB$10, 3, FALSE)</f>
        <v>Common_bully</v>
      </c>
      <c r="I322" t="str">
        <f t="shared" ref="I322:I385" si="41">VLOOKUP($F322, $W$1:$AB$10, 4, FALSE)</f>
        <v>Toitoi</v>
      </c>
      <c r="J322" t="str">
        <f t="shared" ref="J322:J385" si="42">VLOOKUP($F322, $W$1:$AC$10, 5, FALSE)</f>
        <v>Native</v>
      </c>
      <c r="K322" t="str">
        <f t="shared" ref="K322:K385" si="43">VLOOKUP($F322, $W$1:$AB$10, 6, FALSE)</f>
        <v>No</v>
      </c>
      <c r="M322">
        <v>40</v>
      </c>
      <c r="N322">
        <f t="shared" si="37"/>
        <v>2.7</v>
      </c>
      <c r="O322">
        <v>1</v>
      </c>
      <c r="T322" t="str">
        <f t="shared" ref="T322:T385" si="44">IF(S322&lt;&gt;"", S322*236.588, "")</f>
        <v/>
      </c>
    </row>
    <row r="323" spans="1:21" x14ac:dyDescent="0.55000000000000004">
      <c r="A323">
        <v>100</v>
      </c>
      <c r="B323" t="str">
        <f t="shared" si="38"/>
        <v>100_0</v>
      </c>
      <c r="C323" s="2">
        <v>45604.4375</v>
      </c>
      <c r="D323" t="s">
        <v>245</v>
      </c>
      <c r="E323">
        <v>2</v>
      </c>
      <c r="F323" t="s">
        <v>242</v>
      </c>
      <c r="G323" t="str">
        <f t="shared" si="39"/>
        <v>Gobiomorphus cotidianus</v>
      </c>
      <c r="H323" t="str">
        <f t="shared" si="40"/>
        <v>Common_bully</v>
      </c>
      <c r="I323" t="str">
        <f t="shared" si="41"/>
        <v>Toitoi</v>
      </c>
      <c r="J323" t="str">
        <f t="shared" si="42"/>
        <v>Native</v>
      </c>
      <c r="K323" t="str">
        <f t="shared" si="43"/>
        <v>No</v>
      </c>
      <c r="M323">
        <v>53</v>
      </c>
      <c r="N323">
        <f t="shared" si="37"/>
        <v>2.7</v>
      </c>
      <c r="O323">
        <v>1</v>
      </c>
      <c r="T323" t="str">
        <f t="shared" si="44"/>
        <v/>
      </c>
    </row>
    <row r="324" spans="1:21" x14ac:dyDescent="0.55000000000000004">
      <c r="A324">
        <v>100</v>
      </c>
      <c r="B324" t="str">
        <f t="shared" si="38"/>
        <v>100_0</v>
      </c>
      <c r="C324" s="2">
        <v>45604.4375</v>
      </c>
      <c r="D324" t="s">
        <v>245</v>
      </c>
      <c r="E324">
        <v>2</v>
      </c>
      <c r="F324" t="s">
        <v>242</v>
      </c>
      <c r="G324" t="str">
        <f t="shared" si="39"/>
        <v>Gobiomorphus cotidianus</v>
      </c>
      <c r="H324" t="str">
        <f t="shared" si="40"/>
        <v>Common_bully</v>
      </c>
      <c r="I324" t="str">
        <f t="shared" si="41"/>
        <v>Toitoi</v>
      </c>
      <c r="J324" t="str">
        <f t="shared" si="42"/>
        <v>Native</v>
      </c>
      <c r="K324" t="str">
        <f t="shared" si="43"/>
        <v>No</v>
      </c>
      <c r="M324">
        <v>26</v>
      </c>
      <c r="N324">
        <f t="shared" si="37"/>
        <v>2.7</v>
      </c>
      <c r="O324">
        <v>1</v>
      </c>
      <c r="T324" t="str">
        <f t="shared" si="44"/>
        <v/>
      </c>
    </row>
    <row r="325" spans="1:21" x14ac:dyDescent="0.55000000000000004">
      <c r="A325">
        <v>100</v>
      </c>
      <c r="B325" t="str">
        <f t="shared" si="38"/>
        <v>100_0</v>
      </c>
      <c r="C325" s="2">
        <v>45604.4375</v>
      </c>
      <c r="D325" t="s">
        <v>245</v>
      </c>
      <c r="E325">
        <v>2</v>
      </c>
      <c r="F325" t="s">
        <v>242</v>
      </c>
      <c r="G325" t="str">
        <f t="shared" si="39"/>
        <v>Gobiomorphus cotidianus</v>
      </c>
      <c r="H325" t="str">
        <f t="shared" si="40"/>
        <v>Common_bully</v>
      </c>
      <c r="I325" t="str">
        <f t="shared" si="41"/>
        <v>Toitoi</v>
      </c>
      <c r="J325" t="str">
        <f t="shared" si="42"/>
        <v>Native</v>
      </c>
      <c r="K325" t="str">
        <f t="shared" si="43"/>
        <v>No</v>
      </c>
      <c r="M325">
        <v>56</v>
      </c>
      <c r="N325">
        <f t="shared" si="37"/>
        <v>2.7</v>
      </c>
      <c r="O325">
        <v>1</v>
      </c>
      <c r="T325" t="str">
        <f t="shared" si="44"/>
        <v/>
      </c>
    </row>
    <row r="326" spans="1:21" x14ac:dyDescent="0.55000000000000004">
      <c r="A326">
        <v>100</v>
      </c>
      <c r="B326" t="str">
        <f t="shared" si="38"/>
        <v>100_0</v>
      </c>
      <c r="C326" s="2">
        <v>45604.4375</v>
      </c>
      <c r="D326" t="s">
        <v>245</v>
      </c>
      <c r="E326">
        <v>2</v>
      </c>
      <c r="F326" t="s">
        <v>242</v>
      </c>
      <c r="G326" t="str">
        <f t="shared" si="39"/>
        <v>Gobiomorphus cotidianus</v>
      </c>
      <c r="H326" t="str">
        <f t="shared" si="40"/>
        <v>Common_bully</v>
      </c>
      <c r="I326" t="str">
        <f t="shared" si="41"/>
        <v>Toitoi</v>
      </c>
      <c r="J326" t="str">
        <f t="shared" si="42"/>
        <v>Native</v>
      </c>
      <c r="K326" t="str">
        <f t="shared" si="43"/>
        <v>No</v>
      </c>
      <c r="M326">
        <v>46</v>
      </c>
      <c r="N326">
        <f t="shared" si="37"/>
        <v>2.7</v>
      </c>
      <c r="O326">
        <v>1</v>
      </c>
      <c r="T326" t="str">
        <f t="shared" si="44"/>
        <v/>
      </c>
    </row>
    <row r="327" spans="1:21" x14ac:dyDescent="0.55000000000000004">
      <c r="A327">
        <v>100</v>
      </c>
      <c r="B327" t="str">
        <f t="shared" si="38"/>
        <v>100_0</v>
      </c>
      <c r="C327" s="2">
        <v>45604.4375</v>
      </c>
      <c r="D327" t="s">
        <v>245</v>
      </c>
      <c r="E327">
        <v>2</v>
      </c>
      <c r="F327" t="s">
        <v>242</v>
      </c>
      <c r="G327" t="str">
        <f t="shared" si="39"/>
        <v>Gobiomorphus cotidianus</v>
      </c>
      <c r="H327" t="str">
        <f t="shared" si="40"/>
        <v>Common_bully</v>
      </c>
      <c r="I327" t="str">
        <f t="shared" si="41"/>
        <v>Toitoi</v>
      </c>
      <c r="J327" t="str">
        <f t="shared" si="42"/>
        <v>Native</v>
      </c>
      <c r="K327" t="str">
        <f t="shared" si="43"/>
        <v>No</v>
      </c>
      <c r="M327">
        <v>43</v>
      </c>
      <c r="N327">
        <f t="shared" si="37"/>
        <v>2.7</v>
      </c>
      <c r="O327">
        <v>1</v>
      </c>
      <c r="T327" t="str">
        <f t="shared" si="44"/>
        <v/>
      </c>
    </row>
    <row r="328" spans="1:21" x14ac:dyDescent="0.55000000000000004">
      <c r="A328">
        <v>100</v>
      </c>
      <c r="B328" t="str">
        <f t="shared" si="38"/>
        <v>100_0</v>
      </c>
      <c r="C328" s="2">
        <v>45604.4375</v>
      </c>
      <c r="D328" t="s">
        <v>245</v>
      </c>
      <c r="E328">
        <v>2</v>
      </c>
      <c r="F328" t="s">
        <v>242</v>
      </c>
      <c r="G328" t="str">
        <f t="shared" si="39"/>
        <v>Gobiomorphus cotidianus</v>
      </c>
      <c r="H328" t="str">
        <f t="shared" si="40"/>
        <v>Common_bully</v>
      </c>
      <c r="I328" t="str">
        <f t="shared" si="41"/>
        <v>Toitoi</v>
      </c>
      <c r="J328" t="str">
        <f t="shared" si="42"/>
        <v>Native</v>
      </c>
      <c r="K328" t="str">
        <f t="shared" si="43"/>
        <v>No</v>
      </c>
      <c r="M328">
        <v>50</v>
      </c>
      <c r="N328">
        <f t="shared" si="37"/>
        <v>2.7</v>
      </c>
      <c r="O328">
        <v>1</v>
      </c>
      <c r="T328" t="str">
        <f t="shared" si="44"/>
        <v/>
      </c>
    </row>
    <row r="329" spans="1:21" x14ac:dyDescent="0.55000000000000004">
      <c r="A329">
        <v>100</v>
      </c>
      <c r="B329" t="str">
        <f t="shared" si="38"/>
        <v>100_0</v>
      </c>
      <c r="C329" s="2">
        <v>45604.4375</v>
      </c>
      <c r="D329" t="s">
        <v>221</v>
      </c>
      <c r="E329">
        <v>2</v>
      </c>
      <c r="F329" t="s">
        <v>242</v>
      </c>
      <c r="G329" t="str">
        <f t="shared" si="39"/>
        <v>Gobiomorphus cotidianus</v>
      </c>
      <c r="H329" t="str">
        <f t="shared" si="40"/>
        <v>Common_bully</v>
      </c>
      <c r="I329" t="str">
        <f t="shared" si="41"/>
        <v>Toitoi</v>
      </c>
      <c r="J329" t="str">
        <f t="shared" si="42"/>
        <v>Native</v>
      </c>
      <c r="K329" t="str">
        <f t="shared" si="43"/>
        <v>No</v>
      </c>
      <c r="M329">
        <v>49</v>
      </c>
      <c r="N329">
        <f t="shared" ref="N329:N350" si="45">93/44</f>
        <v>2.1136363636363638</v>
      </c>
      <c r="O329">
        <v>1</v>
      </c>
      <c r="T329" t="str">
        <f t="shared" si="44"/>
        <v/>
      </c>
      <c r="U329" t="s">
        <v>254</v>
      </c>
    </row>
    <row r="330" spans="1:21" x14ac:dyDescent="0.55000000000000004">
      <c r="A330">
        <v>100</v>
      </c>
      <c r="B330" t="str">
        <f t="shared" si="38"/>
        <v>100_0</v>
      </c>
      <c r="C330" s="2">
        <v>45604.4375</v>
      </c>
      <c r="D330" t="s">
        <v>221</v>
      </c>
      <c r="E330">
        <v>2</v>
      </c>
      <c r="F330" t="s">
        <v>242</v>
      </c>
      <c r="G330" t="str">
        <f t="shared" si="39"/>
        <v>Gobiomorphus cotidianus</v>
      </c>
      <c r="H330" t="str">
        <f t="shared" si="40"/>
        <v>Common_bully</v>
      </c>
      <c r="I330" t="str">
        <f t="shared" si="41"/>
        <v>Toitoi</v>
      </c>
      <c r="J330" t="str">
        <f t="shared" si="42"/>
        <v>Native</v>
      </c>
      <c r="K330" t="str">
        <f t="shared" si="43"/>
        <v>No</v>
      </c>
      <c r="M330">
        <v>67</v>
      </c>
      <c r="N330">
        <f t="shared" si="45"/>
        <v>2.1136363636363638</v>
      </c>
      <c r="O330">
        <v>1</v>
      </c>
      <c r="T330" t="str">
        <f t="shared" si="44"/>
        <v/>
      </c>
      <c r="U330" t="s">
        <v>254</v>
      </c>
    </row>
    <row r="331" spans="1:21" x14ac:dyDescent="0.55000000000000004">
      <c r="A331">
        <v>100</v>
      </c>
      <c r="B331" t="str">
        <f t="shared" si="38"/>
        <v>100_0</v>
      </c>
      <c r="C331" s="2">
        <v>45604.4375</v>
      </c>
      <c r="D331" t="s">
        <v>221</v>
      </c>
      <c r="E331">
        <v>2</v>
      </c>
      <c r="F331" t="s">
        <v>242</v>
      </c>
      <c r="G331" t="str">
        <f t="shared" si="39"/>
        <v>Gobiomorphus cotidianus</v>
      </c>
      <c r="H331" t="str">
        <f t="shared" si="40"/>
        <v>Common_bully</v>
      </c>
      <c r="I331" t="str">
        <f t="shared" si="41"/>
        <v>Toitoi</v>
      </c>
      <c r="J331" t="str">
        <f t="shared" si="42"/>
        <v>Native</v>
      </c>
      <c r="K331" t="str">
        <f t="shared" si="43"/>
        <v>No</v>
      </c>
      <c r="M331">
        <v>57</v>
      </c>
      <c r="N331">
        <f t="shared" si="45"/>
        <v>2.1136363636363638</v>
      </c>
      <c r="O331">
        <v>1</v>
      </c>
      <c r="T331" t="str">
        <f t="shared" si="44"/>
        <v/>
      </c>
      <c r="U331" t="s">
        <v>254</v>
      </c>
    </row>
    <row r="332" spans="1:21" x14ac:dyDescent="0.55000000000000004">
      <c r="A332">
        <v>100</v>
      </c>
      <c r="B332" t="str">
        <f t="shared" si="38"/>
        <v>100_0</v>
      </c>
      <c r="C332" s="2">
        <v>45604.4375</v>
      </c>
      <c r="D332" t="s">
        <v>221</v>
      </c>
      <c r="E332">
        <v>2</v>
      </c>
      <c r="F332" t="s">
        <v>242</v>
      </c>
      <c r="G332" t="str">
        <f t="shared" si="39"/>
        <v>Gobiomorphus cotidianus</v>
      </c>
      <c r="H332" t="str">
        <f t="shared" si="40"/>
        <v>Common_bully</v>
      </c>
      <c r="I332" t="str">
        <f t="shared" si="41"/>
        <v>Toitoi</v>
      </c>
      <c r="J332" t="str">
        <f t="shared" si="42"/>
        <v>Native</v>
      </c>
      <c r="K332" t="str">
        <f t="shared" si="43"/>
        <v>No</v>
      </c>
      <c r="M332">
        <v>70</v>
      </c>
      <c r="N332">
        <f t="shared" si="45"/>
        <v>2.1136363636363638</v>
      </c>
      <c r="O332">
        <v>1</v>
      </c>
      <c r="T332" t="str">
        <f t="shared" si="44"/>
        <v/>
      </c>
      <c r="U332" t="s">
        <v>254</v>
      </c>
    </row>
    <row r="333" spans="1:21" x14ac:dyDescent="0.55000000000000004">
      <c r="A333">
        <v>100</v>
      </c>
      <c r="B333" t="str">
        <f t="shared" si="38"/>
        <v>100_0</v>
      </c>
      <c r="C333" s="2">
        <v>45604.4375</v>
      </c>
      <c r="D333" t="s">
        <v>221</v>
      </c>
      <c r="E333">
        <v>2</v>
      </c>
      <c r="F333" t="s">
        <v>242</v>
      </c>
      <c r="G333" t="str">
        <f t="shared" si="39"/>
        <v>Gobiomorphus cotidianus</v>
      </c>
      <c r="H333" t="str">
        <f t="shared" si="40"/>
        <v>Common_bully</v>
      </c>
      <c r="I333" t="str">
        <f t="shared" si="41"/>
        <v>Toitoi</v>
      </c>
      <c r="J333" t="str">
        <f t="shared" si="42"/>
        <v>Native</v>
      </c>
      <c r="K333" t="str">
        <f t="shared" si="43"/>
        <v>No</v>
      </c>
      <c r="M333">
        <v>45</v>
      </c>
      <c r="N333">
        <f t="shared" si="45"/>
        <v>2.1136363636363638</v>
      </c>
      <c r="O333">
        <v>1</v>
      </c>
      <c r="T333" t="str">
        <f t="shared" si="44"/>
        <v/>
      </c>
      <c r="U333" t="s">
        <v>254</v>
      </c>
    </row>
    <row r="334" spans="1:21" x14ac:dyDescent="0.55000000000000004">
      <c r="A334">
        <v>100</v>
      </c>
      <c r="B334" t="str">
        <f t="shared" si="38"/>
        <v>100_0</v>
      </c>
      <c r="C334" s="2">
        <v>45604.4375</v>
      </c>
      <c r="D334" t="s">
        <v>221</v>
      </c>
      <c r="E334">
        <v>2</v>
      </c>
      <c r="F334" t="s">
        <v>242</v>
      </c>
      <c r="G334" t="str">
        <f t="shared" si="39"/>
        <v>Gobiomorphus cotidianus</v>
      </c>
      <c r="H334" t="str">
        <f t="shared" si="40"/>
        <v>Common_bully</v>
      </c>
      <c r="I334" t="str">
        <f t="shared" si="41"/>
        <v>Toitoi</v>
      </c>
      <c r="J334" t="str">
        <f t="shared" si="42"/>
        <v>Native</v>
      </c>
      <c r="K334" t="str">
        <f t="shared" si="43"/>
        <v>No</v>
      </c>
      <c r="M334">
        <v>65</v>
      </c>
      <c r="N334">
        <f t="shared" si="45"/>
        <v>2.1136363636363638</v>
      </c>
      <c r="O334">
        <v>1</v>
      </c>
      <c r="T334" t="str">
        <f t="shared" si="44"/>
        <v/>
      </c>
      <c r="U334" t="s">
        <v>254</v>
      </c>
    </row>
    <row r="335" spans="1:21" x14ac:dyDescent="0.55000000000000004">
      <c r="A335">
        <v>100</v>
      </c>
      <c r="B335" t="str">
        <f t="shared" si="38"/>
        <v>100_0</v>
      </c>
      <c r="C335" s="2">
        <v>45604.4375</v>
      </c>
      <c r="D335" t="s">
        <v>221</v>
      </c>
      <c r="E335">
        <v>2</v>
      </c>
      <c r="F335" t="s">
        <v>242</v>
      </c>
      <c r="G335" t="str">
        <f t="shared" si="39"/>
        <v>Gobiomorphus cotidianus</v>
      </c>
      <c r="H335" t="str">
        <f t="shared" si="40"/>
        <v>Common_bully</v>
      </c>
      <c r="I335" t="str">
        <f t="shared" si="41"/>
        <v>Toitoi</v>
      </c>
      <c r="J335" t="str">
        <f t="shared" si="42"/>
        <v>Native</v>
      </c>
      <c r="K335" t="str">
        <f t="shared" si="43"/>
        <v>No</v>
      </c>
      <c r="M335">
        <v>53</v>
      </c>
      <c r="N335">
        <f t="shared" si="45"/>
        <v>2.1136363636363638</v>
      </c>
      <c r="O335">
        <v>1</v>
      </c>
      <c r="T335" t="str">
        <f t="shared" si="44"/>
        <v/>
      </c>
      <c r="U335" t="s">
        <v>254</v>
      </c>
    </row>
    <row r="336" spans="1:21" x14ac:dyDescent="0.55000000000000004">
      <c r="A336">
        <v>100</v>
      </c>
      <c r="B336" t="str">
        <f t="shared" si="38"/>
        <v>100_0</v>
      </c>
      <c r="C336" s="2">
        <v>45604.4375</v>
      </c>
      <c r="D336" t="s">
        <v>221</v>
      </c>
      <c r="E336">
        <v>2</v>
      </c>
      <c r="F336" t="s">
        <v>242</v>
      </c>
      <c r="G336" t="str">
        <f t="shared" si="39"/>
        <v>Gobiomorphus cotidianus</v>
      </c>
      <c r="H336" t="str">
        <f t="shared" si="40"/>
        <v>Common_bully</v>
      </c>
      <c r="I336" t="str">
        <f t="shared" si="41"/>
        <v>Toitoi</v>
      </c>
      <c r="J336" t="str">
        <f t="shared" si="42"/>
        <v>Native</v>
      </c>
      <c r="K336" t="str">
        <f t="shared" si="43"/>
        <v>No</v>
      </c>
      <c r="M336">
        <v>55</v>
      </c>
      <c r="N336">
        <f t="shared" si="45"/>
        <v>2.1136363636363638</v>
      </c>
      <c r="O336">
        <v>1</v>
      </c>
      <c r="T336" t="str">
        <f t="shared" si="44"/>
        <v/>
      </c>
      <c r="U336" t="s">
        <v>254</v>
      </c>
    </row>
    <row r="337" spans="1:21" x14ac:dyDescent="0.55000000000000004">
      <c r="A337">
        <v>100</v>
      </c>
      <c r="B337" t="str">
        <f t="shared" si="38"/>
        <v>100_0</v>
      </c>
      <c r="C337" s="2">
        <v>45604.4375</v>
      </c>
      <c r="D337" t="s">
        <v>221</v>
      </c>
      <c r="E337">
        <v>2</v>
      </c>
      <c r="F337" t="s">
        <v>242</v>
      </c>
      <c r="G337" t="str">
        <f t="shared" si="39"/>
        <v>Gobiomorphus cotidianus</v>
      </c>
      <c r="H337" t="str">
        <f t="shared" si="40"/>
        <v>Common_bully</v>
      </c>
      <c r="I337" t="str">
        <f t="shared" si="41"/>
        <v>Toitoi</v>
      </c>
      <c r="J337" t="str">
        <f t="shared" si="42"/>
        <v>Native</v>
      </c>
      <c r="K337" t="str">
        <f t="shared" si="43"/>
        <v>No</v>
      </c>
      <c r="M337">
        <v>50</v>
      </c>
      <c r="N337">
        <f t="shared" si="45"/>
        <v>2.1136363636363638</v>
      </c>
      <c r="O337">
        <v>1</v>
      </c>
      <c r="T337" t="str">
        <f t="shared" si="44"/>
        <v/>
      </c>
      <c r="U337" t="s">
        <v>254</v>
      </c>
    </row>
    <row r="338" spans="1:21" x14ac:dyDescent="0.55000000000000004">
      <c r="A338">
        <v>100</v>
      </c>
      <c r="B338" t="str">
        <f t="shared" si="38"/>
        <v>100_0</v>
      </c>
      <c r="C338" s="2">
        <v>45604.4375</v>
      </c>
      <c r="D338" t="s">
        <v>221</v>
      </c>
      <c r="E338">
        <v>2</v>
      </c>
      <c r="F338" t="s">
        <v>242</v>
      </c>
      <c r="G338" t="str">
        <f t="shared" si="39"/>
        <v>Gobiomorphus cotidianus</v>
      </c>
      <c r="H338" t="str">
        <f t="shared" si="40"/>
        <v>Common_bully</v>
      </c>
      <c r="I338" t="str">
        <f t="shared" si="41"/>
        <v>Toitoi</v>
      </c>
      <c r="J338" t="str">
        <f t="shared" si="42"/>
        <v>Native</v>
      </c>
      <c r="K338" t="str">
        <f t="shared" si="43"/>
        <v>No</v>
      </c>
      <c r="M338">
        <v>56</v>
      </c>
      <c r="N338">
        <f t="shared" si="45"/>
        <v>2.1136363636363638</v>
      </c>
      <c r="O338">
        <v>1</v>
      </c>
      <c r="T338" t="str">
        <f t="shared" si="44"/>
        <v/>
      </c>
      <c r="U338" t="s">
        <v>254</v>
      </c>
    </row>
    <row r="339" spans="1:21" x14ac:dyDescent="0.55000000000000004">
      <c r="A339">
        <v>100</v>
      </c>
      <c r="B339" t="str">
        <f t="shared" si="38"/>
        <v>100_0</v>
      </c>
      <c r="C339" s="2">
        <v>45604.4375</v>
      </c>
      <c r="D339" t="s">
        <v>221</v>
      </c>
      <c r="E339">
        <v>2</v>
      </c>
      <c r="F339" t="s">
        <v>242</v>
      </c>
      <c r="G339" t="str">
        <f t="shared" si="39"/>
        <v>Gobiomorphus cotidianus</v>
      </c>
      <c r="H339" t="str">
        <f t="shared" si="40"/>
        <v>Common_bully</v>
      </c>
      <c r="I339" t="str">
        <f t="shared" si="41"/>
        <v>Toitoi</v>
      </c>
      <c r="J339" t="str">
        <f t="shared" si="42"/>
        <v>Native</v>
      </c>
      <c r="K339" t="str">
        <f t="shared" si="43"/>
        <v>No</v>
      </c>
      <c r="M339">
        <v>60</v>
      </c>
      <c r="N339">
        <f t="shared" si="45"/>
        <v>2.1136363636363638</v>
      </c>
      <c r="O339">
        <v>1</v>
      </c>
      <c r="T339" t="str">
        <f t="shared" si="44"/>
        <v/>
      </c>
      <c r="U339" t="s">
        <v>254</v>
      </c>
    </row>
    <row r="340" spans="1:21" x14ac:dyDescent="0.55000000000000004">
      <c r="A340">
        <v>100</v>
      </c>
      <c r="B340" t="str">
        <f t="shared" si="38"/>
        <v>100_0</v>
      </c>
      <c r="C340" s="2">
        <v>45604.4375</v>
      </c>
      <c r="D340" t="s">
        <v>221</v>
      </c>
      <c r="E340">
        <v>2</v>
      </c>
      <c r="F340" t="s">
        <v>242</v>
      </c>
      <c r="G340" t="str">
        <f t="shared" si="39"/>
        <v>Gobiomorphus cotidianus</v>
      </c>
      <c r="H340" t="str">
        <f t="shared" si="40"/>
        <v>Common_bully</v>
      </c>
      <c r="I340" t="str">
        <f t="shared" si="41"/>
        <v>Toitoi</v>
      </c>
      <c r="J340" t="str">
        <f t="shared" si="42"/>
        <v>Native</v>
      </c>
      <c r="K340" t="str">
        <f t="shared" si="43"/>
        <v>No</v>
      </c>
      <c r="M340">
        <v>46</v>
      </c>
      <c r="N340">
        <f t="shared" si="45"/>
        <v>2.1136363636363638</v>
      </c>
      <c r="O340">
        <v>1</v>
      </c>
      <c r="T340" t="str">
        <f t="shared" si="44"/>
        <v/>
      </c>
      <c r="U340" t="s">
        <v>254</v>
      </c>
    </row>
    <row r="341" spans="1:21" x14ac:dyDescent="0.55000000000000004">
      <c r="A341">
        <v>100</v>
      </c>
      <c r="B341" t="str">
        <f t="shared" si="38"/>
        <v>100_0</v>
      </c>
      <c r="C341" s="2">
        <v>45604.4375</v>
      </c>
      <c r="D341" t="s">
        <v>221</v>
      </c>
      <c r="E341">
        <v>2</v>
      </c>
      <c r="F341" t="s">
        <v>242</v>
      </c>
      <c r="G341" t="str">
        <f t="shared" si="39"/>
        <v>Gobiomorphus cotidianus</v>
      </c>
      <c r="H341" t="str">
        <f t="shared" si="40"/>
        <v>Common_bully</v>
      </c>
      <c r="I341" t="str">
        <f t="shared" si="41"/>
        <v>Toitoi</v>
      </c>
      <c r="J341" t="str">
        <f t="shared" si="42"/>
        <v>Native</v>
      </c>
      <c r="K341" t="str">
        <f t="shared" si="43"/>
        <v>No</v>
      </c>
      <c r="M341">
        <v>67</v>
      </c>
      <c r="N341">
        <f t="shared" si="45"/>
        <v>2.1136363636363638</v>
      </c>
      <c r="O341">
        <v>1</v>
      </c>
      <c r="T341" t="str">
        <f t="shared" si="44"/>
        <v/>
      </c>
      <c r="U341" t="s">
        <v>254</v>
      </c>
    </row>
    <row r="342" spans="1:21" x14ac:dyDescent="0.55000000000000004">
      <c r="A342">
        <v>100</v>
      </c>
      <c r="B342" t="str">
        <f t="shared" si="38"/>
        <v>100_0</v>
      </c>
      <c r="C342" s="2">
        <v>45604.4375</v>
      </c>
      <c r="D342" t="s">
        <v>221</v>
      </c>
      <c r="E342">
        <v>2</v>
      </c>
      <c r="F342" t="s">
        <v>242</v>
      </c>
      <c r="G342" t="str">
        <f t="shared" si="39"/>
        <v>Gobiomorphus cotidianus</v>
      </c>
      <c r="H342" t="str">
        <f t="shared" si="40"/>
        <v>Common_bully</v>
      </c>
      <c r="I342" t="str">
        <f t="shared" si="41"/>
        <v>Toitoi</v>
      </c>
      <c r="J342" t="str">
        <f t="shared" si="42"/>
        <v>Native</v>
      </c>
      <c r="K342" t="str">
        <f t="shared" si="43"/>
        <v>No</v>
      </c>
      <c r="M342">
        <v>50</v>
      </c>
      <c r="N342">
        <f t="shared" si="45"/>
        <v>2.1136363636363638</v>
      </c>
      <c r="O342">
        <v>1</v>
      </c>
      <c r="T342" t="str">
        <f t="shared" si="44"/>
        <v/>
      </c>
      <c r="U342" t="s">
        <v>254</v>
      </c>
    </row>
    <row r="343" spans="1:21" x14ac:dyDescent="0.55000000000000004">
      <c r="A343">
        <v>100</v>
      </c>
      <c r="B343" t="str">
        <f t="shared" si="38"/>
        <v>100_0</v>
      </c>
      <c r="C343" s="2">
        <v>45604.4375</v>
      </c>
      <c r="D343" t="s">
        <v>221</v>
      </c>
      <c r="E343">
        <v>2</v>
      </c>
      <c r="F343" t="s">
        <v>242</v>
      </c>
      <c r="G343" t="str">
        <f t="shared" si="39"/>
        <v>Gobiomorphus cotidianus</v>
      </c>
      <c r="H343" t="str">
        <f t="shared" si="40"/>
        <v>Common_bully</v>
      </c>
      <c r="I343" t="str">
        <f t="shared" si="41"/>
        <v>Toitoi</v>
      </c>
      <c r="J343" t="str">
        <f t="shared" si="42"/>
        <v>Native</v>
      </c>
      <c r="K343" t="str">
        <f t="shared" si="43"/>
        <v>No</v>
      </c>
      <c r="M343">
        <v>48</v>
      </c>
      <c r="N343">
        <f t="shared" si="45"/>
        <v>2.1136363636363638</v>
      </c>
      <c r="O343">
        <v>1</v>
      </c>
      <c r="T343" t="str">
        <f t="shared" si="44"/>
        <v/>
      </c>
      <c r="U343" t="s">
        <v>254</v>
      </c>
    </row>
    <row r="344" spans="1:21" x14ac:dyDescent="0.55000000000000004">
      <c r="A344">
        <v>100</v>
      </c>
      <c r="B344" t="str">
        <f t="shared" si="38"/>
        <v>100_0</v>
      </c>
      <c r="C344" s="2">
        <v>45604.4375</v>
      </c>
      <c r="D344" t="s">
        <v>221</v>
      </c>
      <c r="E344">
        <v>2</v>
      </c>
      <c r="F344" t="s">
        <v>242</v>
      </c>
      <c r="G344" t="str">
        <f t="shared" si="39"/>
        <v>Gobiomorphus cotidianus</v>
      </c>
      <c r="H344" t="str">
        <f t="shared" si="40"/>
        <v>Common_bully</v>
      </c>
      <c r="I344" t="str">
        <f t="shared" si="41"/>
        <v>Toitoi</v>
      </c>
      <c r="J344" t="str">
        <f t="shared" si="42"/>
        <v>Native</v>
      </c>
      <c r="K344" t="str">
        <f t="shared" si="43"/>
        <v>No</v>
      </c>
      <c r="M344">
        <v>48</v>
      </c>
      <c r="N344">
        <f t="shared" si="45"/>
        <v>2.1136363636363638</v>
      </c>
      <c r="O344">
        <v>1</v>
      </c>
      <c r="T344" t="str">
        <f t="shared" si="44"/>
        <v/>
      </c>
      <c r="U344" t="s">
        <v>254</v>
      </c>
    </row>
    <row r="345" spans="1:21" x14ac:dyDescent="0.55000000000000004">
      <c r="A345">
        <v>100</v>
      </c>
      <c r="B345" t="str">
        <f t="shared" si="38"/>
        <v>100_0</v>
      </c>
      <c r="C345" s="2">
        <v>45604.4375</v>
      </c>
      <c r="D345" t="s">
        <v>221</v>
      </c>
      <c r="E345">
        <v>2</v>
      </c>
      <c r="F345" t="s">
        <v>242</v>
      </c>
      <c r="G345" t="str">
        <f t="shared" si="39"/>
        <v>Gobiomorphus cotidianus</v>
      </c>
      <c r="H345" t="str">
        <f t="shared" si="40"/>
        <v>Common_bully</v>
      </c>
      <c r="I345" t="str">
        <f t="shared" si="41"/>
        <v>Toitoi</v>
      </c>
      <c r="J345" t="str">
        <f t="shared" si="42"/>
        <v>Native</v>
      </c>
      <c r="K345" t="str">
        <f t="shared" si="43"/>
        <v>No</v>
      </c>
      <c r="M345">
        <v>56</v>
      </c>
      <c r="N345">
        <f t="shared" si="45"/>
        <v>2.1136363636363638</v>
      </c>
      <c r="O345">
        <v>1</v>
      </c>
      <c r="T345" t="str">
        <f t="shared" si="44"/>
        <v/>
      </c>
      <c r="U345" t="s">
        <v>254</v>
      </c>
    </row>
    <row r="346" spans="1:21" x14ac:dyDescent="0.55000000000000004">
      <c r="A346">
        <v>100</v>
      </c>
      <c r="B346" t="str">
        <f t="shared" si="38"/>
        <v>100_0</v>
      </c>
      <c r="C346" s="2">
        <v>45604.4375</v>
      </c>
      <c r="D346" t="s">
        <v>221</v>
      </c>
      <c r="E346">
        <v>2</v>
      </c>
      <c r="F346" t="s">
        <v>242</v>
      </c>
      <c r="G346" t="str">
        <f t="shared" si="39"/>
        <v>Gobiomorphus cotidianus</v>
      </c>
      <c r="H346" t="str">
        <f t="shared" si="40"/>
        <v>Common_bully</v>
      </c>
      <c r="I346" t="str">
        <f t="shared" si="41"/>
        <v>Toitoi</v>
      </c>
      <c r="J346" t="str">
        <f t="shared" si="42"/>
        <v>Native</v>
      </c>
      <c r="K346" t="str">
        <f t="shared" si="43"/>
        <v>No</v>
      </c>
      <c r="M346">
        <v>46</v>
      </c>
      <c r="N346">
        <f t="shared" si="45"/>
        <v>2.1136363636363638</v>
      </c>
      <c r="O346">
        <v>1</v>
      </c>
      <c r="T346" t="str">
        <f t="shared" si="44"/>
        <v/>
      </c>
      <c r="U346" t="s">
        <v>254</v>
      </c>
    </row>
    <row r="347" spans="1:21" x14ac:dyDescent="0.55000000000000004">
      <c r="A347">
        <v>100</v>
      </c>
      <c r="B347" t="str">
        <f t="shared" si="38"/>
        <v>100_0</v>
      </c>
      <c r="C347" s="2">
        <v>45604.4375</v>
      </c>
      <c r="D347" t="s">
        <v>221</v>
      </c>
      <c r="E347">
        <v>2</v>
      </c>
      <c r="F347" t="s">
        <v>242</v>
      </c>
      <c r="G347" t="str">
        <f t="shared" si="39"/>
        <v>Gobiomorphus cotidianus</v>
      </c>
      <c r="H347" t="str">
        <f t="shared" si="40"/>
        <v>Common_bully</v>
      </c>
      <c r="I347" t="str">
        <f t="shared" si="41"/>
        <v>Toitoi</v>
      </c>
      <c r="J347" t="str">
        <f t="shared" si="42"/>
        <v>Native</v>
      </c>
      <c r="K347" t="str">
        <f t="shared" si="43"/>
        <v>No</v>
      </c>
      <c r="M347">
        <v>50</v>
      </c>
      <c r="N347">
        <f t="shared" si="45"/>
        <v>2.1136363636363638</v>
      </c>
      <c r="O347">
        <v>1</v>
      </c>
      <c r="T347" t="str">
        <f t="shared" si="44"/>
        <v/>
      </c>
      <c r="U347" t="s">
        <v>254</v>
      </c>
    </row>
    <row r="348" spans="1:21" x14ac:dyDescent="0.55000000000000004">
      <c r="A348">
        <v>100</v>
      </c>
      <c r="B348" t="str">
        <f t="shared" si="38"/>
        <v>100_0</v>
      </c>
      <c r="C348" s="2">
        <v>45604.4375</v>
      </c>
      <c r="D348" t="s">
        <v>221</v>
      </c>
      <c r="E348">
        <v>2</v>
      </c>
      <c r="F348" t="s">
        <v>242</v>
      </c>
      <c r="G348" t="str">
        <f t="shared" si="39"/>
        <v>Gobiomorphus cotidianus</v>
      </c>
      <c r="H348" t="str">
        <f t="shared" si="40"/>
        <v>Common_bully</v>
      </c>
      <c r="I348" t="str">
        <f t="shared" si="41"/>
        <v>Toitoi</v>
      </c>
      <c r="J348" t="str">
        <f t="shared" si="42"/>
        <v>Native</v>
      </c>
      <c r="K348" t="str">
        <f t="shared" si="43"/>
        <v>No</v>
      </c>
      <c r="M348">
        <v>50</v>
      </c>
      <c r="N348">
        <f t="shared" si="45"/>
        <v>2.1136363636363638</v>
      </c>
      <c r="O348">
        <v>1</v>
      </c>
      <c r="T348" t="str">
        <f t="shared" si="44"/>
        <v/>
      </c>
      <c r="U348" t="s">
        <v>254</v>
      </c>
    </row>
    <row r="349" spans="1:21" x14ac:dyDescent="0.55000000000000004">
      <c r="A349">
        <v>100</v>
      </c>
      <c r="B349" t="str">
        <f t="shared" si="38"/>
        <v>100_0</v>
      </c>
      <c r="C349" s="2">
        <v>45604.4375</v>
      </c>
      <c r="D349" t="s">
        <v>221</v>
      </c>
      <c r="E349">
        <v>2</v>
      </c>
      <c r="F349" t="s">
        <v>242</v>
      </c>
      <c r="G349" t="str">
        <f t="shared" si="39"/>
        <v>Gobiomorphus cotidianus</v>
      </c>
      <c r="H349" t="str">
        <f t="shared" si="40"/>
        <v>Common_bully</v>
      </c>
      <c r="I349" t="str">
        <f t="shared" si="41"/>
        <v>Toitoi</v>
      </c>
      <c r="J349" t="str">
        <f t="shared" si="42"/>
        <v>Native</v>
      </c>
      <c r="K349" t="str">
        <f t="shared" si="43"/>
        <v>No</v>
      </c>
      <c r="M349">
        <v>55</v>
      </c>
      <c r="N349">
        <f t="shared" si="45"/>
        <v>2.1136363636363638</v>
      </c>
      <c r="O349">
        <v>1</v>
      </c>
      <c r="T349" t="str">
        <f t="shared" si="44"/>
        <v/>
      </c>
      <c r="U349" t="s">
        <v>254</v>
      </c>
    </row>
    <row r="350" spans="1:21" x14ac:dyDescent="0.55000000000000004">
      <c r="A350">
        <v>100</v>
      </c>
      <c r="B350" t="str">
        <f t="shared" si="38"/>
        <v>100_0</v>
      </c>
      <c r="C350" s="2">
        <v>45604.4375</v>
      </c>
      <c r="D350" t="s">
        <v>221</v>
      </c>
      <c r="E350">
        <v>2</v>
      </c>
      <c r="F350" t="s">
        <v>242</v>
      </c>
      <c r="G350" t="str">
        <f t="shared" si="39"/>
        <v>Gobiomorphus cotidianus</v>
      </c>
      <c r="H350" t="str">
        <f t="shared" si="40"/>
        <v>Common_bully</v>
      </c>
      <c r="I350" t="str">
        <f t="shared" si="41"/>
        <v>Toitoi</v>
      </c>
      <c r="J350" t="str">
        <f t="shared" si="42"/>
        <v>Native</v>
      </c>
      <c r="K350" t="str">
        <f t="shared" si="43"/>
        <v>No</v>
      </c>
      <c r="M350">
        <v>65</v>
      </c>
      <c r="N350">
        <f t="shared" si="45"/>
        <v>2.1136363636363638</v>
      </c>
      <c r="O350">
        <v>1</v>
      </c>
      <c r="T350" t="str">
        <f t="shared" si="44"/>
        <v/>
      </c>
      <c r="U350" t="s">
        <v>254</v>
      </c>
    </row>
    <row r="351" spans="1:21" x14ac:dyDescent="0.55000000000000004">
      <c r="A351">
        <v>100</v>
      </c>
      <c r="B351" t="str">
        <f t="shared" si="38"/>
        <v>100_0</v>
      </c>
      <c r="C351" s="2">
        <v>45604.4375</v>
      </c>
      <c r="D351" t="s">
        <v>221</v>
      </c>
      <c r="E351">
        <v>2</v>
      </c>
      <c r="F351" t="s">
        <v>242</v>
      </c>
      <c r="G351" t="str">
        <f t="shared" si="39"/>
        <v>Gobiomorphus cotidianus</v>
      </c>
      <c r="H351" t="str">
        <f t="shared" si="40"/>
        <v>Common_bully</v>
      </c>
      <c r="I351" t="str">
        <f t="shared" si="41"/>
        <v>Toitoi</v>
      </c>
      <c r="J351" t="str">
        <f t="shared" si="42"/>
        <v>Native</v>
      </c>
      <c r="K351" t="str">
        <f t="shared" si="43"/>
        <v>No</v>
      </c>
      <c r="N351">
        <f>N350*22</f>
        <v>46.5</v>
      </c>
      <c r="O351">
        <v>22</v>
      </c>
      <c r="S351">
        <v>0.5</v>
      </c>
      <c r="T351">
        <f t="shared" si="44"/>
        <v>118.294</v>
      </c>
      <c r="U351" t="s">
        <v>254</v>
      </c>
    </row>
    <row r="352" spans="1:21" x14ac:dyDescent="0.55000000000000004">
      <c r="A352">
        <v>100</v>
      </c>
      <c r="B352" t="str">
        <f t="shared" si="38"/>
        <v>100_0</v>
      </c>
      <c r="C352" s="2">
        <v>45604.4375</v>
      </c>
      <c r="D352" t="s">
        <v>221</v>
      </c>
      <c r="E352">
        <v>2</v>
      </c>
      <c r="F352" t="s">
        <v>236</v>
      </c>
      <c r="G352" t="str">
        <f t="shared" si="39"/>
        <v>Carassius auratus</v>
      </c>
      <c r="H352" t="str">
        <f t="shared" si="40"/>
        <v>Goldfish</v>
      </c>
      <c r="I352" t="str">
        <f t="shared" si="41"/>
        <v>Morihana</v>
      </c>
      <c r="J352" t="str">
        <f t="shared" si="42"/>
        <v>Nonnative</v>
      </c>
      <c r="K352" t="str">
        <f t="shared" si="43"/>
        <v>No</v>
      </c>
      <c r="M352">
        <v>160</v>
      </c>
      <c r="N352">
        <v>94</v>
      </c>
      <c r="O352">
        <v>1</v>
      </c>
      <c r="T352" t="str">
        <f t="shared" si="44"/>
        <v/>
      </c>
    </row>
    <row r="353" spans="1:21" x14ac:dyDescent="0.55000000000000004">
      <c r="A353">
        <v>100</v>
      </c>
      <c r="B353" t="str">
        <f t="shared" si="38"/>
        <v>100_0</v>
      </c>
      <c r="C353" s="2">
        <v>45604.4375</v>
      </c>
      <c r="D353" t="s">
        <v>221</v>
      </c>
      <c r="E353">
        <v>2</v>
      </c>
      <c r="F353" t="s">
        <v>242</v>
      </c>
      <c r="G353" t="str">
        <f t="shared" si="39"/>
        <v>Gobiomorphus cotidianus</v>
      </c>
      <c r="H353" t="str">
        <f t="shared" si="40"/>
        <v>Common_bully</v>
      </c>
      <c r="I353" t="str">
        <f t="shared" si="41"/>
        <v>Toitoi</v>
      </c>
      <c r="J353" t="str">
        <f t="shared" si="42"/>
        <v>Native</v>
      </c>
      <c r="K353" t="str">
        <f t="shared" si="43"/>
        <v>No</v>
      </c>
      <c r="N353">
        <v>43</v>
      </c>
      <c r="O353">
        <v>22</v>
      </c>
      <c r="T353" t="str">
        <f t="shared" si="44"/>
        <v/>
      </c>
    </row>
    <row r="354" spans="1:21" x14ac:dyDescent="0.55000000000000004">
      <c r="A354">
        <v>101</v>
      </c>
      <c r="B354" t="str">
        <f t="shared" si="38"/>
        <v>101_0</v>
      </c>
      <c r="C354" s="2">
        <v>45603.5</v>
      </c>
      <c r="D354" t="s">
        <v>245</v>
      </c>
      <c r="E354">
        <v>2</v>
      </c>
      <c r="F354" t="s">
        <v>242</v>
      </c>
      <c r="G354" t="str">
        <f t="shared" si="39"/>
        <v>Gobiomorphus cotidianus</v>
      </c>
      <c r="H354" t="str">
        <f t="shared" si="40"/>
        <v>Common_bully</v>
      </c>
      <c r="I354" t="str">
        <f t="shared" si="41"/>
        <v>Toitoi</v>
      </c>
      <c r="J354" t="str">
        <f t="shared" si="42"/>
        <v>Native</v>
      </c>
      <c r="K354" t="str">
        <f t="shared" si="43"/>
        <v>No</v>
      </c>
      <c r="O354">
        <v>52</v>
      </c>
      <c r="S354">
        <v>0.5</v>
      </c>
      <c r="T354">
        <f t="shared" si="44"/>
        <v>118.294</v>
      </c>
    </row>
    <row r="355" spans="1:21" x14ac:dyDescent="0.55000000000000004">
      <c r="A355">
        <v>108</v>
      </c>
      <c r="B355" t="str">
        <f t="shared" si="38"/>
        <v>108_0</v>
      </c>
      <c r="C355" s="2">
        <v>45604.458333333336</v>
      </c>
      <c r="D355" t="s">
        <v>221</v>
      </c>
      <c r="E355">
        <v>2</v>
      </c>
      <c r="F355" t="s">
        <v>222</v>
      </c>
      <c r="G355" t="str">
        <f t="shared" si="39"/>
        <v>Paranephrops planifrons</v>
      </c>
      <c r="H355" t="str">
        <f t="shared" si="40"/>
        <v>Freshwater_crayfish</v>
      </c>
      <c r="I355" t="str">
        <f t="shared" si="41"/>
        <v>Kōura</v>
      </c>
      <c r="J355" t="str">
        <f t="shared" si="42"/>
        <v>Native</v>
      </c>
      <c r="K355" t="str">
        <f t="shared" si="43"/>
        <v>Yes</v>
      </c>
      <c r="L355" t="s">
        <v>223</v>
      </c>
      <c r="M355">
        <v>27.85</v>
      </c>
      <c r="N355">
        <v>14</v>
      </c>
      <c r="O355">
        <v>1</v>
      </c>
      <c r="P355">
        <v>1</v>
      </c>
      <c r="T355" t="str">
        <f t="shared" si="44"/>
        <v/>
      </c>
    </row>
    <row r="356" spans="1:21" x14ac:dyDescent="0.55000000000000004">
      <c r="A356">
        <v>101</v>
      </c>
      <c r="B356" t="str">
        <f t="shared" si="38"/>
        <v>101_0</v>
      </c>
      <c r="C356" s="2">
        <v>45603.5</v>
      </c>
      <c r="D356" t="s">
        <v>221</v>
      </c>
      <c r="E356">
        <v>1</v>
      </c>
      <c r="F356" t="s">
        <v>242</v>
      </c>
      <c r="G356" t="str">
        <f t="shared" si="39"/>
        <v>Gobiomorphus cotidianus</v>
      </c>
      <c r="H356" t="str">
        <f t="shared" si="40"/>
        <v>Common_bully</v>
      </c>
      <c r="I356" t="str">
        <f t="shared" si="41"/>
        <v>Toitoi</v>
      </c>
      <c r="J356" t="str">
        <f t="shared" si="42"/>
        <v>Native</v>
      </c>
      <c r="K356" t="str">
        <f t="shared" si="43"/>
        <v>No</v>
      </c>
      <c r="M356">
        <v>44</v>
      </c>
      <c r="O356">
        <v>1</v>
      </c>
      <c r="T356" t="str">
        <f t="shared" si="44"/>
        <v/>
      </c>
      <c r="U356" t="s">
        <v>255</v>
      </c>
    </row>
    <row r="357" spans="1:21" x14ac:dyDescent="0.55000000000000004">
      <c r="A357">
        <v>101</v>
      </c>
      <c r="B357" t="str">
        <f t="shared" si="38"/>
        <v>101_0</v>
      </c>
      <c r="C357" s="2">
        <v>45603.5</v>
      </c>
      <c r="D357" t="s">
        <v>221</v>
      </c>
      <c r="E357">
        <v>1</v>
      </c>
      <c r="F357" t="s">
        <v>242</v>
      </c>
      <c r="G357" t="str">
        <f t="shared" si="39"/>
        <v>Gobiomorphus cotidianus</v>
      </c>
      <c r="H357" t="str">
        <f t="shared" si="40"/>
        <v>Common_bully</v>
      </c>
      <c r="I357" t="str">
        <f t="shared" si="41"/>
        <v>Toitoi</v>
      </c>
      <c r="J357" t="str">
        <f t="shared" si="42"/>
        <v>Native</v>
      </c>
      <c r="K357" t="str">
        <f t="shared" si="43"/>
        <v>No</v>
      </c>
      <c r="M357">
        <v>50</v>
      </c>
      <c r="O357">
        <v>1</v>
      </c>
      <c r="T357" t="str">
        <f t="shared" si="44"/>
        <v/>
      </c>
      <c r="U357" t="s">
        <v>255</v>
      </c>
    </row>
    <row r="358" spans="1:21" x14ac:dyDescent="0.55000000000000004">
      <c r="A358">
        <v>101</v>
      </c>
      <c r="B358" t="str">
        <f t="shared" si="38"/>
        <v>101_0</v>
      </c>
      <c r="C358" s="2">
        <v>45603.5</v>
      </c>
      <c r="D358" t="s">
        <v>221</v>
      </c>
      <c r="E358">
        <v>1</v>
      </c>
      <c r="F358" t="s">
        <v>242</v>
      </c>
      <c r="G358" t="str">
        <f t="shared" si="39"/>
        <v>Gobiomorphus cotidianus</v>
      </c>
      <c r="H358" t="str">
        <f t="shared" si="40"/>
        <v>Common_bully</v>
      </c>
      <c r="I358" t="str">
        <f t="shared" si="41"/>
        <v>Toitoi</v>
      </c>
      <c r="J358" t="str">
        <f t="shared" si="42"/>
        <v>Native</v>
      </c>
      <c r="K358" t="str">
        <f t="shared" si="43"/>
        <v>No</v>
      </c>
      <c r="M358">
        <v>30</v>
      </c>
      <c r="O358">
        <v>1</v>
      </c>
      <c r="T358" t="str">
        <f t="shared" si="44"/>
        <v/>
      </c>
      <c r="U358" t="s">
        <v>255</v>
      </c>
    </row>
    <row r="359" spans="1:21" x14ac:dyDescent="0.55000000000000004">
      <c r="A359">
        <v>101</v>
      </c>
      <c r="B359" t="str">
        <f t="shared" si="38"/>
        <v>101_0</v>
      </c>
      <c r="C359" s="2">
        <v>45603.5</v>
      </c>
      <c r="D359" t="s">
        <v>221</v>
      </c>
      <c r="E359">
        <v>1</v>
      </c>
      <c r="F359" t="s">
        <v>242</v>
      </c>
      <c r="G359" t="str">
        <f t="shared" si="39"/>
        <v>Gobiomorphus cotidianus</v>
      </c>
      <c r="H359" t="str">
        <f t="shared" si="40"/>
        <v>Common_bully</v>
      </c>
      <c r="I359" t="str">
        <f t="shared" si="41"/>
        <v>Toitoi</v>
      </c>
      <c r="J359" t="str">
        <f t="shared" si="42"/>
        <v>Native</v>
      </c>
      <c r="K359" t="str">
        <f t="shared" si="43"/>
        <v>No</v>
      </c>
      <c r="M359">
        <v>30</v>
      </c>
      <c r="O359">
        <v>1</v>
      </c>
      <c r="T359" t="str">
        <f t="shared" si="44"/>
        <v/>
      </c>
      <c r="U359" t="s">
        <v>255</v>
      </c>
    </row>
    <row r="360" spans="1:21" x14ac:dyDescent="0.55000000000000004">
      <c r="A360">
        <v>101</v>
      </c>
      <c r="B360" t="str">
        <f t="shared" si="38"/>
        <v>101_0</v>
      </c>
      <c r="C360" s="2">
        <v>45603.5</v>
      </c>
      <c r="D360" t="s">
        <v>221</v>
      </c>
      <c r="E360">
        <v>1</v>
      </c>
      <c r="F360" t="s">
        <v>242</v>
      </c>
      <c r="G360" t="str">
        <f t="shared" si="39"/>
        <v>Gobiomorphus cotidianus</v>
      </c>
      <c r="H360" t="str">
        <f t="shared" si="40"/>
        <v>Common_bully</v>
      </c>
      <c r="I360" t="str">
        <f t="shared" si="41"/>
        <v>Toitoi</v>
      </c>
      <c r="J360" t="str">
        <f t="shared" si="42"/>
        <v>Native</v>
      </c>
      <c r="K360" t="str">
        <f t="shared" si="43"/>
        <v>No</v>
      </c>
      <c r="M360">
        <v>25</v>
      </c>
      <c r="O360">
        <v>1</v>
      </c>
      <c r="T360" t="str">
        <f t="shared" si="44"/>
        <v/>
      </c>
      <c r="U360" t="s">
        <v>255</v>
      </c>
    </row>
    <row r="361" spans="1:21" x14ac:dyDescent="0.55000000000000004">
      <c r="A361">
        <v>101</v>
      </c>
      <c r="B361" t="str">
        <f t="shared" si="38"/>
        <v>101_0</v>
      </c>
      <c r="C361" s="2">
        <v>45603.5</v>
      </c>
      <c r="D361" t="s">
        <v>221</v>
      </c>
      <c r="E361">
        <v>1</v>
      </c>
      <c r="F361" t="s">
        <v>242</v>
      </c>
      <c r="G361" t="str">
        <f t="shared" si="39"/>
        <v>Gobiomorphus cotidianus</v>
      </c>
      <c r="H361" t="str">
        <f t="shared" si="40"/>
        <v>Common_bully</v>
      </c>
      <c r="I361" t="str">
        <f t="shared" si="41"/>
        <v>Toitoi</v>
      </c>
      <c r="J361" t="str">
        <f t="shared" si="42"/>
        <v>Native</v>
      </c>
      <c r="K361" t="str">
        <f t="shared" si="43"/>
        <v>No</v>
      </c>
      <c r="M361">
        <v>20</v>
      </c>
      <c r="O361">
        <v>1</v>
      </c>
      <c r="T361" t="str">
        <f t="shared" si="44"/>
        <v/>
      </c>
      <c r="U361" t="s">
        <v>255</v>
      </c>
    </row>
    <row r="362" spans="1:21" x14ac:dyDescent="0.55000000000000004">
      <c r="A362">
        <v>101</v>
      </c>
      <c r="B362" t="str">
        <f t="shared" si="38"/>
        <v>101_0</v>
      </c>
      <c r="C362" s="2">
        <v>45603.5</v>
      </c>
      <c r="D362" t="s">
        <v>221</v>
      </c>
      <c r="E362">
        <v>1</v>
      </c>
      <c r="F362" t="s">
        <v>236</v>
      </c>
      <c r="G362" t="str">
        <f t="shared" si="39"/>
        <v>Carassius auratus</v>
      </c>
      <c r="H362" t="str">
        <f t="shared" si="40"/>
        <v>Goldfish</v>
      </c>
      <c r="I362" t="str">
        <f t="shared" si="41"/>
        <v>Morihana</v>
      </c>
      <c r="J362" t="str">
        <f t="shared" si="42"/>
        <v>Nonnative</v>
      </c>
      <c r="K362" t="str">
        <f t="shared" si="43"/>
        <v>No</v>
      </c>
      <c r="M362">
        <v>130</v>
      </c>
      <c r="O362">
        <v>1</v>
      </c>
      <c r="T362" t="str">
        <f t="shared" si="44"/>
        <v/>
      </c>
    </row>
    <row r="363" spans="1:21" x14ac:dyDescent="0.55000000000000004">
      <c r="A363">
        <v>101</v>
      </c>
      <c r="B363" t="str">
        <f t="shared" si="38"/>
        <v>101_0</v>
      </c>
      <c r="C363" s="2">
        <v>45603.5</v>
      </c>
      <c r="D363" t="s">
        <v>221</v>
      </c>
      <c r="E363">
        <v>1</v>
      </c>
      <c r="F363" t="s">
        <v>236</v>
      </c>
      <c r="G363" t="str">
        <f t="shared" si="39"/>
        <v>Carassius auratus</v>
      </c>
      <c r="H363" t="str">
        <f t="shared" si="40"/>
        <v>Goldfish</v>
      </c>
      <c r="I363" t="str">
        <f t="shared" si="41"/>
        <v>Morihana</v>
      </c>
      <c r="J363" t="str">
        <f t="shared" si="42"/>
        <v>Nonnative</v>
      </c>
      <c r="K363" t="str">
        <f t="shared" si="43"/>
        <v>No</v>
      </c>
      <c r="M363">
        <v>58</v>
      </c>
      <c r="O363">
        <v>1</v>
      </c>
      <c r="T363" t="str">
        <f t="shared" si="44"/>
        <v/>
      </c>
    </row>
    <row r="364" spans="1:21" x14ac:dyDescent="0.55000000000000004">
      <c r="A364">
        <v>101</v>
      </c>
      <c r="B364" t="str">
        <f t="shared" si="38"/>
        <v>101_0</v>
      </c>
      <c r="C364" s="2">
        <v>45603.5</v>
      </c>
      <c r="D364" t="s">
        <v>221</v>
      </c>
      <c r="E364">
        <v>1</v>
      </c>
      <c r="F364" t="s">
        <v>236</v>
      </c>
      <c r="G364" t="str">
        <f t="shared" si="39"/>
        <v>Carassius auratus</v>
      </c>
      <c r="H364" t="str">
        <f t="shared" si="40"/>
        <v>Goldfish</v>
      </c>
      <c r="I364" t="str">
        <f t="shared" si="41"/>
        <v>Morihana</v>
      </c>
      <c r="J364" t="str">
        <f t="shared" si="42"/>
        <v>Nonnative</v>
      </c>
      <c r="K364" t="str">
        <f t="shared" si="43"/>
        <v>No</v>
      </c>
      <c r="M364">
        <v>50</v>
      </c>
      <c r="O364">
        <v>1</v>
      </c>
      <c r="T364" t="str">
        <f t="shared" si="44"/>
        <v/>
      </c>
    </row>
    <row r="365" spans="1:21" x14ac:dyDescent="0.55000000000000004">
      <c r="A365">
        <v>101</v>
      </c>
      <c r="B365" t="str">
        <f t="shared" si="38"/>
        <v>101_0</v>
      </c>
      <c r="C365" s="2">
        <v>45603.5</v>
      </c>
      <c r="D365" t="s">
        <v>221</v>
      </c>
      <c r="E365">
        <v>1</v>
      </c>
      <c r="F365" t="s">
        <v>236</v>
      </c>
      <c r="G365" t="str">
        <f t="shared" si="39"/>
        <v>Carassius auratus</v>
      </c>
      <c r="H365" t="str">
        <f t="shared" si="40"/>
        <v>Goldfish</v>
      </c>
      <c r="I365" t="str">
        <f t="shared" si="41"/>
        <v>Morihana</v>
      </c>
      <c r="J365" t="str">
        <f t="shared" si="42"/>
        <v>Nonnative</v>
      </c>
      <c r="K365" t="str">
        <f t="shared" si="43"/>
        <v>No</v>
      </c>
      <c r="M365">
        <v>42</v>
      </c>
      <c r="O365">
        <v>1</v>
      </c>
      <c r="T365" t="str">
        <f t="shared" si="44"/>
        <v/>
      </c>
    </row>
    <row r="366" spans="1:21" x14ac:dyDescent="0.55000000000000004">
      <c r="A366">
        <v>101</v>
      </c>
      <c r="B366" t="str">
        <f t="shared" si="38"/>
        <v>101_0</v>
      </c>
      <c r="C366" s="2">
        <v>45603.5</v>
      </c>
      <c r="D366" t="s">
        <v>221</v>
      </c>
      <c r="E366">
        <v>1</v>
      </c>
      <c r="F366" t="s">
        <v>236</v>
      </c>
      <c r="G366" t="str">
        <f t="shared" si="39"/>
        <v>Carassius auratus</v>
      </c>
      <c r="H366" t="str">
        <f t="shared" si="40"/>
        <v>Goldfish</v>
      </c>
      <c r="I366" t="str">
        <f t="shared" si="41"/>
        <v>Morihana</v>
      </c>
      <c r="J366" t="str">
        <f t="shared" si="42"/>
        <v>Nonnative</v>
      </c>
      <c r="K366" t="str">
        <f t="shared" si="43"/>
        <v>No</v>
      </c>
      <c r="M366">
        <v>55</v>
      </c>
      <c r="O366">
        <v>1</v>
      </c>
      <c r="T366" t="str">
        <f t="shared" si="44"/>
        <v/>
      </c>
    </row>
    <row r="367" spans="1:21" x14ac:dyDescent="0.55000000000000004">
      <c r="A367">
        <v>101</v>
      </c>
      <c r="B367" t="str">
        <f t="shared" si="38"/>
        <v>101_0</v>
      </c>
      <c r="C367" s="2">
        <v>45603.5</v>
      </c>
      <c r="D367" t="s">
        <v>221</v>
      </c>
      <c r="E367">
        <v>1</v>
      </c>
      <c r="F367" t="s">
        <v>236</v>
      </c>
      <c r="G367" t="str">
        <f t="shared" si="39"/>
        <v>Carassius auratus</v>
      </c>
      <c r="H367" t="str">
        <f t="shared" si="40"/>
        <v>Goldfish</v>
      </c>
      <c r="I367" t="str">
        <f t="shared" si="41"/>
        <v>Morihana</v>
      </c>
      <c r="J367" t="str">
        <f t="shared" si="42"/>
        <v>Nonnative</v>
      </c>
      <c r="K367" t="str">
        <f t="shared" si="43"/>
        <v>No</v>
      </c>
      <c r="M367">
        <v>65</v>
      </c>
      <c r="O367">
        <v>1</v>
      </c>
      <c r="T367" t="str">
        <f t="shared" si="44"/>
        <v/>
      </c>
    </row>
    <row r="368" spans="1:21" x14ac:dyDescent="0.55000000000000004">
      <c r="A368">
        <v>101</v>
      </c>
      <c r="B368" t="str">
        <f t="shared" si="38"/>
        <v>101_0</v>
      </c>
      <c r="C368" s="2">
        <v>45603.5</v>
      </c>
      <c r="D368" t="s">
        <v>221</v>
      </c>
      <c r="E368">
        <v>1</v>
      </c>
      <c r="F368" t="s">
        <v>236</v>
      </c>
      <c r="G368" t="str">
        <f t="shared" si="39"/>
        <v>Carassius auratus</v>
      </c>
      <c r="H368" t="str">
        <f t="shared" si="40"/>
        <v>Goldfish</v>
      </c>
      <c r="I368" t="str">
        <f t="shared" si="41"/>
        <v>Morihana</v>
      </c>
      <c r="J368" t="str">
        <f t="shared" si="42"/>
        <v>Nonnative</v>
      </c>
      <c r="K368" t="str">
        <f t="shared" si="43"/>
        <v>No</v>
      </c>
      <c r="M368">
        <v>65</v>
      </c>
      <c r="O368">
        <v>1</v>
      </c>
      <c r="T368" t="str">
        <f t="shared" si="44"/>
        <v/>
      </c>
    </row>
    <row r="369" spans="1:20" x14ac:dyDescent="0.55000000000000004">
      <c r="A369">
        <v>101</v>
      </c>
      <c r="B369" t="str">
        <f t="shared" si="38"/>
        <v>101_0</v>
      </c>
      <c r="C369" s="2">
        <v>45603.5</v>
      </c>
      <c r="D369" t="s">
        <v>221</v>
      </c>
      <c r="E369">
        <v>1</v>
      </c>
      <c r="F369" t="s">
        <v>236</v>
      </c>
      <c r="G369" t="str">
        <f t="shared" si="39"/>
        <v>Carassius auratus</v>
      </c>
      <c r="H369" t="str">
        <f t="shared" si="40"/>
        <v>Goldfish</v>
      </c>
      <c r="I369" t="str">
        <f t="shared" si="41"/>
        <v>Morihana</v>
      </c>
      <c r="J369" t="str">
        <f t="shared" si="42"/>
        <v>Nonnative</v>
      </c>
      <c r="K369" t="str">
        <f t="shared" si="43"/>
        <v>No</v>
      </c>
      <c r="M369">
        <v>46</v>
      </c>
      <c r="O369">
        <v>1</v>
      </c>
      <c r="T369" t="str">
        <f t="shared" si="44"/>
        <v/>
      </c>
    </row>
    <row r="370" spans="1:20" x14ac:dyDescent="0.55000000000000004">
      <c r="A370">
        <v>101</v>
      </c>
      <c r="B370" t="str">
        <f t="shared" si="38"/>
        <v>101_0</v>
      </c>
      <c r="C370" s="2">
        <v>45603.5</v>
      </c>
      <c r="D370" t="s">
        <v>221</v>
      </c>
      <c r="E370">
        <v>1</v>
      </c>
      <c r="F370" t="s">
        <v>236</v>
      </c>
      <c r="G370" t="str">
        <f t="shared" si="39"/>
        <v>Carassius auratus</v>
      </c>
      <c r="H370" t="str">
        <f t="shared" si="40"/>
        <v>Goldfish</v>
      </c>
      <c r="I370" t="str">
        <f t="shared" si="41"/>
        <v>Morihana</v>
      </c>
      <c r="J370" t="str">
        <f t="shared" si="42"/>
        <v>Nonnative</v>
      </c>
      <c r="K370" t="str">
        <f t="shared" si="43"/>
        <v>No</v>
      </c>
      <c r="M370">
        <v>50</v>
      </c>
      <c r="O370">
        <v>1</v>
      </c>
      <c r="T370" t="str">
        <f t="shared" si="44"/>
        <v/>
      </c>
    </row>
    <row r="371" spans="1:20" x14ac:dyDescent="0.55000000000000004">
      <c r="A371">
        <v>101</v>
      </c>
      <c r="B371" t="str">
        <f t="shared" si="38"/>
        <v>101_0</v>
      </c>
      <c r="C371" s="2">
        <v>45603.5</v>
      </c>
      <c r="D371" t="s">
        <v>221</v>
      </c>
      <c r="E371">
        <v>1</v>
      </c>
      <c r="F371" t="s">
        <v>236</v>
      </c>
      <c r="G371" t="str">
        <f t="shared" si="39"/>
        <v>Carassius auratus</v>
      </c>
      <c r="H371" t="str">
        <f t="shared" si="40"/>
        <v>Goldfish</v>
      </c>
      <c r="I371" t="str">
        <f t="shared" si="41"/>
        <v>Morihana</v>
      </c>
      <c r="J371" t="str">
        <f t="shared" si="42"/>
        <v>Nonnative</v>
      </c>
      <c r="K371" t="str">
        <f t="shared" si="43"/>
        <v>No</v>
      </c>
      <c r="M371">
        <v>56</v>
      </c>
      <c r="O371">
        <v>1</v>
      </c>
      <c r="T371" t="str">
        <f t="shared" si="44"/>
        <v/>
      </c>
    </row>
    <row r="372" spans="1:20" x14ac:dyDescent="0.55000000000000004">
      <c r="A372">
        <v>101</v>
      </c>
      <c r="B372" t="str">
        <f t="shared" si="38"/>
        <v>101_0</v>
      </c>
      <c r="C372" s="2">
        <v>45603.5</v>
      </c>
      <c r="D372" t="s">
        <v>221</v>
      </c>
      <c r="E372">
        <v>1</v>
      </c>
      <c r="F372" t="s">
        <v>236</v>
      </c>
      <c r="G372" t="str">
        <f t="shared" si="39"/>
        <v>Carassius auratus</v>
      </c>
      <c r="H372" t="str">
        <f t="shared" si="40"/>
        <v>Goldfish</v>
      </c>
      <c r="I372" t="str">
        <f t="shared" si="41"/>
        <v>Morihana</v>
      </c>
      <c r="J372" t="str">
        <f t="shared" si="42"/>
        <v>Nonnative</v>
      </c>
      <c r="K372" t="str">
        <f t="shared" si="43"/>
        <v>No</v>
      </c>
      <c r="M372">
        <v>46</v>
      </c>
      <c r="O372">
        <v>1</v>
      </c>
      <c r="T372" t="str">
        <f t="shared" si="44"/>
        <v/>
      </c>
    </row>
    <row r="373" spans="1:20" x14ac:dyDescent="0.55000000000000004">
      <c r="A373">
        <v>101</v>
      </c>
      <c r="B373" t="str">
        <f t="shared" si="38"/>
        <v>101_0</v>
      </c>
      <c r="C373" s="2">
        <v>45603.5</v>
      </c>
      <c r="D373" t="s">
        <v>221</v>
      </c>
      <c r="E373">
        <v>1</v>
      </c>
      <c r="F373" t="s">
        <v>236</v>
      </c>
      <c r="G373" t="str">
        <f t="shared" si="39"/>
        <v>Carassius auratus</v>
      </c>
      <c r="H373" t="str">
        <f t="shared" si="40"/>
        <v>Goldfish</v>
      </c>
      <c r="I373" t="str">
        <f t="shared" si="41"/>
        <v>Morihana</v>
      </c>
      <c r="J373" t="str">
        <f t="shared" si="42"/>
        <v>Nonnative</v>
      </c>
      <c r="K373" t="str">
        <f t="shared" si="43"/>
        <v>No</v>
      </c>
      <c r="M373">
        <v>50</v>
      </c>
      <c r="O373">
        <v>1</v>
      </c>
      <c r="T373" t="str">
        <f t="shared" si="44"/>
        <v/>
      </c>
    </row>
    <row r="374" spans="1:20" x14ac:dyDescent="0.55000000000000004">
      <c r="A374">
        <v>101</v>
      </c>
      <c r="B374" t="str">
        <f t="shared" si="38"/>
        <v>101_0</v>
      </c>
      <c r="C374" s="2">
        <v>45603.5</v>
      </c>
      <c r="D374" t="s">
        <v>221</v>
      </c>
      <c r="E374">
        <v>1</v>
      </c>
      <c r="F374" t="s">
        <v>236</v>
      </c>
      <c r="G374" t="str">
        <f t="shared" si="39"/>
        <v>Carassius auratus</v>
      </c>
      <c r="H374" t="str">
        <f t="shared" si="40"/>
        <v>Goldfish</v>
      </c>
      <c r="I374" t="str">
        <f t="shared" si="41"/>
        <v>Morihana</v>
      </c>
      <c r="J374" t="str">
        <f t="shared" si="42"/>
        <v>Nonnative</v>
      </c>
      <c r="K374" t="str">
        <f t="shared" si="43"/>
        <v>No</v>
      </c>
      <c r="M374">
        <v>52</v>
      </c>
      <c r="O374">
        <v>1</v>
      </c>
      <c r="T374" t="str">
        <f t="shared" si="44"/>
        <v/>
      </c>
    </row>
    <row r="375" spans="1:20" x14ac:dyDescent="0.55000000000000004">
      <c r="A375">
        <v>101</v>
      </c>
      <c r="B375" t="str">
        <f t="shared" si="38"/>
        <v>101_0</v>
      </c>
      <c r="C375" s="2">
        <v>45603.5</v>
      </c>
      <c r="D375" t="s">
        <v>221</v>
      </c>
      <c r="E375">
        <v>1</v>
      </c>
      <c r="F375" t="s">
        <v>236</v>
      </c>
      <c r="G375" t="str">
        <f t="shared" si="39"/>
        <v>Carassius auratus</v>
      </c>
      <c r="H375" t="str">
        <f t="shared" si="40"/>
        <v>Goldfish</v>
      </c>
      <c r="I375" t="str">
        <f t="shared" si="41"/>
        <v>Morihana</v>
      </c>
      <c r="J375" t="str">
        <f t="shared" si="42"/>
        <v>Nonnative</v>
      </c>
      <c r="K375" t="str">
        <f t="shared" si="43"/>
        <v>No</v>
      </c>
      <c r="M375">
        <v>42</v>
      </c>
      <c r="O375">
        <v>1</v>
      </c>
      <c r="T375" t="str">
        <f t="shared" si="44"/>
        <v/>
      </c>
    </row>
    <row r="376" spans="1:20" x14ac:dyDescent="0.55000000000000004">
      <c r="A376">
        <v>101</v>
      </c>
      <c r="B376" t="str">
        <f t="shared" si="38"/>
        <v>101_0</v>
      </c>
      <c r="C376" s="2">
        <v>45603.5</v>
      </c>
      <c r="D376" t="s">
        <v>221</v>
      </c>
      <c r="E376">
        <v>1</v>
      </c>
      <c r="F376" t="s">
        <v>242</v>
      </c>
      <c r="G376" t="str">
        <f t="shared" si="39"/>
        <v>Gobiomorphus cotidianus</v>
      </c>
      <c r="H376" t="str">
        <f t="shared" si="40"/>
        <v>Common_bully</v>
      </c>
      <c r="I376" t="str">
        <f t="shared" si="41"/>
        <v>Toitoi</v>
      </c>
      <c r="J376" t="str">
        <f t="shared" si="42"/>
        <v>Native</v>
      </c>
      <c r="K376" t="str">
        <f t="shared" si="43"/>
        <v>No</v>
      </c>
      <c r="S376">
        <v>1</v>
      </c>
      <c r="T376">
        <f t="shared" si="44"/>
        <v>236.58799999999999</v>
      </c>
    </row>
    <row r="377" spans="1:20" x14ac:dyDescent="0.55000000000000004">
      <c r="A377">
        <v>101</v>
      </c>
      <c r="B377" t="str">
        <f t="shared" si="38"/>
        <v>101_0</v>
      </c>
      <c r="C377" s="2">
        <v>45603.5</v>
      </c>
      <c r="D377" t="s">
        <v>221</v>
      </c>
      <c r="E377">
        <v>1</v>
      </c>
      <c r="F377" t="s">
        <v>242</v>
      </c>
      <c r="G377" t="str">
        <f t="shared" si="39"/>
        <v>Gobiomorphus cotidianus</v>
      </c>
      <c r="H377" t="str">
        <f t="shared" si="40"/>
        <v>Common_bully</v>
      </c>
      <c r="I377" t="str">
        <f t="shared" si="41"/>
        <v>Toitoi</v>
      </c>
      <c r="J377" t="str">
        <f t="shared" si="42"/>
        <v>Native</v>
      </c>
      <c r="K377" t="str">
        <f t="shared" si="43"/>
        <v>No</v>
      </c>
      <c r="S377">
        <v>2.5</v>
      </c>
      <c r="T377">
        <f t="shared" si="44"/>
        <v>591.47</v>
      </c>
    </row>
    <row r="378" spans="1:20" x14ac:dyDescent="0.55000000000000004">
      <c r="A378">
        <v>98</v>
      </c>
      <c r="B378" t="str">
        <f t="shared" si="38"/>
        <v>98_0</v>
      </c>
      <c r="C378" s="2">
        <v>45603.5625</v>
      </c>
      <c r="D378" t="s">
        <v>245</v>
      </c>
      <c r="E378">
        <v>2</v>
      </c>
      <c r="F378" t="s">
        <v>222</v>
      </c>
      <c r="G378" t="str">
        <f t="shared" si="39"/>
        <v>Paranephrops planifrons</v>
      </c>
      <c r="H378" t="str">
        <f t="shared" si="40"/>
        <v>Freshwater_crayfish</v>
      </c>
      <c r="I378" t="str">
        <f t="shared" si="41"/>
        <v>Kōura</v>
      </c>
      <c r="J378" t="str">
        <f t="shared" si="42"/>
        <v>Native</v>
      </c>
      <c r="K378" t="str">
        <f t="shared" si="43"/>
        <v>Yes</v>
      </c>
      <c r="L378" t="s">
        <v>228</v>
      </c>
      <c r="M378">
        <v>27.65</v>
      </c>
      <c r="O378">
        <v>1</v>
      </c>
      <c r="T378" t="str">
        <f t="shared" si="44"/>
        <v/>
      </c>
    </row>
    <row r="379" spans="1:20" x14ac:dyDescent="0.55000000000000004">
      <c r="A379">
        <v>77</v>
      </c>
      <c r="B379" t="str">
        <f t="shared" si="38"/>
        <v>77_0</v>
      </c>
      <c r="C379" s="2">
        <v>45674.520833333336</v>
      </c>
      <c r="D379" t="s">
        <v>245</v>
      </c>
      <c r="E379">
        <v>2</v>
      </c>
      <c r="F379" t="s">
        <v>222</v>
      </c>
      <c r="G379" t="str">
        <f t="shared" si="39"/>
        <v>Paranephrops planifrons</v>
      </c>
      <c r="H379" t="str">
        <f t="shared" si="40"/>
        <v>Freshwater_crayfish</v>
      </c>
      <c r="I379" t="str">
        <f t="shared" si="41"/>
        <v>Kōura</v>
      </c>
      <c r="J379" t="str">
        <f t="shared" si="42"/>
        <v>Native</v>
      </c>
      <c r="K379" t="str">
        <f t="shared" si="43"/>
        <v>Yes</v>
      </c>
      <c r="L379" t="s">
        <v>223</v>
      </c>
      <c r="M379">
        <v>27.33</v>
      </c>
      <c r="N379">
        <v>11</v>
      </c>
      <c r="O379">
        <v>1</v>
      </c>
      <c r="T379" t="str">
        <f t="shared" si="44"/>
        <v/>
      </c>
    </row>
    <row r="380" spans="1:20" x14ac:dyDescent="0.55000000000000004">
      <c r="A380">
        <v>66</v>
      </c>
      <c r="B380" t="str">
        <f t="shared" si="38"/>
        <v>66_0</v>
      </c>
      <c r="C380" s="2">
        <v>45709.513888888891</v>
      </c>
      <c r="D380" t="s">
        <v>221</v>
      </c>
      <c r="E380">
        <v>2</v>
      </c>
      <c r="F380" t="s">
        <v>222</v>
      </c>
      <c r="G380" t="str">
        <f t="shared" si="39"/>
        <v>Paranephrops planifrons</v>
      </c>
      <c r="H380" t="str">
        <f t="shared" si="40"/>
        <v>Freshwater_crayfish</v>
      </c>
      <c r="I380" t="str">
        <f t="shared" si="41"/>
        <v>Kōura</v>
      </c>
      <c r="J380" t="str">
        <f t="shared" si="42"/>
        <v>Native</v>
      </c>
      <c r="K380" t="str">
        <f t="shared" si="43"/>
        <v>Yes</v>
      </c>
      <c r="L380" t="s">
        <v>223</v>
      </c>
      <c r="M380">
        <v>27.31</v>
      </c>
      <c r="N380">
        <v>18</v>
      </c>
      <c r="O380">
        <v>1</v>
      </c>
      <c r="T380" t="str">
        <f t="shared" si="44"/>
        <v/>
      </c>
    </row>
    <row r="381" spans="1:20" x14ac:dyDescent="0.55000000000000004">
      <c r="A381">
        <v>68</v>
      </c>
      <c r="B381" t="str">
        <f t="shared" si="38"/>
        <v>68_0</v>
      </c>
      <c r="C381" s="2">
        <v>45709.493055555555</v>
      </c>
      <c r="D381" t="s">
        <v>245</v>
      </c>
      <c r="E381">
        <v>2</v>
      </c>
      <c r="F381" t="s">
        <v>222</v>
      </c>
      <c r="G381" t="str">
        <f t="shared" si="39"/>
        <v>Paranephrops planifrons</v>
      </c>
      <c r="H381" t="str">
        <f t="shared" si="40"/>
        <v>Freshwater_crayfish</v>
      </c>
      <c r="I381" t="str">
        <f t="shared" si="41"/>
        <v>Kōura</v>
      </c>
      <c r="J381" t="str">
        <f t="shared" si="42"/>
        <v>Native</v>
      </c>
      <c r="K381" t="str">
        <f t="shared" si="43"/>
        <v>Yes</v>
      </c>
      <c r="L381" t="s">
        <v>228</v>
      </c>
      <c r="M381">
        <v>27.27</v>
      </c>
      <c r="N381">
        <v>18</v>
      </c>
      <c r="O381">
        <v>1</v>
      </c>
      <c r="P381">
        <v>1</v>
      </c>
      <c r="T381" t="str">
        <f t="shared" si="44"/>
        <v/>
      </c>
    </row>
    <row r="382" spans="1:20" x14ac:dyDescent="0.55000000000000004">
      <c r="A382">
        <v>98</v>
      </c>
      <c r="B382" t="str">
        <f t="shared" si="38"/>
        <v>98_0</v>
      </c>
      <c r="C382" s="2">
        <v>45603.5625</v>
      </c>
      <c r="D382" t="s">
        <v>221</v>
      </c>
      <c r="E382">
        <v>2</v>
      </c>
      <c r="F382" t="s">
        <v>222</v>
      </c>
      <c r="G382" t="str">
        <f t="shared" si="39"/>
        <v>Paranephrops planifrons</v>
      </c>
      <c r="H382" t="str">
        <f t="shared" si="40"/>
        <v>Freshwater_crayfish</v>
      </c>
      <c r="I382" t="str">
        <f t="shared" si="41"/>
        <v>Kōura</v>
      </c>
      <c r="J382" t="str">
        <f t="shared" si="42"/>
        <v>Native</v>
      </c>
      <c r="K382" t="str">
        <f t="shared" si="43"/>
        <v>Yes</v>
      </c>
      <c r="L382" t="s">
        <v>228</v>
      </c>
      <c r="M382">
        <v>27.12</v>
      </c>
      <c r="O382">
        <v>1</v>
      </c>
      <c r="T382" t="str">
        <f t="shared" si="44"/>
        <v/>
      </c>
    </row>
    <row r="383" spans="1:20" x14ac:dyDescent="0.55000000000000004">
      <c r="A383">
        <v>102</v>
      </c>
      <c r="B383" t="str">
        <f t="shared" si="38"/>
        <v>102_0</v>
      </c>
      <c r="C383" s="2">
        <v>45603.477083275466</v>
      </c>
      <c r="D383" t="s">
        <v>245</v>
      </c>
      <c r="E383">
        <v>2</v>
      </c>
      <c r="F383" t="s">
        <v>242</v>
      </c>
      <c r="G383" t="str">
        <f t="shared" si="39"/>
        <v>Gobiomorphus cotidianus</v>
      </c>
      <c r="H383" t="str">
        <f t="shared" si="40"/>
        <v>Common_bully</v>
      </c>
      <c r="I383" t="str">
        <f t="shared" si="41"/>
        <v>Toitoi</v>
      </c>
      <c r="J383" t="str">
        <f t="shared" si="42"/>
        <v>Native</v>
      </c>
      <c r="K383" t="str">
        <f t="shared" si="43"/>
        <v>No</v>
      </c>
      <c r="N383">
        <v>31</v>
      </c>
      <c r="O383">
        <v>27</v>
      </c>
      <c r="T383" t="str">
        <f t="shared" si="44"/>
        <v/>
      </c>
    </row>
    <row r="384" spans="1:20" x14ac:dyDescent="0.55000000000000004">
      <c r="A384">
        <v>68</v>
      </c>
      <c r="B384" t="str">
        <f t="shared" si="38"/>
        <v>68_0</v>
      </c>
      <c r="C384" s="2">
        <v>45709.493055497682</v>
      </c>
      <c r="D384" t="s">
        <v>221</v>
      </c>
      <c r="E384">
        <v>2</v>
      </c>
      <c r="F384" t="s">
        <v>222</v>
      </c>
      <c r="G384" t="str">
        <f t="shared" si="39"/>
        <v>Paranephrops planifrons</v>
      </c>
      <c r="H384" t="str">
        <f t="shared" si="40"/>
        <v>Freshwater_crayfish</v>
      </c>
      <c r="I384" t="str">
        <f t="shared" si="41"/>
        <v>Kōura</v>
      </c>
      <c r="J384" t="str">
        <f t="shared" si="42"/>
        <v>Native</v>
      </c>
      <c r="K384" t="str">
        <f t="shared" si="43"/>
        <v>Yes</v>
      </c>
      <c r="L384" t="s">
        <v>223</v>
      </c>
      <c r="M384">
        <v>27.07</v>
      </c>
      <c r="N384">
        <v>10</v>
      </c>
      <c r="O384">
        <v>1</v>
      </c>
      <c r="T384" t="str">
        <f t="shared" si="44"/>
        <v/>
      </c>
    </row>
    <row r="385" spans="1:21" x14ac:dyDescent="0.55000000000000004">
      <c r="A385">
        <v>109</v>
      </c>
      <c r="B385" t="str">
        <f t="shared" si="38"/>
        <v>109_0</v>
      </c>
      <c r="C385" s="2">
        <v>45597.541666608799</v>
      </c>
      <c r="D385" t="s">
        <v>245</v>
      </c>
      <c r="E385">
        <v>2</v>
      </c>
      <c r="F385" t="s">
        <v>222</v>
      </c>
      <c r="G385" t="str">
        <f t="shared" si="39"/>
        <v>Paranephrops planifrons</v>
      </c>
      <c r="H385" t="str">
        <f t="shared" si="40"/>
        <v>Freshwater_crayfish</v>
      </c>
      <c r="I385" t="str">
        <f t="shared" si="41"/>
        <v>Kōura</v>
      </c>
      <c r="J385" t="str">
        <f t="shared" si="42"/>
        <v>Native</v>
      </c>
      <c r="K385" t="str">
        <f t="shared" si="43"/>
        <v>Yes</v>
      </c>
      <c r="L385" t="s">
        <v>223</v>
      </c>
      <c r="M385">
        <v>27</v>
      </c>
      <c r="N385">
        <v>20</v>
      </c>
      <c r="O385">
        <v>1</v>
      </c>
      <c r="R385">
        <v>1</v>
      </c>
      <c r="T385" t="str">
        <f t="shared" si="44"/>
        <v/>
      </c>
    </row>
    <row r="386" spans="1:21" x14ac:dyDescent="0.55000000000000004">
      <c r="A386">
        <v>102</v>
      </c>
      <c r="B386" t="str">
        <f t="shared" ref="B386:B449" si="46">A386 &amp; "_0"</f>
        <v>102_0</v>
      </c>
      <c r="C386" s="2">
        <v>45603.477083275466</v>
      </c>
      <c r="D386" t="s">
        <v>221</v>
      </c>
      <c r="E386">
        <v>2</v>
      </c>
      <c r="F386" t="s">
        <v>242</v>
      </c>
      <c r="G386" t="str">
        <f t="shared" ref="G386:G449" si="47">VLOOKUP($F386, $W$1:$AB$10, 2, FALSE)</f>
        <v>Gobiomorphus cotidianus</v>
      </c>
      <c r="H386" t="str">
        <f t="shared" ref="H386:H449" si="48">VLOOKUP($F386, $W$1:$AB$10, 3, FALSE)</f>
        <v>Common_bully</v>
      </c>
      <c r="I386" t="str">
        <f t="shared" ref="I386:I449" si="49">VLOOKUP($F386, $W$1:$AB$10, 4, FALSE)</f>
        <v>Toitoi</v>
      </c>
      <c r="J386" t="str">
        <f t="shared" ref="J386:J449" si="50">VLOOKUP($F386, $W$1:$AC$10, 5, FALSE)</f>
        <v>Native</v>
      </c>
      <c r="K386" t="str">
        <f t="shared" ref="K386:K449" si="51">VLOOKUP($F386, $W$1:$AB$10, 6, FALSE)</f>
        <v>No</v>
      </c>
      <c r="S386">
        <v>0.6</v>
      </c>
      <c r="T386">
        <f t="shared" ref="T386:T449" si="52">IF(S386&lt;&gt;"", S386*236.588, "")</f>
        <v>141.9528</v>
      </c>
      <c r="U386" t="s">
        <v>256</v>
      </c>
    </row>
    <row r="387" spans="1:21" x14ac:dyDescent="0.55000000000000004">
      <c r="A387">
        <v>66</v>
      </c>
      <c r="B387" t="str">
        <f t="shared" si="46"/>
        <v>66_0</v>
      </c>
      <c r="C387" s="2">
        <v>45709.513888888891</v>
      </c>
      <c r="D387" t="s">
        <v>221</v>
      </c>
      <c r="E387">
        <v>2</v>
      </c>
      <c r="F387" t="s">
        <v>222</v>
      </c>
      <c r="G387" t="str">
        <f t="shared" si="47"/>
        <v>Paranephrops planifrons</v>
      </c>
      <c r="H387" t="str">
        <f t="shared" si="48"/>
        <v>Freshwater_crayfish</v>
      </c>
      <c r="I387" t="str">
        <f t="shared" si="49"/>
        <v>Kōura</v>
      </c>
      <c r="J387" t="str">
        <f t="shared" si="50"/>
        <v>Native</v>
      </c>
      <c r="K387" t="str">
        <f t="shared" si="51"/>
        <v>Yes</v>
      </c>
      <c r="L387" t="s">
        <v>223</v>
      </c>
      <c r="M387">
        <v>26.8</v>
      </c>
      <c r="N387">
        <v>15</v>
      </c>
      <c r="O387">
        <v>1</v>
      </c>
      <c r="T387" t="str">
        <f t="shared" si="52"/>
        <v/>
      </c>
    </row>
    <row r="388" spans="1:21" x14ac:dyDescent="0.55000000000000004">
      <c r="A388">
        <v>102</v>
      </c>
      <c r="B388" t="str">
        <f t="shared" si="46"/>
        <v>102_0</v>
      </c>
      <c r="C388" s="2">
        <v>45603.477083275466</v>
      </c>
      <c r="D388" t="s">
        <v>221</v>
      </c>
      <c r="E388">
        <v>2</v>
      </c>
      <c r="F388" t="s">
        <v>242</v>
      </c>
      <c r="G388" t="str">
        <f t="shared" si="47"/>
        <v>Gobiomorphus cotidianus</v>
      </c>
      <c r="H388" t="str">
        <f t="shared" si="48"/>
        <v>Common_bully</v>
      </c>
      <c r="I388" t="str">
        <f t="shared" si="49"/>
        <v>Toitoi</v>
      </c>
      <c r="J388" t="str">
        <f t="shared" si="50"/>
        <v>Native</v>
      </c>
      <c r="K388" t="str">
        <f t="shared" si="51"/>
        <v>No</v>
      </c>
      <c r="S388">
        <v>0.6</v>
      </c>
      <c r="T388">
        <f t="shared" si="52"/>
        <v>141.9528</v>
      </c>
      <c r="U388" t="s">
        <v>256</v>
      </c>
    </row>
    <row r="389" spans="1:21" x14ac:dyDescent="0.55000000000000004">
      <c r="A389">
        <v>103</v>
      </c>
      <c r="B389" t="str">
        <f t="shared" si="46"/>
        <v>103_0</v>
      </c>
      <c r="C389" s="2">
        <v>45604.486111111109</v>
      </c>
      <c r="D389" t="s">
        <v>245</v>
      </c>
      <c r="E389">
        <v>2</v>
      </c>
      <c r="F389" t="s">
        <v>242</v>
      </c>
      <c r="G389" t="str">
        <f t="shared" si="47"/>
        <v>Gobiomorphus cotidianus</v>
      </c>
      <c r="H389" t="str">
        <f t="shared" si="48"/>
        <v>Common_bully</v>
      </c>
      <c r="I389" t="str">
        <f t="shared" si="49"/>
        <v>Toitoi</v>
      </c>
      <c r="J389" t="str">
        <f t="shared" si="50"/>
        <v>Native</v>
      </c>
      <c r="K389" t="str">
        <f t="shared" si="51"/>
        <v>No</v>
      </c>
      <c r="M389">
        <v>50</v>
      </c>
      <c r="N389">
        <f t="shared" ref="N389:N397" si="53">19/9</f>
        <v>2.1111111111111112</v>
      </c>
      <c r="O389">
        <v>1</v>
      </c>
      <c r="T389" t="str">
        <f t="shared" si="52"/>
        <v/>
      </c>
    </row>
    <row r="390" spans="1:21" x14ac:dyDescent="0.55000000000000004">
      <c r="A390">
        <v>103</v>
      </c>
      <c r="B390" t="str">
        <f t="shared" si="46"/>
        <v>103_0</v>
      </c>
      <c r="C390" s="2">
        <v>45604.486111111109</v>
      </c>
      <c r="D390" t="s">
        <v>245</v>
      </c>
      <c r="E390">
        <v>2</v>
      </c>
      <c r="F390" t="s">
        <v>242</v>
      </c>
      <c r="G390" t="str">
        <f t="shared" si="47"/>
        <v>Gobiomorphus cotidianus</v>
      </c>
      <c r="H390" t="str">
        <f t="shared" si="48"/>
        <v>Common_bully</v>
      </c>
      <c r="I390" t="str">
        <f t="shared" si="49"/>
        <v>Toitoi</v>
      </c>
      <c r="J390" t="str">
        <f t="shared" si="50"/>
        <v>Native</v>
      </c>
      <c r="K390" t="str">
        <f t="shared" si="51"/>
        <v>No</v>
      </c>
      <c r="M390">
        <v>50</v>
      </c>
      <c r="N390">
        <f t="shared" si="53"/>
        <v>2.1111111111111112</v>
      </c>
      <c r="O390">
        <v>1</v>
      </c>
      <c r="T390" t="str">
        <f t="shared" si="52"/>
        <v/>
      </c>
    </row>
    <row r="391" spans="1:21" x14ac:dyDescent="0.55000000000000004">
      <c r="A391">
        <v>103</v>
      </c>
      <c r="B391" t="str">
        <f t="shared" si="46"/>
        <v>103_0</v>
      </c>
      <c r="C391" s="2">
        <v>45604.486111053244</v>
      </c>
      <c r="D391" t="s">
        <v>245</v>
      </c>
      <c r="E391">
        <v>2</v>
      </c>
      <c r="F391" t="s">
        <v>242</v>
      </c>
      <c r="G391" t="str">
        <f t="shared" si="47"/>
        <v>Gobiomorphus cotidianus</v>
      </c>
      <c r="H391" t="str">
        <f t="shared" si="48"/>
        <v>Common_bully</v>
      </c>
      <c r="I391" t="str">
        <f t="shared" si="49"/>
        <v>Toitoi</v>
      </c>
      <c r="J391" t="str">
        <f t="shared" si="50"/>
        <v>Native</v>
      </c>
      <c r="K391" t="str">
        <f t="shared" si="51"/>
        <v>No</v>
      </c>
      <c r="M391">
        <v>64</v>
      </c>
      <c r="N391">
        <f t="shared" si="53"/>
        <v>2.1111111111111112</v>
      </c>
      <c r="O391">
        <v>1</v>
      </c>
      <c r="T391" t="str">
        <f t="shared" si="52"/>
        <v/>
      </c>
    </row>
    <row r="392" spans="1:21" x14ac:dyDescent="0.55000000000000004">
      <c r="A392">
        <v>103</v>
      </c>
      <c r="B392" t="str">
        <f t="shared" si="46"/>
        <v>103_0</v>
      </c>
      <c r="C392" s="2">
        <v>45604.486111053244</v>
      </c>
      <c r="D392" t="s">
        <v>245</v>
      </c>
      <c r="E392">
        <v>2</v>
      </c>
      <c r="F392" t="s">
        <v>242</v>
      </c>
      <c r="G392" t="str">
        <f t="shared" si="47"/>
        <v>Gobiomorphus cotidianus</v>
      </c>
      <c r="H392" t="str">
        <f t="shared" si="48"/>
        <v>Common_bully</v>
      </c>
      <c r="I392" t="str">
        <f t="shared" si="49"/>
        <v>Toitoi</v>
      </c>
      <c r="J392" t="str">
        <f t="shared" si="50"/>
        <v>Native</v>
      </c>
      <c r="K392" t="str">
        <f t="shared" si="51"/>
        <v>No</v>
      </c>
      <c r="M392">
        <v>55</v>
      </c>
      <c r="N392">
        <f t="shared" si="53"/>
        <v>2.1111111111111112</v>
      </c>
      <c r="O392">
        <v>1</v>
      </c>
      <c r="T392" t="str">
        <f t="shared" si="52"/>
        <v/>
      </c>
    </row>
    <row r="393" spans="1:21" x14ac:dyDescent="0.55000000000000004">
      <c r="A393">
        <v>103</v>
      </c>
      <c r="B393" t="str">
        <f t="shared" si="46"/>
        <v>103_0</v>
      </c>
      <c r="C393" s="2">
        <v>45604.486111053244</v>
      </c>
      <c r="D393" t="s">
        <v>245</v>
      </c>
      <c r="E393">
        <v>2</v>
      </c>
      <c r="F393" t="s">
        <v>242</v>
      </c>
      <c r="G393" t="str">
        <f t="shared" si="47"/>
        <v>Gobiomorphus cotidianus</v>
      </c>
      <c r="H393" t="str">
        <f t="shared" si="48"/>
        <v>Common_bully</v>
      </c>
      <c r="I393" t="str">
        <f t="shared" si="49"/>
        <v>Toitoi</v>
      </c>
      <c r="J393" t="str">
        <f t="shared" si="50"/>
        <v>Native</v>
      </c>
      <c r="K393" t="str">
        <f t="shared" si="51"/>
        <v>No</v>
      </c>
      <c r="M393">
        <v>62</v>
      </c>
      <c r="N393">
        <f t="shared" si="53"/>
        <v>2.1111111111111112</v>
      </c>
      <c r="O393">
        <v>1</v>
      </c>
      <c r="T393" t="str">
        <f t="shared" si="52"/>
        <v/>
      </c>
    </row>
    <row r="394" spans="1:21" x14ac:dyDescent="0.55000000000000004">
      <c r="A394">
        <v>103</v>
      </c>
      <c r="B394" t="str">
        <f t="shared" si="46"/>
        <v>103_0</v>
      </c>
      <c r="C394" s="2">
        <v>45604.486111053244</v>
      </c>
      <c r="D394" t="s">
        <v>245</v>
      </c>
      <c r="E394">
        <v>2</v>
      </c>
      <c r="F394" t="s">
        <v>242</v>
      </c>
      <c r="G394" t="str">
        <f t="shared" si="47"/>
        <v>Gobiomorphus cotidianus</v>
      </c>
      <c r="H394" t="str">
        <f t="shared" si="48"/>
        <v>Common_bully</v>
      </c>
      <c r="I394" t="str">
        <f t="shared" si="49"/>
        <v>Toitoi</v>
      </c>
      <c r="J394" t="str">
        <f t="shared" si="50"/>
        <v>Native</v>
      </c>
      <c r="K394" t="str">
        <f t="shared" si="51"/>
        <v>No</v>
      </c>
      <c r="M394">
        <v>72</v>
      </c>
      <c r="N394">
        <f t="shared" si="53"/>
        <v>2.1111111111111112</v>
      </c>
      <c r="O394">
        <v>1</v>
      </c>
      <c r="T394" t="str">
        <f t="shared" si="52"/>
        <v/>
      </c>
    </row>
    <row r="395" spans="1:21" x14ac:dyDescent="0.55000000000000004">
      <c r="A395">
        <v>103</v>
      </c>
      <c r="B395" t="str">
        <f t="shared" si="46"/>
        <v>103_0</v>
      </c>
      <c r="C395" s="2">
        <v>45604.486111053244</v>
      </c>
      <c r="D395" t="s">
        <v>245</v>
      </c>
      <c r="E395">
        <v>2</v>
      </c>
      <c r="F395" t="s">
        <v>242</v>
      </c>
      <c r="G395" t="str">
        <f t="shared" si="47"/>
        <v>Gobiomorphus cotidianus</v>
      </c>
      <c r="H395" t="str">
        <f t="shared" si="48"/>
        <v>Common_bully</v>
      </c>
      <c r="I395" t="str">
        <f t="shared" si="49"/>
        <v>Toitoi</v>
      </c>
      <c r="J395" t="str">
        <f t="shared" si="50"/>
        <v>Native</v>
      </c>
      <c r="K395" t="str">
        <f t="shared" si="51"/>
        <v>No</v>
      </c>
      <c r="M395">
        <v>57</v>
      </c>
      <c r="N395">
        <f t="shared" si="53"/>
        <v>2.1111111111111112</v>
      </c>
      <c r="O395">
        <v>1</v>
      </c>
      <c r="T395" t="str">
        <f t="shared" si="52"/>
        <v/>
      </c>
    </row>
    <row r="396" spans="1:21" x14ac:dyDescent="0.55000000000000004">
      <c r="A396">
        <v>103</v>
      </c>
      <c r="B396" t="str">
        <f t="shared" si="46"/>
        <v>103_0</v>
      </c>
      <c r="C396" s="2">
        <v>45604.486111053244</v>
      </c>
      <c r="D396" t="s">
        <v>245</v>
      </c>
      <c r="E396">
        <v>2</v>
      </c>
      <c r="F396" t="s">
        <v>242</v>
      </c>
      <c r="G396" t="str">
        <f t="shared" si="47"/>
        <v>Gobiomorphus cotidianus</v>
      </c>
      <c r="H396" t="str">
        <f t="shared" si="48"/>
        <v>Common_bully</v>
      </c>
      <c r="I396" t="str">
        <f t="shared" si="49"/>
        <v>Toitoi</v>
      </c>
      <c r="J396" t="str">
        <f t="shared" si="50"/>
        <v>Native</v>
      </c>
      <c r="K396" t="str">
        <f t="shared" si="51"/>
        <v>No</v>
      </c>
      <c r="M396">
        <v>26</v>
      </c>
      <c r="N396">
        <f t="shared" si="53"/>
        <v>2.1111111111111112</v>
      </c>
      <c r="O396">
        <v>1</v>
      </c>
      <c r="T396" t="str">
        <f t="shared" si="52"/>
        <v/>
      </c>
    </row>
    <row r="397" spans="1:21" x14ac:dyDescent="0.55000000000000004">
      <c r="A397">
        <v>103</v>
      </c>
      <c r="B397" t="str">
        <f t="shared" si="46"/>
        <v>103_0</v>
      </c>
      <c r="C397" s="2">
        <v>45604.486111053244</v>
      </c>
      <c r="D397" t="s">
        <v>245</v>
      </c>
      <c r="E397">
        <v>2</v>
      </c>
      <c r="F397" t="s">
        <v>242</v>
      </c>
      <c r="G397" t="str">
        <f t="shared" si="47"/>
        <v>Gobiomorphus cotidianus</v>
      </c>
      <c r="H397" t="str">
        <f t="shared" si="48"/>
        <v>Common_bully</v>
      </c>
      <c r="I397" t="str">
        <f t="shared" si="49"/>
        <v>Toitoi</v>
      </c>
      <c r="J397" t="str">
        <f t="shared" si="50"/>
        <v>Native</v>
      </c>
      <c r="K397" t="str">
        <f t="shared" si="51"/>
        <v>No</v>
      </c>
      <c r="M397">
        <v>33</v>
      </c>
      <c r="N397">
        <f t="shared" si="53"/>
        <v>2.1111111111111112</v>
      </c>
      <c r="O397">
        <v>1</v>
      </c>
      <c r="T397" t="str">
        <f t="shared" si="52"/>
        <v/>
      </c>
    </row>
    <row r="398" spans="1:21" x14ac:dyDescent="0.55000000000000004">
      <c r="A398">
        <v>77</v>
      </c>
      <c r="B398" t="str">
        <f t="shared" si="46"/>
        <v>77_0</v>
      </c>
      <c r="C398" s="2">
        <v>45674.520833333336</v>
      </c>
      <c r="D398" t="s">
        <v>245</v>
      </c>
      <c r="E398">
        <v>2</v>
      </c>
      <c r="F398" t="s">
        <v>222</v>
      </c>
      <c r="G398" t="str">
        <f t="shared" si="47"/>
        <v>Paranephrops planifrons</v>
      </c>
      <c r="H398" t="str">
        <f t="shared" si="48"/>
        <v>Freshwater_crayfish</v>
      </c>
      <c r="I398" t="str">
        <f t="shared" si="49"/>
        <v>Kōura</v>
      </c>
      <c r="J398" t="str">
        <f t="shared" si="50"/>
        <v>Native</v>
      </c>
      <c r="K398" t="str">
        <f t="shared" si="51"/>
        <v>Yes</v>
      </c>
      <c r="L398" t="s">
        <v>223</v>
      </c>
      <c r="M398">
        <v>26.76</v>
      </c>
      <c r="N398">
        <v>10</v>
      </c>
      <c r="O398">
        <v>1</v>
      </c>
      <c r="P398">
        <v>1</v>
      </c>
      <c r="T398" t="str">
        <f t="shared" si="52"/>
        <v/>
      </c>
    </row>
    <row r="399" spans="1:21" x14ac:dyDescent="0.55000000000000004">
      <c r="A399">
        <v>73</v>
      </c>
      <c r="B399" t="str">
        <f t="shared" si="46"/>
        <v>73_0</v>
      </c>
      <c r="C399" s="2">
        <v>45674.479166666664</v>
      </c>
      <c r="D399" t="s">
        <v>245</v>
      </c>
      <c r="E399">
        <v>2</v>
      </c>
      <c r="F399" t="s">
        <v>222</v>
      </c>
      <c r="G399" t="str">
        <f t="shared" si="47"/>
        <v>Paranephrops planifrons</v>
      </c>
      <c r="H399" t="str">
        <f t="shared" si="48"/>
        <v>Freshwater_crayfish</v>
      </c>
      <c r="I399" t="str">
        <f t="shared" si="49"/>
        <v>Kōura</v>
      </c>
      <c r="J399" t="str">
        <f t="shared" si="50"/>
        <v>Native</v>
      </c>
      <c r="K399" t="str">
        <f t="shared" si="51"/>
        <v>Yes</v>
      </c>
      <c r="L399" t="s">
        <v>223</v>
      </c>
      <c r="M399">
        <v>26.68</v>
      </c>
      <c r="N399">
        <v>14</v>
      </c>
      <c r="O399">
        <v>1</v>
      </c>
      <c r="T399" t="str">
        <f t="shared" si="52"/>
        <v/>
      </c>
    </row>
    <row r="400" spans="1:21" x14ac:dyDescent="0.55000000000000004">
      <c r="A400">
        <v>103</v>
      </c>
      <c r="B400" t="str">
        <f t="shared" si="46"/>
        <v>103_0</v>
      </c>
      <c r="C400" s="2">
        <v>45604.486111053244</v>
      </c>
      <c r="D400" t="s">
        <v>221</v>
      </c>
      <c r="E400">
        <v>2</v>
      </c>
      <c r="F400" t="s">
        <v>243</v>
      </c>
      <c r="G400" t="str">
        <f t="shared" si="47"/>
        <v>Retropinna retropinna</v>
      </c>
      <c r="H400" t="str">
        <f t="shared" si="48"/>
        <v>Common_smelt</v>
      </c>
      <c r="I400" t="str">
        <f t="shared" si="49"/>
        <v>Common_smelt</v>
      </c>
      <c r="J400" t="str">
        <f t="shared" si="50"/>
        <v>Native</v>
      </c>
      <c r="K400" t="str">
        <f t="shared" si="51"/>
        <v>No</v>
      </c>
      <c r="O400">
        <v>40</v>
      </c>
      <c r="T400" t="str">
        <f t="shared" si="52"/>
        <v/>
      </c>
      <c r="U400" t="s">
        <v>253</v>
      </c>
    </row>
    <row r="401" spans="1:20" x14ac:dyDescent="0.55000000000000004">
      <c r="A401">
        <v>103</v>
      </c>
      <c r="B401" t="str">
        <f t="shared" si="46"/>
        <v>103_0</v>
      </c>
      <c r="C401" s="2">
        <v>45604.486111053244</v>
      </c>
      <c r="D401" t="s">
        <v>221</v>
      </c>
      <c r="E401">
        <v>2</v>
      </c>
      <c r="F401" t="s">
        <v>242</v>
      </c>
      <c r="G401" t="str">
        <f t="shared" si="47"/>
        <v>Gobiomorphus cotidianus</v>
      </c>
      <c r="H401" t="str">
        <f t="shared" si="48"/>
        <v>Common_bully</v>
      </c>
      <c r="I401" t="str">
        <f t="shared" si="49"/>
        <v>Toitoi</v>
      </c>
      <c r="J401" t="str">
        <f t="shared" si="50"/>
        <v>Native</v>
      </c>
      <c r="K401" t="str">
        <f t="shared" si="51"/>
        <v>No</v>
      </c>
      <c r="N401">
        <v>418</v>
      </c>
      <c r="S401">
        <v>2.25</v>
      </c>
      <c r="T401">
        <f t="shared" si="52"/>
        <v>532.32299999999998</v>
      </c>
    </row>
    <row r="402" spans="1:20" x14ac:dyDescent="0.55000000000000004">
      <c r="A402">
        <v>103</v>
      </c>
      <c r="B402" t="str">
        <f t="shared" si="46"/>
        <v>103_0</v>
      </c>
      <c r="C402" s="2">
        <v>45604.486111053244</v>
      </c>
      <c r="D402" t="s">
        <v>221</v>
      </c>
      <c r="E402">
        <v>2</v>
      </c>
      <c r="F402" t="s">
        <v>249</v>
      </c>
      <c r="G402" t="str">
        <f t="shared" si="47"/>
        <v>Anguilla dieffenbachii</v>
      </c>
      <c r="H402" t="str">
        <f t="shared" si="48"/>
        <v>Long_fin_eel</v>
      </c>
      <c r="I402" t="str">
        <f t="shared" si="49"/>
        <v>Tuna</v>
      </c>
      <c r="J402" t="str">
        <f t="shared" si="50"/>
        <v>Native</v>
      </c>
      <c r="K402" t="str">
        <f t="shared" si="51"/>
        <v>Yes</v>
      </c>
      <c r="M402">
        <v>800</v>
      </c>
      <c r="O402">
        <v>1</v>
      </c>
      <c r="T402" t="str">
        <f t="shared" si="52"/>
        <v/>
      </c>
    </row>
    <row r="403" spans="1:20" x14ac:dyDescent="0.55000000000000004">
      <c r="A403">
        <v>103</v>
      </c>
      <c r="B403" t="str">
        <f t="shared" si="46"/>
        <v>103_0</v>
      </c>
      <c r="C403" s="2">
        <v>45604.486111053244</v>
      </c>
      <c r="D403" t="s">
        <v>221</v>
      </c>
      <c r="E403">
        <v>2</v>
      </c>
      <c r="F403" t="s">
        <v>243</v>
      </c>
      <c r="G403" t="str">
        <f t="shared" si="47"/>
        <v>Retropinna retropinna</v>
      </c>
      <c r="H403" t="str">
        <f t="shared" si="48"/>
        <v>Common_smelt</v>
      </c>
      <c r="I403" t="str">
        <f t="shared" si="49"/>
        <v>Common_smelt</v>
      </c>
      <c r="J403" t="str">
        <f t="shared" si="50"/>
        <v>Native</v>
      </c>
      <c r="K403" t="str">
        <f t="shared" si="51"/>
        <v>No</v>
      </c>
      <c r="O403">
        <v>1</v>
      </c>
      <c r="T403" t="str">
        <f t="shared" si="52"/>
        <v/>
      </c>
    </row>
    <row r="404" spans="1:20" x14ac:dyDescent="0.55000000000000004">
      <c r="A404">
        <v>103</v>
      </c>
      <c r="B404" t="str">
        <f t="shared" si="46"/>
        <v>103_0</v>
      </c>
      <c r="C404" s="2">
        <v>45604.486111053244</v>
      </c>
      <c r="D404" t="s">
        <v>221</v>
      </c>
      <c r="E404">
        <v>2</v>
      </c>
      <c r="F404" t="s">
        <v>242</v>
      </c>
      <c r="G404" t="str">
        <f t="shared" si="47"/>
        <v>Gobiomorphus cotidianus</v>
      </c>
      <c r="H404" t="str">
        <f t="shared" si="48"/>
        <v>Common_bully</v>
      </c>
      <c r="I404" t="str">
        <f t="shared" si="49"/>
        <v>Toitoi</v>
      </c>
      <c r="J404" t="str">
        <f t="shared" si="50"/>
        <v>Native</v>
      </c>
      <c r="K404" t="str">
        <f t="shared" si="51"/>
        <v>No</v>
      </c>
      <c r="M404">
        <v>85</v>
      </c>
      <c r="N404">
        <f t="shared" ref="N404:N424" si="54">60/21</f>
        <v>2.8571428571428572</v>
      </c>
      <c r="O404">
        <v>1</v>
      </c>
      <c r="T404" t="str">
        <f t="shared" si="52"/>
        <v/>
      </c>
    </row>
    <row r="405" spans="1:20" x14ac:dyDescent="0.55000000000000004">
      <c r="A405">
        <v>103</v>
      </c>
      <c r="B405" t="str">
        <f t="shared" si="46"/>
        <v>103_0</v>
      </c>
      <c r="C405" s="2">
        <v>45604.486111053244</v>
      </c>
      <c r="D405" t="s">
        <v>221</v>
      </c>
      <c r="E405">
        <v>2</v>
      </c>
      <c r="F405" t="s">
        <v>242</v>
      </c>
      <c r="G405" t="str">
        <f t="shared" si="47"/>
        <v>Gobiomorphus cotidianus</v>
      </c>
      <c r="H405" t="str">
        <f t="shared" si="48"/>
        <v>Common_bully</v>
      </c>
      <c r="I405" t="str">
        <f t="shared" si="49"/>
        <v>Toitoi</v>
      </c>
      <c r="J405" t="str">
        <f t="shared" si="50"/>
        <v>Native</v>
      </c>
      <c r="K405" t="str">
        <f t="shared" si="51"/>
        <v>No</v>
      </c>
      <c r="M405">
        <v>65</v>
      </c>
      <c r="N405">
        <f t="shared" si="54"/>
        <v>2.8571428571428572</v>
      </c>
      <c r="O405">
        <v>1</v>
      </c>
      <c r="T405" t="str">
        <f t="shared" si="52"/>
        <v/>
      </c>
    </row>
    <row r="406" spans="1:20" x14ac:dyDescent="0.55000000000000004">
      <c r="A406">
        <v>103</v>
      </c>
      <c r="B406" t="str">
        <f t="shared" si="46"/>
        <v>103_0</v>
      </c>
      <c r="C406" s="2">
        <v>45604.486111053244</v>
      </c>
      <c r="D406" t="s">
        <v>221</v>
      </c>
      <c r="E406">
        <v>2</v>
      </c>
      <c r="F406" t="s">
        <v>242</v>
      </c>
      <c r="G406" t="str">
        <f t="shared" si="47"/>
        <v>Gobiomorphus cotidianus</v>
      </c>
      <c r="H406" t="str">
        <f t="shared" si="48"/>
        <v>Common_bully</v>
      </c>
      <c r="I406" t="str">
        <f t="shared" si="49"/>
        <v>Toitoi</v>
      </c>
      <c r="J406" t="str">
        <f t="shared" si="50"/>
        <v>Native</v>
      </c>
      <c r="K406" t="str">
        <f t="shared" si="51"/>
        <v>No</v>
      </c>
      <c r="M406">
        <v>40</v>
      </c>
      <c r="N406">
        <f t="shared" si="54"/>
        <v>2.8571428571428572</v>
      </c>
      <c r="O406">
        <v>1</v>
      </c>
      <c r="T406" t="str">
        <f t="shared" si="52"/>
        <v/>
      </c>
    </row>
    <row r="407" spans="1:20" x14ac:dyDescent="0.55000000000000004">
      <c r="A407">
        <v>103</v>
      </c>
      <c r="B407" t="str">
        <f t="shared" si="46"/>
        <v>103_0</v>
      </c>
      <c r="C407" s="2">
        <v>45604.486111053244</v>
      </c>
      <c r="D407" t="s">
        <v>221</v>
      </c>
      <c r="E407">
        <v>2</v>
      </c>
      <c r="F407" t="s">
        <v>242</v>
      </c>
      <c r="G407" t="str">
        <f t="shared" si="47"/>
        <v>Gobiomorphus cotidianus</v>
      </c>
      <c r="H407" t="str">
        <f t="shared" si="48"/>
        <v>Common_bully</v>
      </c>
      <c r="I407" t="str">
        <f t="shared" si="49"/>
        <v>Toitoi</v>
      </c>
      <c r="J407" t="str">
        <f t="shared" si="50"/>
        <v>Native</v>
      </c>
      <c r="K407" t="str">
        <f t="shared" si="51"/>
        <v>No</v>
      </c>
      <c r="M407">
        <v>50</v>
      </c>
      <c r="N407">
        <f t="shared" si="54"/>
        <v>2.8571428571428572</v>
      </c>
      <c r="O407">
        <v>1</v>
      </c>
      <c r="T407" t="str">
        <f t="shared" si="52"/>
        <v/>
      </c>
    </row>
    <row r="408" spans="1:20" x14ac:dyDescent="0.55000000000000004">
      <c r="A408">
        <v>103</v>
      </c>
      <c r="B408" t="str">
        <f t="shared" si="46"/>
        <v>103_0</v>
      </c>
      <c r="C408" s="2">
        <v>45604.486111053244</v>
      </c>
      <c r="D408" t="s">
        <v>221</v>
      </c>
      <c r="E408">
        <v>2</v>
      </c>
      <c r="F408" t="s">
        <v>242</v>
      </c>
      <c r="G408" t="str">
        <f t="shared" si="47"/>
        <v>Gobiomorphus cotidianus</v>
      </c>
      <c r="H408" t="str">
        <f t="shared" si="48"/>
        <v>Common_bully</v>
      </c>
      <c r="I408" t="str">
        <f t="shared" si="49"/>
        <v>Toitoi</v>
      </c>
      <c r="J408" t="str">
        <f t="shared" si="50"/>
        <v>Native</v>
      </c>
      <c r="K408" t="str">
        <f t="shared" si="51"/>
        <v>No</v>
      </c>
      <c r="M408">
        <v>70</v>
      </c>
      <c r="N408">
        <f t="shared" si="54"/>
        <v>2.8571428571428572</v>
      </c>
      <c r="O408">
        <v>1</v>
      </c>
      <c r="T408" t="str">
        <f t="shared" si="52"/>
        <v/>
      </c>
    </row>
    <row r="409" spans="1:20" x14ac:dyDescent="0.55000000000000004">
      <c r="A409">
        <v>103</v>
      </c>
      <c r="B409" t="str">
        <f t="shared" si="46"/>
        <v>103_0</v>
      </c>
      <c r="C409" s="2">
        <v>45604.486111053244</v>
      </c>
      <c r="D409" t="s">
        <v>221</v>
      </c>
      <c r="E409">
        <v>2</v>
      </c>
      <c r="F409" t="s">
        <v>242</v>
      </c>
      <c r="G409" t="str">
        <f t="shared" si="47"/>
        <v>Gobiomorphus cotidianus</v>
      </c>
      <c r="H409" t="str">
        <f t="shared" si="48"/>
        <v>Common_bully</v>
      </c>
      <c r="I409" t="str">
        <f t="shared" si="49"/>
        <v>Toitoi</v>
      </c>
      <c r="J409" t="str">
        <f t="shared" si="50"/>
        <v>Native</v>
      </c>
      <c r="K409" t="str">
        <f t="shared" si="51"/>
        <v>No</v>
      </c>
      <c r="M409">
        <v>65</v>
      </c>
      <c r="N409">
        <f t="shared" si="54"/>
        <v>2.8571428571428572</v>
      </c>
      <c r="O409">
        <v>1</v>
      </c>
      <c r="T409" t="str">
        <f t="shared" si="52"/>
        <v/>
      </c>
    </row>
    <row r="410" spans="1:20" x14ac:dyDescent="0.55000000000000004">
      <c r="A410">
        <v>103</v>
      </c>
      <c r="B410" t="str">
        <f t="shared" si="46"/>
        <v>103_0</v>
      </c>
      <c r="C410" s="2">
        <v>45604.486111053244</v>
      </c>
      <c r="D410" t="s">
        <v>221</v>
      </c>
      <c r="E410">
        <v>2</v>
      </c>
      <c r="F410" t="s">
        <v>242</v>
      </c>
      <c r="G410" t="str">
        <f t="shared" si="47"/>
        <v>Gobiomorphus cotidianus</v>
      </c>
      <c r="H410" t="str">
        <f t="shared" si="48"/>
        <v>Common_bully</v>
      </c>
      <c r="I410" t="str">
        <f t="shared" si="49"/>
        <v>Toitoi</v>
      </c>
      <c r="J410" t="str">
        <f t="shared" si="50"/>
        <v>Native</v>
      </c>
      <c r="K410" t="str">
        <f t="shared" si="51"/>
        <v>No</v>
      </c>
      <c r="M410">
        <v>64</v>
      </c>
      <c r="N410">
        <f t="shared" si="54"/>
        <v>2.8571428571428572</v>
      </c>
      <c r="O410">
        <v>1</v>
      </c>
      <c r="T410" t="str">
        <f t="shared" si="52"/>
        <v/>
      </c>
    </row>
    <row r="411" spans="1:20" x14ac:dyDescent="0.55000000000000004">
      <c r="A411">
        <v>103</v>
      </c>
      <c r="B411" t="str">
        <f t="shared" si="46"/>
        <v>103_0</v>
      </c>
      <c r="C411" s="2">
        <v>45604.486111053244</v>
      </c>
      <c r="D411" t="s">
        <v>221</v>
      </c>
      <c r="E411">
        <v>2</v>
      </c>
      <c r="F411" t="s">
        <v>242</v>
      </c>
      <c r="G411" t="str">
        <f t="shared" si="47"/>
        <v>Gobiomorphus cotidianus</v>
      </c>
      <c r="H411" t="str">
        <f t="shared" si="48"/>
        <v>Common_bully</v>
      </c>
      <c r="I411" t="str">
        <f t="shared" si="49"/>
        <v>Toitoi</v>
      </c>
      <c r="J411" t="str">
        <f t="shared" si="50"/>
        <v>Native</v>
      </c>
      <c r="K411" t="str">
        <f t="shared" si="51"/>
        <v>No</v>
      </c>
      <c r="M411">
        <v>59</v>
      </c>
      <c r="N411">
        <f t="shared" si="54"/>
        <v>2.8571428571428572</v>
      </c>
      <c r="O411">
        <v>1</v>
      </c>
      <c r="T411" t="str">
        <f t="shared" si="52"/>
        <v/>
      </c>
    </row>
    <row r="412" spans="1:20" x14ac:dyDescent="0.55000000000000004">
      <c r="A412">
        <v>103</v>
      </c>
      <c r="B412" t="str">
        <f t="shared" si="46"/>
        <v>103_0</v>
      </c>
      <c r="C412" s="2">
        <v>45604.486111053244</v>
      </c>
      <c r="D412" t="s">
        <v>221</v>
      </c>
      <c r="E412">
        <v>2</v>
      </c>
      <c r="F412" t="s">
        <v>242</v>
      </c>
      <c r="G412" t="str">
        <f t="shared" si="47"/>
        <v>Gobiomorphus cotidianus</v>
      </c>
      <c r="H412" t="str">
        <f t="shared" si="48"/>
        <v>Common_bully</v>
      </c>
      <c r="I412" t="str">
        <f t="shared" si="49"/>
        <v>Toitoi</v>
      </c>
      <c r="J412" t="str">
        <f t="shared" si="50"/>
        <v>Native</v>
      </c>
      <c r="K412" t="str">
        <f t="shared" si="51"/>
        <v>No</v>
      </c>
      <c r="M412">
        <v>71</v>
      </c>
      <c r="N412">
        <f t="shared" si="54"/>
        <v>2.8571428571428572</v>
      </c>
      <c r="O412">
        <v>1</v>
      </c>
      <c r="T412" t="str">
        <f t="shared" si="52"/>
        <v/>
      </c>
    </row>
    <row r="413" spans="1:20" x14ac:dyDescent="0.55000000000000004">
      <c r="A413">
        <v>103</v>
      </c>
      <c r="B413" t="str">
        <f t="shared" si="46"/>
        <v>103_0</v>
      </c>
      <c r="C413" s="2">
        <v>45604.486111053244</v>
      </c>
      <c r="D413" t="s">
        <v>221</v>
      </c>
      <c r="E413">
        <v>2</v>
      </c>
      <c r="F413" t="s">
        <v>242</v>
      </c>
      <c r="G413" t="str">
        <f t="shared" si="47"/>
        <v>Gobiomorphus cotidianus</v>
      </c>
      <c r="H413" t="str">
        <f t="shared" si="48"/>
        <v>Common_bully</v>
      </c>
      <c r="I413" t="str">
        <f t="shared" si="49"/>
        <v>Toitoi</v>
      </c>
      <c r="J413" t="str">
        <f t="shared" si="50"/>
        <v>Native</v>
      </c>
      <c r="K413" t="str">
        <f t="shared" si="51"/>
        <v>No</v>
      </c>
      <c r="M413">
        <v>32</v>
      </c>
      <c r="N413">
        <f t="shared" si="54"/>
        <v>2.8571428571428572</v>
      </c>
      <c r="O413">
        <v>1</v>
      </c>
      <c r="T413" t="str">
        <f t="shared" si="52"/>
        <v/>
      </c>
    </row>
    <row r="414" spans="1:20" x14ac:dyDescent="0.55000000000000004">
      <c r="A414">
        <v>103</v>
      </c>
      <c r="B414" t="str">
        <f t="shared" si="46"/>
        <v>103_0</v>
      </c>
      <c r="C414" s="2">
        <v>45604.486111053244</v>
      </c>
      <c r="D414" t="s">
        <v>221</v>
      </c>
      <c r="E414">
        <v>2</v>
      </c>
      <c r="F414" t="s">
        <v>242</v>
      </c>
      <c r="G414" t="str">
        <f t="shared" si="47"/>
        <v>Gobiomorphus cotidianus</v>
      </c>
      <c r="H414" t="str">
        <f t="shared" si="48"/>
        <v>Common_bully</v>
      </c>
      <c r="I414" t="str">
        <f t="shared" si="49"/>
        <v>Toitoi</v>
      </c>
      <c r="J414" t="str">
        <f t="shared" si="50"/>
        <v>Native</v>
      </c>
      <c r="K414" t="str">
        <f t="shared" si="51"/>
        <v>No</v>
      </c>
      <c r="M414">
        <v>54</v>
      </c>
      <c r="N414">
        <f t="shared" si="54"/>
        <v>2.8571428571428572</v>
      </c>
      <c r="O414">
        <v>1</v>
      </c>
      <c r="T414" t="str">
        <f t="shared" si="52"/>
        <v/>
      </c>
    </row>
    <row r="415" spans="1:20" x14ac:dyDescent="0.55000000000000004">
      <c r="A415">
        <v>103</v>
      </c>
      <c r="B415" t="str">
        <f t="shared" si="46"/>
        <v>103_0</v>
      </c>
      <c r="C415" s="2">
        <v>45604.486111053244</v>
      </c>
      <c r="D415" t="s">
        <v>221</v>
      </c>
      <c r="E415">
        <v>2</v>
      </c>
      <c r="F415" t="s">
        <v>242</v>
      </c>
      <c r="G415" t="str">
        <f t="shared" si="47"/>
        <v>Gobiomorphus cotidianus</v>
      </c>
      <c r="H415" t="str">
        <f t="shared" si="48"/>
        <v>Common_bully</v>
      </c>
      <c r="I415" t="str">
        <f t="shared" si="49"/>
        <v>Toitoi</v>
      </c>
      <c r="J415" t="str">
        <f t="shared" si="50"/>
        <v>Native</v>
      </c>
      <c r="K415" t="str">
        <f t="shared" si="51"/>
        <v>No</v>
      </c>
      <c r="M415">
        <v>59</v>
      </c>
      <c r="N415">
        <f t="shared" si="54"/>
        <v>2.8571428571428572</v>
      </c>
      <c r="O415">
        <v>1</v>
      </c>
      <c r="T415" t="str">
        <f t="shared" si="52"/>
        <v/>
      </c>
    </row>
    <row r="416" spans="1:20" x14ac:dyDescent="0.55000000000000004">
      <c r="A416">
        <v>103</v>
      </c>
      <c r="B416" t="str">
        <f t="shared" si="46"/>
        <v>103_0</v>
      </c>
      <c r="C416" s="2">
        <v>45604.486111053244</v>
      </c>
      <c r="D416" t="s">
        <v>221</v>
      </c>
      <c r="E416">
        <v>2</v>
      </c>
      <c r="F416" t="s">
        <v>242</v>
      </c>
      <c r="G416" t="str">
        <f t="shared" si="47"/>
        <v>Gobiomorphus cotidianus</v>
      </c>
      <c r="H416" t="str">
        <f t="shared" si="48"/>
        <v>Common_bully</v>
      </c>
      <c r="I416" t="str">
        <f t="shared" si="49"/>
        <v>Toitoi</v>
      </c>
      <c r="J416" t="str">
        <f t="shared" si="50"/>
        <v>Native</v>
      </c>
      <c r="K416" t="str">
        <f t="shared" si="51"/>
        <v>No</v>
      </c>
      <c r="M416">
        <v>56</v>
      </c>
      <c r="N416">
        <f t="shared" si="54"/>
        <v>2.8571428571428572</v>
      </c>
      <c r="O416">
        <v>1</v>
      </c>
      <c r="T416" t="str">
        <f t="shared" si="52"/>
        <v/>
      </c>
    </row>
    <row r="417" spans="1:20" x14ac:dyDescent="0.55000000000000004">
      <c r="A417">
        <v>103</v>
      </c>
      <c r="B417" t="str">
        <f t="shared" si="46"/>
        <v>103_0</v>
      </c>
      <c r="C417" s="2">
        <v>45604.486111053244</v>
      </c>
      <c r="D417" t="s">
        <v>221</v>
      </c>
      <c r="E417">
        <v>2</v>
      </c>
      <c r="F417" t="s">
        <v>242</v>
      </c>
      <c r="G417" t="str">
        <f t="shared" si="47"/>
        <v>Gobiomorphus cotidianus</v>
      </c>
      <c r="H417" t="str">
        <f t="shared" si="48"/>
        <v>Common_bully</v>
      </c>
      <c r="I417" t="str">
        <f t="shared" si="49"/>
        <v>Toitoi</v>
      </c>
      <c r="J417" t="str">
        <f t="shared" si="50"/>
        <v>Native</v>
      </c>
      <c r="K417" t="str">
        <f t="shared" si="51"/>
        <v>No</v>
      </c>
      <c r="M417">
        <v>48</v>
      </c>
      <c r="N417">
        <f t="shared" si="54"/>
        <v>2.8571428571428572</v>
      </c>
      <c r="O417">
        <v>1</v>
      </c>
      <c r="T417" t="str">
        <f t="shared" si="52"/>
        <v/>
      </c>
    </row>
    <row r="418" spans="1:20" x14ac:dyDescent="0.55000000000000004">
      <c r="A418">
        <v>103</v>
      </c>
      <c r="B418" t="str">
        <f t="shared" si="46"/>
        <v>103_0</v>
      </c>
      <c r="C418" s="2">
        <v>45604.486111053244</v>
      </c>
      <c r="D418" t="s">
        <v>221</v>
      </c>
      <c r="E418">
        <v>2</v>
      </c>
      <c r="F418" t="s">
        <v>242</v>
      </c>
      <c r="G418" t="str">
        <f t="shared" si="47"/>
        <v>Gobiomorphus cotidianus</v>
      </c>
      <c r="H418" t="str">
        <f t="shared" si="48"/>
        <v>Common_bully</v>
      </c>
      <c r="I418" t="str">
        <f t="shared" si="49"/>
        <v>Toitoi</v>
      </c>
      <c r="J418" t="str">
        <f t="shared" si="50"/>
        <v>Native</v>
      </c>
      <c r="K418" t="str">
        <f t="shared" si="51"/>
        <v>No</v>
      </c>
      <c r="M418">
        <v>65</v>
      </c>
      <c r="N418">
        <f t="shared" si="54"/>
        <v>2.8571428571428572</v>
      </c>
      <c r="O418">
        <v>1</v>
      </c>
      <c r="T418" t="str">
        <f t="shared" si="52"/>
        <v/>
      </c>
    </row>
    <row r="419" spans="1:20" x14ac:dyDescent="0.55000000000000004">
      <c r="A419">
        <v>103</v>
      </c>
      <c r="B419" t="str">
        <f t="shared" si="46"/>
        <v>103_0</v>
      </c>
      <c r="C419" s="2">
        <v>45604.486111053244</v>
      </c>
      <c r="D419" t="s">
        <v>221</v>
      </c>
      <c r="E419">
        <v>2</v>
      </c>
      <c r="F419" t="s">
        <v>242</v>
      </c>
      <c r="G419" t="str">
        <f t="shared" si="47"/>
        <v>Gobiomorphus cotidianus</v>
      </c>
      <c r="H419" t="str">
        <f t="shared" si="48"/>
        <v>Common_bully</v>
      </c>
      <c r="I419" t="str">
        <f t="shared" si="49"/>
        <v>Toitoi</v>
      </c>
      <c r="J419" t="str">
        <f t="shared" si="50"/>
        <v>Native</v>
      </c>
      <c r="K419" t="str">
        <f t="shared" si="51"/>
        <v>No</v>
      </c>
      <c r="M419">
        <v>30</v>
      </c>
      <c r="N419">
        <f t="shared" si="54"/>
        <v>2.8571428571428572</v>
      </c>
      <c r="O419">
        <v>1</v>
      </c>
      <c r="T419" t="str">
        <f t="shared" si="52"/>
        <v/>
      </c>
    </row>
    <row r="420" spans="1:20" x14ac:dyDescent="0.55000000000000004">
      <c r="A420">
        <v>103</v>
      </c>
      <c r="B420" t="str">
        <f t="shared" si="46"/>
        <v>103_0</v>
      </c>
      <c r="C420" s="2">
        <v>45604.486111053244</v>
      </c>
      <c r="D420" t="s">
        <v>221</v>
      </c>
      <c r="E420">
        <v>2</v>
      </c>
      <c r="F420" t="s">
        <v>242</v>
      </c>
      <c r="G420" t="str">
        <f t="shared" si="47"/>
        <v>Gobiomorphus cotidianus</v>
      </c>
      <c r="H420" t="str">
        <f t="shared" si="48"/>
        <v>Common_bully</v>
      </c>
      <c r="I420" t="str">
        <f t="shared" si="49"/>
        <v>Toitoi</v>
      </c>
      <c r="J420" t="str">
        <f t="shared" si="50"/>
        <v>Native</v>
      </c>
      <c r="K420" t="str">
        <f t="shared" si="51"/>
        <v>No</v>
      </c>
      <c r="M420">
        <v>55</v>
      </c>
      <c r="N420">
        <f t="shared" si="54"/>
        <v>2.8571428571428572</v>
      </c>
      <c r="O420">
        <v>1</v>
      </c>
      <c r="T420" t="str">
        <f t="shared" si="52"/>
        <v/>
      </c>
    </row>
    <row r="421" spans="1:20" x14ac:dyDescent="0.55000000000000004">
      <c r="A421">
        <v>103</v>
      </c>
      <c r="B421" t="str">
        <f t="shared" si="46"/>
        <v>103_0</v>
      </c>
      <c r="C421" s="2">
        <v>45604.486111053244</v>
      </c>
      <c r="D421" t="s">
        <v>221</v>
      </c>
      <c r="E421">
        <v>2</v>
      </c>
      <c r="F421" t="s">
        <v>242</v>
      </c>
      <c r="G421" t="str">
        <f t="shared" si="47"/>
        <v>Gobiomorphus cotidianus</v>
      </c>
      <c r="H421" t="str">
        <f t="shared" si="48"/>
        <v>Common_bully</v>
      </c>
      <c r="I421" t="str">
        <f t="shared" si="49"/>
        <v>Toitoi</v>
      </c>
      <c r="J421" t="str">
        <f t="shared" si="50"/>
        <v>Native</v>
      </c>
      <c r="K421" t="str">
        <f t="shared" si="51"/>
        <v>No</v>
      </c>
      <c r="M421">
        <v>56</v>
      </c>
      <c r="N421">
        <f t="shared" si="54"/>
        <v>2.8571428571428572</v>
      </c>
      <c r="O421">
        <v>1</v>
      </c>
      <c r="T421" t="str">
        <f t="shared" si="52"/>
        <v/>
      </c>
    </row>
    <row r="422" spans="1:20" x14ac:dyDescent="0.55000000000000004">
      <c r="A422">
        <v>103</v>
      </c>
      <c r="B422" t="str">
        <f t="shared" si="46"/>
        <v>103_0</v>
      </c>
      <c r="C422" s="2">
        <v>45604.486111053244</v>
      </c>
      <c r="D422" t="s">
        <v>221</v>
      </c>
      <c r="E422">
        <v>2</v>
      </c>
      <c r="F422" t="s">
        <v>242</v>
      </c>
      <c r="G422" t="str">
        <f t="shared" si="47"/>
        <v>Gobiomorphus cotidianus</v>
      </c>
      <c r="H422" t="str">
        <f t="shared" si="48"/>
        <v>Common_bully</v>
      </c>
      <c r="I422" t="str">
        <f t="shared" si="49"/>
        <v>Toitoi</v>
      </c>
      <c r="J422" t="str">
        <f t="shared" si="50"/>
        <v>Native</v>
      </c>
      <c r="K422" t="str">
        <f t="shared" si="51"/>
        <v>No</v>
      </c>
      <c r="M422">
        <v>58</v>
      </c>
      <c r="N422">
        <f t="shared" si="54"/>
        <v>2.8571428571428572</v>
      </c>
      <c r="O422">
        <v>1</v>
      </c>
      <c r="T422" t="str">
        <f t="shared" si="52"/>
        <v/>
      </c>
    </row>
    <row r="423" spans="1:20" x14ac:dyDescent="0.55000000000000004">
      <c r="A423">
        <v>103</v>
      </c>
      <c r="B423" t="str">
        <f t="shared" si="46"/>
        <v>103_0</v>
      </c>
      <c r="C423" s="2">
        <v>45604.486111053244</v>
      </c>
      <c r="D423" t="s">
        <v>221</v>
      </c>
      <c r="E423">
        <v>2</v>
      </c>
      <c r="F423" t="s">
        <v>242</v>
      </c>
      <c r="G423" t="str">
        <f t="shared" si="47"/>
        <v>Gobiomorphus cotidianus</v>
      </c>
      <c r="H423" t="str">
        <f t="shared" si="48"/>
        <v>Common_bully</v>
      </c>
      <c r="I423" t="str">
        <f t="shared" si="49"/>
        <v>Toitoi</v>
      </c>
      <c r="J423" t="str">
        <f t="shared" si="50"/>
        <v>Native</v>
      </c>
      <c r="K423" t="str">
        <f t="shared" si="51"/>
        <v>No</v>
      </c>
      <c r="M423">
        <v>66</v>
      </c>
      <c r="N423">
        <f t="shared" si="54"/>
        <v>2.8571428571428572</v>
      </c>
      <c r="O423">
        <v>1</v>
      </c>
      <c r="T423" t="str">
        <f t="shared" si="52"/>
        <v/>
      </c>
    </row>
    <row r="424" spans="1:20" x14ac:dyDescent="0.55000000000000004">
      <c r="A424">
        <v>103</v>
      </c>
      <c r="B424" t="str">
        <f t="shared" si="46"/>
        <v>103_0</v>
      </c>
      <c r="C424" s="2">
        <v>45604.486111053244</v>
      </c>
      <c r="D424" t="s">
        <v>221</v>
      </c>
      <c r="E424">
        <v>2</v>
      </c>
      <c r="F424" t="s">
        <v>242</v>
      </c>
      <c r="G424" t="str">
        <f t="shared" si="47"/>
        <v>Gobiomorphus cotidianus</v>
      </c>
      <c r="H424" t="str">
        <f t="shared" si="48"/>
        <v>Common_bully</v>
      </c>
      <c r="I424" t="str">
        <f t="shared" si="49"/>
        <v>Toitoi</v>
      </c>
      <c r="J424" t="str">
        <f t="shared" si="50"/>
        <v>Native</v>
      </c>
      <c r="K424" t="str">
        <f t="shared" si="51"/>
        <v>No</v>
      </c>
      <c r="M424">
        <v>39</v>
      </c>
      <c r="N424">
        <f t="shared" si="54"/>
        <v>2.8571428571428572</v>
      </c>
      <c r="O424">
        <v>1</v>
      </c>
      <c r="T424" t="str">
        <f t="shared" si="52"/>
        <v/>
      </c>
    </row>
    <row r="425" spans="1:20" x14ac:dyDescent="0.55000000000000004">
      <c r="A425">
        <v>103</v>
      </c>
      <c r="B425" t="str">
        <f t="shared" si="46"/>
        <v>103_0</v>
      </c>
      <c r="C425" s="2">
        <v>45604.486111053244</v>
      </c>
      <c r="D425" t="s">
        <v>221</v>
      </c>
      <c r="E425">
        <v>2</v>
      </c>
      <c r="F425" t="s">
        <v>242</v>
      </c>
      <c r="G425" t="str">
        <f t="shared" si="47"/>
        <v>Gobiomorphus cotidianus</v>
      </c>
      <c r="H425" t="str">
        <f t="shared" si="48"/>
        <v>Common_bully</v>
      </c>
      <c r="I425" t="str">
        <f t="shared" si="49"/>
        <v>Toitoi</v>
      </c>
      <c r="J425" t="str">
        <f t="shared" si="50"/>
        <v>Native</v>
      </c>
      <c r="K425" t="str">
        <f t="shared" si="51"/>
        <v>No</v>
      </c>
      <c r="N425">
        <v>248</v>
      </c>
      <c r="S425">
        <v>1.3</v>
      </c>
      <c r="T425">
        <f t="shared" si="52"/>
        <v>307.56439999999998</v>
      </c>
    </row>
    <row r="426" spans="1:20" x14ac:dyDescent="0.55000000000000004">
      <c r="A426">
        <v>104</v>
      </c>
      <c r="B426" t="str">
        <f t="shared" si="46"/>
        <v>104_0</v>
      </c>
      <c r="C426" s="2">
        <v>45604.416666666664</v>
      </c>
      <c r="D426" t="s">
        <v>245</v>
      </c>
      <c r="E426">
        <v>2</v>
      </c>
      <c r="F426" t="s">
        <v>242</v>
      </c>
      <c r="G426" t="str">
        <f t="shared" si="47"/>
        <v>Gobiomorphus cotidianus</v>
      </c>
      <c r="H426" t="str">
        <f t="shared" si="48"/>
        <v>Common_bully</v>
      </c>
      <c r="I426" t="str">
        <f t="shared" si="49"/>
        <v>Toitoi</v>
      </c>
      <c r="J426" t="str">
        <f t="shared" si="50"/>
        <v>Native</v>
      </c>
      <c r="K426" t="str">
        <f t="shared" si="51"/>
        <v>No</v>
      </c>
      <c r="M426">
        <v>45</v>
      </c>
      <c r="N426">
        <f t="shared" ref="N426:N445" si="55">28/20</f>
        <v>1.4</v>
      </c>
      <c r="O426">
        <v>1</v>
      </c>
      <c r="T426" t="str">
        <f t="shared" si="52"/>
        <v/>
      </c>
    </row>
    <row r="427" spans="1:20" x14ac:dyDescent="0.55000000000000004">
      <c r="A427">
        <v>104</v>
      </c>
      <c r="B427" t="str">
        <f t="shared" si="46"/>
        <v>104_0</v>
      </c>
      <c r="C427" s="2">
        <v>45604.416666666664</v>
      </c>
      <c r="D427" t="s">
        <v>245</v>
      </c>
      <c r="E427">
        <v>2</v>
      </c>
      <c r="F427" t="s">
        <v>242</v>
      </c>
      <c r="G427" t="str">
        <f t="shared" si="47"/>
        <v>Gobiomorphus cotidianus</v>
      </c>
      <c r="H427" t="str">
        <f t="shared" si="48"/>
        <v>Common_bully</v>
      </c>
      <c r="I427" t="str">
        <f t="shared" si="49"/>
        <v>Toitoi</v>
      </c>
      <c r="J427" t="str">
        <f t="shared" si="50"/>
        <v>Native</v>
      </c>
      <c r="K427" t="str">
        <f t="shared" si="51"/>
        <v>No</v>
      </c>
      <c r="M427">
        <v>59</v>
      </c>
      <c r="N427">
        <f t="shared" si="55"/>
        <v>1.4</v>
      </c>
      <c r="O427">
        <v>1</v>
      </c>
      <c r="T427" t="str">
        <f t="shared" si="52"/>
        <v/>
      </c>
    </row>
    <row r="428" spans="1:20" x14ac:dyDescent="0.55000000000000004">
      <c r="A428">
        <v>104</v>
      </c>
      <c r="B428" t="str">
        <f t="shared" si="46"/>
        <v>104_0</v>
      </c>
      <c r="C428" s="2">
        <v>45604.416666608799</v>
      </c>
      <c r="D428" t="s">
        <v>245</v>
      </c>
      <c r="E428">
        <v>2</v>
      </c>
      <c r="F428" t="s">
        <v>242</v>
      </c>
      <c r="G428" t="str">
        <f t="shared" si="47"/>
        <v>Gobiomorphus cotidianus</v>
      </c>
      <c r="H428" t="str">
        <f t="shared" si="48"/>
        <v>Common_bully</v>
      </c>
      <c r="I428" t="str">
        <f t="shared" si="49"/>
        <v>Toitoi</v>
      </c>
      <c r="J428" t="str">
        <f t="shared" si="50"/>
        <v>Native</v>
      </c>
      <c r="K428" t="str">
        <f t="shared" si="51"/>
        <v>No</v>
      </c>
      <c r="M428">
        <v>46</v>
      </c>
      <c r="N428">
        <f t="shared" si="55"/>
        <v>1.4</v>
      </c>
      <c r="O428">
        <v>1</v>
      </c>
      <c r="T428" t="str">
        <f t="shared" si="52"/>
        <v/>
      </c>
    </row>
    <row r="429" spans="1:20" x14ac:dyDescent="0.55000000000000004">
      <c r="A429">
        <v>104</v>
      </c>
      <c r="B429" t="str">
        <f t="shared" si="46"/>
        <v>104_0</v>
      </c>
      <c r="C429" s="2">
        <v>45604.416666608799</v>
      </c>
      <c r="D429" t="s">
        <v>245</v>
      </c>
      <c r="E429">
        <v>2</v>
      </c>
      <c r="F429" t="s">
        <v>242</v>
      </c>
      <c r="G429" t="str">
        <f t="shared" si="47"/>
        <v>Gobiomorphus cotidianus</v>
      </c>
      <c r="H429" t="str">
        <f t="shared" si="48"/>
        <v>Common_bully</v>
      </c>
      <c r="I429" t="str">
        <f t="shared" si="49"/>
        <v>Toitoi</v>
      </c>
      <c r="J429" t="str">
        <f t="shared" si="50"/>
        <v>Native</v>
      </c>
      <c r="K429" t="str">
        <f t="shared" si="51"/>
        <v>No</v>
      </c>
      <c r="M429">
        <v>56</v>
      </c>
      <c r="N429">
        <f t="shared" si="55"/>
        <v>1.4</v>
      </c>
      <c r="O429">
        <v>1</v>
      </c>
      <c r="T429" t="str">
        <f t="shared" si="52"/>
        <v/>
      </c>
    </row>
    <row r="430" spans="1:20" x14ac:dyDescent="0.55000000000000004">
      <c r="A430">
        <v>104</v>
      </c>
      <c r="B430" t="str">
        <f t="shared" si="46"/>
        <v>104_0</v>
      </c>
      <c r="C430" s="2">
        <v>45604.416666608799</v>
      </c>
      <c r="D430" t="s">
        <v>245</v>
      </c>
      <c r="E430">
        <v>2</v>
      </c>
      <c r="F430" t="s">
        <v>242</v>
      </c>
      <c r="G430" t="str">
        <f t="shared" si="47"/>
        <v>Gobiomorphus cotidianus</v>
      </c>
      <c r="H430" t="str">
        <f t="shared" si="48"/>
        <v>Common_bully</v>
      </c>
      <c r="I430" t="str">
        <f t="shared" si="49"/>
        <v>Toitoi</v>
      </c>
      <c r="J430" t="str">
        <f t="shared" si="50"/>
        <v>Native</v>
      </c>
      <c r="K430" t="str">
        <f t="shared" si="51"/>
        <v>No</v>
      </c>
      <c r="M430">
        <v>32</v>
      </c>
      <c r="N430">
        <f t="shared" si="55"/>
        <v>1.4</v>
      </c>
      <c r="O430">
        <v>1</v>
      </c>
      <c r="T430" t="str">
        <f t="shared" si="52"/>
        <v/>
      </c>
    </row>
    <row r="431" spans="1:20" x14ac:dyDescent="0.55000000000000004">
      <c r="A431">
        <v>104</v>
      </c>
      <c r="B431" t="str">
        <f t="shared" si="46"/>
        <v>104_0</v>
      </c>
      <c r="C431" s="2">
        <v>45604.416666608799</v>
      </c>
      <c r="D431" t="s">
        <v>245</v>
      </c>
      <c r="E431">
        <v>2</v>
      </c>
      <c r="F431" t="s">
        <v>242</v>
      </c>
      <c r="G431" t="str">
        <f t="shared" si="47"/>
        <v>Gobiomorphus cotidianus</v>
      </c>
      <c r="H431" t="str">
        <f t="shared" si="48"/>
        <v>Common_bully</v>
      </c>
      <c r="I431" t="str">
        <f t="shared" si="49"/>
        <v>Toitoi</v>
      </c>
      <c r="J431" t="str">
        <f t="shared" si="50"/>
        <v>Native</v>
      </c>
      <c r="K431" t="str">
        <f t="shared" si="51"/>
        <v>No</v>
      </c>
      <c r="M431">
        <v>45</v>
      </c>
      <c r="N431">
        <f t="shared" si="55"/>
        <v>1.4</v>
      </c>
      <c r="O431">
        <v>1</v>
      </c>
      <c r="T431" t="str">
        <f t="shared" si="52"/>
        <v/>
      </c>
    </row>
    <row r="432" spans="1:20" x14ac:dyDescent="0.55000000000000004">
      <c r="A432">
        <v>104</v>
      </c>
      <c r="B432" t="str">
        <f t="shared" si="46"/>
        <v>104_0</v>
      </c>
      <c r="C432" s="2">
        <v>45604.416666608799</v>
      </c>
      <c r="D432" t="s">
        <v>245</v>
      </c>
      <c r="E432">
        <v>2</v>
      </c>
      <c r="F432" t="s">
        <v>242</v>
      </c>
      <c r="G432" t="str">
        <f t="shared" si="47"/>
        <v>Gobiomorphus cotidianus</v>
      </c>
      <c r="H432" t="str">
        <f t="shared" si="48"/>
        <v>Common_bully</v>
      </c>
      <c r="I432" t="str">
        <f t="shared" si="49"/>
        <v>Toitoi</v>
      </c>
      <c r="J432" t="str">
        <f t="shared" si="50"/>
        <v>Native</v>
      </c>
      <c r="K432" t="str">
        <f t="shared" si="51"/>
        <v>No</v>
      </c>
      <c r="M432">
        <v>44</v>
      </c>
      <c r="N432">
        <f t="shared" si="55"/>
        <v>1.4</v>
      </c>
      <c r="O432">
        <v>1</v>
      </c>
      <c r="T432" t="str">
        <f t="shared" si="52"/>
        <v/>
      </c>
    </row>
    <row r="433" spans="1:20" x14ac:dyDescent="0.55000000000000004">
      <c r="A433">
        <v>104</v>
      </c>
      <c r="B433" t="str">
        <f t="shared" si="46"/>
        <v>104_0</v>
      </c>
      <c r="C433" s="2">
        <v>45604.416666608799</v>
      </c>
      <c r="D433" t="s">
        <v>245</v>
      </c>
      <c r="E433">
        <v>2</v>
      </c>
      <c r="F433" t="s">
        <v>242</v>
      </c>
      <c r="G433" t="str">
        <f t="shared" si="47"/>
        <v>Gobiomorphus cotidianus</v>
      </c>
      <c r="H433" t="str">
        <f t="shared" si="48"/>
        <v>Common_bully</v>
      </c>
      <c r="I433" t="str">
        <f t="shared" si="49"/>
        <v>Toitoi</v>
      </c>
      <c r="J433" t="str">
        <f t="shared" si="50"/>
        <v>Native</v>
      </c>
      <c r="K433" t="str">
        <f t="shared" si="51"/>
        <v>No</v>
      </c>
      <c r="M433">
        <v>42</v>
      </c>
      <c r="N433">
        <f t="shared" si="55"/>
        <v>1.4</v>
      </c>
      <c r="O433">
        <v>1</v>
      </c>
      <c r="T433" t="str">
        <f t="shared" si="52"/>
        <v/>
      </c>
    </row>
    <row r="434" spans="1:20" x14ac:dyDescent="0.55000000000000004">
      <c r="A434">
        <v>104</v>
      </c>
      <c r="B434" t="str">
        <f t="shared" si="46"/>
        <v>104_0</v>
      </c>
      <c r="C434" s="2">
        <v>45604.416666608799</v>
      </c>
      <c r="D434" t="s">
        <v>245</v>
      </c>
      <c r="E434">
        <v>2</v>
      </c>
      <c r="F434" t="s">
        <v>242</v>
      </c>
      <c r="G434" t="str">
        <f t="shared" si="47"/>
        <v>Gobiomorphus cotidianus</v>
      </c>
      <c r="H434" t="str">
        <f t="shared" si="48"/>
        <v>Common_bully</v>
      </c>
      <c r="I434" t="str">
        <f t="shared" si="49"/>
        <v>Toitoi</v>
      </c>
      <c r="J434" t="str">
        <f t="shared" si="50"/>
        <v>Native</v>
      </c>
      <c r="K434" t="str">
        <f t="shared" si="51"/>
        <v>No</v>
      </c>
      <c r="M434">
        <v>53</v>
      </c>
      <c r="N434">
        <f t="shared" si="55"/>
        <v>1.4</v>
      </c>
      <c r="O434">
        <v>1</v>
      </c>
      <c r="T434" t="str">
        <f t="shared" si="52"/>
        <v/>
      </c>
    </row>
    <row r="435" spans="1:20" x14ac:dyDescent="0.55000000000000004">
      <c r="A435">
        <v>104</v>
      </c>
      <c r="B435" t="str">
        <f t="shared" si="46"/>
        <v>104_0</v>
      </c>
      <c r="C435" s="2">
        <v>45604.416666608799</v>
      </c>
      <c r="D435" t="s">
        <v>245</v>
      </c>
      <c r="E435">
        <v>2</v>
      </c>
      <c r="F435" t="s">
        <v>242</v>
      </c>
      <c r="G435" t="str">
        <f t="shared" si="47"/>
        <v>Gobiomorphus cotidianus</v>
      </c>
      <c r="H435" t="str">
        <f t="shared" si="48"/>
        <v>Common_bully</v>
      </c>
      <c r="I435" t="str">
        <f t="shared" si="49"/>
        <v>Toitoi</v>
      </c>
      <c r="J435" t="str">
        <f t="shared" si="50"/>
        <v>Native</v>
      </c>
      <c r="K435" t="str">
        <f t="shared" si="51"/>
        <v>No</v>
      </c>
      <c r="M435">
        <v>50</v>
      </c>
      <c r="N435">
        <f t="shared" si="55"/>
        <v>1.4</v>
      </c>
      <c r="O435">
        <v>1</v>
      </c>
      <c r="T435" t="str">
        <f t="shared" si="52"/>
        <v/>
      </c>
    </row>
    <row r="436" spans="1:20" x14ac:dyDescent="0.55000000000000004">
      <c r="A436">
        <v>104</v>
      </c>
      <c r="B436" t="str">
        <f t="shared" si="46"/>
        <v>104_0</v>
      </c>
      <c r="C436" s="2">
        <v>45604.416666608799</v>
      </c>
      <c r="D436" t="s">
        <v>245</v>
      </c>
      <c r="E436">
        <v>2</v>
      </c>
      <c r="F436" t="s">
        <v>242</v>
      </c>
      <c r="G436" t="str">
        <f t="shared" si="47"/>
        <v>Gobiomorphus cotidianus</v>
      </c>
      <c r="H436" t="str">
        <f t="shared" si="48"/>
        <v>Common_bully</v>
      </c>
      <c r="I436" t="str">
        <f t="shared" si="49"/>
        <v>Toitoi</v>
      </c>
      <c r="J436" t="str">
        <f t="shared" si="50"/>
        <v>Native</v>
      </c>
      <c r="K436" t="str">
        <f t="shared" si="51"/>
        <v>No</v>
      </c>
      <c r="M436">
        <v>34</v>
      </c>
      <c r="N436">
        <f t="shared" si="55"/>
        <v>1.4</v>
      </c>
      <c r="O436">
        <v>1</v>
      </c>
      <c r="T436" t="str">
        <f t="shared" si="52"/>
        <v/>
      </c>
    </row>
    <row r="437" spans="1:20" x14ac:dyDescent="0.55000000000000004">
      <c r="A437">
        <v>104</v>
      </c>
      <c r="B437" t="str">
        <f t="shared" si="46"/>
        <v>104_0</v>
      </c>
      <c r="C437" s="2">
        <v>45604.416666608799</v>
      </c>
      <c r="D437" t="s">
        <v>245</v>
      </c>
      <c r="E437">
        <v>2</v>
      </c>
      <c r="F437" t="s">
        <v>242</v>
      </c>
      <c r="G437" t="str">
        <f t="shared" si="47"/>
        <v>Gobiomorphus cotidianus</v>
      </c>
      <c r="H437" t="str">
        <f t="shared" si="48"/>
        <v>Common_bully</v>
      </c>
      <c r="I437" t="str">
        <f t="shared" si="49"/>
        <v>Toitoi</v>
      </c>
      <c r="J437" t="str">
        <f t="shared" si="50"/>
        <v>Native</v>
      </c>
      <c r="K437" t="str">
        <f t="shared" si="51"/>
        <v>No</v>
      </c>
      <c r="M437">
        <v>60</v>
      </c>
      <c r="N437">
        <f t="shared" si="55"/>
        <v>1.4</v>
      </c>
      <c r="O437">
        <v>1</v>
      </c>
      <c r="T437" t="str">
        <f t="shared" si="52"/>
        <v/>
      </c>
    </row>
    <row r="438" spans="1:20" x14ac:dyDescent="0.55000000000000004">
      <c r="A438">
        <v>104</v>
      </c>
      <c r="B438" t="str">
        <f t="shared" si="46"/>
        <v>104_0</v>
      </c>
      <c r="C438" s="2">
        <v>45604.416666608799</v>
      </c>
      <c r="D438" t="s">
        <v>245</v>
      </c>
      <c r="E438">
        <v>2</v>
      </c>
      <c r="F438" t="s">
        <v>242</v>
      </c>
      <c r="G438" t="str">
        <f t="shared" si="47"/>
        <v>Gobiomorphus cotidianus</v>
      </c>
      <c r="H438" t="str">
        <f t="shared" si="48"/>
        <v>Common_bully</v>
      </c>
      <c r="I438" t="str">
        <f t="shared" si="49"/>
        <v>Toitoi</v>
      </c>
      <c r="J438" t="str">
        <f t="shared" si="50"/>
        <v>Native</v>
      </c>
      <c r="K438" t="str">
        <f t="shared" si="51"/>
        <v>No</v>
      </c>
      <c r="M438">
        <v>40</v>
      </c>
      <c r="N438">
        <f t="shared" si="55"/>
        <v>1.4</v>
      </c>
      <c r="O438">
        <v>1</v>
      </c>
      <c r="T438" t="str">
        <f t="shared" si="52"/>
        <v/>
      </c>
    </row>
    <row r="439" spans="1:20" x14ac:dyDescent="0.55000000000000004">
      <c r="A439">
        <v>104</v>
      </c>
      <c r="B439" t="str">
        <f t="shared" si="46"/>
        <v>104_0</v>
      </c>
      <c r="C439" s="2">
        <v>45604.416666608799</v>
      </c>
      <c r="D439" t="s">
        <v>245</v>
      </c>
      <c r="E439">
        <v>2</v>
      </c>
      <c r="F439" t="s">
        <v>242</v>
      </c>
      <c r="G439" t="str">
        <f t="shared" si="47"/>
        <v>Gobiomorphus cotidianus</v>
      </c>
      <c r="H439" t="str">
        <f t="shared" si="48"/>
        <v>Common_bully</v>
      </c>
      <c r="I439" t="str">
        <f t="shared" si="49"/>
        <v>Toitoi</v>
      </c>
      <c r="J439" t="str">
        <f t="shared" si="50"/>
        <v>Native</v>
      </c>
      <c r="K439" t="str">
        <f t="shared" si="51"/>
        <v>No</v>
      </c>
      <c r="M439">
        <v>38</v>
      </c>
      <c r="N439">
        <f t="shared" si="55"/>
        <v>1.4</v>
      </c>
      <c r="O439">
        <v>1</v>
      </c>
      <c r="T439" t="str">
        <f t="shared" si="52"/>
        <v/>
      </c>
    </row>
    <row r="440" spans="1:20" x14ac:dyDescent="0.55000000000000004">
      <c r="A440">
        <v>104</v>
      </c>
      <c r="B440" t="str">
        <f t="shared" si="46"/>
        <v>104_0</v>
      </c>
      <c r="C440" s="2">
        <v>45604.416666608799</v>
      </c>
      <c r="D440" t="s">
        <v>245</v>
      </c>
      <c r="E440">
        <v>2</v>
      </c>
      <c r="F440" t="s">
        <v>242</v>
      </c>
      <c r="G440" t="str">
        <f t="shared" si="47"/>
        <v>Gobiomorphus cotidianus</v>
      </c>
      <c r="H440" t="str">
        <f t="shared" si="48"/>
        <v>Common_bully</v>
      </c>
      <c r="I440" t="str">
        <f t="shared" si="49"/>
        <v>Toitoi</v>
      </c>
      <c r="J440" t="str">
        <f t="shared" si="50"/>
        <v>Native</v>
      </c>
      <c r="K440" t="str">
        <f t="shared" si="51"/>
        <v>No</v>
      </c>
      <c r="M440">
        <v>30</v>
      </c>
      <c r="N440">
        <f t="shared" si="55"/>
        <v>1.4</v>
      </c>
      <c r="O440">
        <v>1</v>
      </c>
      <c r="T440" t="str">
        <f t="shared" si="52"/>
        <v/>
      </c>
    </row>
    <row r="441" spans="1:20" x14ac:dyDescent="0.55000000000000004">
      <c r="A441">
        <v>104</v>
      </c>
      <c r="B441" t="str">
        <f t="shared" si="46"/>
        <v>104_0</v>
      </c>
      <c r="C441" s="2">
        <v>45604.416666608799</v>
      </c>
      <c r="D441" t="s">
        <v>245</v>
      </c>
      <c r="E441">
        <v>2</v>
      </c>
      <c r="F441" t="s">
        <v>242</v>
      </c>
      <c r="G441" t="str">
        <f t="shared" si="47"/>
        <v>Gobiomorphus cotidianus</v>
      </c>
      <c r="H441" t="str">
        <f t="shared" si="48"/>
        <v>Common_bully</v>
      </c>
      <c r="I441" t="str">
        <f t="shared" si="49"/>
        <v>Toitoi</v>
      </c>
      <c r="J441" t="str">
        <f t="shared" si="50"/>
        <v>Native</v>
      </c>
      <c r="K441" t="str">
        <f t="shared" si="51"/>
        <v>No</v>
      </c>
      <c r="M441">
        <v>41</v>
      </c>
      <c r="N441">
        <f t="shared" si="55"/>
        <v>1.4</v>
      </c>
      <c r="O441">
        <v>1</v>
      </c>
      <c r="T441" t="str">
        <f t="shared" si="52"/>
        <v/>
      </c>
    </row>
    <row r="442" spans="1:20" x14ac:dyDescent="0.55000000000000004">
      <c r="A442">
        <v>104</v>
      </c>
      <c r="B442" t="str">
        <f t="shared" si="46"/>
        <v>104_0</v>
      </c>
      <c r="C442" s="2">
        <v>45604.416666608799</v>
      </c>
      <c r="D442" t="s">
        <v>245</v>
      </c>
      <c r="E442">
        <v>2</v>
      </c>
      <c r="F442" t="s">
        <v>242</v>
      </c>
      <c r="G442" t="str">
        <f t="shared" si="47"/>
        <v>Gobiomorphus cotidianus</v>
      </c>
      <c r="H442" t="str">
        <f t="shared" si="48"/>
        <v>Common_bully</v>
      </c>
      <c r="I442" t="str">
        <f t="shared" si="49"/>
        <v>Toitoi</v>
      </c>
      <c r="J442" t="str">
        <f t="shared" si="50"/>
        <v>Native</v>
      </c>
      <c r="K442" t="str">
        <f t="shared" si="51"/>
        <v>No</v>
      </c>
      <c r="M442">
        <v>49</v>
      </c>
      <c r="N442">
        <f t="shared" si="55"/>
        <v>1.4</v>
      </c>
      <c r="O442">
        <v>1</v>
      </c>
      <c r="T442" t="str">
        <f t="shared" si="52"/>
        <v/>
      </c>
    </row>
    <row r="443" spans="1:20" x14ac:dyDescent="0.55000000000000004">
      <c r="A443">
        <v>104</v>
      </c>
      <c r="B443" t="str">
        <f t="shared" si="46"/>
        <v>104_0</v>
      </c>
      <c r="C443" s="2">
        <v>45604.416666608799</v>
      </c>
      <c r="D443" t="s">
        <v>245</v>
      </c>
      <c r="E443">
        <v>2</v>
      </c>
      <c r="F443" t="s">
        <v>242</v>
      </c>
      <c r="G443" t="str">
        <f t="shared" si="47"/>
        <v>Gobiomorphus cotidianus</v>
      </c>
      <c r="H443" t="str">
        <f t="shared" si="48"/>
        <v>Common_bully</v>
      </c>
      <c r="I443" t="str">
        <f t="shared" si="49"/>
        <v>Toitoi</v>
      </c>
      <c r="J443" t="str">
        <f t="shared" si="50"/>
        <v>Native</v>
      </c>
      <c r="K443" t="str">
        <f t="shared" si="51"/>
        <v>No</v>
      </c>
      <c r="M443">
        <v>49</v>
      </c>
      <c r="N443">
        <f t="shared" si="55"/>
        <v>1.4</v>
      </c>
      <c r="O443">
        <v>1</v>
      </c>
      <c r="T443" t="str">
        <f t="shared" si="52"/>
        <v/>
      </c>
    </row>
    <row r="444" spans="1:20" x14ac:dyDescent="0.55000000000000004">
      <c r="A444">
        <v>104</v>
      </c>
      <c r="B444" t="str">
        <f t="shared" si="46"/>
        <v>104_0</v>
      </c>
      <c r="C444" s="2">
        <v>45604.416666608799</v>
      </c>
      <c r="D444" t="s">
        <v>245</v>
      </c>
      <c r="E444">
        <v>2</v>
      </c>
      <c r="F444" t="s">
        <v>242</v>
      </c>
      <c r="G444" t="str">
        <f t="shared" si="47"/>
        <v>Gobiomorphus cotidianus</v>
      </c>
      <c r="H444" t="str">
        <f t="shared" si="48"/>
        <v>Common_bully</v>
      </c>
      <c r="I444" t="str">
        <f t="shared" si="49"/>
        <v>Toitoi</v>
      </c>
      <c r="J444" t="str">
        <f t="shared" si="50"/>
        <v>Native</v>
      </c>
      <c r="K444" t="str">
        <f t="shared" si="51"/>
        <v>No</v>
      </c>
      <c r="M444">
        <v>51</v>
      </c>
      <c r="N444">
        <f t="shared" si="55"/>
        <v>1.4</v>
      </c>
      <c r="O444">
        <v>1</v>
      </c>
      <c r="T444" t="str">
        <f t="shared" si="52"/>
        <v/>
      </c>
    </row>
    <row r="445" spans="1:20" x14ac:dyDescent="0.55000000000000004">
      <c r="A445">
        <v>104</v>
      </c>
      <c r="B445" t="str">
        <f t="shared" si="46"/>
        <v>104_0</v>
      </c>
      <c r="C445" s="2">
        <v>45604.416666608799</v>
      </c>
      <c r="D445" t="s">
        <v>245</v>
      </c>
      <c r="E445">
        <v>2</v>
      </c>
      <c r="F445" t="s">
        <v>242</v>
      </c>
      <c r="G445" t="str">
        <f t="shared" si="47"/>
        <v>Gobiomorphus cotidianus</v>
      </c>
      <c r="H445" t="str">
        <f t="shared" si="48"/>
        <v>Common_bully</v>
      </c>
      <c r="I445" t="str">
        <f t="shared" si="49"/>
        <v>Toitoi</v>
      </c>
      <c r="J445" t="str">
        <f t="shared" si="50"/>
        <v>Native</v>
      </c>
      <c r="K445" t="str">
        <f t="shared" si="51"/>
        <v>No</v>
      </c>
      <c r="M445">
        <v>36</v>
      </c>
      <c r="N445">
        <f t="shared" si="55"/>
        <v>1.4</v>
      </c>
      <c r="O445">
        <v>1</v>
      </c>
      <c r="T445" t="str">
        <f t="shared" si="52"/>
        <v/>
      </c>
    </row>
    <row r="446" spans="1:20" x14ac:dyDescent="0.55000000000000004">
      <c r="A446">
        <v>104</v>
      </c>
      <c r="B446" t="str">
        <f t="shared" si="46"/>
        <v>104_0</v>
      </c>
      <c r="C446" s="2">
        <v>45604.416666608799</v>
      </c>
      <c r="D446" t="s">
        <v>221</v>
      </c>
      <c r="E446">
        <v>2</v>
      </c>
      <c r="F446" t="s">
        <v>249</v>
      </c>
      <c r="G446" t="str">
        <f t="shared" si="47"/>
        <v>Anguilla dieffenbachii</v>
      </c>
      <c r="H446" t="str">
        <f t="shared" si="48"/>
        <v>Long_fin_eel</v>
      </c>
      <c r="I446" t="str">
        <f t="shared" si="49"/>
        <v>Tuna</v>
      </c>
      <c r="J446" t="str">
        <f t="shared" si="50"/>
        <v>Native</v>
      </c>
      <c r="K446" t="str">
        <f t="shared" si="51"/>
        <v>Yes</v>
      </c>
      <c r="M446">
        <v>1200</v>
      </c>
      <c r="O446">
        <v>1</v>
      </c>
      <c r="T446" t="str">
        <f t="shared" si="52"/>
        <v/>
      </c>
    </row>
    <row r="447" spans="1:20" x14ac:dyDescent="0.55000000000000004">
      <c r="A447">
        <v>104</v>
      </c>
      <c r="B447" t="str">
        <f t="shared" si="46"/>
        <v>104_0</v>
      </c>
      <c r="C447" s="2">
        <v>45604.416666608799</v>
      </c>
      <c r="D447" t="s">
        <v>221</v>
      </c>
      <c r="E447">
        <v>2</v>
      </c>
      <c r="F447" t="s">
        <v>249</v>
      </c>
      <c r="G447" t="str">
        <f t="shared" si="47"/>
        <v>Anguilla dieffenbachii</v>
      </c>
      <c r="H447" t="str">
        <f t="shared" si="48"/>
        <v>Long_fin_eel</v>
      </c>
      <c r="I447" t="str">
        <f t="shared" si="49"/>
        <v>Tuna</v>
      </c>
      <c r="J447" t="str">
        <f t="shared" si="50"/>
        <v>Native</v>
      </c>
      <c r="K447" t="str">
        <f t="shared" si="51"/>
        <v>Yes</v>
      </c>
      <c r="M447">
        <v>1000</v>
      </c>
      <c r="O447">
        <v>1</v>
      </c>
      <c r="T447" t="str">
        <f t="shared" si="52"/>
        <v/>
      </c>
    </row>
    <row r="448" spans="1:20" x14ac:dyDescent="0.55000000000000004">
      <c r="A448">
        <v>104</v>
      </c>
      <c r="B448" t="str">
        <f t="shared" si="46"/>
        <v>104_0</v>
      </c>
      <c r="C448" s="2">
        <v>45604.416666608799</v>
      </c>
      <c r="D448" t="s">
        <v>221</v>
      </c>
      <c r="E448">
        <v>2</v>
      </c>
      <c r="F448" t="s">
        <v>236</v>
      </c>
      <c r="G448" t="str">
        <f t="shared" si="47"/>
        <v>Carassius auratus</v>
      </c>
      <c r="H448" t="str">
        <f t="shared" si="48"/>
        <v>Goldfish</v>
      </c>
      <c r="I448" t="str">
        <f t="shared" si="49"/>
        <v>Morihana</v>
      </c>
      <c r="J448" t="str">
        <f t="shared" si="50"/>
        <v>Nonnative</v>
      </c>
      <c r="K448" t="str">
        <f t="shared" si="51"/>
        <v>No</v>
      </c>
      <c r="M448">
        <v>143</v>
      </c>
      <c r="N448">
        <v>68</v>
      </c>
      <c r="O448">
        <v>1</v>
      </c>
      <c r="T448" t="str">
        <f t="shared" si="52"/>
        <v/>
      </c>
    </row>
    <row r="449" spans="1:20" x14ac:dyDescent="0.55000000000000004">
      <c r="A449">
        <v>104</v>
      </c>
      <c r="B449" t="str">
        <f t="shared" si="46"/>
        <v>104_0</v>
      </c>
      <c r="C449" s="2">
        <v>45604.416666608799</v>
      </c>
      <c r="D449" t="s">
        <v>221</v>
      </c>
      <c r="E449">
        <v>2</v>
      </c>
      <c r="F449" t="s">
        <v>236</v>
      </c>
      <c r="G449" t="str">
        <f t="shared" si="47"/>
        <v>Carassius auratus</v>
      </c>
      <c r="H449" t="str">
        <f t="shared" si="48"/>
        <v>Goldfish</v>
      </c>
      <c r="I449" t="str">
        <f t="shared" si="49"/>
        <v>Morihana</v>
      </c>
      <c r="J449" t="str">
        <f t="shared" si="50"/>
        <v>Nonnative</v>
      </c>
      <c r="K449" t="str">
        <f t="shared" si="51"/>
        <v>No</v>
      </c>
      <c r="M449">
        <v>172</v>
      </c>
      <c r="N449">
        <v>121</v>
      </c>
      <c r="O449">
        <v>1</v>
      </c>
      <c r="T449" t="str">
        <f t="shared" si="52"/>
        <v/>
      </c>
    </row>
    <row r="450" spans="1:20" x14ac:dyDescent="0.55000000000000004">
      <c r="A450">
        <v>104</v>
      </c>
      <c r="B450" t="str">
        <f t="shared" ref="B450:B513" si="56">A450 &amp; "_0"</f>
        <v>104_0</v>
      </c>
      <c r="C450" s="2">
        <v>45604.416666608799</v>
      </c>
      <c r="D450" t="s">
        <v>221</v>
      </c>
      <c r="E450">
        <v>2</v>
      </c>
      <c r="F450" t="s">
        <v>236</v>
      </c>
      <c r="G450" t="str">
        <f t="shared" ref="G450:G513" si="57">VLOOKUP($F450, $W$1:$AB$10, 2, FALSE)</f>
        <v>Carassius auratus</v>
      </c>
      <c r="H450" t="str">
        <f t="shared" ref="H450:H513" si="58">VLOOKUP($F450, $W$1:$AB$10, 3, FALSE)</f>
        <v>Goldfish</v>
      </c>
      <c r="I450" t="str">
        <f t="shared" ref="I450:I513" si="59">VLOOKUP($F450, $W$1:$AB$10, 4, FALSE)</f>
        <v>Morihana</v>
      </c>
      <c r="J450" t="str">
        <f t="shared" ref="J450:J513" si="60">VLOOKUP($F450, $W$1:$AC$10, 5, FALSE)</f>
        <v>Nonnative</v>
      </c>
      <c r="K450" t="str">
        <f t="shared" ref="K450:K513" si="61">VLOOKUP($F450, $W$1:$AB$10, 6, FALSE)</f>
        <v>No</v>
      </c>
      <c r="M450">
        <v>170</v>
      </c>
      <c r="N450">
        <v>115</v>
      </c>
      <c r="O450">
        <v>1</v>
      </c>
      <c r="T450" t="str">
        <f t="shared" ref="T450:T513" si="62">IF(S450&lt;&gt;"", S450*236.588, "")</f>
        <v/>
      </c>
    </row>
    <row r="451" spans="1:20" x14ac:dyDescent="0.55000000000000004">
      <c r="A451">
        <v>104</v>
      </c>
      <c r="B451" t="str">
        <f t="shared" si="56"/>
        <v>104_0</v>
      </c>
      <c r="C451" s="2">
        <v>45604.416666608799</v>
      </c>
      <c r="D451" t="s">
        <v>221</v>
      </c>
      <c r="E451">
        <v>2</v>
      </c>
      <c r="F451" t="s">
        <v>242</v>
      </c>
      <c r="G451" t="str">
        <f t="shared" si="57"/>
        <v>Gobiomorphus cotidianus</v>
      </c>
      <c r="H451" t="str">
        <f t="shared" si="58"/>
        <v>Common_bully</v>
      </c>
      <c r="I451" t="str">
        <f t="shared" si="59"/>
        <v>Toitoi</v>
      </c>
      <c r="J451" t="str">
        <f t="shared" si="60"/>
        <v>Native</v>
      </c>
      <c r="K451" t="str">
        <f t="shared" si="61"/>
        <v>No</v>
      </c>
      <c r="N451">
        <f>438-117</f>
        <v>321</v>
      </c>
      <c r="S451">
        <v>1.5</v>
      </c>
      <c r="T451">
        <f t="shared" si="62"/>
        <v>354.88200000000001</v>
      </c>
    </row>
    <row r="452" spans="1:20" x14ac:dyDescent="0.55000000000000004">
      <c r="A452">
        <v>104</v>
      </c>
      <c r="B452" t="str">
        <f t="shared" si="56"/>
        <v>104_0</v>
      </c>
      <c r="C452" s="2">
        <v>45604.416666608799</v>
      </c>
      <c r="D452" t="s">
        <v>221</v>
      </c>
      <c r="E452">
        <v>2</v>
      </c>
      <c r="F452" t="s">
        <v>243</v>
      </c>
      <c r="G452" t="str">
        <f t="shared" si="57"/>
        <v>Retropinna retropinna</v>
      </c>
      <c r="H452" t="str">
        <f t="shared" si="58"/>
        <v>Common_smelt</v>
      </c>
      <c r="I452" t="str">
        <f t="shared" si="59"/>
        <v>Common_smelt</v>
      </c>
      <c r="J452" t="str">
        <f t="shared" si="60"/>
        <v>Native</v>
      </c>
      <c r="K452" t="str">
        <f t="shared" si="61"/>
        <v>No</v>
      </c>
      <c r="O452">
        <v>6</v>
      </c>
      <c r="T452" t="str">
        <f t="shared" si="62"/>
        <v/>
      </c>
    </row>
    <row r="453" spans="1:20" x14ac:dyDescent="0.55000000000000004">
      <c r="A453">
        <v>104</v>
      </c>
      <c r="B453" t="str">
        <f t="shared" si="56"/>
        <v>104_0</v>
      </c>
      <c r="C453" s="2">
        <v>45604.416666608799</v>
      </c>
      <c r="D453" t="s">
        <v>221</v>
      </c>
      <c r="E453">
        <v>2</v>
      </c>
      <c r="F453" t="s">
        <v>243</v>
      </c>
      <c r="G453" t="str">
        <f t="shared" si="57"/>
        <v>Retropinna retropinna</v>
      </c>
      <c r="H453" t="str">
        <f t="shared" si="58"/>
        <v>Common_smelt</v>
      </c>
      <c r="I453" t="str">
        <f t="shared" si="59"/>
        <v>Common_smelt</v>
      </c>
      <c r="J453" t="str">
        <f t="shared" si="60"/>
        <v>Native</v>
      </c>
      <c r="K453" t="str">
        <f t="shared" si="61"/>
        <v>No</v>
      </c>
      <c r="O453">
        <v>12</v>
      </c>
      <c r="T453" t="str">
        <f t="shared" si="62"/>
        <v/>
      </c>
    </row>
    <row r="454" spans="1:20" x14ac:dyDescent="0.55000000000000004">
      <c r="A454">
        <v>104</v>
      </c>
      <c r="B454" t="str">
        <f t="shared" si="56"/>
        <v>104_0</v>
      </c>
      <c r="C454" s="2">
        <v>45604.416666608799</v>
      </c>
      <c r="D454" t="s">
        <v>221</v>
      </c>
      <c r="E454">
        <v>2</v>
      </c>
      <c r="F454" t="s">
        <v>249</v>
      </c>
      <c r="G454" t="str">
        <f t="shared" si="57"/>
        <v>Anguilla dieffenbachii</v>
      </c>
      <c r="H454" t="str">
        <f t="shared" si="58"/>
        <v>Long_fin_eel</v>
      </c>
      <c r="I454" t="str">
        <f t="shared" si="59"/>
        <v>Tuna</v>
      </c>
      <c r="J454" t="str">
        <f t="shared" si="60"/>
        <v>Native</v>
      </c>
      <c r="K454" t="str">
        <f t="shared" si="61"/>
        <v>Yes</v>
      </c>
      <c r="M454">
        <v>800</v>
      </c>
      <c r="O454">
        <v>1</v>
      </c>
      <c r="T454" t="str">
        <f t="shared" si="62"/>
        <v/>
      </c>
    </row>
    <row r="455" spans="1:20" x14ac:dyDescent="0.55000000000000004">
      <c r="A455">
        <v>104</v>
      </c>
      <c r="B455" t="str">
        <f t="shared" si="56"/>
        <v>104_0</v>
      </c>
      <c r="C455" s="2">
        <v>45604.416666608799</v>
      </c>
      <c r="D455" t="s">
        <v>221</v>
      </c>
      <c r="E455">
        <v>2</v>
      </c>
      <c r="F455" t="s">
        <v>236</v>
      </c>
      <c r="G455" t="str">
        <f t="shared" si="57"/>
        <v>Carassius auratus</v>
      </c>
      <c r="H455" t="str">
        <f t="shared" si="58"/>
        <v>Goldfish</v>
      </c>
      <c r="I455" t="str">
        <f t="shared" si="59"/>
        <v>Morihana</v>
      </c>
      <c r="J455" t="str">
        <f t="shared" si="60"/>
        <v>Nonnative</v>
      </c>
      <c r="K455" t="str">
        <f t="shared" si="61"/>
        <v>No</v>
      </c>
      <c r="M455">
        <v>55</v>
      </c>
      <c r="O455">
        <v>1</v>
      </c>
      <c r="T455" t="str">
        <f t="shared" si="62"/>
        <v/>
      </c>
    </row>
    <row r="456" spans="1:20" x14ac:dyDescent="0.55000000000000004">
      <c r="A456">
        <v>104</v>
      </c>
      <c r="B456" t="str">
        <f t="shared" si="56"/>
        <v>104_0</v>
      </c>
      <c r="C456" s="2">
        <v>45604.416666608799</v>
      </c>
      <c r="D456" t="s">
        <v>221</v>
      </c>
      <c r="E456">
        <v>2</v>
      </c>
      <c r="F456" t="s">
        <v>236</v>
      </c>
      <c r="G456" t="str">
        <f t="shared" si="57"/>
        <v>Carassius auratus</v>
      </c>
      <c r="H456" t="str">
        <f t="shared" si="58"/>
        <v>Goldfish</v>
      </c>
      <c r="I456" t="str">
        <f t="shared" si="59"/>
        <v>Morihana</v>
      </c>
      <c r="J456" t="str">
        <f t="shared" si="60"/>
        <v>Nonnative</v>
      </c>
      <c r="K456" t="str">
        <f t="shared" si="61"/>
        <v>No</v>
      </c>
      <c r="M456">
        <v>57</v>
      </c>
      <c r="N456">
        <v>5</v>
      </c>
      <c r="O456">
        <v>1</v>
      </c>
      <c r="T456" t="str">
        <f t="shared" si="62"/>
        <v/>
      </c>
    </row>
    <row r="457" spans="1:20" x14ac:dyDescent="0.55000000000000004">
      <c r="A457">
        <v>104</v>
      </c>
      <c r="B457" t="str">
        <f t="shared" si="56"/>
        <v>104_0</v>
      </c>
      <c r="C457" s="2">
        <v>45604.416666608799</v>
      </c>
      <c r="D457" t="s">
        <v>221</v>
      </c>
      <c r="E457">
        <v>2</v>
      </c>
      <c r="F457" t="s">
        <v>236</v>
      </c>
      <c r="G457" t="str">
        <f t="shared" si="57"/>
        <v>Carassius auratus</v>
      </c>
      <c r="H457" t="str">
        <f t="shared" si="58"/>
        <v>Goldfish</v>
      </c>
      <c r="I457" t="str">
        <f t="shared" si="59"/>
        <v>Morihana</v>
      </c>
      <c r="J457" t="str">
        <f t="shared" si="60"/>
        <v>Nonnative</v>
      </c>
      <c r="K457" t="str">
        <f t="shared" si="61"/>
        <v>No</v>
      </c>
      <c r="M457">
        <v>67</v>
      </c>
      <c r="N457">
        <v>5</v>
      </c>
      <c r="O457">
        <v>1</v>
      </c>
      <c r="T457" t="str">
        <f t="shared" si="62"/>
        <v/>
      </c>
    </row>
    <row r="458" spans="1:20" x14ac:dyDescent="0.55000000000000004">
      <c r="A458">
        <v>104</v>
      </c>
      <c r="B458" t="str">
        <f t="shared" si="56"/>
        <v>104_0</v>
      </c>
      <c r="C458" s="2">
        <v>45604.416666608799</v>
      </c>
      <c r="D458" t="s">
        <v>221</v>
      </c>
      <c r="E458">
        <v>2</v>
      </c>
      <c r="F458" t="s">
        <v>236</v>
      </c>
      <c r="G458" t="str">
        <f t="shared" si="57"/>
        <v>Carassius auratus</v>
      </c>
      <c r="H458" t="str">
        <f t="shared" si="58"/>
        <v>Goldfish</v>
      </c>
      <c r="I458" t="str">
        <f t="shared" si="59"/>
        <v>Morihana</v>
      </c>
      <c r="J458" t="str">
        <f t="shared" si="60"/>
        <v>Nonnative</v>
      </c>
      <c r="K458" t="str">
        <f t="shared" si="61"/>
        <v>No</v>
      </c>
      <c r="M458">
        <v>52</v>
      </c>
      <c r="N458">
        <v>3</v>
      </c>
      <c r="O458">
        <v>1</v>
      </c>
      <c r="T458" t="str">
        <f t="shared" si="62"/>
        <v/>
      </c>
    </row>
    <row r="459" spans="1:20" x14ac:dyDescent="0.55000000000000004">
      <c r="A459">
        <v>104</v>
      </c>
      <c r="B459" t="str">
        <f t="shared" si="56"/>
        <v>104_0</v>
      </c>
      <c r="C459" s="2">
        <v>45604.416666608799</v>
      </c>
      <c r="D459" t="s">
        <v>221</v>
      </c>
      <c r="E459">
        <v>2</v>
      </c>
      <c r="F459" t="s">
        <v>236</v>
      </c>
      <c r="G459" t="str">
        <f t="shared" si="57"/>
        <v>Carassius auratus</v>
      </c>
      <c r="H459" t="str">
        <f t="shared" si="58"/>
        <v>Goldfish</v>
      </c>
      <c r="I459" t="str">
        <f t="shared" si="59"/>
        <v>Morihana</v>
      </c>
      <c r="J459" t="str">
        <f t="shared" si="60"/>
        <v>Nonnative</v>
      </c>
      <c r="K459" t="str">
        <f t="shared" si="61"/>
        <v>No</v>
      </c>
      <c r="M459">
        <v>58</v>
      </c>
      <c r="N459">
        <v>3</v>
      </c>
      <c r="O459">
        <v>1</v>
      </c>
      <c r="T459" t="str">
        <f t="shared" si="62"/>
        <v/>
      </c>
    </row>
    <row r="460" spans="1:20" x14ac:dyDescent="0.55000000000000004">
      <c r="A460">
        <v>104</v>
      </c>
      <c r="B460" t="str">
        <f t="shared" si="56"/>
        <v>104_0</v>
      </c>
      <c r="C460" s="2">
        <v>45604.416666608799</v>
      </c>
      <c r="D460" t="s">
        <v>221</v>
      </c>
      <c r="E460">
        <v>2</v>
      </c>
      <c r="F460" t="s">
        <v>242</v>
      </c>
      <c r="G460" t="str">
        <f t="shared" si="57"/>
        <v>Gobiomorphus cotidianus</v>
      </c>
      <c r="H460" t="str">
        <f t="shared" si="58"/>
        <v>Common_bully</v>
      </c>
      <c r="I460" t="str">
        <f t="shared" si="59"/>
        <v>Toitoi</v>
      </c>
      <c r="J460" t="str">
        <f t="shared" si="60"/>
        <v>Native</v>
      </c>
      <c r="K460" t="str">
        <f t="shared" si="61"/>
        <v>No</v>
      </c>
      <c r="S460">
        <v>2.5</v>
      </c>
      <c r="T460">
        <f t="shared" si="62"/>
        <v>591.47</v>
      </c>
    </row>
    <row r="461" spans="1:20" x14ac:dyDescent="0.55000000000000004">
      <c r="A461">
        <v>104</v>
      </c>
      <c r="B461" t="str">
        <f t="shared" si="56"/>
        <v>104_0</v>
      </c>
      <c r="C461" s="2">
        <v>45604.416666608799</v>
      </c>
      <c r="D461" t="s">
        <v>221</v>
      </c>
      <c r="E461">
        <v>2</v>
      </c>
      <c r="F461" t="s">
        <v>242</v>
      </c>
      <c r="G461" t="str">
        <f t="shared" si="57"/>
        <v>Gobiomorphus cotidianus</v>
      </c>
      <c r="H461" t="str">
        <f t="shared" si="58"/>
        <v>Common_bully</v>
      </c>
      <c r="I461" t="str">
        <f t="shared" si="59"/>
        <v>Toitoi</v>
      </c>
      <c r="J461" t="str">
        <f t="shared" si="60"/>
        <v>Native</v>
      </c>
      <c r="K461" t="str">
        <f t="shared" si="61"/>
        <v>No</v>
      </c>
      <c r="N461">
        <f>170-117</f>
        <v>53</v>
      </c>
      <c r="S461">
        <v>0.5</v>
      </c>
      <c r="T461">
        <f t="shared" si="62"/>
        <v>118.294</v>
      </c>
    </row>
    <row r="462" spans="1:20" x14ac:dyDescent="0.55000000000000004">
      <c r="A462">
        <v>113</v>
      </c>
      <c r="B462" t="str">
        <f t="shared" si="56"/>
        <v>113_0</v>
      </c>
      <c r="C462" s="2">
        <v>45680.387499942131</v>
      </c>
      <c r="D462" t="s">
        <v>245</v>
      </c>
      <c r="E462">
        <v>2</v>
      </c>
      <c r="F462" t="s">
        <v>222</v>
      </c>
      <c r="G462" t="str">
        <f t="shared" si="57"/>
        <v>Paranephrops planifrons</v>
      </c>
      <c r="H462" t="str">
        <f t="shared" si="58"/>
        <v>Freshwater_crayfish</v>
      </c>
      <c r="I462" t="str">
        <f t="shared" si="59"/>
        <v>Kōura</v>
      </c>
      <c r="J462" t="str">
        <f t="shared" si="60"/>
        <v>Native</v>
      </c>
      <c r="K462" t="str">
        <f t="shared" si="61"/>
        <v>Yes</v>
      </c>
      <c r="L462" t="s">
        <v>223</v>
      </c>
      <c r="M462">
        <v>26.66</v>
      </c>
      <c r="N462">
        <v>12</v>
      </c>
      <c r="O462">
        <v>1</v>
      </c>
      <c r="P462">
        <v>1</v>
      </c>
      <c r="T462" t="str">
        <f t="shared" si="62"/>
        <v/>
      </c>
    </row>
    <row r="463" spans="1:20" x14ac:dyDescent="0.55000000000000004">
      <c r="A463">
        <v>77</v>
      </c>
      <c r="B463" t="str">
        <f t="shared" si="56"/>
        <v>77_0</v>
      </c>
      <c r="C463" s="2">
        <v>45674.520833333336</v>
      </c>
      <c r="D463" t="s">
        <v>221</v>
      </c>
      <c r="E463">
        <v>2</v>
      </c>
      <c r="F463" t="s">
        <v>222</v>
      </c>
      <c r="G463" t="str">
        <f t="shared" si="57"/>
        <v>Paranephrops planifrons</v>
      </c>
      <c r="H463" t="str">
        <f t="shared" si="58"/>
        <v>Freshwater_crayfish</v>
      </c>
      <c r="I463" t="str">
        <f t="shared" si="59"/>
        <v>Kōura</v>
      </c>
      <c r="J463" t="str">
        <f t="shared" si="60"/>
        <v>Native</v>
      </c>
      <c r="K463" t="str">
        <f t="shared" si="61"/>
        <v>Yes</v>
      </c>
      <c r="L463" t="s">
        <v>228</v>
      </c>
      <c r="M463">
        <v>26.43</v>
      </c>
      <c r="N463">
        <v>15</v>
      </c>
      <c r="O463">
        <v>1</v>
      </c>
      <c r="T463" t="str">
        <f t="shared" si="62"/>
        <v/>
      </c>
    </row>
    <row r="464" spans="1:20" x14ac:dyDescent="0.55000000000000004">
      <c r="A464">
        <v>105</v>
      </c>
      <c r="B464" t="str">
        <f t="shared" si="56"/>
        <v>105_0</v>
      </c>
      <c r="C464" s="2">
        <v>45603.541666608799</v>
      </c>
      <c r="D464" t="s">
        <v>245</v>
      </c>
      <c r="E464">
        <v>2</v>
      </c>
      <c r="F464" t="s">
        <v>242</v>
      </c>
      <c r="G464" t="str">
        <f t="shared" si="57"/>
        <v>Gobiomorphus cotidianus</v>
      </c>
      <c r="H464" t="str">
        <f t="shared" si="58"/>
        <v>Common_bully</v>
      </c>
      <c r="I464" t="str">
        <f t="shared" si="59"/>
        <v>Toitoi</v>
      </c>
      <c r="J464" t="str">
        <f t="shared" si="60"/>
        <v>Native</v>
      </c>
      <c r="K464" t="str">
        <f t="shared" si="61"/>
        <v>No</v>
      </c>
      <c r="O464">
        <v>45</v>
      </c>
      <c r="T464" t="str">
        <f t="shared" si="62"/>
        <v/>
      </c>
    </row>
    <row r="465" spans="1:20" x14ac:dyDescent="0.55000000000000004">
      <c r="A465">
        <v>105</v>
      </c>
      <c r="B465" t="str">
        <f t="shared" si="56"/>
        <v>105_0</v>
      </c>
      <c r="C465" s="2">
        <v>45603.541666608799</v>
      </c>
      <c r="D465" t="s">
        <v>221</v>
      </c>
      <c r="E465">
        <v>2</v>
      </c>
      <c r="F465" t="s">
        <v>243</v>
      </c>
      <c r="G465" t="str">
        <f t="shared" si="57"/>
        <v>Retropinna retropinna</v>
      </c>
      <c r="H465" t="str">
        <f t="shared" si="58"/>
        <v>Common_smelt</v>
      </c>
      <c r="I465" t="str">
        <f t="shared" si="59"/>
        <v>Common_smelt</v>
      </c>
      <c r="J465" t="str">
        <f t="shared" si="60"/>
        <v>Native</v>
      </c>
      <c r="K465" t="str">
        <f t="shared" si="61"/>
        <v>No</v>
      </c>
      <c r="O465">
        <v>1</v>
      </c>
      <c r="T465" t="str">
        <f t="shared" si="62"/>
        <v/>
      </c>
    </row>
    <row r="466" spans="1:20" x14ac:dyDescent="0.55000000000000004">
      <c r="A466">
        <v>105</v>
      </c>
      <c r="B466" t="str">
        <f t="shared" si="56"/>
        <v>105_0</v>
      </c>
      <c r="C466" s="2">
        <v>45603.541666608799</v>
      </c>
      <c r="D466" t="s">
        <v>221</v>
      </c>
      <c r="E466">
        <v>2</v>
      </c>
      <c r="F466" t="s">
        <v>242</v>
      </c>
      <c r="G466" t="str">
        <f t="shared" si="57"/>
        <v>Gobiomorphus cotidianus</v>
      </c>
      <c r="H466" t="str">
        <f t="shared" si="58"/>
        <v>Common_bully</v>
      </c>
      <c r="I466" t="str">
        <f t="shared" si="59"/>
        <v>Toitoi</v>
      </c>
      <c r="J466" t="str">
        <f t="shared" si="60"/>
        <v>Native</v>
      </c>
      <c r="K466" t="str">
        <f t="shared" si="61"/>
        <v>No</v>
      </c>
      <c r="S466">
        <v>0.6</v>
      </c>
      <c r="T466">
        <f t="shared" si="62"/>
        <v>141.9528</v>
      </c>
    </row>
    <row r="467" spans="1:20" x14ac:dyDescent="0.55000000000000004">
      <c r="A467">
        <v>113</v>
      </c>
      <c r="B467" t="str">
        <f t="shared" si="56"/>
        <v>113_0</v>
      </c>
      <c r="C467" s="2">
        <v>45680.387499942131</v>
      </c>
      <c r="D467" t="s">
        <v>245</v>
      </c>
      <c r="E467">
        <v>2</v>
      </c>
      <c r="F467" t="s">
        <v>222</v>
      </c>
      <c r="G467" t="str">
        <f t="shared" si="57"/>
        <v>Paranephrops planifrons</v>
      </c>
      <c r="H467" t="str">
        <f t="shared" si="58"/>
        <v>Freshwater_crayfish</v>
      </c>
      <c r="I467" t="str">
        <f t="shared" si="59"/>
        <v>Kōura</v>
      </c>
      <c r="J467" t="str">
        <f t="shared" si="60"/>
        <v>Native</v>
      </c>
      <c r="K467" t="str">
        <f t="shared" si="61"/>
        <v>Yes</v>
      </c>
      <c r="L467" t="s">
        <v>223</v>
      </c>
      <c r="M467">
        <v>26.42</v>
      </c>
      <c r="N467">
        <v>13</v>
      </c>
      <c r="O467">
        <v>1</v>
      </c>
      <c r="T467" t="str">
        <f t="shared" si="62"/>
        <v/>
      </c>
    </row>
    <row r="468" spans="1:20" x14ac:dyDescent="0.55000000000000004">
      <c r="A468">
        <v>105</v>
      </c>
      <c r="B468" t="str">
        <f t="shared" si="56"/>
        <v>105_0</v>
      </c>
      <c r="C468" s="2">
        <v>45603.541666608799</v>
      </c>
      <c r="D468" t="s">
        <v>221</v>
      </c>
      <c r="E468">
        <v>2</v>
      </c>
      <c r="F468" t="s">
        <v>236</v>
      </c>
      <c r="G468" t="str">
        <f t="shared" si="57"/>
        <v>Carassius auratus</v>
      </c>
      <c r="H468" t="str">
        <f t="shared" si="58"/>
        <v>Goldfish</v>
      </c>
      <c r="I468" t="str">
        <f t="shared" si="59"/>
        <v>Morihana</v>
      </c>
      <c r="J468" t="str">
        <f t="shared" si="60"/>
        <v>Nonnative</v>
      </c>
      <c r="K468" t="str">
        <f t="shared" si="61"/>
        <v>No</v>
      </c>
      <c r="M468">
        <v>61</v>
      </c>
      <c r="O468">
        <v>1</v>
      </c>
      <c r="T468" t="str">
        <f t="shared" si="62"/>
        <v/>
      </c>
    </row>
    <row r="469" spans="1:20" x14ac:dyDescent="0.55000000000000004">
      <c r="A469">
        <v>105</v>
      </c>
      <c r="B469" t="str">
        <f t="shared" si="56"/>
        <v>105_0</v>
      </c>
      <c r="C469" s="2">
        <v>45603.541666608799</v>
      </c>
      <c r="D469" t="s">
        <v>221</v>
      </c>
      <c r="E469">
        <v>2</v>
      </c>
      <c r="F469" t="s">
        <v>236</v>
      </c>
      <c r="G469" t="str">
        <f t="shared" si="57"/>
        <v>Carassius auratus</v>
      </c>
      <c r="H469" t="str">
        <f t="shared" si="58"/>
        <v>Goldfish</v>
      </c>
      <c r="I469" t="str">
        <f t="shared" si="59"/>
        <v>Morihana</v>
      </c>
      <c r="J469" t="str">
        <f t="shared" si="60"/>
        <v>Nonnative</v>
      </c>
      <c r="K469" t="str">
        <f t="shared" si="61"/>
        <v>No</v>
      </c>
      <c r="M469">
        <v>46</v>
      </c>
      <c r="O469">
        <v>1</v>
      </c>
      <c r="T469" t="str">
        <f t="shared" si="62"/>
        <v/>
      </c>
    </row>
    <row r="470" spans="1:20" x14ac:dyDescent="0.55000000000000004">
      <c r="A470">
        <v>77</v>
      </c>
      <c r="B470" t="str">
        <f t="shared" si="56"/>
        <v>77_0</v>
      </c>
      <c r="C470" s="2">
        <v>45674.520833333336</v>
      </c>
      <c r="D470" t="s">
        <v>221</v>
      </c>
      <c r="E470">
        <v>2</v>
      </c>
      <c r="F470" t="s">
        <v>222</v>
      </c>
      <c r="G470" t="str">
        <f t="shared" si="57"/>
        <v>Paranephrops planifrons</v>
      </c>
      <c r="H470" t="str">
        <f t="shared" si="58"/>
        <v>Freshwater_crayfish</v>
      </c>
      <c r="I470" t="str">
        <f t="shared" si="59"/>
        <v>Kōura</v>
      </c>
      <c r="J470" t="str">
        <f t="shared" si="60"/>
        <v>Native</v>
      </c>
      <c r="K470" t="str">
        <f t="shared" si="61"/>
        <v>Yes</v>
      </c>
      <c r="L470" t="s">
        <v>223</v>
      </c>
      <c r="M470">
        <v>26.31</v>
      </c>
      <c r="N470">
        <v>17</v>
      </c>
      <c r="O470">
        <v>1</v>
      </c>
      <c r="T470" t="str">
        <f t="shared" si="62"/>
        <v/>
      </c>
    </row>
    <row r="471" spans="1:20" x14ac:dyDescent="0.55000000000000004">
      <c r="A471">
        <v>113</v>
      </c>
      <c r="B471" t="str">
        <f t="shared" si="56"/>
        <v>113_0</v>
      </c>
      <c r="C471" s="2">
        <v>45680.387499942131</v>
      </c>
      <c r="D471" t="s">
        <v>221</v>
      </c>
      <c r="E471">
        <v>2</v>
      </c>
      <c r="F471" t="s">
        <v>222</v>
      </c>
      <c r="G471" t="str">
        <f t="shared" si="57"/>
        <v>Paranephrops planifrons</v>
      </c>
      <c r="H471" t="str">
        <f t="shared" si="58"/>
        <v>Freshwater_crayfish</v>
      </c>
      <c r="I471" t="str">
        <f t="shared" si="59"/>
        <v>Kōura</v>
      </c>
      <c r="J471" t="str">
        <f t="shared" si="60"/>
        <v>Native</v>
      </c>
      <c r="K471" t="str">
        <f t="shared" si="61"/>
        <v>Yes</v>
      </c>
      <c r="L471" t="s">
        <v>228</v>
      </c>
      <c r="M471">
        <v>26.31</v>
      </c>
      <c r="N471">
        <v>17</v>
      </c>
      <c r="O471">
        <v>1</v>
      </c>
      <c r="T471" t="str">
        <f t="shared" si="62"/>
        <v/>
      </c>
    </row>
    <row r="472" spans="1:20" x14ac:dyDescent="0.55000000000000004">
      <c r="A472">
        <v>98</v>
      </c>
      <c r="B472" t="str">
        <f t="shared" si="56"/>
        <v>98_0</v>
      </c>
      <c r="C472" s="2">
        <v>45603.5625</v>
      </c>
      <c r="D472" t="s">
        <v>245</v>
      </c>
      <c r="E472">
        <v>2</v>
      </c>
      <c r="F472" t="s">
        <v>222</v>
      </c>
      <c r="G472" t="str">
        <f t="shared" si="57"/>
        <v>Paranephrops planifrons</v>
      </c>
      <c r="H472" t="str">
        <f t="shared" si="58"/>
        <v>Freshwater_crayfish</v>
      </c>
      <c r="I472" t="str">
        <f t="shared" si="59"/>
        <v>Kōura</v>
      </c>
      <c r="J472" t="str">
        <f t="shared" si="60"/>
        <v>Native</v>
      </c>
      <c r="K472" t="str">
        <f t="shared" si="61"/>
        <v>Yes</v>
      </c>
      <c r="L472" t="s">
        <v>223</v>
      </c>
      <c r="M472">
        <v>26.26</v>
      </c>
      <c r="O472">
        <v>1</v>
      </c>
      <c r="T472" t="str">
        <f t="shared" si="62"/>
        <v/>
      </c>
    </row>
    <row r="473" spans="1:20" x14ac:dyDescent="0.55000000000000004">
      <c r="A473">
        <v>105</v>
      </c>
      <c r="B473" t="str">
        <f t="shared" si="56"/>
        <v>105_0</v>
      </c>
      <c r="C473" s="2">
        <v>45603.541666608799</v>
      </c>
      <c r="D473" t="s">
        <v>221</v>
      </c>
      <c r="E473">
        <v>2</v>
      </c>
      <c r="F473" t="s">
        <v>242</v>
      </c>
      <c r="G473" t="str">
        <f t="shared" si="57"/>
        <v>Gobiomorphus cotidianus</v>
      </c>
      <c r="H473" t="str">
        <f t="shared" si="58"/>
        <v>Common_bully</v>
      </c>
      <c r="I473" t="str">
        <f t="shared" si="59"/>
        <v>Toitoi</v>
      </c>
      <c r="J473" t="str">
        <f t="shared" si="60"/>
        <v>Native</v>
      </c>
      <c r="K473" t="str">
        <f t="shared" si="61"/>
        <v>No</v>
      </c>
      <c r="S473">
        <v>1.5</v>
      </c>
      <c r="T473">
        <f t="shared" si="62"/>
        <v>354.88200000000001</v>
      </c>
    </row>
    <row r="474" spans="1:20" x14ac:dyDescent="0.55000000000000004">
      <c r="A474">
        <v>73</v>
      </c>
      <c r="B474" t="str">
        <f t="shared" si="56"/>
        <v>73_0</v>
      </c>
      <c r="C474" s="2">
        <v>45674.479166666664</v>
      </c>
      <c r="D474" t="s">
        <v>245</v>
      </c>
      <c r="E474">
        <v>2</v>
      </c>
      <c r="F474" t="s">
        <v>222</v>
      </c>
      <c r="G474" t="str">
        <f t="shared" si="57"/>
        <v>Paranephrops planifrons</v>
      </c>
      <c r="H474" t="str">
        <f t="shared" si="58"/>
        <v>Freshwater_crayfish</v>
      </c>
      <c r="I474" t="str">
        <f t="shared" si="59"/>
        <v>Kōura</v>
      </c>
      <c r="J474" t="str">
        <f t="shared" si="60"/>
        <v>Native</v>
      </c>
      <c r="K474" t="str">
        <f t="shared" si="61"/>
        <v>Yes</v>
      </c>
      <c r="L474" t="s">
        <v>223</v>
      </c>
      <c r="M474">
        <v>26.24</v>
      </c>
      <c r="N474">
        <v>11</v>
      </c>
      <c r="O474">
        <v>1</v>
      </c>
      <c r="T474" t="str">
        <f t="shared" si="62"/>
        <v/>
      </c>
    </row>
    <row r="475" spans="1:20" x14ac:dyDescent="0.55000000000000004">
      <c r="A475">
        <v>115</v>
      </c>
      <c r="B475" t="str">
        <f t="shared" si="56"/>
        <v>115_0</v>
      </c>
      <c r="C475" s="2">
        <v>45597.590277777781</v>
      </c>
      <c r="D475" t="s">
        <v>221</v>
      </c>
      <c r="E475">
        <v>2</v>
      </c>
      <c r="F475" t="s">
        <v>222</v>
      </c>
      <c r="G475" t="str">
        <f t="shared" si="57"/>
        <v>Paranephrops planifrons</v>
      </c>
      <c r="H475" t="str">
        <f t="shared" si="58"/>
        <v>Freshwater_crayfish</v>
      </c>
      <c r="I475" t="str">
        <f t="shared" si="59"/>
        <v>Kōura</v>
      </c>
      <c r="J475" t="str">
        <f t="shared" si="60"/>
        <v>Native</v>
      </c>
      <c r="K475" t="str">
        <f t="shared" si="61"/>
        <v>Yes</v>
      </c>
      <c r="L475" t="s">
        <v>223</v>
      </c>
      <c r="M475">
        <v>26</v>
      </c>
      <c r="N475">
        <v>18</v>
      </c>
      <c r="O475">
        <v>1</v>
      </c>
      <c r="T475" t="str">
        <f t="shared" si="62"/>
        <v/>
      </c>
    </row>
    <row r="476" spans="1:20" x14ac:dyDescent="0.55000000000000004">
      <c r="A476">
        <v>117</v>
      </c>
      <c r="B476" t="str">
        <f t="shared" si="56"/>
        <v>117_0</v>
      </c>
      <c r="C476" s="2">
        <v>45597.520833333336</v>
      </c>
      <c r="D476" t="s">
        <v>221</v>
      </c>
      <c r="E476">
        <v>2</v>
      </c>
      <c r="F476" t="s">
        <v>222</v>
      </c>
      <c r="G476" t="str">
        <f t="shared" si="57"/>
        <v>Paranephrops planifrons</v>
      </c>
      <c r="H476" t="str">
        <f t="shared" si="58"/>
        <v>Freshwater_crayfish</v>
      </c>
      <c r="I476" t="str">
        <f t="shared" si="59"/>
        <v>Kōura</v>
      </c>
      <c r="J476" t="str">
        <f t="shared" si="60"/>
        <v>Native</v>
      </c>
      <c r="K476" t="str">
        <f t="shared" si="61"/>
        <v>Yes</v>
      </c>
      <c r="L476" t="s">
        <v>223</v>
      </c>
      <c r="M476">
        <v>26</v>
      </c>
      <c r="N476">
        <v>17</v>
      </c>
      <c r="O476">
        <v>1</v>
      </c>
      <c r="T476" t="str">
        <f t="shared" si="62"/>
        <v/>
      </c>
    </row>
    <row r="477" spans="1:20" x14ac:dyDescent="0.55000000000000004">
      <c r="A477">
        <v>106</v>
      </c>
      <c r="B477" t="str">
        <f t="shared" si="56"/>
        <v>106_0</v>
      </c>
      <c r="C477" s="2">
        <v>45603.4375</v>
      </c>
      <c r="D477" t="s">
        <v>245</v>
      </c>
      <c r="E477">
        <v>2</v>
      </c>
      <c r="F477" t="s">
        <v>242</v>
      </c>
      <c r="G477" t="str">
        <f t="shared" si="57"/>
        <v>Gobiomorphus cotidianus</v>
      </c>
      <c r="H477" t="str">
        <f t="shared" si="58"/>
        <v>Common_bully</v>
      </c>
      <c r="I477" t="str">
        <f t="shared" si="59"/>
        <v>Toitoi</v>
      </c>
      <c r="J477" t="str">
        <f t="shared" si="60"/>
        <v>Native</v>
      </c>
      <c r="K477" t="str">
        <f t="shared" si="61"/>
        <v>No</v>
      </c>
      <c r="O477">
        <v>8</v>
      </c>
      <c r="T477" t="str">
        <f t="shared" si="62"/>
        <v/>
      </c>
    </row>
    <row r="478" spans="1:20" x14ac:dyDescent="0.55000000000000004">
      <c r="A478">
        <v>76</v>
      </c>
      <c r="B478" t="str">
        <f t="shared" si="56"/>
        <v>76_0</v>
      </c>
      <c r="C478" s="2">
        <v>45673.348611111112</v>
      </c>
      <c r="D478" t="s">
        <v>221</v>
      </c>
      <c r="E478">
        <v>2</v>
      </c>
      <c r="F478" t="s">
        <v>222</v>
      </c>
      <c r="G478" t="str">
        <f t="shared" si="57"/>
        <v>Paranephrops planifrons</v>
      </c>
      <c r="H478" t="str">
        <f t="shared" si="58"/>
        <v>Freshwater_crayfish</v>
      </c>
      <c r="I478" t="str">
        <f t="shared" si="59"/>
        <v>Kōura</v>
      </c>
      <c r="J478" t="str">
        <f t="shared" si="60"/>
        <v>Native</v>
      </c>
      <c r="K478" t="str">
        <f t="shared" si="61"/>
        <v>Yes</v>
      </c>
      <c r="L478" t="s">
        <v>223</v>
      </c>
      <c r="M478">
        <v>26</v>
      </c>
      <c r="N478">
        <v>14</v>
      </c>
      <c r="O478">
        <v>1</v>
      </c>
      <c r="P478">
        <v>1</v>
      </c>
      <c r="T478" t="str">
        <f t="shared" si="62"/>
        <v/>
      </c>
    </row>
    <row r="479" spans="1:20" x14ac:dyDescent="0.55000000000000004">
      <c r="A479">
        <v>102</v>
      </c>
      <c r="B479" t="str">
        <f t="shared" si="56"/>
        <v>102_0</v>
      </c>
      <c r="C479" s="2">
        <v>45603.477083275466</v>
      </c>
      <c r="D479" t="s">
        <v>245</v>
      </c>
      <c r="E479">
        <v>2</v>
      </c>
      <c r="F479" t="s">
        <v>222</v>
      </c>
      <c r="G479" t="str">
        <f t="shared" si="57"/>
        <v>Paranephrops planifrons</v>
      </c>
      <c r="H479" t="str">
        <f t="shared" si="58"/>
        <v>Freshwater_crayfish</v>
      </c>
      <c r="I479" t="str">
        <f t="shared" si="59"/>
        <v>Kōura</v>
      </c>
      <c r="J479" t="str">
        <f t="shared" si="60"/>
        <v>Native</v>
      </c>
      <c r="K479" t="str">
        <f t="shared" si="61"/>
        <v>Yes</v>
      </c>
      <c r="L479" t="s">
        <v>228</v>
      </c>
      <c r="M479">
        <v>26</v>
      </c>
      <c r="N479">
        <v>13</v>
      </c>
      <c r="O479">
        <v>1</v>
      </c>
      <c r="T479" t="str">
        <f t="shared" si="62"/>
        <v/>
      </c>
    </row>
    <row r="480" spans="1:20" x14ac:dyDescent="0.55000000000000004">
      <c r="A480">
        <v>115</v>
      </c>
      <c r="B480" t="str">
        <f t="shared" si="56"/>
        <v>115_0</v>
      </c>
      <c r="C480" s="2">
        <v>45597.590277777781</v>
      </c>
      <c r="D480" t="s">
        <v>221</v>
      </c>
      <c r="E480">
        <v>2</v>
      </c>
      <c r="F480" t="s">
        <v>222</v>
      </c>
      <c r="G480" t="str">
        <f t="shared" si="57"/>
        <v>Paranephrops planifrons</v>
      </c>
      <c r="H480" t="str">
        <f t="shared" si="58"/>
        <v>Freshwater_crayfish</v>
      </c>
      <c r="I480" t="str">
        <f t="shared" si="59"/>
        <v>Kōura</v>
      </c>
      <c r="J480" t="str">
        <f t="shared" si="60"/>
        <v>Native</v>
      </c>
      <c r="K480" t="str">
        <f t="shared" si="61"/>
        <v>Yes</v>
      </c>
      <c r="L480" t="s">
        <v>228</v>
      </c>
      <c r="M480">
        <v>26</v>
      </c>
      <c r="N480">
        <v>11</v>
      </c>
      <c r="O480">
        <v>1</v>
      </c>
      <c r="P480">
        <v>1</v>
      </c>
      <c r="T480" t="str">
        <f t="shared" si="62"/>
        <v/>
      </c>
    </row>
    <row r="481" spans="1:20" x14ac:dyDescent="0.55000000000000004">
      <c r="A481">
        <v>97</v>
      </c>
      <c r="B481" t="str">
        <f t="shared" si="56"/>
        <v>97_0</v>
      </c>
      <c r="C481" s="2">
        <v>45603.524305497682</v>
      </c>
      <c r="D481" t="s">
        <v>245</v>
      </c>
      <c r="E481">
        <v>2</v>
      </c>
      <c r="F481" t="s">
        <v>222</v>
      </c>
      <c r="G481" t="str">
        <f t="shared" si="57"/>
        <v>Paranephrops planifrons</v>
      </c>
      <c r="H481" t="str">
        <f t="shared" si="58"/>
        <v>Freshwater_crayfish</v>
      </c>
      <c r="I481" t="str">
        <f t="shared" si="59"/>
        <v>Kōura</v>
      </c>
      <c r="J481" t="str">
        <f t="shared" si="60"/>
        <v>Native</v>
      </c>
      <c r="K481" t="str">
        <f t="shared" si="61"/>
        <v>Yes</v>
      </c>
      <c r="L481" t="s">
        <v>228</v>
      </c>
      <c r="M481">
        <v>26</v>
      </c>
      <c r="O481">
        <v>1</v>
      </c>
      <c r="T481" t="str">
        <f t="shared" si="62"/>
        <v/>
      </c>
    </row>
    <row r="482" spans="1:20" x14ac:dyDescent="0.55000000000000004">
      <c r="A482">
        <v>105</v>
      </c>
      <c r="B482" t="str">
        <f t="shared" si="56"/>
        <v>105_0</v>
      </c>
      <c r="C482" s="2">
        <v>45603.541666666664</v>
      </c>
      <c r="D482" t="s">
        <v>245</v>
      </c>
      <c r="E482">
        <v>2</v>
      </c>
      <c r="F482" t="s">
        <v>222</v>
      </c>
      <c r="G482" t="str">
        <f t="shared" si="57"/>
        <v>Paranephrops planifrons</v>
      </c>
      <c r="H482" t="str">
        <f t="shared" si="58"/>
        <v>Freshwater_crayfish</v>
      </c>
      <c r="I482" t="str">
        <f t="shared" si="59"/>
        <v>Kōura</v>
      </c>
      <c r="J482" t="str">
        <f t="shared" si="60"/>
        <v>Native</v>
      </c>
      <c r="K482" t="str">
        <f t="shared" si="61"/>
        <v>Yes</v>
      </c>
      <c r="L482" t="s">
        <v>223</v>
      </c>
      <c r="M482">
        <v>26</v>
      </c>
      <c r="O482">
        <v>1</v>
      </c>
      <c r="T482" t="str">
        <f t="shared" si="62"/>
        <v/>
      </c>
    </row>
    <row r="483" spans="1:20" x14ac:dyDescent="0.55000000000000004">
      <c r="A483">
        <v>66</v>
      </c>
      <c r="B483" t="str">
        <f t="shared" si="56"/>
        <v>66_0</v>
      </c>
      <c r="C483" s="2">
        <v>45709.513888888891</v>
      </c>
      <c r="D483" t="s">
        <v>221</v>
      </c>
      <c r="E483">
        <v>2</v>
      </c>
      <c r="F483" t="s">
        <v>222</v>
      </c>
      <c r="G483" t="str">
        <f t="shared" si="57"/>
        <v>Paranephrops planifrons</v>
      </c>
      <c r="H483" t="str">
        <f t="shared" si="58"/>
        <v>Freshwater_crayfish</v>
      </c>
      <c r="I483" t="str">
        <f t="shared" si="59"/>
        <v>Kōura</v>
      </c>
      <c r="J483" t="str">
        <f t="shared" si="60"/>
        <v>Native</v>
      </c>
      <c r="K483" t="str">
        <f t="shared" si="61"/>
        <v>Yes</v>
      </c>
      <c r="L483" t="s">
        <v>228</v>
      </c>
      <c r="M483">
        <v>25.94</v>
      </c>
      <c r="N483">
        <v>14</v>
      </c>
      <c r="O483">
        <v>1</v>
      </c>
      <c r="T483" t="str">
        <f t="shared" si="62"/>
        <v/>
      </c>
    </row>
    <row r="484" spans="1:20" x14ac:dyDescent="0.55000000000000004">
      <c r="A484">
        <v>73</v>
      </c>
      <c r="B484" t="str">
        <f t="shared" si="56"/>
        <v>73_0</v>
      </c>
      <c r="C484" s="2">
        <v>45674.479166608799</v>
      </c>
      <c r="D484" t="s">
        <v>221</v>
      </c>
      <c r="E484">
        <v>2</v>
      </c>
      <c r="F484" t="s">
        <v>222</v>
      </c>
      <c r="G484" t="str">
        <f t="shared" si="57"/>
        <v>Paranephrops planifrons</v>
      </c>
      <c r="H484" t="str">
        <f t="shared" si="58"/>
        <v>Freshwater_crayfish</v>
      </c>
      <c r="I484" t="str">
        <f t="shared" si="59"/>
        <v>Kōura</v>
      </c>
      <c r="J484" t="str">
        <f t="shared" si="60"/>
        <v>Native</v>
      </c>
      <c r="K484" t="str">
        <f t="shared" si="61"/>
        <v>Yes</v>
      </c>
      <c r="L484" t="s">
        <v>228</v>
      </c>
      <c r="M484">
        <v>25.94</v>
      </c>
      <c r="N484">
        <v>13</v>
      </c>
      <c r="O484">
        <v>1</v>
      </c>
      <c r="T484" t="str">
        <f t="shared" si="62"/>
        <v/>
      </c>
    </row>
    <row r="485" spans="1:20" x14ac:dyDescent="0.55000000000000004">
      <c r="A485">
        <v>113</v>
      </c>
      <c r="B485" t="str">
        <f t="shared" si="56"/>
        <v>113_0</v>
      </c>
      <c r="C485" s="2">
        <v>45680.387499942131</v>
      </c>
      <c r="D485" t="s">
        <v>245</v>
      </c>
      <c r="E485">
        <v>2</v>
      </c>
      <c r="F485" t="s">
        <v>222</v>
      </c>
      <c r="G485" t="str">
        <f t="shared" si="57"/>
        <v>Paranephrops planifrons</v>
      </c>
      <c r="H485" t="str">
        <f t="shared" si="58"/>
        <v>Freshwater_crayfish</v>
      </c>
      <c r="I485" t="str">
        <f t="shared" si="59"/>
        <v>Kōura</v>
      </c>
      <c r="J485" t="str">
        <f t="shared" si="60"/>
        <v>Native</v>
      </c>
      <c r="K485" t="str">
        <f t="shared" si="61"/>
        <v>Yes</v>
      </c>
      <c r="L485" t="s">
        <v>228</v>
      </c>
      <c r="M485">
        <v>25.93</v>
      </c>
      <c r="N485">
        <v>15</v>
      </c>
      <c r="O485">
        <v>1</v>
      </c>
      <c r="T485" t="str">
        <f t="shared" si="62"/>
        <v/>
      </c>
    </row>
    <row r="486" spans="1:20" x14ac:dyDescent="0.55000000000000004">
      <c r="A486">
        <v>106</v>
      </c>
      <c r="B486" t="str">
        <f t="shared" si="56"/>
        <v>106_0</v>
      </c>
      <c r="C486" s="2">
        <v>45603.4375</v>
      </c>
      <c r="D486" t="s">
        <v>221</v>
      </c>
      <c r="E486">
        <v>2</v>
      </c>
      <c r="F486" t="s">
        <v>243</v>
      </c>
      <c r="G486" t="str">
        <f t="shared" si="57"/>
        <v>Retropinna retropinna</v>
      </c>
      <c r="H486" t="str">
        <f t="shared" si="58"/>
        <v>Common_smelt</v>
      </c>
      <c r="I486" t="str">
        <f t="shared" si="59"/>
        <v>Common_smelt</v>
      </c>
      <c r="J486" t="str">
        <f t="shared" si="60"/>
        <v>Native</v>
      </c>
      <c r="K486" t="str">
        <f t="shared" si="61"/>
        <v>No</v>
      </c>
      <c r="O486">
        <v>3</v>
      </c>
      <c r="T486" t="str">
        <f t="shared" si="62"/>
        <v/>
      </c>
    </row>
    <row r="487" spans="1:20" x14ac:dyDescent="0.55000000000000004">
      <c r="A487">
        <v>68</v>
      </c>
      <c r="B487" t="str">
        <f t="shared" si="56"/>
        <v>68_0</v>
      </c>
      <c r="C487" s="2">
        <v>45709.493055555555</v>
      </c>
      <c r="D487" t="s">
        <v>245</v>
      </c>
      <c r="E487">
        <v>2</v>
      </c>
      <c r="F487" t="s">
        <v>222</v>
      </c>
      <c r="G487" t="str">
        <f t="shared" si="57"/>
        <v>Paranephrops planifrons</v>
      </c>
      <c r="H487" t="str">
        <f t="shared" si="58"/>
        <v>Freshwater_crayfish</v>
      </c>
      <c r="I487" t="str">
        <f t="shared" si="59"/>
        <v>Kōura</v>
      </c>
      <c r="J487" t="str">
        <f t="shared" si="60"/>
        <v>Native</v>
      </c>
      <c r="K487" t="str">
        <f t="shared" si="61"/>
        <v>Yes</v>
      </c>
      <c r="L487" t="s">
        <v>223</v>
      </c>
      <c r="M487">
        <v>25.87</v>
      </c>
      <c r="N487">
        <v>12</v>
      </c>
      <c r="O487">
        <v>1</v>
      </c>
      <c r="T487" t="str">
        <f t="shared" si="62"/>
        <v/>
      </c>
    </row>
    <row r="488" spans="1:20" x14ac:dyDescent="0.55000000000000004">
      <c r="A488">
        <v>106</v>
      </c>
      <c r="B488" t="str">
        <f t="shared" si="56"/>
        <v>106_0</v>
      </c>
      <c r="C488" s="2">
        <v>45603.4375</v>
      </c>
      <c r="D488" t="s">
        <v>221</v>
      </c>
      <c r="E488">
        <v>2</v>
      </c>
      <c r="F488" t="s">
        <v>242</v>
      </c>
      <c r="G488" t="str">
        <f t="shared" si="57"/>
        <v>Gobiomorphus cotidianus</v>
      </c>
      <c r="H488" t="str">
        <f t="shared" si="58"/>
        <v>Common_bully</v>
      </c>
      <c r="I488" t="str">
        <f t="shared" si="59"/>
        <v>Toitoi</v>
      </c>
      <c r="J488" t="str">
        <f t="shared" si="60"/>
        <v>Native</v>
      </c>
      <c r="K488" t="str">
        <f t="shared" si="61"/>
        <v>No</v>
      </c>
      <c r="M488">
        <v>90</v>
      </c>
      <c r="O488">
        <v>1</v>
      </c>
      <c r="T488" t="str">
        <f t="shared" si="62"/>
        <v/>
      </c>
    </row>
    <row r="489" spans="1:20" x14ac:dyDescent="0.55000000000000004">
      <c r="A489">
        <v>106</v>
      </c>
      <c r="B489" t="str">
        <f t="shared" si="56"/>
        <v>106_0</v>
      </c>
      <c r="C489" s="2">
        <v>45603.4375</v>
      </c>
      <c r="D489" t="s">
        <v>221</v>
      </c>
      <c r="E489">
        <v>2</v>
      </c>
      <c r="F489" t="s">
        <v>242</v>
      </c>
      <c r="G489" t="str">
        <f t="shared" si="57"/>
        <v>Gobiomorphus cotidianus</v>
      </c>
      <c r="H489" t="str">
        <f t="shared" si="58"/>
        <v>Common_bully</v>
      </c>
      <c r="I489" t="str">
        <f t="shared" si="59"/>
        <v>Toitoi</v>
      </c>
      <c r="J489" t="str">
        <f t="shared" si="60"/>
        <v>Native</v>
      </c>
      <c r="K489" t="str">
        <f t="shared" si="61"/>
        <v>No</v>
      </c>
      <c r="M489">
        <v>59</v>
      </c>
      <c r="O489">
        <v>1</v>
      </c>
      <c r="T489" t="str">
        <f t="shared" si="62"/>
        <v/>
      </c>
    </row>
    <row r="490" spans="1:20" x14ac:dyDescent="0.55000000000000004">
      <c r="A490">
        <v>106</v>
      </c>
      <c r="B490" t="str">
        <f t="shared" si="56"/>
        <v>106_0</v>
      </c>
      <c r="C490" s="2">
        <v>45603.4375</v>
      </c>
      <c r="D490" t="s">
        <v>221</v>
      </c>
      <c r="E490">
        <v>2</v>
      </c>
      <c r="F490" t="s">
        <v>242</v>
      </c>
      <c r="G490" t="str">
        <f t="shared" si="57"/>
        <v>Gobiomorphus cotidianus</v>
      </c>
      <c r="H490" t="str">
        <f t="shared" si="58"/>
        <v>Common_bully</v>
      </c>
      <c r="I490" t="str">
        <f t="shared" si="59"/>
        <v>Toitoi</v>
      </c>
      <c r="J490" t="str">
        <f t="shared" si="60"/>
        <v>Native</v>
      </c>
      <c r="K490" t="str">
        <f t="shared" si="61"/>
        <v>No</v>
      </c>
      <c r="M490">
        <v>55</v>
      </c>
      <c r="O490">
        <v>1</v>
      </c>
      <c r="T490" t="str">
        <f t="shared" si="62"/>
        <v/>
      </c>
    </row>
    <row r="491" spans="1:20" x14ac:dyDescent="0.55000000000000004">
      <c r="A491">
        <v>106</v>
      </c>
      <c r="B491" t="str">
        <f t="shared" si="56"/>
        <v>106_0</v>
      </c>
      <c r="C491" s="2">
        <v>45603.4375</v>
      </c>
      <c r="D491" t="s">
        <v>221</v>
      </c>
      <c r="E491">
        <v>2</v>
      </c>
      <c r="F491" t="s">
        <v>242</v>
      </c>
      <c r="G491" t="str">
        <f t="shared" si="57"/>
        <v>Gobiomorphus cotidianus</v>
      </c>
      <c r="H491" t="str">
        <f t="shared" si="58"/>
        <v>Common_bully</v>
      </c>
      <c r="I491" t="str">
        <f t="shared" si="59"/>
        <v>Toitoi</v>
      </c>
      <c r="J491" t="str">
        <f t="shared" si="60"/>
        <v>Native</v>
      </c>
      <c r="K491" t="str">
        <f t="shared" si="61"/>
        <v>No</v>
      </c>
      <c r="M491">
        <v>58</v>
      </c>
      <c r="O491">
        <v>1</v>
      </c>
      <c r="T491" t="str">
        <f t="shared" si="62"/>
        <v/>
      </c>
    </row>
    <row r="492" spans="1:20" x14ac:dyDescent="0.55000000000000004">
      <c r="A492">
        <v>106</v>
      </c>
      <c r="B492" t="str">
        <f t="shared" si="56"/>
        <v>106_0</v>
      </c>
      <c r="C492" s="2">
        <v>45603.4375</v>
      </c>
      <c r="D492" t="s">
        <v>221</v>
      </c>
      <c r="E492">
        <v>2</v>
      </c>
      <c r="F492" t="s">
        <v>242</v>
      </c>
      <c r="G492" t="str">
        <f t="shared" si="57"/>
        <v>Gobiomorphus cotidianus</v>
      </c>
      <c r="H492" t="str">
        <f t="shared" si="58"/>
        <v>Common_bully</v>
      </c>
      <c r="I492" t="str">
        <f t="shared" si="59"/>
        <v>Toitoi</v>
      </c>
      <c r="J492" t="str">
        <f t="shared" si="60"/>
        <v>Native</v>
      </c>
      <c r="K492" t="str">
        <f t="shared" si="61"/>
        <v>No</v>
      </c>
      <c r="M492">
        <v>50</v>
      </c>
      <c r="O492">
        <v>1</v>
      </c>
      <c r="T492" t="str">
        <f t="shared" si="62"/>
        <v/>
      </c>
    </row>
    <row r="493" spans="1:20" x14ac:dyDescent="0.55000000000000004">
      <c r="A493">
        <v>106</v>
      </c>
      <c r="B493" t="str">
        <f t="shared" si="56"/>
        <v>106_0</v>
      </c>
      <c r="C493" s="2">
        <v>45603.4375</v>
      </c>
      <c r="D493" t="s">
        <v>221</v>
      </c>
      <c r="E493">
        <v>2</v>
      </c>
      <c r="F493" t="s">
        <v>242</v>
      </c>
      <c r="G493" t="str">
        <f t="shared" si="57"/>
        <v>Gobiomorphus cotidianus</v>
      </c>
      <c r="H493" t="str">
        <f t="shared" si="58"/>
        <v>Common_bully</v>
      </c>
      <c r="I493" t="str">
        <f t="shared" si="59"/>
        <v>Toitoi</v>
      </c>
      <c r="J493" t="str">
        <f t="shared" si="60"/>
        <v>Native</v>
      </c>
      <c r="K493" t="str">
        <f t="shared" si="61"/>
        <v>No</v>
      </c>
      <c r="M493">
        <v>49</v>
      </c>
      <c r="O493">
        <v>1</v>
      </c>
      <c r="T493" t="str">
        <f t="shared" si="62"/>
        <v/>
      </c>
    </row>
    <row r="494" spans="1:20" x14ac:dyDescent="0.55000000000000004">
      <c r="A494">
        <v>106</v>
      </c>
      <c r="B494" t="str">
        <f t="shared" si="56"/>
        <v>106_0</v>
      </c>
      <c r="C494" s="2">
        <v>45603.4375</v>
      </c>
      <c r="D494" t="s">
        <v>221</v>
      </c>
      <c r="E494">
        <v>2</v>
      </c>
      <c r="F494" t="s">
        <v>242</v>
      </c>
      <c r="G494" t="str">
        <f t="shared" si="57"/>
        <v>Gobiomorphus cotidianus</v>
      </c>
      <c r="H494" t="str">
        <f t="shared" si="58"/>
        <v>Common_bully</v>
      </c>
      <c r="I494" t="str">
        <f t="shared" si="59"/>
        <v>Toitoi</v>
      </c>
      <c r="J494" t="str">
        <f t="shared" si="60"/>
        <v>Native</v>
      </c>
      <c r="K494" t="str">
        <f t="shared" si="61"/>
        <v>No</v>
      </c>
      <c r="M494">
        <v>53</v>
      </c>
      <c r="O494">
        <v>1</v>
      </c>
      <c r="T494" t="str">
        <f t="shared" si="62"/>
        <v/>
      </c>
    </row>
    <row r="495" spans="1:20" x14ac:dyDescent="0.55000000000000004">
      <c r="A495">
        <v>106</v>
      </c>
      <c r="B495" t="str">
        <f t="shared" si="56"/>
        <v>106_0</v>
      </c>
      <c r="C495" s="2">
        <v>45603.4375</v>
      </c>
      <c r="D495" t="s">
        <v>221</v>
      </c>
      <c r="E495">
        <v>2</v>
      </c>
      <c r="F495" t="s">
        <v>242</v>
      </c>
      <c r="G495" t="str">
        <f t="shared" si="57"/>
        <v>Gobiomorphus cotidianus</v>
      </c>
      <c r="H495" t="str">
        <f t="shared" si="58"/>
        <v>Common_bully</v>
      </c>
      <c r="I495" t="str">
        <f t="shared" si="59"/>
        <v>Toitoi</v>
      </c>
      <c r="J495" t="str">
        <f t="shared" si="60"/>
        <v>Native</v>
      </c>
      <c r="K495" t="str">
        <f t="shared" si="61"/>
        <v>No</v>
      </c>
      <c r="M495">
        <v>32</v>
      </c>
      <c r="O495">
        <v>1</v>
      </c>
      <c r="T495" t="str">
        <f t="shared" si="62"/>
        <v/>
      </c>
    </row>
    <row r="496" spans="1:20" x14ac:dyDescent="0.55000000000000004">
      <c r="A496">
        <v>106</v>
      </c>
      <c r="B496" t="str">
        <f t="shared" si="56"/>
        <v>106_0</v>
      </c>
      <c r="C496" s="2">
        <v>45603.4375</v>
      </c>
      <c r="D496" t="s">
        <v>221</v>
      </c>
      <c r="E496">
        <v>2</v>
      </c>
      <c r="F496" t="s">
        <v>242</v>
      </c>
      <c r="G496" t="str">
        <f t="shared" si="57"/>
        <v>Gobiomorphus cotidianus</v>
      </c>
      <c r="H496" t="str">
        <f t="shared" si="58"/>
        <v>Common_bully</v>
      </c>
      <c r="I496" t="str">
        <f t="shared" si="59"/>
        <v>Toitoi</v>
      </c>
      <c r="J496" t="str">
        <f t="shared" si="60"/>
        <v>Native</v>
      </c>
      <c r="K496" t="str">
        <f t="shared" si="61"/>
        <v>No</v>
      </c>
      <c r="M496">
        <v>55</v>
      </c>
      <c r="O496">
        <v>1</v>
      </c>
      <c r="T496" t="str">
        <f t="shared" si="62"/>
        <v/>
      </c>
    </row>
    <row r="497" spans="1:20" x14ac:dyDescent="0.55000000000000004">
      <c r="A497">
        <v>106</v>
      </c>
      <c r="B497" t="str">
        <f t="shared" si="56"/>
        <v>106_0</v>
      </c>
      <c r="C497" s="2">
        <v>45603.4375</v>
      </c>
      <c r="D497" t="s">
        <v>221</v>
      </c>
      <c r="E497">
        <v>2</v>
      </c>
      <c r="F497" t="s">
        <v>242</v>
      </c>
      <c r="G497" t="str">
        <f t="shared" si="57"/>
        <v>Gobiomorphus cotidianus</v>
      </c>
      <c r="H497" t="str">
        <f t="shared" si="58"/>
        <v>Common_bully</v>
      </c>
      <c r="I497" t="str">
        <f t="shared" si="59"/>
        <v>Toitoi</v>
      </c>
      <c r="J497" t="str">
        <f t="shared" si="60"/>
        <v>Native</v>
      </c>
      <c r="K497" t="str">
        <f t="shared" si="61"/>
        <v>No</v>
      </c>
      <c r="M497">
        <v>41</v>
      </c>
      <c r="O497">
        <v>1</v>
      </c>
      <c r="T497" t="str">
        <f t="shared" si="62"/>
        <v/>
      </c>
    </row>
    <row r="498" spans="1:20" x14ac:dyDescent="0.55000000000000004">
      <c r="A498">
        <v>106</v>
      </c>
      <c r="B498" t="str">
        <f t="shared" si="56"/>
        <v>106_0</v>
      </c>
      <c r="C498" s="2">
        <v>45603.4375</v>
      </c>
      <c r="D498" t="s">
        <v>221</v>
      </c>
      <c r="E498">
        <v>2</v>
      </c>
      <c r="F498" t="s">
        <v>242</v>
      </c>
      <c r="G498" t="str">
        <f t="shared" si="57"/>
        <v>Gobiomorphus cotidianus</v>
      </c>
      <c r="H498" t="str">
        <f t="shared" si="58"/>
        <v>Common_bully</v>
      </c>
      <c r="I498" t="str">
        <f t="shared" si="59"/>
        <v>Toitoi</v>
      </c>
      <c r="J498" t="str">
        <f t="shared" si="60"/>
        <v>Native</v>
      </c>
      <c r="K498" t="str">
        <f t="shared" si="61"/>
        <v>No</v>
      </c>
      <c r="M498">
        <v>61</v>
      </c>
      <c r="O498">
        <v>1</v>
      </c>
      <c r="T498" t="str">
        <f t="shared" si="62"/>
        <v/>
      </c>
    </row>
    <row r="499" spans="1:20" x14ac:dyDescent="0.55000000000000004">
      <c r="A499">
        <v>106</v>
      </c>
      <c r="B499" t="str">
        <f t="shared" si="56"/>
        <v>106_0</v>
      </c>
      <c r="C499" s="2">
        <v>45603.4375</v>
      </c>
      <c r="D499" t="s">
        <v>221</v>
      </c>
      <c r="E499">
        <v>2</v>
      </c>
      <c r="F499" t="s">
        <v>242</v>
      </c>
      <c r="G499" t="str">
        <f t="shared" si="57"/>
        <v>Gobiomorphus cotidianus</v>
      </c>
      <c r="H499" t="str">
        <f t="shared" si="58"/>
        <v>Common_bully</v>
      </c>
      <c r="I499" t="str">
        <f t="shared" si="59"/>
        <v>Toitoi</v>
      </c>
      <c r="J499" t="str">
        <f t="shared" si="60"/>
        <v>Native</v>
      </c>
      <c r="K499" t="str">
        <f t="shared" si="61"/>
        <v>No</v>
      </c>
      <c r="M499">
        <v>51</v>
      </c>
      <c r="O499">
        <v>1</v>
      </c>
      <c r="T499" t="str">
        <f t="shared" si="62"/>
        <v/>
      </c>
    </row>
    <row r="500" spans="1:20" x14ac:dyDescent="0.55000000000000004">
      <c r="A500">
        <v>106</v>
      </c>
      <c r="B500" t="str">
        <f t="shared" si="56"/>
        <v>106_0</v>
      </c>
      <c r="C500" s="2">
        <v>45603.4375</v>
      </c>
      <c r="D500" t="s">
        <v>221</v>
      </c>
      <c r="E500">
        <v>2</v>
      </c>
      <c r="F500" t="s">
        <v>242</v>
      </c>
      <c r="G500" t="str">
        <f t="shared" si="57"/>
        <v>Gobiomorphus cotidianus</v>
      </c>
      <c r="H500" t="str">
        <f t="shared" si="58"/>
        <v>Common_bully</v>
      </c>
      <c r="I500" t="str">
        <f t="shared" si="59"/>
        <v>Toitoi</v>
      </c>
      <c r="J500" t="str">
        <f t="shared" si="60"/>
        <v>Native</v>
      </c>
      <c r="K500" t="str">
        <f t="shared" si="61"/>
        <v>No</v>
      </c>
      <c r="M500">
        <v>41</v>
      </c>
      <c r="O500">
        <v>1</v>
      </c>
      <c r="T500" t="str">
        <f t="shared" si="62"/>
        <v/>
      </c>
    </row>
    <row r="501" spans="1:20" x14ac:dyDescent="0.55000000000000004">
      <c r="A501">
        <v>106</v>
      </c>
      <c r="B501" t="str">
        <f t="shared" si="56"/>
        <v>106_0</v>
      </c>
      <c r="C501" s="2">
        <v>45603.4375</v>
      </c>
      <c r="D501" t="s">
        <v>221</v>
      </c>
      <c r="E501">
        <v>2</v>
      </c>
      <c r="F501" t="s">
        <v>242</v>
      </c>
      <c r="G501" t="str">
        <f t="shared" si="57"/>
        <v>Gobiomorphus cotidianus</v>
      </c>
      <c r="H501" t="str">
        <f t="shared" si="58"/>
        <v>Common_bully</v>
      </c>
      <c r="I501" t="str">
        <f t="shared" si="59"/>
        <v>Toitoi</v>
      </c>
      <c r="J501" t="str">
        <f t="shared" si="60"/>
        <v>Native</v>
      </c>
      <c r="K501" t="str">
        <f t="shared" si="61"/>
        <v>No</v>
      </c>
      <c r="M501">
        <v>57</v>
      </c>
      <c r="O501">
        <v>1</v>
      </c>
      <c r="T501" t="str">
        <f t="shared" si="62"/>
        <v/>
      </c>
    </row>
    <row r="502" spans="1:20" x14ac:dyDescent="0.55000000000000004">
      <c r="A502">
        <v>106</v>
      </c>
      <c r="B502" t="str">
        <f t="shared" si="56"/>
        <v>106_0</v>
      </c>
      <c r="C502" s="2">
        <v>45603.4375</v>
      </c>
      <c r="D502" t="s">
        <v>221</v>
      </c>
      <c r="E502">
        <v>2</v>
      </c>
      <c r="F502" t="s">
        <v>242</v>
      </c>
      <c r="G502" t="str">
        <f t="shared" si="57"/>
        <v>Gobiomorphus cotidianus</v>
      </c>
      <c r="H502" t="str">
        <f t="shared" si="58"/>
        <v>Common_bully</v>
      </c>
      <c r="I502" t="str">
        <f t="shared" si="59"/>
        <v>Toitoi</v>
      </c>
      <c r="J502" t="str">
        <f t="shared" si="60"/>
        <v>Native</v>
      </c>
      <c r="K502" t="str">
        <f t="shared" si="61"/>
        <v>No</v>
      </c>
      <c r="M502">
        <v>51</v>
      </c>
      <c r="O502">
        <v>1</v>
      </c>
      <c r="T502" t="str">
        <f t="shared" si="62"/>
        <v/>
      </c>
    </row>
    <row r="503" spans="1:20" x14ac:dyDescent="0.55000000000000004">
      <c r="A503">
        <v>106</v>
      </c>
      <c r="B503" t="str">
        <f t="shared" si="56"/>
        <v>106_0</v>
      </c>
      <c r="C503" s="2">
        <v>45603.4375</v>
      </c>
      <c r="D503" t="s">
        <v>221</v>
      </c>
      <c r="E503">
        <v>2</v>
      </c>
      <c r="F503" t="s">
        <v>242</v>
      </c>
      <c r="G503" t="str">
        <f t="shared" si="57"/>
        <v>Gobiomorphus cotidianus</v>
      </c>
      <c r="H503" t="str">
        <f t="shared" si="58"/>
        <v>Common_bully</v>
      </c>
      <c r="I503" t="str">
        <f t="shared" si="59"/>
        <v>Toitoi</v>
      </c>
      <c r="J503" t="str">
        <f t="shared" si="60"/>
        <v>Native</v>
      </c>
      <c r="K503" t="str">
        <f t="shared" si="61"/>
        <v>No</v>
      </c>
      <c r="M503">
        <v>57</v>
      </c>
      <c r="O503">
        <v>1</v>
      </c>
      <c r="T503" t="str">
        <f t="shared" si="62"/>
        <v/>
      </c>
    </row>
    <row r="504" spans="1:20" x14ac:dyDescent="0.55000000000000004">
      <c r="A504">
        <v>106</v>
      </c>
      <c r="B504" t="str">
        <f t="shared" si="56"/>
        <v>106_0</v>
      </c>
      <c r="C504" s="2">
        <v>45603.4375</v>
      </c>
      <c r="D504" t="s">
        <v>221</v>
      </c>
      <c r="E504">
        <v>2</v>
      </c>
      <c r="F504" t="s">
        <v>242</v>
      </c>
      <c r="G504" t="str">
        <f t="shared" si="57"/>
        <v>Gobiomorphus cotidianus</v>
      </c>
      <c r="H504" t="str">
        <f t="shared" si="58"/>
        <v>Common_bully</v>
      </c>
      <c r="I504" t="str">
        <f t="shared" si="59"/>
        <v>Toitoi</v>
      </c>
      <c r="J504" t="str">
        <f t="shared" si="60"/>
        <v>Native</v>
      </c>
      <c r="K504" t="str">
        <f t="shared" si="61"/>
        <v>No</v>
      </c>
      <c r="M504">
        <v>38</v>
      </c>
      <c r="O504">
        <v>1</v>
      </c>
      <c r="T504" t="str">
        <f t="shared" si="62"/>
        <v/>
      </c>
    </row>
    <row r="505" spans="1:20" x14ac:dyDescent="0.55000000000000004">
      <c r="A505">
        <v>106</v>
      </c>
      <c r="B505" t="str">
        <f t="shared" si="56"/>
        <v>106_0</v>
      </c>
      <c r="C505" s="2">
        <v>45603.4375</v>
      </c>
      <c r="D505" t="s">
        <v>221</v>
      </c>
      <c r="E505">
        <v>2</v>
      </c>
      <c r="F505" t="s">
        <v>242</v>
      </c>
      <c r="G505" t="str">
        <f t="shared" si="57"/>
        <v>Gobiomorphus cotidianus</v>
      </c>
      <c r="H505" t="str">
        <f t="shared" si="58"/>
        <v>Common_bully</v>
      </c>
      <c r="I505" t="str">
        <f t="shared" si="59"/>
        <v>Toitoi</v>
      </c>
      <c r="J505" t="str">
        <f t="shared" si="60"/>
        <v>Native</v>
      </c>
      <c r="K505" t="str">
        <f t="shared" si="61"/>
        <v>No</v>
      </c>
      <c r="M505">
        <v>65</v>
      </c>
      <c r="O505">
        <v>1</v>
      </c>
      <c r="T505" t="str">
        <f t="shared" si="62"/>
        <v/>
      </c>
    </row>
    <row r="506" spans="1:20" x14ac:dyDescent="0.55000000000000004">
      <c r="A506">
        <v>106</v>
      </c>
      <c r="B506" t="str">
        <f t="shared" si="56"/>
        <v>106_0</v>
      </c>
      <c r="C506" s="2">
        <v>45603.4375</v>
      </c>
      <c r="D506" t="s">
        <v>221</v>
      </c>
      <c r="E506">
        <v>2</v>
      </c>
      <c r="F506" t="s">
        <v>242</v>
      </c>
      <c r="G506" t="str">
        <f t="shared" si="57"/>
        <v>Gobiomorphus cotidianus</v>
      </c>
      <c r="H506" t="str">
        <f t="shared" si="58"/>
        <v>Common_bully</v>
      </c>
      <c r="I506" t="str">
        <f t="shared" si="59"/>
        <v>Toitoi</v>
      </c>
      <c r="J506" t="str">
        <f t="shared" si="60"/>
        <v>Native</v>
      </c>
      <c r="K506" t="str">
        <f t="shared" si="61"/>
        <v>No</v>
      </c>
      <c r="M506">
        <v>64</v>
      </c>
      <c r="O506">
        <v>1</v>
      </c>
      <c r="T506" t="str">
        <f t="shared" si="62"/>
        <v/>
      </c>
    </row>
    <row r="507" spans="1:20" x14ac:dyDescent="0.55000000000000004">
      <c r="A507">
        <v>106</v>
      </c>
      <c r="B507" t="str">
        <f t="shared" si="56"/>
        <v>106_0</v>
      </c>
      <c r="C507" s="2">
        <v>45603.4375</v>
      </c>
      <c r="D507" t="s">
        <v>221</v>
      </c>
      <c r="E507">
        <v>2</v>
      </c>
      <c r="F507" t="s">
        <v>242</v>
      </c>
      <c r="G507" t="str">
        <f t="shared" si="57"/>
        <v>Gobiomorphus cotidianus</v>
      </c>
      <c r="H507" t="str">
        <f t="shared" si="58"/>
        <v>Common_bully</v>
      </c>
      <c r="I507" t="str">
        <f t="shared" si="59"/>
        <v>Toitoi</v>
      </c>
      <c r="J507" t="str">
        <f t="shared" si="60"/>
        <v>Native</v>
      </c>
      <c r="K507" t="str">
        <f t="shared" si="61"/>
        <v>No</v>
      </c>
      <c r="M507">
        <v>62</v>
      </c>
      <c r="O507">
        <v>1</v>
      </c>
      <c r="T507" t="str">
        <f t="shared" si="62"/>
        <v/>
      </c>
    </row>
    <row r="508" spans="1:20" x14ac:dyDescent="0.55000000000000004">
      <c r="A508">
        <v>106</v>
      </c>
      <c r="B508" t="str">
        <f t="shared" si="56"/>
        <v>106_0</v>
      </c>
      <c r="C508" s="2">
        <v>45603.4375</v>
      </c>
      <c r="D508" t="s">
        <v>221</v>
      </c>
      <c r="E508">
        <v>2</v>
      </c>
      <c r="F508" t="s">
        <v>242</v>
      </c>
      <c r="G508" t="str">
        <f t="shared" si="57"/>
        <v>Gobiomorphus cotidianus</v>
      </c>
      <c r="H508" t="str">
        <f t="shared" si="58"/>
        <v>Common_bully</v>
      </c>
      <c r="I508" t="str">
        <f t="shared" si="59"/>
        <v>Toitoi</v>
      </c>
      <c r="J508" t="str">
        <f t="shared" si="60"/>
        <v>Native</v>
      </c>
      <c r="K508" t="str">
        <f t="shared" si="61"/>
        <v>No</v>
      </c>
      <c r="M508">
        <v>27</v>
      </c>
      <c r="O508">
        <v>1</v>
      </c>
      <c r="T508" t="str">
        <f t="shared" si="62"/>
        <v/>
      </c>
    </row>
    <row r="509" spans="1:20" x14ac:dyDescent="0.55000000000000004">
      <c r="A509">
        <v>106</v>
      </c>
      <c r="B509" t="str">
        <f t="shared" si="56"/>
        <v>106_0</v>
      </c>
      <c r="C509" s="2">
        <v>45603.4375</v>
      </c>
      <c r="D509" t="s">
        <v>221</v>
      </c>
      <c r="E509">
        <v>2</v>
      </c>
      <c r="F509" t="s">
        <v>242</v>
      </c>
      <c r="G509" t="str">
        <f t="shared" si="57"/>
        <v>Gobiomorphus cotidianus</v>
      </c>
      <c r="H509" t="str">
        <f t="shared" si="58"/>
        <v>Common_bully</v>
      </c>
      <c r="I509" t="str">
        <f t="shared" si="59"/>
        <v>Toitoi</v>
      </c>
      <c r="J509" t="str">
        <f t="shared" si="60"/>
        <v>Native</v>
      </c>
      <c r="K509" t="str">
        <f t="shared" si="61"/>
        <v>No</v>
      </c>
      <c r="M509">
        <v>38</v>
      </c>
      <c r="O509">
        <v>1</v>
      </c>
      <c r="T509" t="str">
        <f t="shared" si="62"/>
        <v/>
      </c>
    </row>
    <row r="510" spans="1:20" x14ac:dyDescent="0.55000000000000004">
      <c r="A510">
        <v>106</v>
      </c>
      <c r="B510" t="str">
        <f t="shared" si="56"/>
        <v>106_0</v>
      </c>
      <c r="C510" s="2">
        <v>45603.4375</v>
      </c>
      <c r="D510" t="s">
        <v>221</v>
      </c>
      <c r="E510">
        <v>2</v>
      </c>
      <c r="F510" t="s">
        <v>242</v>
      </c>
      <c r="G510" t="str">
        <f t="shared" si="57"/>
        <v>Gobiomorphus cotidianus</v>
      </c>
      <c r="H510" t="str">
        <f t="shared" si="58"/>
        <v>Common_bully</v>
      </c>
      <c r="I510" t="str">
        <f t="shared" si="59"/>
        <v>Toitoi</v>
      </c>
      <c r="J510" t="str">
        <f t="shared" si="60"/>
        <v>Native</v>
      </c>
      <c r="K510" t="str">
        <f t="shared" si="61"/>
        <v>No</v>
      </c>
      <c r="M510">
        <v>55</v>
      </c>
      <c r="O510">
        <v>1</v>
      </c>
      <c r="T510" t="str">
        <f t="shared" si="62"/>
        <v/>
      </c>
    </row>
    <row r="511" spans="1:20" x14ac:dyDescent="0.55000000000000004">
      <c r="A511">
        <v>106</v>
      </c>
      <c r="B511" t="str">
        <f t="shared" si="56"/>
        <v>106_0</v>
      </c>
      <c r="C511" s="2">
        <v>45603.4375</v>
      </c>
      <c r="D511" t="s">
        <v>221</v>
      </c>
      <c r="E511">
        <v>2</v>
      </c>
      <c r="F511" t="s">
        <v>242</v>
      </c>
      <c r="G511" t="str">
        <f t="shared" si="57"/>
        <v>Gobiomorphus cotidianus</v>
      </c>
      <c r="H511" t="str">
        <f t="shared" si="58"/>
        <v>Common_bully</v>
      </c>
      <c r="I511" t="str">
        <f t="shared" si="59"/>
        <v>Toitoi</v>
      </c>
      <c r="J511" t="str">
        <f t="shared" si="60"/>
        <v>Native</v>
      </c>
      <c r="K511" t="str">
        <f t="shared" si="61"/>
        <v>No</v>
      </c>
      <c r="M511">
        <v>35</v>
      </c>
      <c r="O511">
        <v>1</v>
      </c>
      <c r="T511" t="str">
        <f t="shared" si="62"/>
        <v/>
      </c>
    </row>
    <row r="512" spans="1:20" x14ac:dyDescent="0.55000000000000004">
      <c r="A512">
        <v>106</v>
      </c>
      <c r="B512" t="str">
        <f t="shared" si="56"/>
        <v>106_0</v>
      </c>
      <c r="C512" s="2">
        <v>45603.4375</v>
      </c>
      <c r="D512" t="s">
        <v>221</v>
      </c>
      <c r="E512">
        <v>2</v>
      </c>
      <c r="F512" t="s">
        <v>242</v>
      </c>
      <c r="G512" t="str">
        <f t="shared" si="57"/>
        <v>Gobiomorphus cotidianus</v>
      </c>
      <c r="H512" t="str">
        <f t="shared" si="58"/>
        <v>Common_bully</v>
      </c>
      <c r="I512" t="str">
        <f t="shared" si="59"/>
        <v>Toitoi</v>
      </c>
      <c r="J512" t="str">
        <f t="shared" si="60"/>
        <v>Native</v>
      </c>
      <c r="K512" t="str">
        <f t="shared" si="61"/>
        <v>No</v>
      </c>
      <c r="M512">
        <v>52</v>
      </c>
      <c r="O512">
        <v>1</v>
      </c>
      <c r="T512" t="str">
        <f t="shared" si="62"/>
        <v/>
      </c>
    </row>
    <row r="513" spans="1:20" x14ac:dyDescent="0.55000000000000004">
      <c r="A513">
        <v>106</v>
      </c>
      <c r="B513" t="str">
        <f t="shared" si="56"/>
        <v>106_0</v>
      </c>
      <c r="C513" s="2">
        <v>45603.4375</v>
      </c>
      <c r="D513" t="s">
        <v>221</v>
      </c>
      <c r="E513">
        <v>2</v>
      </c>
      <c r="F513" t="s">
        <v>242</v>
      </c>
      <c r="G513" t="str">
        <f t="shared" si="57"/>
        <v>Gobiomorphus cotidianus</v>
      </c>
      <c r="H513" t="str">
        <f t="shared" si="58"/>
        <v>Common_bully</v>
      </c>
      <c r="I513" t="str">
        <f t="shared" si="59"/>
        <v>Toitoi</v>
      </c>
      <c r="J513" t="str">
        <f t="shared" si="60"/>
        <v>Native</v>
      </c>
      <c r="K513" t="str">
        <f t="shared" si="61"/>
        <v>No</v>
      </c>
      <c r="M513">
        <v>43</v>
      </c>
      <c r="O513">
        <v>1</v>
      </c>
      <c r="T513" t="str">
        <f t="shared" si="62"/>
        <v/>
      </c>
    </row>
    <row r="514" spans="1:20" x14ac:dyDescent="0.55000000000000004">
      <c r="A514">
        <v>106</v>
      </c>
      <c r="B514" t="str">
        <f t="shared" ref="B514:B577" si="63">A514 &amp; "_0"</f>
        <v>106_0</v>
      </c>
      <c r="C514" s="2">
        <v>45603.4375</v>
      </c>
      <c r="D514" t="s">
        <v>221</v>
      </c>
      <c r="E514">
        <v>2</v>
      </c>
      <c r="F514" t="s">
        <v>242</v>
      </c>
      <c r="G514" t="str">
        <f t="shared" ref="G514:G577" si="64">VLOOKUP($F514, $W$1:$AB$10, 2, FALSE)</f>
        <v>Gobiomorphus cotidianus</v>
      </c>
      <c r="H514" t="str">
        <f t="shared" ref="H514:H577" si="65">VLOOKUP($F514, $W$1:$AB$10, 3, FALSE)</f>
        <v>Common_bully</v>
      </c>
      <c r="I514" t="str">
        <f t="shared" ref="I514:I577" si="66">VLOOKUP($F514, $W$1:$AB$10, 4, FALSE)</f>
        <v>Toitoi</v>
      </c>
      <c r="J514" t="str">
        <f t="shared" ref="J514:J577" si="67">VLOOKUP($F514, $W$1:$AC$10, 5, FALSE)</f>
        <v>Native</v>
      </c>
      <c r="K514" t="str">
        <f t="shared" ref="K514:K577" si="68">VLOOKUP($F514, $W$1:$AB$10, 6, FALSE)</f>
        <v>No</v>
      </c>
      <c r="M514">
        <v>67</v>
      </c>
      <c r="O514">
        <v>1</v>
      </c>
      <c r="T514" t="str">
        <f t="shared" ref="T514:T577" si="69">IF(S514&lt;&gt;"", S514*236.588, "")</f>
        <v/>
      </c>
    </row>
    <row r="515" spans="1:20" x14ac:dyDescent="0.55000000000000004">
      <c r="A515">
        <v>106</v>
      </c>
      <c r="B515" t="str">
        <f t="shared" si="63"/>
        <v>106_0</v>
      </c>
      <c r="C515" s="2">
        <v>45603.4375</v>
      </c>
      <c r="D515" t="s">
        <v>221</v>
      </c>
      <c r="E515">
        <v>2</v>
      </c>
      <c r="F515" t="s">
        <v>242</v>
      </c>
      <c r="G515" t="str">
        <f t="shared" si="64"/>
        <v>Gobiomorphus cotidianus</v>
      </c>
      <c r="H515" t="str">
        <f t="shared" si="65"/>
        <v>Common_bully</v>
      </c>
      <c r="I515" t="str">
        <f t="shared" si="66"/>
        <v>Toitoi</v>
      </c>
      <c r="J515" t="str">
        <f t="shared" si="67"/>
        <v>Native</v>
      </c>
      <c r="K515" t="str">
        <f t="shared" si="68"/>
        <v>No</v>
      </c>
      <c r="M515">
        <v>50</v>
      </c>
      <c r="O515">
        <v>1</v>
      </c>
      <c r="T515" t="str">
        <f t="shared" si="69"/>
        <v/>
      </c>
    </row>
    <row r="516" spans="1:20" x14ac:dyDescent="0.55000000000000004">
      <c r="A516">
        <v>106</v>
      </c>
      <c r="B516" t="str">
        <f t="shared" si="63"/>
        <v>106_0</v>
      </c>
      <c r="C516" s="2">
        <v>45603.4375</v>
      </c>
      <c r="D516" t="s">
        <v>221</v>
      </c>
      <c r="E516">
        <v>2</v>
      </c>
      <c r="F516" t="s">
        <v>242</v>
      </c>
      <c r="G516" t="str">
        <f t="shared" si="64"/>
        <v>Gobiomorphus cotidianus</v>
      </c>
      <c r="H516" t="str">
        <f t="shared" si="65"/>
        <v>Common_bully</v>
      </c>
      <c r="I516" t="str">
        <f t="shared" si="66"/>
        <v>Toitoi</v>
      </c>
      <c r="J516" t="str">
        <f t="shared" si="67"/>
        <v>Native</v>
      </c>
      <c r="K516" t="str">
        <f t="shared" si="68"/>
        <v>No</v>
      </c>
      <c r="M516">
        <v>38</v>
      </c>
      <c r="O516">
        <v>1</v>
      </c>
      <c r="T516" t="str">
        <f t="shared" si="69"/>
        <v/>
      </c>
    </row>
    <row r="517" spans="1:20" x14ac:dyDescent="0.55000000000000004">
      <c r="A517">
        <v>106</v>
      </c>
      <c r="B517" t="str">
        <f t="shared" si="63"/>
        <v>106_0</v>
      </c>
      <c r="C517" s="2">
        <v>45603.4375</v>
      </c>
      <c r="D517" t="s">
        <v>221</v>
      </c>
      <c r="E517">
        <v>2</v>
      </c>
      <c r="F517" t="s">
        <v>242</v>
      </c>
      <c r="G517" t="str">
        <f t="shared" si="64"/>
        <v>Gobiomorphus cotidianus</v>
      </c>
      <c r="H517" t="str">
        <f t="shared" si="65"/>
        <v>Common_bully</v>
      </c>
      <c r="I517" t="str">
        <f t="shared" si="66"/>
        <v>Toitoi</v>
      </c>
      <c r="J517" t="str">
        <f t="shared" si="67"/>
        <v>Native</v>
      </c>
      <c r="K517" t="str">
        <f t="shared" si="68"/>
        <v>No</v>
      </c>
      <c r="M517">
        <v>40</v>
      </c>
      <c r="O517">
        <v>1</v>
      </c>
      <c r="T517" t="str">
        <f t="shared" si="69"/>
        <v/>
      </c>
    </row>
    <row r="518" spans="1:20" x14ac:dyDescent="0.55000000000000004">
      <c r="A518">
        <v>106</v>
      </c>
      <c r="B518" t="str">
        <f t="shared" si="63"/>
        <v>106_0</v>
      </c>
      <c r="C518" s="2">
        <v>45603.4375</v>
      </c>
      <c r="D518" t="s">
        <v>221</v>
      </c>
      <c r="E518">
        <v>2</v>
      </c>
      <c r="F518" t="s">
        <v>242</v>
      </c>
      <c r="G518" t="str">
        <f t="shared" si="64"/>
        <v>Gobiomorphus cotidianus</v>
      </c>
      <c r="H518" t="str">
        <f t="shared" si="65"/>
        <v>Common_bully</v>
      </c>
      <c r="I518" t="str">
        <f t="shared" si="66"/>
        <v>Toitoi</v>
      </c>
      <c r="J518" t="str">
        <f t="shared" si="67"/>
        <v>Native</v>
      </c>
      <c r="K518" t="str">
        <f t="shared" si="68"/>
        <v>No</v>
      </c>
      <c r="M518">
        <v>57</v>
      </c>
      <c r="O518">
        <v>1</v>
      </c>
      <c r="T518" t="str">
        <f t="shared" si="69"/>
        <v/>
      </c>
    </row>
    <row r="519" spans="1:20" x14ac:dyDescent="0.55000000000000004">
      <c r="A519">
        <v>106</v>
      </c>
      <c r="B519" t="str">
        <f t="shared" si="63"/>
        <v>106_0</v>
      </c>
      <c r="C519" s="2">
        <v>45603.4375</v>
      </c>
      <c r="D519" t="s">
        <v>221</v>
      </c>
      <c r="E519">
        <v>2</v>
      </c>
      <c r="F519" t="s">
        <v>242</v>
      </c>
      <c r="G519" t="str">
        <f t="shared" si="64"/>
        <v>Gobiomorphus cotidianus</v>
      </c>
      <c r="H519" t="str">
        <f t="shared" si="65"/>
        <v>Common_bully</v>
      </c>
      <c r="I519" t="str">
        <f t="shared" si="66"/>
        <v>Toitoi</v>
      </c>
      <c r="J519" t="str">
        <f t="shared" si="67"/>
        <v>Native</v>
      </c>
      <c r="K519" t="str">
        <f t="shared" si="68"/>
        <v>No</v>
      </c>
      <c r="N519">
        <v>195</v>
      </c>
      <c r="S519">
        <v>1</v>
      </c>
      <c r="T519">
        <f t="shared" si="69"/>
        <v>236.58799999999999</v>
      </c>
    </row>
    <row r="520" spans="1:20" x14ac:dyDescent="0.55000000000000004">
      <c r="A520">
        <v>106</v>
      </c>
      <c r="B520" t="str">
        <f t="shared" si="63"/>
        <v>106_0</v>
      </c>
      <c r="C520" s="2">
        <v>45603.4375</v>
      </c>
      <c r="D520" t="s">
        <v>221</v>
      </c>
      <c r="E520">
        <v>2</v>
      </c>
      <c r="F520" t="s">
        <v>242</v>
      </c>
      <c r="G520" t="str">
        <f t="shared" si="64"/>
        <v>Gobiomorphus cotidianus</v>
      </c>
      <c r="H520" t="str">
        <f t="shared" si="65"/>
        <v>Common_bully</v>
      </c>
      <c r="I520" t="str">
        <f t="shared" si="66"/>
        <v>Toitoi</v>
      </c>
      <c r="J520" t="str">
        <f t="shared" si="67"/>
        <v>Native</v>
      </c>
      <c r="K520" t="str">
        <f t="shared" si="68"/>
        <v>No</v>
      </c>
      <c r="N520">
        <v>183</v>
      </c>
      <c r="S520">
        <v>1</v>
      </c>
      <c r="T520">
        <f t="shared" si="69"/>
        <v>236.58799999999999</v>
      </c>
    </row>
    <row r="521" spans="1:20" x14ac:dyDescent="0.55000000000000004">
      <c r="A521">
        <v>106</v>
      </c>
      <c r="B521" t="str">
        <f t="shared" si="63"/>
        <v>106_0</v>
      </c>
      <c r="C521" s="2">
        <v>45603.4375</v>
      </c>
      <c r="D521" t="s">
        <v>221</v>
      </c>
      <c r="E521">
        <v>2</v>
      </c>
      <c r="F521" t="s">
        <v>242</v>
      </c>
      <c r="G521" t="str">
        <f t="shared" si="64"/>
        <v>Gobiomorphus cotidianus</v>
      </c>
      <c r="H521" t="str">
        <f t="shared" si="65"/>
        <v>Common_bully</v>
      </c>
      <c r="I521" t="str">
        <f t="shared" si="66"/>
        <v>Toitoi</v>
      </c>
      <c r="J521" t="str">
        <f t="shared" si="67"/>
        <v>Native</v>
      </c>
      <c r="K521" t="str">
        <f t="shared" si="68"/>
        <v>No</v>
      </c>
      <c r="N521">
        <v>159</v>
      </c>
      <c r="S521">
        <v>1</v>
      </c>
      <c r="T521">
        <f t="shared" si="69"/>
        <v>236.58799999999999</v>
      </c>
    </row>
    <row r="522" spans="1:20" x14ac:dyDescent="0.55000000000000004">
      <c r="A522">
        <v>106</v>
      </c>
      <c r="B522" t="str">
        <f t="shared" si="63"/>
        <v>106_0</v>
      </c>
      <c r="C522" s="2">
        <v>45603.4375</v>
      </c>
      <c r="D522" t="s">
        <v>221</v>
      </c>
      <c r="E522">
        <v>2</v>
      </c>
      <c r="F522" t="s">
        <v>242</v>
      </c>
      <c r="G522" t="str">
        <f t="shared" si="64"/>
        <v>Gobiomorphus cotidianus</v>
      </c>
      <c r="H522" t="str">
        <f t="shared" si="65"/>
        <v>Common_bully</v>
      </c>
      <c r="I522" t="str">
        <f t="shared" si="66"/>
        <v>Toitoi</v>
      </c>
      <c r="J522" t="str">
        <f t="shared" si="67"/>
        <v>Native</v>
      </c>
      <c r="K522" t="str">
        <f t="shared" si="68"/>
        <v>No</v>
      </c>
      <c r="N522">
        <v>110</v>
      </c>
      <c r="S522">
        <v>0.5</v>
      </c>
      <c r="T522">
        <f t="shared" si="69"/>
        <v>118.294</v>
      </c>
    </row>
    <row r="523" spans="1:20" x14ac:dyDescent="0.55000000000000004">
      <c r="A523">
        <v>113</v>
      </c>
      <c r="B523" t="str">
        <f t="shared" si="63"/>
        <v>113_0</v>
      </c>
      <c r="C523" s="2">
        <v>45680.387499942131</v>
      </c>
      <c r="D523" t="s">
        <v>245</v>
      </c>
      <c r="E523">
        <v>2</v>
      </c>
      <c r="F523" t="s">
        <v>222</v>
      </c>
      <c r="G523" t="str">
        <f t="shared" si="64"/>
        <v>Paranephrops planifrons</v>
      </c>
      <c r="H523" t="str">
        <f t="shared" si="65"/>
        <v>Freshwater_crayfish</v>
      </c>
      <c r="I523" t="str">
        <f t="shared" si="66"/>
        <v>Kōura</v>
      </c>
      <c r="J523" t="str">
        <f t="shared" si="67"/>
        <v>Native</v>
      </c>
      <c r="K523" t="str">
        <f t="shared" si="68"/>
        <v>Yes</v>
      </c>
      <c r="L523" t="s">
        <v>223</v>
      </c>
      <c r="M523">
        <v>25.48</v>
      </c>
      <c r="N523">
        <v>13</v>
      </c>
      <c r="O523">
        <v>1</v>
      </c>
      <c r="T523" t="str">
        <f t="shared" si="69"/>
        <v/>
      </c>
    </row>
    <row r="524" spans="1:20" x14ac:dyDescent="0.55000000000000004">
      <c r="A524">
        <v>98</v>
      </c>
      <c r="B524" t="str">
        <f t="shared" si="63"/>
        <v>98_0</v>
      </c>
      <c r="C524" s="2">
        <v>45603.5625</v>
      </c>
      <c r="D524" t="s">
        <v>245</v>
      </c>
      <c r="E524">
        <v>2</v>
      </c>
      <c r="F524" t="s">
        <v>222</v>
      </c>
      <c r="G524" t="str">
        <f t="shared" si="64"/>
        <v>Paranephrops planifrons</v>
      </c>
      <c r="H524" t="str">
        <f t="shared" si="65"/>
        <v>Freshwater_crayfish</v>
      </c>
      <c r="I524" t="str">
        <f t="shared" si="66"/>
        <v>Kōura</v>
      </c>
      <c r="J524" t="str">
        <f t="shared" si="67"/>
        <v>Native</v>
      </c>
      <c r="K524" t="str">
        <f t="shared" si="68"/>
        <v>Yes</v>
      </c>
      <c r="L524" t="s">
        <v>228</v>
      </c>
      <c r="M524">
        <v>25.08</v>
      </c>
      <c r="O524">
        <v>1</v>
      </c>
      <c r="T524" t="str">
        <f t="shared" si="69"/>
        <v/>
      </c>
    </row>
    <row r="525" spans="1:20" x14ac:dyDescent="0.55000000000000004">
      <c r="A525">
        <v>120</v>
      </c>
      <c r="B525" t="str">
        <f t="shared" si="63"/>
        <v>120_0</v>
      </c>
      <c r="C525" s="2">
        <v>45597.429166666669</v>
      </c>
      <c r="D525" t="s">
        <v>221</v>
      </c>
      <c r="E525">
        <v>2</v>
      </c>
      <c r="F525" t="s">
        <v>222</v>
      </c>
      <c r="G525" t="str">
        <f t="shared" si="64"/>
        <v>Paranephrops planifrons</v>
      </c>
      <c r="H525" t="str">
        <f t="shared" si="65"/>
        <v>Freshwater_crayfish</v>
      </c>
      <c r="I525" t="str">
        <f t="shared" si="66"/>
        <v>Kōura</v>
      </c>
      <c r="J525" t="str">
        <f t="shared" si="67"/>
        <v>Native</v>
      </c>
      <c r="K525" t="str">
        <f t="shared" si="68"/>
        <v>Yes</v>
      </c>
      <c r="L525" t="s">
        <v>228</v>
      </c>
      <c r="M525">
        <v>25</v>
      </c>
      <c r="N525">
        <v>29</v>
      </c>
      <c r="O525">
        <v>1</v>
      </c>
      <c r="T525" t="str">
        <f t="shared" si="69"/>
        <v/>
      </c>
    </row>
    <row r="526" spans="1:20" x14ac:dyDescent="0.55000000000000004">
      <c r="A526">
        <v>106</v>
      </c>
      <c r="B526" t="str">
        <f t="shared" si="63"/>
        <v>106_0</v>
      </c>
      <c r="C526" s="2">
        <v>45603.4375</v>
      </c>
      <c r="D526" t="s">
        <v>221</v>
      </c>
      <c r="E526">
        <v>2</v>
      </c>
      <c r="F526" t="s">
        <v>242</v>
      </c>
      <c r="G526" t="str">
        <f t="shared" si="64"/>
        <v>Gobiomorphus cotidianus</v>
      </c>
      <c r="H526" t="str">
        <f t="shared" si="65"/>
        <v>Common_bully</v>
      </c>
      <c r="I526" t="str">
        <f t="shared" si="66"/>
        <v>Toitoi</v>
      </c>
      <c r="J526" t="str">
        <f t="shared" si="67"/>
        <v>Native</v>
      </c>
      <c r="K526" t="str">
        <f t="shared" si="68"/>
        <v>No</v>
      </c>
      <c r="N526">
        <v>206</v>
      </c>
      <c r="S526">
        <v>1</v>
      </c>
      <c r="T526">
        <f t="shared" si="69"/>
        <v>236.58799999999999</v>
      </c>
    </row>
    <row r="527" spans="1:20" x14ac:dyDescent="0.55000000000000004">
      <c r="A527">
        <v>106</v>
      </c>
      <c r="B527" t="str">
        <f t="shared" si="63"/>
        <v>106_0</v>
      </c>
      <c r="C527" s="2">
        <v>45603.4375</v>
      </c>
      <c r="D527" t="s">
        <v>221</v>
      </c>
      <c r="E527">
        <v>2</v>
      </c>
      <c r="F527" t="s">
        <v>242</v>
      </c>
      <c r="G527" t="str">
        <f t="shared" si="64"/>
        <v>Gobiomorphus cotidianus</v>
      </c>
      <c r="H527" t="str">
        <f t="shared" si="65"/>
        <v>Common_bully</v>
      </c>
      <c r="I527" t="str">
        <f t="shared" si="66"/>
        <v>Toitoi</v>
      </c>
      <c r="J527" t="str">
        <f t="shared" si="67"/>
        <v>Native</v>
      </c>
      <c r="K527" t="str">
        <f t="shared" si="68"/>
        <v>No</v>
      </c>
      <c r="N527">
        <v>231</v>
      </c>
      <c r="S527">
        <v>1</v>
      </c>
      <c r="T527">
        <f t="shared" si="69"/>
        <v>236.58799999999999</v>
      </c>
    </row>
    <row r="528" spans="1:20" x14ac:dyDescent="0.55000000000000004">
      <c r="A528">
        <v>115</v>
      </c>
      <c r="B528" t="str">
        <f t="shared" si="63"/>
        <v>115_0</v>
      </c>
      <c r="C528" s="2">
        <v>45597.590277777781</v>
      </c>
      <c r="D528" t="s">
        <v>245</v>
      </c>
      <c r="E528">
        <v>2</v>
      </c>
      <c r="F528" t="s">
        <v>222</v>
      </c>
      <c r="G528" t="str">
        <f t="shared" si="64"/>
        <v>Paranephrops planifrons</v>
      </c>
      <c r="H528" t="str">
        <f t="shared" si="65"/>
        <v>Freshwater_crayfish</v>
      </c>
      <c r="I528" t="str">
        <f t="shared" si="66"/>
        <v>Kōura</v>
      </c>
      <c r="J528" t="str">
        <f t="shared" si="67"/>
        <v>Native</v>
      </c>
      <c r="K528" t="str">
        <f t="shared" si="68"/>
        <v>Yes</v>
      </c>
      <c r="L528" t="s">
        <v>228</v>
      </c>
      <c r="M528">
        <v>25</v>
      </c>
      <c r="N528">
        <v>17</v>
      </c>
      <c r="O528">
        <v>1</v>
      </c>
      <c r="T528" t="str">
        <f t="shared" si="69"/>
        <v/>
      </c>
    </row>
    <row r="529" spans="1:20" x14ac:dyDescent="0.55000000000000004">
      <c r="A529">
        <v>107</v>
      </c>
      <c r="B529" t="str">
        <f t="shared" si="63"/>
        <v>107_0</v>
      </c>
      <c r="C529" s="2">
        <v>45604.388888888891</v>
      </c>
      <c r="D529" t="s">
        <v>245</v>
      </c>
      <c r="E529">
        <v>2</v>
      </c>
      <c r="F529" t="s">
        <v>242</v>
      </c>
      <c r="G529" t="str">
        <f t="shared" si="64"/>
        <v>Gobiomorphus cotidianus</v>
      </c>
      <c r="H529" t="str">
        <f t="shared" si="65"/>
        <v>Common_bully</v>
      </c>
      <c r="I529" t="str">
        <f t="shared" si="66"/>
        <v>Toitoi</v>
      </c>
      <c r="J529" t="str">
        <f t="shared" si="67"/>
        <v>Native</v>
      </c>
      <c r="K529" t="str">
        <f t="shared" si="68"/>
        <v>No</v>
      </c>
      <c r="M529">
        <v>50</v>
      </c>
      <c r="O529">
        <v>1</v>
      </c>
      <c r="T529" t="str">
        <f t="shared" si="69"/>
        <v/>
      </c>
    </row>
    <row r="530" spans="1:20" x14ac:dyDescent="0.55000000000000004">
      <c r="A530">
        <v>107</v>
      </c>
      <c r="B530" t="str">
        <f t="shared" si="63"/>
        <v>107_0</v>
      </c>
      <c r="C530" s="2">
        <v>45604.388888888891</v>
      </c>
      <c r="D530" t="s">
        <v>221</v>
      </c>
      <c r="E530">
        <v>2</v>
      </c>
      <c r="F530" t="s">
        <v>242</v>
      </c>
      <c r="G530" t="str">
        <f t="shared" si="64"/>
        <v>Gobiomorphus cotidianus</v>
      </c>
      <c r="H530" t="str">
        <f t="shared" si="65"/>
        <v>Common_bully</v>
      </c>
      <c r="I530" t="str">
        <f t="shared" si="66"/>
        <v>Toitoi</v>
      </c>
      <c r="J530" t="str">
        <f t="shared" si="67"/>
        <v>Native</v>
      </c>
      <c r="K530" t="str">
        <f t="shared" si="68"/>
        <v>No</v>
      </c>
      <c r="M530">
        <v>68</v>
      </c>
      <c r="O530">
        <v>1</v>
      </c>
      <c r="T530" t="str">
        <f t="shared" si="69"/>
        <v/>
      </c>
    </row>
    <row r="531" spans="1:20" x14ac:dyDescent="0.55000000000000004">
      <c r="A531">
        <v>107</v>
      </c>
      <c r="B531" t="str">
        <f t="shared" si="63"/>
        <v>107_0</v>
      </c>
      <c r="C531" s="2">
        <v>45604.388888888891</v>
      </c>
      <c r="D531" t="s">
        <v>221</v>
      </c>
      <c r="E531">
        <v>2</v>
      </c>
      <c r="F531" t="s">
        <v>242</v>
      </c>
      <c r="G531" t="str">
        <f t="shared" si="64"/>
        <v>Gobiomorphus cotidianus</v>
      </c>
      <c r="H531" t="str">
        <f t="shared" si="65"/>
        <v>Common_bully</v>
      </c>
      <c r="I531" t="str">
        <f t="shared" si="66"/>
        <v>Toitoi</v>
      </c>
      <c r="J531" t="str">
        <f t="shared" si="67"/>
        <v>Native</v>
      </c>
      <c r="K531" t="str">
        <f t="shared" si="68"/>
        <v>No</v>
      </c>
      <c r="M531">
        <v>64</v>
      </c>
      <c r="O531">
        <v>1</v>
      </c>
      <c r="T531" t="str">
        <f t="shared" si="69"/>
        <v/>
      </c>
    </row>
    <row r="532" spans="1:20" x14ac:dyDescent="0.55000000000000004">
      <c r="A532">
        <v>107</v>
      </c>
      <c r="B532" t="str">
        <f t="shared" si="63"/>
        <v>107_0</v>
      </c>
      <c r="C532" s="2">
        <v>45604.388888888891</v>
      </c>
      <c r="D532" t="s">
        <v>221</v>
      </c>
      <c r="E532">
        <v>2</v>
      </c>
      <c r="F532" t="s">
        <v>242</v>
      </c>
      <c r="G532" t="str">
        <f t="shared" si="64"/>
        <v>Gobiomorphus cotidianus</v>
      </c>
      <c r="H532" t="str">
        <f t="shared" si="65"/>
        <v>Common_bully</v>
      </c>
      <c r="I532" t="str">
        <f t="shared" si="66"/>
        <v>Toitoi</v>
      </c>
      <c r="J532" t="str">
        <f t="shared" si="67"/>
        <v>Native</v>
      </c>
      <c r="K532" t="str">
        <f t="shared" si="68"/>
        <v>No</v>
      </c>
      <c r="M532">
        <v>65</v>
      </c>
      <c r="O532">
        <v>1</v>
      </c>
      <c r="T532" t="str">
        <f t="shared" si="69"/>
        <v/>
      </c>
    </row>
    <row r="533" spans="1:20" x14ac:dyDescent="0.55000000000000004">
      <c r="A533">
        <v>107</v>
      </c>
      <c r="B533" t="str">
        <f t="shared" si="63"/>
        <v>107_0</v>
      </c>
      <c r="C533" s="2">
        <v>45604.388888888891</v>
      </c>
      <c r="D533" t="s">
        <v>221</v>
      </c>
      <c r="E533">
        <v>2</v>
      </c>
      <c r="F533" t="s">
        <v>242</v>
      </c>
      <c r="G533" t="str">
        <f t="shared" si="64"/>
        <v>Gobiomorphus cotidianus</v>
      </c>
      <c r="H533" t="str">
        <f t="shared" si="65"/>
        <v>Common_bully</v>
      </c>
      <c r="I533" t="str">
        <f t="shared" si="66"/>
        <v>Toitoi</v>
      </c>
      <c r="J533" t="str">
        <f t="shared" si="67"/>
        <v>Native</v>
      </c>
      <c r="K533" t="str">
        <f t="shared" si="68"/>
        <v>No</v>
      </c>
      <c r="M533">
        <v>49</v>
      </c>
      <c r="O533">
        <v>1</v>
      </c>
      <c r="T533" t="str">
        <f t="shared" si="69"/>
        <v/>
      </c>
    </row>
    <row r="534" spans="1:20" x14ac:dyDescent="0.55000000000000004">
      <c r="A534">
        <v>107</v>
      </c>
      <c r="B534" t="str">
        <f t="shared" si="63"/>
        <v>107_0</v>
      </c>
      <c r="C534" s="2">
        <v>45604.388888888891</v>
      </c>
      <c r="D534" t="s">
        <v>221</v>
      </c>
      <c r="E534">
        <v>2</v>
      </c>
      <c r="F534" t="s">
        <v>242</v>
      </c>
      <c r="G534" t="str">
        <f t="shared" si="64"/>
        <v>Gobiomorphus cotidianus</v>
      </c>
      <c r="H534" t="str">
        <f t="shared" si="65"/>
        <v>Common_bully</v>
      </c>
      <c r="I534" t="str">
        <f t="shared" si="66"/>
        <v>Toitoi</v>
      </c>
      <c r="J534" t="str">
        <f t="shared" si="67"/>
        <v>Native</v>
      </c>
      <c r="K534" t="str">
        <f t="shared" si="68"/>
        <v>No</v>
      </c>
      <c r="M534">
        <v>48</v>
      </c>
      <c r="O534">
        <v>1</v>
      </c>
      <c r="T534" t="str">
        <f t="shared" si="69"/>
        <v/>
      </c>
    </row>
    <row r="535" spans="1:20" x14ac:dyDescent="0.55000000000000004">
      <c r="A535">
        <v>107</v>
      </c>
      <c r="B535" t="str">
        <f t="shared" si="63"/>
        <v>107_0</v>
      </c>
      <c r="C535" s="2">
        <v>45604.388888888891</v>
      </c>
      <c r="D535" t="s">
        <v>221</v>
      </c>
      <c r="E535">
        <v>2</v>
      </c>
      <c r="F535" t="s">
        <v>242</v>
      </c>
      <c r="G535" t="str">
        <f t="shared" si="64"/>
        <v>Gobiomorphus cotidianus</v>
      </c>
      <c r="H535" t="str">
        <f t="shared" si="65"/>
        <v>Common_bully</v>
      </c>
      <c r="I535" t="str">
        <f t="shared" si="66"/>
        <v>Toitoi</v>
      </c>
      <c r="J535" t="str">
        <f t="shared" si="67"/>
        <v>Native</v>
      </c>
      <c r="K535" t="str">
        <f t="shared" si="68"/>
        <v>No</v>
      </c>
      <c r="M535">
        <v>50</v>
      </c>
      <c r="O535">
        <v>1</v>
      </c>
      <c r="T535" t="str">
        <f t="shared" si="69"/>
        <v/>
      </c>
    </row>
    <row r="536" spans="1:20" x14ac:dyDescent="0.55000000000000004">
      <c r="A536">
        <v>107</v>
      </c>
      <c r="B536" t="str">
        <f t="shared" si="63"/>
        <v>107_0</v>
      </c>
      <c r="C536" s="2">
        <v>45604.388888888891</v>
      </c>
      <c r="D536" t="s">
        <v>221</v>
      </c>
      <c r="E536">
        <v>2</v>
      </c>
      <c r="F536" t="s">
        <v>242</v>
      </c>
      <c r="G536" t="str">
        <f t="shared" si="64"/>
        <v>Gobiomorphus cotidianus</v>
      </c>
      <c r="H536" t="str">
        <f t="shared" si="65"/>
        <v>Common_bully</v>
      </c>
      <c r="I536" t="str">
        <f t="shared" si="66"/>
        <v>Toitoi</v>
      </c>
      <c r="J536" t="str">
        <f t="shared" si="67"/>
        <v>Native</v>
      </c>
      <c r="K536" t="str">
        <f t="shared" si="68"/>
        <v>No</v>
      </c>
      <c r="M536">
        <v>55</v>
      </c>
      <c r="O536">
        <v>1</v>
      </c>
      <c r="T536" t="str">
        <f t="shared" si="69"/>
        <v/>
      </c>
    </row>
    <row r="537" spans="1:20" x14ac:dyDescent="0.55000000000000004">
      <c r="A537">
        <v>107</v>
      </c>
      <c r="B537" t="str">
        <f t="shared" si="63"/>
        <v>107_0</v>
      </c>
      <c r="C537" s="2">
        <v>45604.388888888891</v>
      </c>
      <c r="D537" t="s">
        <v>221</v>
      </c>
      <c r="E537">
        <v>2</v>
      </c>
      <c r="F537" t="s">
        <v>242</v>
      </c>
      <c r="G537" t="str">
        <f t="shared" si="64"/>
        <v>Gobiomorphus cotidianus</v>
      </c>
      <c r="H537" t="str">
        <f t="shared" si="65"/>
        <v>Common_bully</v>
      </c>
      <c r="I537" t="str">
        <f t="shared" si="66"/>
        <v>Toitoi</v>
      </c>
      <c r="J537" t="str">
        <f t="shared" si="67"/>
        <v>Native</v>
      </c>
      <c r="K537" t="str">
        <f t="shared" si="68"/>
        <v>No</v>
      </c>
      <c r="M537">
        <v>30</v>
      </c>
      <c r="O537">
        <v>1</v>
      </c>
      <c r="T537" t="str">
        <f t="shared" si="69"/>
        <v/>
      </c>
    </row>
    <row r="538" spans="1:20" x14ac:dyDescent="0.55000000000000004">
      <c r="A538">
        <v>107</v>
      </c>
      <c r="B538" t="str">
        <f t="shared" si="63"/>
        <v>107_0</v>
      </c>
      <c r="C538" s="2">
        <v>45604.388888888891</v>
      </c>
      <c r="D538" t="s">
        <v>221</v>
      </c>
      <c r="E538">
        <v>2</v>
      </c>
      <c r="F538" t="s">
        <v>242</v>
      </c>
      <c r="G538" t="str">
        <f t="shared" si="64"/>
        <v>Gobiomorphus cotidianus</v>
      </c>
      <c r="H538" t="str">
        <f t="shared" si="65"/>
        <v>Common_bully</v>
      </c>
      <c r="I538" t="str">
        <f t="shared" si="66"/>
        <v>Toitoi</v>
      </c>
      <c r="J538" t="str">
        <f t="shared" si="67"/>
        <v>Native</v>
      </c>
      <c r="K538" t="str">
        <f t="shared" si="68"/>
        <v>No</v>
      </c>
      <c r="M538">
        <v>52</v>
      </c>
      <c r="O538">
        <v>1</v>
      </c>
      <c r="T538" t="str">
        <f t="shared" si="69"/>
        <v/>
      </c>
    </row>
    <row r="539" spans="1:20" x14ac:dyDescent="0.55000000000000004">
      <c r="A539">
        <v>107</v>
      </c>
      <c r="B539" t="str">
        <f t="shared" si="63"/>
        <v>107_0</v>
      </c>
      <c r="C539" s="2">
        <v>45604.388888888891</v>
      </c>
      <c r="D539" t="s">
        <v>221</v>
      </c>
      <c r="E539">
        <v>2</v>
      </c>
      <c r="F539" t="s">
        <v>242</v>
      </c>
      <c r="G539" t="str">
        <f t="shared" si="64"/>
        <v>Gobiomorphus cotidianus</v>
      </c>
      <c r="H539" t="str">
        <f t="shared" si="65"/>
        <v>Common_bully</v>
      </c>
      <c r="I539" t="str">
        <f t="shared" si="66"/>
        <v>Toitoi</v>
      </c>
      <c r="J539" t="str">
        <f t="shared" si="67"/>
        <v>Native</v>
      </c>
      <c r="K539" t="str">
        <f t="shared" si="68"/>
        <v>No</v>
      </c>
      <c r="M539">
        <v>70</v>
      </c>
      <c r="O539">
        <v>1</v>
      </c>
      <c r="T539" t="str">
        <f t="shared" si="69"/>
        <v/>
      </c>
    </row>
    <row r="540" spans="1:20" x14ac:dyDescent="0.55000000000000004">
      <c r="A540">
        <v>107</v>
      </c>
      <c r="B540" t="str">
        <f t="shared" si="63"/>
        <v>107_0</v>
      </c>
      <c r="C540" s="2">
        <v>45604.388888888891</v>
      </c>
      <c r="D540" t="s">
        <v>221</v>
      </c>
      <c r="E540">
        <v>2</v>
      </c>
      <c r="F540" t="s">
        <v>242</v>
      </c>
      <c r="G540" t="str">
        <f t="shared" si="64"/>
        <v>Gobiomorphus cotidianus</v>
      </c>
      <c r="H540" t="str">
        <f t="shared" si="65"/>
        <v>Common_bully</v>
      </c>
      <c r="I540" t="str">
        <f t="shared" si="66"/>
        <v>Toitoi</v>
      </c>
      <c r="J540" t="str">
        <f t="shared" si="67"/>
        <v>Native</v>
      </c>
      <c r="K540" t="str">
        <f t="shared" si="68"/>
        <v>No</v>
      </c>
      <c r="M540">
        <v>34</v>
      </c>
      <c r="O540">
        <v>1</v>
      </c>
      <c r="T540" t="str">
        <f t="shared" si="69"/>
        <v/>
      </c>
    </row>
    <row r="541" spans="1:20" x14ac:dyDescent="0.55000000000000004">
      <c r="A541">
        <v>107</v>
      </c>
      <c r="B541" t="str">
        <f t="shared" si="63"/>
        <v>107_0</v>
      </c>
      <c r="C541" s="2">
        <v>45604.388888888891</v>
      </c>
      <c r="D541" t="s">
        <v>221</v>
      </c>
      <c r="E541">
        <v>2</v>
      </c>
      <c r="F541" t="s">
        <v>242</v>
      </c>
      <c r="G541" t="str">
        <f t="shared" si="64"/>
        <v>Gobiomorphus cotidianus</v>
      </c>
      <c r="H541" t="str">
        <f t="shared" si="65"/>
        <v>Common_bully</v>
      </c>
      <c r="I541" t="str">
        <f t="shared" si="66"/>
        <v>Toitoi</v>
      </c>
      <c r="J541" t="str">
        <f t="shared" si="67"/>
        <v>Native</v>
      </c>
      <c r="K541" t="str">
        <f t="shared" si="68"/>
        <v>No</v>
      </c>
      <c r="M541">
        <v>56</v>
      </c>
      <c r="O541">
        <v>1</v>
      </c>
      <c r="T541" t="str">
        <f t="shared" si="69"/>
        <v/>
      </c>
    </row>
    <row r="542" spans="1:20" x14ac:dyDescent="0.55000000000000004">
      <c r="A542">
        <v>107</v>
      </c>
      <c r="B542" t="str">
        <f t="shared" si="63"/>
        <v>107_0</v>
      </c>
      <c r="C542" s="2">
        <v>45604.388888888891</v>
      </c>
      <c r="D542" t="s">
        <v>221</v>
      </c>
      <c r="E542">
        <v>2</v>
      </c>
      <c r="F542" t="s">
        <v>242</v>
      </c>
      <c r="G542" t="str">
        <f t="shared" si="64"/>
        <v>Gobiomorphus cotidianus</v>
      </c>
      <c r="H542" t="str">
        <f t="shared" si="65"/>
        <v>Common_bully</v>
      </c>
      <c r="I542" t="str">
        <f t="shared" si="66"/>
        <v>Toitoi</v>
      </c>
      <c r="J542" t="str">
        <f t="shared" si="67"/>
        <v>Native</v>
      </c>
      <c r="K542" t="str">
        <f t="shared" si="68"/>
        <v>No</v>
      </c>
      <c r="M542">
        <v>30</v>
      </c>
      <c r="O542">
        <v>1</v>
      </c>
      <c r="T542" t="str">
        <f t="shared" si="69"/>
        <v/>
      </c>
    </row>
    <row r="543" spans="1:20" x14ac:dyDescent="0.55000000000000004">
      <c r="A543">
        <v>107</v>
      </c>
      <c r="B543" t="str">
        <f t="shared" si="63"/>
        <v>107_0</v>
      </c>
      <c r="C543" s="2">
        <v>45604.388888888891</v>
      </c>
      <c r="D543" t="s">
        <v>221</v>
      </c>
      <c r="E543">
        <v>2</v>
      </c>
      <c r="F543" t="s">
        <v>242</v>
      </c>
      <c r="G543" t="str">
        <f t="shared" si="64"/>
        <v>Gobiomorphus cotidianus</v>
      </c>
      <c r="H543" t="str">
        <f t="shared" si="65"/>
        <v>Common_bully</v>
      </c>
      <c r="I543" t="str">
        <f t="shared" si="66"/>
        <v>Toitoi</v>
      </c>
      <c r="J543" t="str">
        <f t="shared" si="67"/>
        <v>Native</v>
      </c>
      <c r="K543" t="str">
        <f t="shared" si="68"/>
        <v>No</v>
      </c>
      <c r="M543">
        <v>70</v>
      </c>
      <c r="O543">
        <v>1</v>
      </c>
      <c r="T543" t="str">
        <f t="shared" si="69"/>
        <v/>
      </c>
    </row>
    <row r="544" spans="1:20" x14ac:dyDescent="0.55000000000000004">
      <c r="A544">
        <v>107</v>
      </c>
      <c r="B544" t="str">
        <f t="shared" si="63"/>
        <v>107_0</v>
      </c>
      <c r="C544" s="2">
        <v>45604.388888888891</v>
      </c>
      <c r="D544" t="s">
        <v>221</v>
      </c>
      <c r="E544">
        <v>2</v>
      </c>
      <c r="F544" t="s">
        <v>242</v>
      </c>
      <c r="G544" t="str">
        <f t="shared" si="64"/>
        <v>Gobiomorphus cotidianus</v>
      </c>
      <c r="H544" t="str">
        <f t="shared" si="65"/>
        <v>Common_bully</v>
      </c>
      <c r="I544" t="str">
        <f t="shared" si="66"/>
        <v>Toitoi</v>
      </c>
      <c r="J544" t="str">
        <f t="shared" si="67"/>
        <v>Native</v>
      </c>
      <c r="K544" t="str">
        <f t="shared" si="68"/>
        <v>No</v>
      </c>
      <c r="M544">
        <v>55</v>
      </c>
      <c r="O544">
        <v>1</v>
      </c>
      <c r="T544" t="str">
        <f t="shared" si="69"/>
        <v/>
      </c>
    </row>
    <row r="545" spans="1:20" x14ac:dyDescent="0.55000000000000004">
      <c r="A545">
        <v>107</v>
      </c>
      <c r="B545" t="str">
        <f t="shared" si="63"/>
        <v>107_0</v>
      </c>
      <c r="C545" s="2">
        <v>45604.388888888891</v>
      </c>
      <c r="D545" t="s">
        <v>221</v>
      </c>
      <c r="E545">
        <v>2</v>
      </c>
      <c r="F545" t="s">
        <v>242</v>
      </c>
      <c r="G545" t="str">
        <f t="shared" si="64"/>
        <v>Gobiomorphus cotidianus</v>
      </c>
      <c r="H545" t="str">
        <f t="shared" si="65"/>
        <v>Common_bully</v>
      </c>
      <c r="I545" t="str">
        <f t="shared" si="66"/>
        <v>Toitoi</v>
      </c>
      <c r="J545" t="str">
        <f t="shared" si="67"/>
        <v>Native</v>
      </c>
      <c r="K545" t="str">
        <f t="shared" si="68"/>
        <v>No</v>
      </c>
      <c r="M545">
        <v>46</v>
      </c>
      <c r="O545">
        <v>1</v>
      </c>
      <c r="T545" t="str">
        <f t="shared" si="69"/>
        <v/>
      </c>
    </row>
    <row r="546" spans="1:20" x14ac:dyDescent="0.55000000000000004">
      <c r="A546">
        <v>107</v>
      </c>
      <c r="B546" t="str">
        <f t="shared" si="63"/>
        <v>107_0</v>
      </c>
      <c r="C546" s="2">
        <v>45604.388888888891</v>
      </c>
      <c r="D546" t="s">
        <v>221</v>
      </c>
      <c r="E546">
        <v>2</v>
      </c>
      <c r="F546" t="s">
        <v>242</v>
      </c>
      <c r="G546" t="str">
        <f t="shared" si="64"/>
        <v>Gobiomorphus cotidianus</v>
      </c>
      <c r="H546" t="str">
        <f t="shared" si="65"/>
        <v>Common_bully</v>
      </c>
      <c r="I546" t="str">
        <f t="shared" si="66"/>
        <v>Toitoi</v>
      </c>
      <c r="J546" t="str">
        <f t="shared" si="67"/>
        <v>Native</v>
      </c>
      <c r="K546" t="str">
        <f t="shared" si="68"/>
        <v>No</v>
      </c>
      <c r="M546">
        <v>70</v>
      </c>
      <c r="O546">
        <v>1</v>
      </c>
      <c r="T546" t="str">
        <f t="shared" si="69"/>
        <v/>
      </c>
    </row>
    <row r="547" spans="1:20" x14ac:dyDescent="0.55000000000000004">
      <c r="A547">
        <v>107</v>
      </c>
      <c r="B547" t="str">
        <f t="shared" si="63"/>
        <v>107_0</v>
      </c>
      <c r="C547" s="2">
        <v>45604.388888888891</v>
      </c>
      <c r="D547" t="s">
        <v>221</v>
      </c>
      <c r="E547">
        <v>2</v>
      </c>
      <c r="F547" t="s">
        <v>242</v>
      </c>
      <c r="G547" t="str">
        <f t="shared" si="64"/>
        <v>Gobiomorphus cotidianus</v>
      </c>
      <c r="H547" t="str">
        <f t="shared" si="65"/>
        <v>Common_bully</v>
      </c>
      <c r="I547" t="str">
        <f t="shared" si="66"/>
        <v>Toitoi</v>
      </c>
      <c r="J547" t="str">
        <f t="shared" si="67"/>
        <v>Native</v>
      </c>
      <c r="K547" t="str">
        <f t="shared" si="68"/>
        <v>No</v>
      </c>
      <c r="M547">
        <v>65</v>
      </c>
      <c r="O547">
        <v>1</v>
      </c>
      <c r="T547" t="str">
        <f t="shared" si="69"/>
        <v/>
      </c>
    </row>
    <row r="548" spans="1:20" x14ac:dyDescent="0.55000000000000004">
      <c r="A548">
        <v>107</v>
      </c>
      <c r="B548" t="str">
        <f t="shared" si="63"/>
        <v>107_0</v>
      </c>
      <c r="C548" s="2">
        <v>45604.388888888891</v>
      </c>
      <c r="D548" t="s">
        <v>221</v>
      </c>
      <c r="E548">
        <v>2</v>
      </c>
      <c r="F548" t="s">
        <v>242</v>
      </c>
      <c r="G548" t="str">
        <f t="shared" si="64"/>
        <v>Gobiomorphus cotidianus</v>
      </c>
      <c r="H548" t="str">
        <f t="shared" si="65"/>
        <v>Common_bully</v>
      </c>
      <c r="I548" t="str">
        <f t="shared" si="66"/>
        <v>Toitoi</v>
      </c>
      <c r="J548" t="str">
        <f t="shared" si="67"/>
        <v>Native</v>
      </c>
      <c r="K548" t="str">
        <f t="shared" si="68"/>
        <v>No</v>
      </c>
      <c r="M548">
        <v>52</v>
      </c>
      <c r="O548">
        <v>1</v>
      </c>
      <c r="T548" t="str">
        <f t="shared" si="69"/>
        <v/>
      </c>
    </row>
    <row r="549" spans="1:20" x14ac:dyDescent="0.55000000000000004">
      <c r="A549">
        <v>107</v>
      </c>
      <c r="B549" t="str">
        <f t="shared" si="63"/>
        <v>107_0</v>
      </c>
      <c r="C549" s="2">
        <v>45604.388888888891</v>
      </c>
      <c r="D549" t="s">
        <v>221</v>
      </c>
      <c r="E549">
        <v>2</v>
      </c>
      <c r="F549" t="s">
        <v>242</v>
      </c>
      <c r="G549" t="str">
        <f t="shared" si="64"/>
        <v>Gobiomorphus cotidianus</v>
      </c>
      <c r="H549" t="str">
        <f t="shared" si="65"/>
        <v>Common_bully</v>
      </c>
      <c r="I549" t="str">
        <f t="shared" si="66"/>
        <v>Toitoi</v>
      </c>
      <c r="J549" t="str">
        <f t="shared" si="67"/>
        <v>Native</v>
      </c>
      <c r="K549" t="str">
        <f t="shared" si="68"/>
        <v>No</v>
      </c>
      <c r="M549">
        <v>32</v>
      </c>
      <c r="O549">
        <v>1</v>
      </c>
      <c r="T549" t="str">
        <f t="shared" si="69"/>
        <v/>
      </c>
    </row>
    <row r="550" spans="1:20" x14ac:dyDescent="0.55000000000000004">
      <c r="A550">
        <v>107</v>
      </c>
      <c r="B550" t="str">
        <f t="shared" si="63"/>
        <v>107_0</v>
      </c>
      <c r="C550" s="2">
        <v>45604.388888888891</v>
      </c>
      <c r="D550" t="s">
        <v>221</v>
      </c>
      <c r="E550">
        <v>2</v>
      </c>
      <c r="F550" t="s">
        <v>242</v>
      </c>
      <c r="G550" t="str">
        <f t="shared" si="64"/>
        <v>Gobiomorphus cotidianus</v>
      </c>
      <c r="H550" t="str">
        <f t="shared" si="65"/>
        <v>Common_bully</v>
      </c>
      <c r="I550" t="str">
        <f t="shared" si="66"/>
        <v>Toitoi</v>
      </c>
      <c r="J550" t="str">
        <f t="shared" si="67"/>
        <v>Native</v>
      </c>
      <c r="K550" t="str">
        <f t="shared" si="68"/>
        <v>No</v>
      </c>
      <c r="M550">
        <v>30</v>
      </c>
      <c r="O550">
        <v>1</v>
      </c>
      <c r="T550" t="str">
        <f t="shared" si="69"/>
        <v/>
      </c>
    </row>
    <row r="551" spans="1:20" x14ac:dyDescent="0.55000000000000004">
      <c r="A551">
        <v>107</v>
      </c>
      <c r="B551" t="str">
        <f t="shared" si="63"/>
        <v>107_0</v>
      </c>
      <c r="C551" s="2">
        <v>45604.388888888891</v>
      </c>
      <c r="D551" t="s">
        <v>221</v>
      </c>
      <c r="E551">
        <v>2</v>
      </c>
      <c r="F551" t="s">
        <v>242</v>
      </c>
      <c r="G551" t="str">
        <f t="shared" si="64"/>
        <v>Gobiomorphus cotidianus</v>
      </c>
      <c r="H551" t="str">
        <f t="shared" si="65"/>
        <v>Common_bully</v>
      </c>
      <c r="I551" t="str">
        <f t="shared" si="66"/>
        <v>Toitoi</v>
      </c>
      <c r="J551" t="str">
        <f t="shared" si="67"/>
        <v>Native</v>
      </c>
      <c r="K551" t="str">
        <f t="shared" si="68"/>
        <v>No</v>
      </c>
      <c r="M551">
        <v>30</v>
      </c>
      <c r="O551">
        <v>1</v>
      </c>
      <c r="T551" t="str">
        <f t="shared" si="69"/>
        <v/>
      </c>
    </row>
    <row r="552" spans="1:20" x14ac:dyDescent="0.55000000000000004">
      <c r="A552">
        <v>107</v>
      </c>
      <c r="B552" t="str">
        <f t="shared" si="63"/>
        <v>107_0</v>
      </c>
      <c r="C552" s="2">
        <v>45604.388888888891</v>
      </c>
      <c r="D552" t="s">
        <v>221</v>
      </c>
      <c r="E552">
        <v>2</v>
      </c>
      <c r="F552" t="s">
        <v>242</v>
      </c>
      <c r="G552" t="str">
        <f t="shared" si="64"/>
        <v>Gobiomorphus cotidianus</v>
      </c>
      <c r="H552" t="str">
        <f t="shared" si="65"/>
        <v>Common_bully</v>
      </c>
      <c r="I552" t="str">
        <f t="shared" si="66"/>
        <v>Toitoi</v>
      </c>
      <c r="J552" t="str">
        <f t="shared" si="67"/>
        <v>Native</v>
      </c>
      <c r="K552" t="str">
        <f t="shared" si="68"/>
        <v>No</v>
      </c>
      <c r="M552">
        <v>42</v>
      </c>
      <c r="O552">
        <v>1</v>
      </c>
      <c r="T552" t="str">
        <f t="shared" si="69"/>
        <v/>
      </c>
    </row>
    <row r="553" spans="1:20" x14ac:dyDescent="0.55000000000000004">
      <c r="A553">
        <v>107</v>
      </c>
      <c r="B553" t="str">
        <f t="shared" si="63"/>
        <v>107_0</v>
      </c>
      <c r="C553" s="2">
        <v>45604.388888888891</v>
      </c>
      <c r="D553" t="s">
        <v>221</v>
      </c>
      <c r="E553">
        <v>2</v>
      </c>
      <c r="F553" t="s">
        <v>242</v>
      </c>
      <c r="G553" t="str">
        <f t="shared" si="64"/>
        <v>Gobiomorphus cotidianus</v>
      </c>
      <c r="H553" t="str">
        <f t="shared" si="65"/>
        <v>Common_bully</v>
      </c>
      <c r="I553" t="str">
        <f t="shared" si="66"/>
        <v>Toitoi</v>
      </c>
      <c r="J553" t="str">
        <f t="shared" si="67"/>
        <v>Native</v>
      </c>
      <c r="K553" t="str">
        <f t="shared" si="68"/>
        <v>No</v>
      </c>
      <c r="M553">
        <v>42</v>
      </c>
      <c r="O553">
        <v>1</v>
      </c>
      <c r="T553" t="str">
        <f t="shared" si="69"/>
        <v/>
      </c>
    </row>
    <row r="554" spans="1:20" x14ac:dyDescent="0.55000000000000004">
      <c r="A554">
        <v>107</v>
      </c>
      <c r="B554" t="str">
        <f t="shared" si="63"/>
        <v>107_0</v>
      </c>
      <c r="C554" s="2">
        <v>45604.388888888891</v>
      </c>
      <c r="D554" t="s">
        <v>221</v>
      </c>
      <c r="E554">
        <v>2</v>
      </c>
      <c r="F554" t="s">
        <v>242</v>
      </c>
      <c r="G554" t="str">
        <f t="shared" si="64"/>
        <v>Gobiomorphus cotidianus</v>
      </c>
      <c r="H554" t="str">
        <f t="shared" si="65"/>
        <v>Common_bully</v>
      </c>
      <c r="I554" t="str">
        <f t="shared" si="66"/>
        <v>Toitoi</v>
      </c>
      <c r="J554" t="str">
        <f t="shared" si="67"/>
        <v>Native</v>
      </c>
      <c r="K554" t="str">
        <f t="shared" si="68"/>
        <v>No</v>
      </c>
      <c r="M554">
        <v>75</v>
      </c>
      <c r="O554">
        <v>1</v>
      </c>
      <c r="T554" t="str">
        <f t="shared" si="69"/>
        <v/>
      </c>
    </row>
    <row r="555" spans="1:20" x14ac:dyDescent="0.55000000000000004">
      <c r="A555">
        <v>107</v>
      </c>
      <c r="B555" t="str">
        <f t="shared" si="63"/>
        <v>107_0</v>
      </c>
      <c r="C555" s="2">
        <v>45604.388888888891</v>
      </c>
      <c r="D555" t="s">
        <v>221</v>
      </c>
      <c r="E555">
        <v>2</v>
      </c>
      <c r="F555" t="s">
        <v>242</v>
      </c>
      <c r="G555" t="str">
        <f t="shared" si="64"/>
        <v>Gobiomorphus cotidianus</v>
      </c>
      <c r="H555" t="str">
        <f t="shared" si="65"/>
        <v>Common_bully</v>
      </c>
      <c r="I555" t="str">
        <f t="shared" si="66"/>
        <v>Toitoi</v>
      </c>
      <c r="J555" t="str">
        <f t="shared" si="67"/>
        <v>Native</v>
      </c>
      <c r="K555" t="str">
        <f t="shared" si="68"/>
        <v>No</v>
      </c>
      <c r="M555">
        <v>60</v>
      </c>
      <c r="O555">
        <v>1</v>
      </c>
      <c r="T555" t="str">
        <f t="shared" si="69"/>
        <v/>
      </c>
    </row>
    <row r="556" spans="1:20" x14ac:dyDescent="0.55000000000000004">
      <c r="A556">
        <v>107</v>
      </c>
      <c r="B556" t="str">
        <f t="shared" si="63"/>
        <v>107_0</v>
      </c>
      <c r="C556" s="2">
        <v>45604.388888888891</v>
      </c>
      <c r="D556" t="s">
        <v>221</v>
      </c>
      <c r="E556">
        <v>2</v>
      </c>
      <c r="F556" t="s">
        <v>242</v>
      </c>
      <c r="G556" t="str">
        <f t="shared" si="64"/>
        <v>Gobiomorphus cotidianus</v>
      </c>
      <c r="H556" t="str">
        <f t="shared" si="65"/>
        <v>Common_bully</v>
      </c>
      <c r="I556" t="str">
        <f t="shared" si="66"/>
        <v>Toitoi</v>
      </c>
      <c r="J556" t="str">
        <f t="shared" si="67"/>
        <v>Native</v>
      </c>
      <c r="K556" t="str">
        <f t="shared" si="68"/>
        <v>No</v>
      </c>
      <c r="M556">
        <v>40</v>
      </c>
      <c r="O556">
        <v>1</v>
      </c>
      <c r="T556" t="str">
        <f t="shared" si="69"/>
        <v/>
      </c>
    </row>
    <row r="557" spans="1:20" x14ac:dyDescent="0.55000000000000004">
      <c r="A557">
        <v>107</v>
      </c>
      <c r="B557" t="str">
        <f t="shared" si="63"/>
        <v>107_0</v>
      </c>
      <c r="C557" s="2">
        <v>45604.388888888891</v>
      </c>
      <c r="D557" t="s">
        <v>221</v>
      </c>
      <c r="E557">
        <v>2</v>
      </c>
      <c r="F557" t="s">
        <v>242</v>
      </c>
      <c r="G557" t="str">
        <f t="shared" si="64"/>
        <v>Gobiomorphus cotidianus</v>
      </c>
      <c r="H557" t="str">
        <f t="shared" si="65"/>
        <v>Common_bully</v>
      </c>
      <c r="I557" t="str">
        <f t="shared" si="66"/>
        <v>Toitoi</v>
      </c>
      <c r="J557" t="str">
        <f t="shared" si="67"/>
        <v>Native</v>
      </c>
      <c r="K557" t="str">
        <f t="shared" si="68"/>
        <v>No</v>
      </c>
      <c r="M557">
        <v>26</v>
      </c>
      <c r="O557">
        <v>1</v>
      </c>
      <c r="T557" t="str">
        <f t="shared" si="69"/>
        <v/>
      </c>
    </row>
    <row r="558" spans="1:20" x14ac:dyDescent="0.55000000000000004">
      <c r="A558">
        <v>107</v>
      </c>
      <c r="B558" t="str">
        <f t="shared" si="63"/>
        <v>107_0</v>
      </c>
      <c r="C558" s="2">
        <v>45604.388888888891</v>
      </c>
      <c r="D558" t="s">
        <v>221</v>
      </c>
      <c r="E558">
        <v>2</v>
      </c>
      <c r="F558" t="s">
        <v>242</v>
      </c>
      <c r="G558" t="str">
        <f t="shared" si="64"/>
        <v>Gobiomorphus cotidianus</v>
      </c>
      <c r="H558" t="str">
        <f t="shared" si="65"/>
        <v>Common_bully</v>
      </c>
      <c r="I558" t="str">
        <f t="shared" si="66"/>
        <v>Toitoi</v>
      </c>
      <c r="J558" t="str">
        <f t="shared" si="67"/>
        <v>Native</v>
      </c>
      <c r="K558" t="str">
        <f t="shared" si="68"/>
        <v>No</v>
      </c>
      <c r="M558">
        <v>50</v>
      </c>
      <c r="O558">
        <v>1</v>
      </c>
      <c r="T558" t="str">
        <f t="shared" si="69"/>
        <v/>
      </c>
    </row>
    <row r="559" spans="1:20" x14ac:dyDescent="0.55000000000000004">
      <c r="A559">
        <v>107</v>
      </c>
      <c r="B559" t="str">
        <f t="shared" si="63"/>
        <v>107_0</v>
      </c>
      <c r="C559" s="2">
        <v>45604.388888888891</v>
      </c>
      <c r="D559" t="s">
        <v>221</v>
      </c>
      <c r="E559">
        <v>2</v>
      </c>
      <c r="F559" t="s">
        <v>242</v>
      </c>
      <c r="G559" t="str">
        <f t="shared" si="64"/>
        <v>Gobiomorphus cotidianus</v>
      </c>
      <c r="H559" t="str">
        <f t="shared" si="65"/>
        <v>Common_bully</v>
      </c>
      <c r="I559" t="str">
        <f t="shared" si="66"/>
        <v>Toitoi</v>
      </c>
      <c r="J559" t="str">
        <f t="shared" si="67"/>
        <v>Native</v>
      </c>
      <c r="K559" t="str">
        <f t="shared" si="68"/>
        <v>No</v>
      </c>
      <c r="M559">
        <v>27</v>
      </c>
      <c r="O559">
        <v>1</v>
      </c>
      <c r="T559" t="str">
        <f t="shared" si="69"/>
        <v/>
      </c>
    </row>
    <row r="560" spans="1:20" x14ac:dyDescent="0.55000000000000004">
      <c r="A560">
        <v>107</v>
      </c>
      <c r="B560" t="str">
        <f t="shared" si="63"/>
        <v>107_0</v>
      </c>
      <c r="C560" s="2">
        <v>45604.388888888891</v>
      </c>
      <c r="D560" t="s">
        <v>221</v>
      </c>
      <c r="E560">
        <v>2</v>
      </c>
      <c r="F560" t="s">
        <v>242</v>
      </c>
      <c r="G560" t="str">
        <f t="shared" si="64"/>
        <v>Gobiomorphus cotidianus</v>
      </c>
      <c r="H560" t="str">
        <f t="shared" si="65"/>
        <v>Common_bully</v>
      </c>
      <c r="I560" t="str">
        <f t="shared" si="66"/>
        <v>Toitoi</v>
      </c>
      <c r="J560" t="str">
        <f t="shared" si="67"/>
        <v>Native</v>
      </c>
      <c r="K560" t="str">
        <f t="shared" si="68"/>
        <v>No</v>
      </c>
      <c r="S560">
        <v>1</v>
      </c>
      <c r="T560">
        <f t="shared" si="69"/>
        <v>236.58799999999999</v>
      </c>
    </row>
    <row r="561" spans="1:20" x14ac:dyDescent="0.55000000000000004">
      <c r="A561">
        <v>107</v>
      </c>
      <c r="B561" t="str">
        <f t="shared" si="63"/>
        <v>107_0</v>
      </c>
      <c r="C561" s="2">
        <v>45604.388888888891</v>
      </c>
      <c r="D561" t="s">
        <v>221</v>
      </c>
      <c r="E561">
        <v>2</v>
      </c>
      <c r="F561" t="s">
        <v>242</v>
      </c>
      <c r="G561" t="str">
        <f t="shared" si="64"/>
        <v>Gobiomorphus cotidianus</v>
      </c>
      <c r="H561" t="str">
        <f t="shared" si="65"/>
        <v>Common_bully</v>
      </c>
      <c r="I561" t="str">
        <f t="shared" si="66"/>
        <v>Toitoi</v>
      </c>
      <c r="J561" t="str">
        <f t="shared" si="67"/>
        <v>Native</v>
      </c>
      <c r="K561" t="str">
        <f t="shared" si="68"/>
        <v>No</v>
      </c>
      <c r="N561">
        <f>533-90</f>
        <v>443</v>
      </c>
      <c r="S561">
        <v>2.5</v>
      </c>
      <c r="T561">
        <f t="shared" si="69"/>
        <v>591.47</v>
      </c>
    </row>
    <row r="562" spans="1:20" x14ac:dyDescent="0.55000000000000004">
      <c r="A562">
        <v>108</v>
      </c>
      <c r="B562" t="str">
        <f t="shared" si="63"/>
        <v>108_0</v>
      </c>
      <c r="C562" s="2">
        <v>45604.458333333336</v>
      </c>
      <c r="D562" t="s">
        <v>245</v>
      </c>
      <c r="E562">
        <v>2</v>
      </c>
      <c r="F562" t="s">
        <v>242</v>
      </c>
      <c r="G562" t="str">
        <f t="shared" si="64"/>
        <v>Gobiomorphus cotidianus</v>
      </c>
      <c r="H562" t="str">
        <f t="shared" si="65"/>
        <v>Common_bully</v>
      </c>
      <c r="I562" t="str">
        <f t="shared" si="66"/>
        <v>Toitoi</v>
      </c>
      <c r="J562" t="str">
        <f t="shared" si="67"/>
        <v>Native</v>
      </c>
      <c r="K562" t="str">
        <f t="shared" si="68"/>
        <v>No</v>
      </c>
      <c r="M562">
        <v>51</v>
      </c>
      <c r="N562">
        <f t="shared" ref="N562:N570" si="70">21/9</f>
        <v>2.3333333333333335</v>
      </c>
      <c r="O562">
        <v>1</v>
      </c>
      <c r="T562" t="str">
        <f t="shared" si="69"/>
        <v/>
      </c>
    </row>
    <row r="563" spans="1:20" x14ac:dyDescent="0.55000000000000004">
      <c r="A563">
        <v>108</v>
      </c>
      <c r="B563" t="str">
        <f t="shared" si="63"/>
        <v>108_0</v>
      </c>
      <c r="C563" s="2">
        <v>45604.458333333336</v>
      </c>
      <c r="D563" t="s">
        <v>245</v>
      </c>
      <c r="E563">
        <v>2</v>
      </c>
      <c r="F563" t="s">
        <v>242</v>
      </c>
      <c r="G563" t="str">
        <f t="shared" si="64"/>
        <v>Gobiomorphus cotidianus</v>
      </c>
      <c r="H563" t="str">
        <f t="shared" si="65"/>
        <v>Common_bully</v>
      </c>
      <c r="I563" t="str">
        <f t="shared" si="66"/>
        <v>Toitoi</v>
      </c>
      <c r="J563" t="str">
        <f t="shared" si="67"/>
        <v>Native</v>
      </c>
      <c r="K563" t="str">
        <f t="shared" si="68"/>
        <v>No</v>
      </c>
      <c r="M563">
        <v>56</v>
      </c>
      <c r="N563">
        <f t="shared" si="70"/>
        <v>2.3333333333333335</v>
      </c>
      <c r="O563">
        <v>1</v>
      </c>
      <c r="T563" t="str">
        <f t="shared" si="69"/>
        <v/>
      </c>
    </row>
    <row r="564" spans="1:20" x14ac:dyDescent="0.55000000000000004">
      <c r="A564">
        <v>108</v>
      </c>
      <c r="B564" t="str">
        <f t="shared" si="63"/>
        <v>108_0</v>
      </c>
      <c r="C564" s="2">
        <v>45604.458333333336</v>
      </c>
      <c r="D564" t="s">
        <v>245</v>
      </c>
      <c r="E564">
        <v>2</v>
      </c>
      <c r="F564" t="s">
        <v>242</v>
      </c>
      <c r="G564" t="str">
        <f t="shared" si="64"/>
        <v>Gobiomorphus cotidianus</v>
      </c>
      <c r="H564" t="str">
        <f t="shared" si="65"/>
        <v>Common_bully</v>
      </c>
      <c r="I564" t="str">
        <f t="shared" si="66"/>
        <v>Toitoi</v>
      </c>
      <c r="J564" t="str">
        <f t="shared" si="67"/>
        <v>Native</v>
      </c>
      <c r="K564" t="str">
        <f t="shared" si="68"/>
        <v>No</v>
      </c>
      <c r="M564">
        <v>45</v>
      </c>
      <c r="N564">
        <f t="shared" si="70"/>
        <v>2.3333333333333335</v>
      </c>
      <c r="O564">
        <v>1</v>
      </c>
      <c r="T564" t="str">
        <f t="shared" si="69"/>
        <v/>
      </c>
    </row>
    <row r="565" spans="1:20" x14ac:dyDescent="0.55000000000000004">
      <c r="A565">
        <v>108</v>
      </c>
      <c r="B565" t="str">
        <f t="shared" si="63"/>
        <v>108_0</v>
      </c>
      <c r="C565" s="2">
        <v>45604.458333333336</v>
      </c>
      <c r="D565" t="s">
        <v>245</v>
      </c>
      <c r="E565">
        <v>2</v>
      </c>
      <c r="F565" t="s">
        <v>242</v>
      </c>
      <c r="G565" t="str">
        <f t="shared" si="64"/>
        <v>Gobiomorphus cotidianus</v>
      </c>
      <c r="H565" t="str">
        <f t="shared" si="65"/>
        <v>Common_bully</v>
      </c>
      <c r="I565" t="str">
        <f t="shared" si="66"/>
        <v>Toitoi</v>
      </c>
      <c r="J565" t="str">
        <f t="shared" si="67"/>
        <v>Native</v>
      </c>
      <c r="K565" t="str">
        <f t="shared" si="68"/>
        <v>No</v>
      </c>
      <c r="M565">
        <v>63</v>
      </c>
      <c r="N565">
        <f t="shared" si="70"/>
        <v>2.3333333333333335</v>
      </c>
      <c r="O565">
        <v>1</v>
      </c>
      <c r="T565" t="str">
        <f t="shared" si="69"/>
        <v/>
      </c>
    </row>
    <row r="566" spans="1:20" x14ac:dyDescent="0.55000000000000004">
      <c r="A566">
        <v>108</v>
      </c>
      <c r="B566" t="str">
        <f t="shared" si="63"/>
        <v>108_0</v>
      </c>
      <c r="C566" s="2">
        <v>45604.458333333336</v>
      </c>
      <c r="D566" t="s">
        <v>245</v>
      </c>
      <c r="E566">
        <v>2</v>
      </c>
      <c r="F566" t="s">
        <v>242</v>
      </c>
      <c r="G566" t="str">
        <f t="shared" si="64"/>
        <v>Gobiomorphus cotidianus</v>
      </c>
      <c r="H566" t="str">
        <f t="shared" si="65"/>
        <v>Common_bully</v>
      </c>
      <c r="I566" t="str">
        <f t="shared" si="66"/>
        <v>Toitoi</v>
      </c>
      <c r="J566" t="str">
        <f t="shared" si="67"/>
        <v>Native</v>
      </c>
      <c r="K566" t="str">
        <f t="shared" si="68"/>
        <v>No</v>
      </c>
      <c r="M566">
        <v>63</v>
      </c>
      <c r="N566">
        <f t="shared" si="70"/>
        <v>2.3333333333333335</v>
      </c>
      <c r="O566">
        <v>1</v>
      </c>
      <c r="T566" t="str">
        <f t="shared" si="69"/>
        <v/>
      </c>
    </row>
    <row r="567" spans="1:20" x14ac:dyDescent="0.55000000000000004">
      <c r="A567">
        <v>108</v>
      </c>
      <c r="B567" t="str">
        <f t="shared" si="63"/>
        <v>108_0</v>
      </c>
      <c r="C567" s="2">
        <v>45604.458333333336</v>
      </c>
      <c r="D567" t="s">
        <v>245</v>
      </c>
      <c r="E567">
        <v>2</v>
      </c>
      <c r="F567" t="s">
        <v>242</v>
      </c>
      <c r="G567" t="str">
        <f t="shared" si="64"/>
        <v>Gobiomorphus cotidianus</v>
      </c>
      <c r="H567" t="str">
        <f t="shared" si="65"/>
        <v>Common_bully</v>
      </c>
      <c r="I567" t="str">
        <f t="shared" si="66"/>
        <v>Toitoi</v>
      </c>
      <c r="J567" t="str">
        <f t="shared" si="67"/>
        <v>Native</v>
      </c>
      <c r="K567" t="str">
        <f t="shared" si="68"/>
        <v>No</v>
      </c>
      <c r="M567">
        <v>70</v>
      </c>
      <c r="N567">
        <f t="shared" si="70"/>
        <v>2.3333333333333335</v>
      </c>
      <c r="O567">
        <v>1</v>
      </c>
      <c r="T567" t="str">
        <f t="shared" si="69"/>
        <v/>
      </c>
    </row>
    <row r="568" spans="1:20" x14ac:dyDescent="0.55000000000000004">
      <c r="A568">
        <v>108</v>
      </c>
      <c r="B568" t="str">
        <f t="shared" si="63"/>
        <v>108_0</v>
      </c>
      <c r="C568" s="2">
        <v>45604.458333333336</v>
      </c>
      <c r="D568" t="s">
        <v>245</v>
      </c>
      <c r="E568">
        <v>2</v>
      </c>
      <c r="F568" t="s">
        <v>242</v>
      </c>
      <c r="G568" t="str">
        <f t="shared" si="64"/>
        <v>Gobiomorphus cotidianus</v>
      </c>
      <c r="H568" t="str">
        <f t="shared" si="65"/>
        <v>Common_bully</v>
      </c>
      <c r="I568" t="str">
        <f t="shared" si="66"/>
        <v>Toitoi</v>
      </c>
      <c r="J568" t="str">
        <f t="shared" si="67"/>
        <v>Native</v>
      </c>
      <c r="K568" t="str">
        <f t="shared" si="68"/>
        <v>No</v>
      </c>
      <c r="M568">
        <v>65</v>
      </c>
      <c r="N568">
        <f t="shared" si="70"/>
        <v>2.3333333333333335</v>
      </c>
      <c r="O568">
        <v>1</v>
      </c>
      <c r="T568" t="str">
        <f t="shared" si="69"/>
        <v/>
      </c>
    </row>
    <row r="569" spans="1:20" x14ac:dyDescent="0.55000000000000004">
      <c r="A569">
        <v>108</v>
      </c>
      <c r="B569" t="str">
        <f t="shared" si="63"/>
        <v>108_0</v>
      </c>
      <c r="C569" s="2">
        <v>45604.458333333336</v>
      </c>
      <c r="D569" t="s">
        <v>245</v>
      </c>
      <c r="E569">
        <v>2</v>
      </c>
      <c r="F569" t="s">
        <v>242</v>
      </c>
      <c r="G569" t="str">
        <f t="shared" si="64"/>
        <v>Gobiomorphus cotidianus</v>
      </c>
      <c r="H569" t="str">
        <f t="shared" si="65"/>
        <v>Common_bully</v>
      </c>
      <c r="I569" t="str">
        <f t="shared" si="66"/>
        <v>Toitoi</v>
      </c>
      <c r="J569" t="str">
        <f t="shared" si="67"/>
        <v>Native</v>
      </c>
      <c r="K569" t="str">
        <f t="shared" si="68"/>
        <v>No</v>
      </c>
      <c r="M569">
        <v>49</v>
      </c>
      <c r="N569">
        <f t="shared" si="70"/>
        <v>2.3333333333333335</v>
      </c>
      <c r="O569">
        <v>1</v>
      </c>
      <c r="T569" t="str">
        <f t="shared" si="69"/>
        <v/>
      </c>
    </row>
    <row r="570" spans="1:20" x14ac:dyDescent="0.55000000000000004">
      <c r="A570">
        <v>108</v>
      </c>
      <c r="B570" t="str">
        <f t="shared" si="63"/>
        <v>108_0</v>
      </c>
      <c r="C570" s="2">
        <v>45604.458333333336</v>
      </c>
      <c r="D570" t="s">
        <v>245</v>
      </c>
      <c r="E570">
        <v>2</v>
      </c>
      <c r="F570" t="s">
        <v>242</v>
      </c>
      <c r="G570" t="str">
        <f t="shared" si="64"/>
        <v>Gobiomorphus cotidianus</v>
      </c>
      <c r="H570" t="str">
        <f t="shared" si="65"/>
        <v>Common_bully</v>
      </c>
      <c r="I570" t="str">
        <f t="shared" si="66"/>
        <v>Toitoi</v>
      </c>
      <c r="J570" t="str">
        <f t="shared" si="67"/>
        <v>Native</v>
      </c>
      <c r="K570" t="str">
        <f t="shared" si="68"/>
        <v>No</v>
      </c>
      <c r="M570">
        <v>30</v>
      </c>
      <c r="N570">
        <f t="shared" si="70"/>
        <v>2.3333333333333335</v>
      </c>
      <c r="O570">
        <v>1</v>
      </c>
      <c r="T570" t="str">
        <f t="shared" si="69"/>
        <v/>
      </c>
    </row>
    <row r="571" spans="1:20" x14ac:dyDescent="0.55000000000000004">
      <c r="A571">
        <v>108</v>
      </c>
      <c r="B571" t="str">
        <f t="shared" si="63"/>
        <v>108_0</v>
      </c>
      <c r="C571" s="2">
        <v>45604.458333333336</v>
      </c>
      <c r="D571" t="s">
        <v>221</v>
      </c>
      <c r="E571">
        <v>2</v>
      </c>
      <c r="F571" t="s">
        <v>236</v>
      </c>
      <c r="G571" t="str">
        <f t="shared" si="64"/>
        <v>Carassius auratus</v>
      </c>
      <c r="H571" t="str">
        <f t="shared" si="65"/>
        <v>Goldfish</v>
      </c>
      <c r="I571" t="str">
        <f t="shared" si="66"/>
        <v>Morihana</v>
      </c>
      <c r="J571" t="str">
        <f t="shared" si="67"/>
        <v>Nonnative</v>
      </c>
      <c r="K571" t="str">
        <f t="shared" si="68"/>
        <v>No</v>
      </c>
      <c r="M571">
        <v>39</v>
      </c>
      <c r="N571">
        <v>1</v>
      </c>
      <c r="O571">
        <v>1</v>
      </c>
      <c r="T571" t="str">
        <f t="shared" si="69"/>
        <v/>
      </c>
    </row>
    <row r="572" spans="1:20" x14ac:dyDescent="0.55000000000000004">
      <c r="A572">
        <v>108</v>
      </c>
      <c r="B572" t="str">
        <f t="shared" si="63"/>
        <v>108_0</v>
      </c>
      <c r="C572" s="2">
        <v>45604.458333333336</v>
      </c>
      <c r="D572" t="s">
        <v>221</v>
      </c>
      <c r="E572">
        <v>2</v>
      </c>
      <c r="F572" t="s">
        <v>236</v>
      </c>
      <c r="G572" t="str">
        <f t="shared" si="64"/>
        <v>Carassius auratus</v>
      </c>
      <c r="H572" t="str">
        <f t="shared" si="65"/>
        <v>Goldfish</v>
      </c>
      <c r="I572" t="str">
        <f t="shared" si="66"/>
        <v>Morihana</v>
      </c>
      <c r="J572" t="str">
        <f t="shared" si="67"/>
        <v>Nonnative</v>
      </c>
      <c r="K572" t="str">
        <f t="shared" si="68"/>
        <v>No</v>
      </c>
      <c r="M572">
        <v>49</v>
      </c>
      <c r="N572">
        <v>1</v>
      </c>
      <c r="O572">
        <v>1</v>
      </c>
      <c r="T572" t="str">
        <f t="shared" si="69"/>
        <v/>
      </c>
    </row>
    <row r="573" spans="1:20" x14ac:dyDescent="0.55000000000000004">
      <c r="A573">
        <v>109</v>
      </c>
      <c r="B573" t="str">
        <f t="shared" si="63"/>
        <v>109_0</v>
      </c>
      <c r="C573" s="2">
        <v>45597.541666608799</v>
      </c>
      <c r="D573" t="s">
        <v>245</v>
      </c>
      <c r="E573">
        <v>2</v>
      </c>
      <c r="F573" t="s">
        <v>222</v>
      </c>
      <c r="G573" t="str">
        <f t="shared" si="64"/>
        <v>Paranephrops planifrons</v>
      </c>
      <c r="H573" t="str">
        <f t="shared" si="65"/>
        <v>Freshwater_crayfish</v>
      </c>
      <c r="I573" t="str">
        <f t="shared" si="66"/>
        <v>Kōura</v>
      </c>
      <c r="J573" t="str">
        <f t="shared" si="67"/>
        <v>Native</v>
      </c>
      <c r="K573" t="str">
        <f t="shared" si="68"/>
        <v>Yes</v>
      </c>
      <c r="L573" t="s">
        <v>228</v>
      </c>
      <c r="M573">
        <v>25</v>
      </c>
      <c r="N573">
        <v>16</v>
      </c>
      <c r="O573">
        <v>1</v>
      </c>
      <c r="T573" t="str">
        <f t="shared" si="69"/>
        <v/>
      </c>
    </row>
    <row r="574" spans="1:20" x14ac:dyDescent="0.55000000000000004">
      <c r="A574">
        <v>108</v>
      </c>
      <c r="B574" t="str">
        <f t="shared" si="63"/>
        <v>108_0</v>
      </c>
      <c r="C574" s="2">
        <v>45604.458333333336</v>
      </c>
      <c r="D574" t="s">
        <v>221</v>
      </c>
      <c r="E574">
        <v>2</v>
      </c>
      <c r="F574" t="s">
        <v>242</v>
      </c>
      <c r="G574" t="str">
        <f t="shared" si="64"/>
        <v>Gobiomorphus cotidianus</v>
      </c>
      <c r="H574" t="str">
        <f t="shared" si="65"/>
        <v>Common_bully</v>
      </c>
      <c r="I574" t="str">
        <f t="shared" si="66"/>
        <v>Toitoi</v>
      </c>
      <c r="J574" t="str">
        <f t="shared" si="67"/>
        <v>Native</v>
      </c>
      <c r="K574" t="str">
        <f t="shared" si="68"/>
        <v>No</v>
      </c>
      <c r="M574">
        <v>61</v>
      </c>
      <c r="N574">
        <f t="shared" ref="N574:N604" si="71">66/30</f>
        <v>2.2000000000000002</v>
      </c>
      <c r="O574">
        <v>1</v>
      </c>
      <c r="T574" t="str">
        <f t="shared" si="69"/>
        <v/>
      </c>
    </row>
    <row r="575" spans="1:20" x14ac:dyDescent="0.55000000000000004">
      <c r="A575">
        <v>108</v>
      </c>
      <c r="B575" t="str">
        <f t="shared" si="63"/>
        <v>108_0</v>
      </c>
      <c r="C575" s="2">
        <v>45604.458333333336</v>
      </c>
      <c r="D575" t="s">
        <v>221</v>
      </c>
      <c r="E575">
        <v>2</v>
      </c>
      <c r="F575" t="s">
        <v>242</v>
      </c>
      <c r="G575" t="str">
        <f t="shared" si="64"/>
        <v>Gobiomorphus cotidianus</v>
      </c>
      <c r="H575" t="str">
        <f t="shared" si="65"/>
        <v>Common_bully</v>
      </c>
      <c r="I575" t="str">
        <f t="shared" si="66"/>
        <v>Toitoi</v>
      </c>
      <c r="J575" t="str">
        <f t="shared" si="67"/>
        <v>Native</v>
      </c>
      <c r="K575" t="str">
        <f t="shared" si="68"/>
        <v>No</v>
      </c>
      <c r="M575">
        <v>46</v>
      </c>
      <c r="N575">
        <f t="shared" si="71"/>
        <v>2.2000000000000002</v>
      </c>
      <c r="O575">
        <v>1</v>
      </c>
      <c r="T575" t="str">
        <f t="shared" si="69"/>
        <v/>
      </c>
    </row>
    <row r="576" spans="1:20" x14ac:dyDescent="0.55000000000000004">
      <c r="A576">
        <v>108</v>
      </c>
      <c r="B576" t="str">
        <f t="shared" si="63"/>
        <v>108_0</v>
      </c>
      <c r="C576" s="2">
        <v>45604.458333333336</v>
      </c>
      <c r="D576" t="s">
        <v>221</v>
      </c>
      <c r="E576">
        <v>2</v>
      </c>
      <c r="F576" t="s">
        <v>242</v>
      </c>
      <c r="G576" t="str">
        <f t="shared" si="64"/>
        <v>Gobiomorphus cotidianus</v>
      </c>
      <c r="H576" t="str">
        <f t="shared" si="65"/>
        <v>Common_bully</v>
      </c>
      <c r="I576" t="str">
        <f t="shared" si="66"/>
        <v>Toitoi</v>
      </c>
      <c r="J576" t="str">
        <f t="shared" si="67"/>
        <v>Native</v>
      </c>
      <c r="K576" t="str">
        <f t="shared" si="68"/>
        <v>No</v>
      </c>
      <c r="M576">
        <v>61</v>
      </c>
      <c r="N576">
        <f t="shared" si="71"/>
        <v>2.2000000000000002</v>
      </c>
      <c r="O576">
        <v>1</v>
      </c>
      <c r="T576" t="str">
        <f t="shared" si="69"/>
        <v/>
      </c>
    </row>
    <row r="577" spans="1:20" x14ac:dyDescent="0.55000000000000004">
      <c r="A577">
        <v>108</v>
      </c>
      <c r="B577" t="str">
        <f t="shared" si="63"/>
        <v>108_0</v>
      </c>
      <c r="C577" s="2">
        <v>45604.458333333336</v>
      </c>
      <c r="D577" t="s">
        <v>221</v>
      </c>
      <c r="E577">
        <v>2</v>
      </c>
      <c r="F577" t="s">
        <v>242</v>
      </c>
      <c r="G577" t="str">
        <f t="shared" si="64"/>
        <v>Gobiomorphus cotidianus</v>
      </c>
      <c r="H577" t="str">
        <f t="shared" si="65"/>
        <v>Common_bully</v>
      </c>
      <c r="I577" t="str">
        <f t="shared" si="66"/>
        <v>Toitoi</v>
      </c>
      <c r="J577" t="str">
        <f t="shared" si="67"/>
        <v>Native</v>
      </c>
      <c r="K577" t="str">
        <f t="shared" si="68"/>
        <v>No</v>
      </c>
      <c r="M577">
        <v>50</v>
      </c>
      <c r="N577">
        <f t="shared" si="71"/>
        <v>2.2000000000000002</v>
      </c>
      <c r="O577">
        <v>1</v>
      </c>
      <c r="T577" t="str">
        <f t="shared" si="69"/>
        <v/>
      </c>
    </row>
    <row r="578" spans="1:20" x14ac:dyDescent="0.55000000000000004">
      <c r="A578">
        <v>108</v>
      </c>
      <c r="B578" t="str">
        <f t="shared" ref="B578:B641" si="72">A578 &amp; "_0"</f>
        <v>108_0</v>
      </c>
      <c r="C578" s="2">
        <v>45604.458333333336</v>
      </c>
      <c r="D578" t="s">
        <v>221</v>
      </c>
      <c r="E578">
        <v>2</v>
      </c>
      <c r="F578" t="s">
        <v>242</v>
      </c>
      <c r="G578" t="str">
        <f t="shared" ref="G578:G641" si="73">VLOOKUP($F578, $W$1:$AB$10, 2, FALSE)</f>
        <v>Gobiomorphus cotidianus</v>
      </c>
      <c r="H578" t="str">
        <f t="shared" ref="H578:H641" si="74">VLOOKUP($F578, $W$1:$AB$10, 3, FALSE)</f>
        <v>Common_bully</v>
      </c>
      <c r="I578" t="str">
        <f t="shared" ref="I578:I641" si="75">VLOOKUP($F578, $W$1:$AB$10, 4, FALSE)</f>
        <v>Toitoi</v>
      </c>
      <c r="J578" t="str">
        <f t="shared" ref="J578:J641" si="76">VLOOKUP($F578, $W$1:$AC$10, 5, FALSE)</f>
        <v>Native</v>
      </c>
      <c r="K578" t="str">
        <f t="shared" ref="K578:K641" si="77">VLOOKUP($F578, $W$1:$AB$10, 6, FALSE)</f>
        <v>No</v>
      </c>
      <c r="M578">
        <v>59</v>
      </c>
      <c r="N578">
        <f t="shared" si="71"/>
        <v>2.2000000000000002</v>
      </c>
      <c r="O578">
        <v>1</v>
      </c>
      <c r="T578" t="str">
        <f t="shared" ref="T578:T641" si="78">IF(S578&lt;&gt;"", S578*236.588, "")</f>
        <v/>
      </c>
    </row>
    <row r="579" spans="1:20" x14ac:dyDescent="0.55000000000000004">
      <c r="A579">
        <v>108</v>
      </c>
      <c r="B579" t="str">
        <f t="shared" si="72"/>
        <v>108_0</v>
      </c>
      <c r="C579" s="2">
        <v>45604.458333333336</v>
      </c>
      <c r="D579" t="s">
        <v>221</v>
      </c>
      <c r="E579">
        <v>2</v>
      </c>
      <c r="F579" t="s">
        <v>242</v>
      </c>
      <c r="G579" t="str">
        <f t="shared" si="73"/>
        <v>Gobiomorphus cotidianus</v>
      </c>
      <c r="H579" t="str">
        <f t="shared" si="74"/>
        <v>Common_bully</v>
      </c>
      <c r="I579" t="str">
        <f t="shared" si="75"/>
        <v>Toitoi</v>
      </c>
      <c r="J579" t="str">
        <f t="shared" si="76"/>
        <v>Native</v>
      </c>
      <c r="K579" t="str">
        <f t="shared" si="77"/>
        <v>No</v>
      </c>
      <c r="M579">
        <v>51</v>
      </c>
      <c r="N579">
        <f t="shared" si="71"/>
        <v>2.2000000000000002</v>
      </c>
      <c r="O579">
        <v>1</v>
      </c>
      <c r="T579" t="str">
        <f t="shared" si="78"/>
        <v/>
      </c>
    </row>
    <row r="580" spans="1:20" x14ac:dyDescent="0.55000000000000004">
      <c r="A580">
        <v>108</v>
      </c>
      <c r="B580" t="str">
        <f t="shared" si="72"/>
        <v>108_0</v>
      </c>
      <c r="C580" s="2">
        <v>45604.458333333336</v>
      </c>
      <c r="D580" t="s">
        <v>221</v>
      </c>
      <c r="E580">
        <v>2</v>
      </c>
      <c r="F580" t="s">
        <v>242</v>
      </c>
      <c r="G580" t="str">
        <f t="shared" si="73"/>
        <v>Gobiomorphus cotidianus</v>
      </c>
      <c r="H580" t="str">
        <f t="shared" si="74"/>
        <v>Common_bully</v>
      </c>
      <c r="I580" t="str">
        <f t="shared" si="75"/>
        <v>Toitoi</v>
      </c>
      <c r="J580" t="str">
        <f t="shared" si="76"/>
        <v>Native</v>
      </c>
      <c r="K580" t="str">
        <f t="shared" si="77"/>
        <v>No</v>
      </c>
      <c r="M580">
        <v>54</v>
      </c>
      <c r="N580">
        <f t="shared" si="71"/>
        <v>2.2000000000000002</v>
      </c>
      <c r="O580">
        <v>1</v>
      </c>
      <c r="T580" t="str">
        <f t="shared" si="78"/>
        <v/>
      </c>
    </row>
    <row r="581" spans="1:20" x14ac:dyDescent="0.55000000000000004">
      <c r="A581">
        <v>108</v>
      </c>
      <c r="B581" t="str">
        <f t="shared" si="72"/>
        <v>108_0</v>
      </c>
      <c r="C581" s="2">
        <v>45604.458333333336</v>
      </c>
      <c r="D581" t="s">
        <v>221</v>
      </c>
      <c r="E581">
        <v>2</v>
      </c>
      <c r="F581" t="s">
        <v>242</v>
      </c>
      <c r="G581" t="str">
        <f t="shared" si="73"/>
        <v>Gobiomorphus cotidianus</v>
      </c>
      <c r="H581" t="str">
        <f t="shared" si="74"/>
        <v>Common_bully</v>
      </c>
      <c r="I581" t="str">
        <f t="shared" si="75"/>
        <v>Toitoi</v>
      </c>
      <c r="J581" t="str">
        <f t="shared" si="76"/>
        <v>Native</v>
      </c>
      <c r="K581" t="str">
        <f t="shared" si="77"/>
        <v>No</v>
      </c>
      <c r="M581">
        <v>50</v>
      </c>
      <c r="N581">
        <f t="shared" si="71"/>
        <v>2.2000000000000002</v>
      </c>
      <c r="O581">
        <v>1</v>
      </c>
      <c r="T581" t="str">
        <f t="shared" si="78"/>
        <v/>
      </c>
    </row>
    <row r="582" spans="1:20" x14ac:dyDescent="0.55000000000000004">
      <c r="A582">
        <v>108</v>
      </c>
      <c r="B582" t="str">
        <f t="shared" si="72"/>
        <v>108_0</v>
      </c>
      <c r="C582" s="2">
        <v>45604.458333333336</v>
      </c>
      <c r="D582" t="s">
        <v>221</v>
      </c>
      <c r="E582">
        <v>2</v>
      </c>
      <c r="F582" t="s">
        <v>242</v>
      </c>
      <c r="G582" t="str">
        <f t="shared" si="73"/>
        <v>Gobiomorphus cotidianus</v>
      </c>
      <c r="H582" t="str">
        <f t="shared" si="74"/>
        <v>Common_bully</v>
      </c>
      <c r="I582" t="str">
        <f t="shared" si="75"/>
        <v>Toitoi</v>
      </c>
      <c r="J582" t="str">
        <f t="shared" si="76"/>
        <v>Native</v>
      </c>
      <c r="K582" t="str">
        <f t="shared" si="77"/>
        <v>No</v>
      </c>
      <c r="M582">
        <v>45</v>
      </c>
      <c r="N582">
        <f t="shared" si="71"/>
        <v>2.2000000000000002</v>
      </c>
      <c r="O582">
        <v>1</v>
      </c>
      <c r="T582" t="str">
        <f t="shared" si="78"/>
        <v/>
      </c>
    </row>
    <row r="583" spans="1:20" x14ac:dyDescent="0.55000000000000004">
      <c r="A583">
        <v>108</v>
      </c>
      <c r="B583" t="str">
        <f t="shared" si="72"/>
        <v>108_0</v>
      </c>
      <c r="C583" s="2">
        <v>45604.458333333336</v>
      </c>
      <c r="D583" t="s">
        <v>221</v>
      </c>
      <c r="E583">
        <v>2</v>
      </c>
      <c r="F583" t="s">
        <v>242</v>
      </c>
      <c r="G583" t="str">
        <f t="shared" si="73"/>
        <v>Gobiomorphus cotidianus</v>
      </c>
      <c r="H583" t="str">
        <f t="shared" si="74"/>
        <v>Common_bully</v>
      </c>
      <c r="I583" t="str">
        <f t="shared" si="75"/>
        <v>Toitoi</v>
      </c>
      <c r="J583" t="str">
        <f t="shared" si="76"/>
        <v>Native</v>
      </c>
      <c r="K583" t="str">
        <f t="shared" si="77"/>
        <v>No</v>
      </c>
      <c r="M583">
        <v>41</v>
      </c>
      <c r="N583">
        <f t="shared" si="71"/>
        <v>2.2000000000000002</v>
      </c>
      <c r="O583">
        <v>1</v>
      </c>
      <c r="T583" t="str">
        <f t="shared" si="78"/>
        <v/>
      </c>
    </row>
    <row r="584" spans="1:20" x14ac:dyDescent="0.55000000000000004">
      <c r="A584">
        <v>108</v>
      </c>
      <c r="B584" t="str">
        <f t="shared" si="72"/>
        <v>108_0</v>
      </c>
      <c r="C584" s="2">
        <v>45604.458333333336</v>
      </c>
      <c r="D584" t="s">
        <v>221</v>
      </c>
      <c r="E584">
        <v>2</v>
      </c>
      <c r="F584" t="s">
        <v>242</v>
      </c>
      <c r="G584" t="str">
        <f t="shared" si="73"/>
        <v>Gobiomorphus cotidianus</v>
      </c>
      <c r="H584" t="str">
        <f t="shared" si="74"/>
        <v>Common_bully</v>
      </c>
      <c r="I584" t="str">
        <f t="shared" si="75"/>
        <v>Toitoi</v>
      </c>
      <c r="J584" t="str">
        <f t="shared" si="76"/>
        <v>Native</v>
      </c>
      <c r="K584" t="str">
        <f t="shared" si="77"/>
        <v>No</v>
      </c>
      <c r="M584">
        <v>59</v>
      </c>
      <c r="N584">
        <f t="shared" si="71"/>
        <v>2.2000000000000002</v>
      </c>
      <c r="O584">
        <v>1</v>
      </c>
      <c r="T584" t="str">
        <f t="shared" si="78"/>
        <v/>
      </c>
    </row>
    <row r="585" spans="1:20" x14ac:dyDescent="0.55000000000000004">
      <c r="A585">
        <v>108</v>
      </c>
      <c r="B585" t="str">
        <f t="shared" si="72"/>
        <v>108_0</v>
      </c>
      <c r="C585" s="2">
        <v>45604.458333333336</v>
      </c>
      <c r="D585" t="s">
        <v>221</v>
      </c>
      <c r="E585">
        <v>2</v>
      </c>
      <c r="F585" t="s">
        <v>242</v>
      </c>
      <c r="G585" t="str">
        <f t="shared" si="73"/>
        <v>Gobiomorphus cotidianus</v>
      </c>
      <c r="H585" t="str">
        <f t="shared" si="74"/>
        <v>Common_bully</v>
      </c>
      <c r="I585" t="str">
        <f t="shared" si="75"/>
        <v>Toitoi</v>
      </c>
      <c r="J585" t="str">
        <f t="shared" si="76"/>
        <v>Native</v>
      </c>
      <c r="K585" t="str">
        <f t="shared" si="77"/>
        <v>No</v>
      </c>
      <c r="M585">
        <v>31</v>
      </c>
      <c r="N585">
        <f t="shared" si="71"/>
        <v>2.2000000000000002</v>
      </c>
      <c r="O585">
        <v>1</v>
      </c>
      <c r="T585" t="str">
        <f t="shared" si="78"/>
        <v/>
      </c>
    </row>
    <row r="586" spans="1:20" x14ac:dyDescent="0.55000000000000004">
      <c r="A586">
        <v>108</v>
      </c>
      <c r="B586" t="str">
        <f t="shared" si="72"/>
        <v>108_0</v>
      </c>
      <c r="C586" s="2">
        <v>45604.458333333336</v>
      </c>
      <c r="D586" t="s">
        <v>221</v>
      </c>
      <c r="E586">
        <v>2</v>
      </c>
      <c r="F586" t="s">
        <v>242</v>
      </c>
      <c r="G586" t="str">
        <f t="shared" si="73"/>
        <v>Gobiomorphus cotidianus</v>
      </c>
      <c r="H586" t="str">
        <f t="shared" si="74"/>
        <v>Common_bully</v>
      </c>
      <c r="I586" t="str">
        <f t="shared" si="75"/>
        <v>Toitoi</v>
      </c>
      <c r="J586" t="str">
        <f t="shared" si="76"/>
        <v>Native</v>
      </c>
      <c r="K586" t="str">
        <f t="shared" si="77"/>
        <v>No</v>
      </c>
      <c r="M586">
        <v>55</v>
      </c>
      <c r="N586">
        <f t="shared" si="71"/>
        <v>2.2000000000000002</v>
      </c>
      <c r="O586">
        <v>1</v>
      </c>
      <c r="T586" t="str">
        <f t="shared" si="78"/>
        <v/>
      </c>
    </row>
    <row r="587" spans="1:20" x14ac:dyDescent="0.55000000000000004">
      <c r="A587">
        <v>108</v>
      </c>
      <c r="B587" t="str">
        <f t="shared" si="72"/>
        <v>108_0</v>
      </c>
      <c r="C587" s="2">
        <v>45604.458333333336</v>
      </c>
      <c r="D587" t="s">
        <v>221</v>
      </c>
      <c r="E587">
        <v>2</v>
      </c>
      <c r="F587" t="s">
        <v>242</v>
      </c>
      <c r="G587" t="str">
        <f t="shared" si="73"/>
        <v>Gobiomorphus cotidianus</v>
      </c>
      <c r="H587" t="str">
        <f t="shared" si="74"/>
        <v>Common_bully</v>
      </c>
      <c r="I587" t="str">
        <f t="shared" si="75"/>
        <v>Toitoi</v>
      </c>
      <c r="J587" t="str">
        <f t="shared" si="76"/>
        <v>Native</v>
      </c>
      <c r="K587" t="str">
        <f t="shared" si="77"/>
        <v>No</v>
      </c>
      <c r="M587">
        <v>50</v>
      </c>
      <c r="N587">
        <f t="shared" si="71"/>
        <v>2.2000000000000002</v>
      </c>
      <c r="O587">
        <v>1</v>
      </c>
      <c r="T587" t="str">
        <f t="shared" si="78"/>
        <v/>
      </c>
    </row>
    <row r="588" spans="1:20" x14ac:dyDescent="0.55000000000000004">
      <c r="A588">
        <v>108</v>
      </c>
      <c r="B588" t="str">
        <f t="shared" si="72"/>
        <v>108_0</v>
      </c>
      <c r="C588" s="2">
        <v>45604.458333333336</v>
      </c>
      <c r="D588" t="s">
        <v>221</v>
      </c>
      <c r="E588">
        <v>2</v>
      </c>
      <c r="F588" t="s">
        <v>242</v>
      </c>
      <c r="G588" t="str">
        <f t="shared" si="73"/>
        <v>Gobiomorphus cotidianus</v>
      </c>
      <c r="H588" t="str">
        <f t="shared" si="74"/>
        <v>Common_bully</v>
      </c>
      <c r="I588" t="str">
        <f t="shared" si="75"/>
        <v>Toitoi</v>
      </c>
      <c r="J588" t="str">
        <f t="shared" si="76"/>
        <v>Native</v>
      </c>
      <c r="K588" t="str">
        <f t="shared" si="77"/>
        <v>No</v>
      </c>
      <c r="M588">
        <v>50</v>
      </c>
      <c r="N588">
        <f t="shared" si="71"/>
        <v>2.2000000000000002</v>
      </c>
      <c r="O588">
        <v>1</v>
      </c>
      <c r="T588" t="str">
        <f t="shared" si="78"/>
        <v/>
      </c>
    </row>
    <row r="589" spans="1:20" x14ac:dyDescent="0.55000000000000004">
      <c r="A589">
        <v>108</v>
      </c>
      <c r="B589" t="str">
        <f t="shared" si="72"/>
        <v>108_0</v>
      </c>
      <c r="C589" s="2">
        <v>45604.458333333336</v>
      </c>
      <c r="D589" t="s">
        <v>221</v>
      </c>
      <c r="E589">
        <v>2</v>
      </c>
      <c r="F589" t="s">
        <v>242</v>
      </c>
      <c r="G589" t="str">
        <f t="shared" si="73"/>
        <v>Gobiomorphus cotidianus</v>
      </c>
      <c r="H589" t="str">
        <f t="shared" si="74"/>
        <v>Common_bully</v>
      </c>
      <c r="I589" t="str">
        <f t="shared" si="75"/>
        <v>Toitoi</v>
      </c>
      <c r="J589" t="str">
        <f t="shared" si="76"/>
        <v>Native</v>
      </c>
      <c r="K589" t="str">
        <f t="shared" si="77"/>
        <v>No</v>
      </c>
      <c r="M589">
        <v>57</v>
      </c>
      <c r="N589">
        <f t="shared" si="71"/>
        <v>2.2000000000000002</v>
      </c>
      <c r="O589">
        <v>1</v>
      </c>
      <c r="T589" t="str">
        <f t="shared" si="78"/>
        <v/>
      </c>
    </row>
    <row r="590" spans="1:20" x14ac:dyDescent="0.55000000000000004">
      <c r="A590">
        <v>108</v>
      </c>
      <c r="B590" t="str">
        <f t="shared" si="72"/>
        <v>108_0</v>
      </c>
      <c r="C590" s="2">
        <v>45604.458333333336</v>
      </c>
      <c r="D590" t="s">
        <v>221</v>
      </c>
      <c r="E590">
        <v>2</v>
      </c>
      <c r="F590" t="s">
        <v>242</v>
      </c>
      <c r="G590" t="str">
        <f t="shared" si="73"/>
        <v>Gobiomorphus cotidianus</v>
      </c>
      <c r="H590" t="str">
        <f t="shared" si="74"/>
        <v>Common_bully</v>
      </c>
      <c r="I590" t="str">
        <f t="shared" si="75"/>
        <v>Toitoi</v>
      </c>
      <c r="J590" t="str">
        <f t="shared" si="76"/>
        <v>Native</v>
      </c>
      <c r="K590" t="str">
        <f t="shared" si="77"/>
        <v>No</v>
      </c>
      <c r="M590">
        <v>60</v>
      </c>
      <c r="N590">
        <f t="shared" si="71"/>
        <v>2.2000000000000002</v>
      </c>
      <c r="O590">
        <v>1</v>
      </c>
      <c r="T590" t="str">
        <f t="shared" si="78"/>
        <v/>
      </c>
    </row>
    <row r="591" spans="1:20" x14ac:dyDescent="0.55000000000000004">
      <c r="A591">
        <v>108</v>
      </c>
      <c r="B591" t="str">
        <f t="shared" si="72"/>
        <v>108_0</v>
      </c>
      <c r="C591" s="2">
        <v>45604.458333333336</v>
      </c>
      <c r="D591" t="s">
        <v>221</v>
      </c>
      <c r="E591">
        <v>2</v>
      </c>
      <c r="F591" t="s">
        <v>242</v>
      </c>
      <c r="G591" t="str">
        <f t="shared" si="73"/>
        <v>Gobiomorphus cotidianus</v>
      </c>
      <c r="H591" t="str">
        <f t="shared" si="74"/>
        <v>Common_bully</v>
      </c>
      <c r="I591" t="str">
        <f t="shared" si="75"/>
        <v>Toitoi</v>
      </c>
      <c r="J591" t="str">
        <f t="shared" si="76"/>
        <v>Native</v>
      </c>
      <c r="K591" t="str">
        <f t="shared" si="77"/>
        <v>No</v>
      </c>
      <c r="M591">
        <v>41</v>
      </c>
      <c r="N591">
        <f t="shared" si="71"/>
        <v>2.2000000000000002</v>
      </c>
      <c r="O591">
        <v>1</v>
      </c>
      <c r="T591" t="str">
        <f t="shared" si="78"/>
        <v/>
      </c>
    </row>
    <row r="592" spans="1:20" x14ac:dyDescent="0.55000000000000004">
      <c r="A592">
        <v>108</v>
      </c>
      <c r="B592" t="str">
        <f t="shared" si="72"/>
        <v>108_0</v>
      </c>
      <c r="C592" s="2">
        <v>45604.458333333336</v>
      </c>
      <c r="D592" t="s">
        <v>221</v>
      </c>
      <c r="E592">
        <v>2</v>
      </c>
      <c r="F592" t="s">
        <v>242</v>
      </c>
      <c r="G592" t="str">
        <f t="shared" si="73"/>
        <v>Gobiomorphus cotidianus</v>
      </c>
      <c r="H592" t="str">
        <f t="shared" si="74"/>
        <v>Common_bully</v>
      </c>
      <c r="I592" t="str">
        <f t="shared" si="75"/>
        <v>Toitoi</v>
      </c>
      <c r="J592" t="str">
        <f t="shared" si="76"/>
        <v>Native</v>
      </c>
      <c r="K592" t="str">
        <f t="shared" si="77"/>
        <v>No</v>
      </c>
      <c r="M592">
        <v>66</v>
      </c>
      <c r="N592">
        <f t="shared" si="71"/>
        <v>2.2000000000000002</v>
      </c>
      <c r="O592">
        <v>1</v>
      </c>
      <c r="T592" t="str">
        <f t="shared" si="78"/>
        <v/>
      </c>
    </row>
    <row r="593" spans="1:20" x14ac:dyDescent="0.55000000000000004">
      <c r="A593">
        <v>108</v>
      </c>
      <c r="B593" t="str">
        <f t="shared" si="72"/>
        <v>108_0</v>
      </c>
      <c r="C593" s="2">
        <v>45604.458333333336</v>
      </c>
      <c r="D593" t="s">
        <v>221</v>
      </c>
      <c r="E593">
        <v>2</v>
      </c>
      <c r="F593" t="s">
        <v>242</v>
      </c>
      <c r="G593" t="str">
        <f t="shared" si="73"/>
        <v>Gobiomorphus cotidianus</v>
      </c>
      <c r="H593" t="str">
        <f t="shared" si="74"/>
        <v>Common_bully</v>
      </c>
      <c r="I593" t="str">
        <f t="shared" si="75"/>
        <v>Toitoi</v>
      </c>
      <c r="J593" t="str">
        <f t="shared" si="76"/>
        <v>Native</v>
      </c>
      <c r="K593" t="str">
        <f t="shared" si="77"/>
        <v>No</v>
      </c>
      <c r="M593">
        <v>55</v>
      </c>
      <c r="N593">
        <f t="shared" si="71"/>
        <v>2.2000000000000002</v>
      </c>
      <c r="O593">
        <v>1</v>
      </c>
      <c r="T593" t="str">
        <f t="shared" si="78"/>
        <v/>
      </c>
    </row>
    <row r="594" spans="1:20" x14ac:dyDescent="0.55000000000000004">
      <c r="A594">
        <v>108</v>
      </c>
      <c r="B594" t="str">
        <f t="shared" si="72"/>
        <v>108_0</v>
      </c>
      <c r="C594" s="2">
        <v>45604.458333333336</v>
      </c>
      <c r="D594" t="s">
        <v>221</v>
      </c>
      <c r="E594">
        <v>2</v>
      </c>
      <c r="F594" t="s">
        <v>242</v>
      </c>
      <c r="G594" t="str">
        <f t="shared" si="73"/>
        <v>Gobiomorphus cotidianus</v>
      </c>
      <c r="H594" t="str">
        <f t="shared" si="74"/>
        <v>Common_bully</v>
      </c>
      <c r="I594" t="str">
        <f t="shared" si="75"/>
        <v>Toitoi</v>
      </c>
      <c r="J594" t="str">
        <f t="shared" si="76"/>
        <v>Native</v>
      </c>
      <c r="K594" t="str">
        <f t="shared" si="77"/>
        <v>No</v>
      </c>
      <c r="M594">
        <v>44</v>
      </c>
      <c r="N594">
        <f t="shared" si="71"/>
        <v>2.2000000000000002</v>
      </c>
      <c r="O594">
        <v>1</v>
      </c>
      <c r="T594" t="str">
        <f t="shared" si="78"/>
        <v/>
      </c>
    </row>
    <row r="595" spans="1:20" x14ac:dyDescent="0.55000000000000004">
      <c r="A595">
        <v>108</v>
      </c>
      <c r="B595" t="str">
        <f t="shared" si="72"/>
        <v>108_0</v>
      </c>
      <c r="C595" s="2">
        <v>45604.458333333336</v>
      </c>
      <c r="D595" t="s">
        <v>221</v>
      </c>
      <c r="E595">
        <v>2</v>
      </c>
      <c r="F595" t="s">
        <v>242</v>
      </c>
      <c r="G595" t="str">
        <f t="shared" si="73"/>
        <v>Gobiomorphus cotidianus</v>
      </c>
      <c r="H595" t="str">
        <f t="shared" si="74"/>
        <v>Common_bully</v>
      </c>
      <c r="I595" t="str">
        <f t="shared" si="75"/>
        <v>Toitoi</v>
      </c>
      <c r="J595" t="str">
        <f t="shared" si="76"/>
        <v>Native</v>
      </c>
      <c r="K595" t="str">
        <f t="shared" si="77"/>
        <v>No</v>
      </c>
      <c r="M595">
        <v>26</v>
      </c>
      <c r="N595">
        <f t="shared" si="71"/>
        <v>2.2000000000000002</v>
      </c>
      <c r="O595">
        <v>1</v>
      </c>
      <c r="T595" t="str">
        <f t="shared" si="78"/>
        <v/>
      </c>
    </row>
    <row r="596" spans="1:20" x14ac:dyDescent="0.55000000000000004">
      <c r="A596">
        <v>108</v>
      </c>
      <c r="B596" t="str">
        <f t="shared" si="72"/>
        <v>108_0</v>
      </c>
      <c r="C596" s="2">
        <v>45604.458333333336</v>
      </c>
      <c r="D596" t="s">
        <v>221</v>
      </c>
      <c r="E596">
        <v>2</v>
      </c>
      <c r="F596" t="s">
        <v>242</v>
      </c>
      <c r="G596" t="str">
        <f t="shared" si="73"/>
        <v>Gobiomorphus cotidianus</v>
      </c>
      <c r="H596" t="str">
        <f t="shared" si="74"/>
        <v>Common_bully</v>
      </c>
      <c r="I596" t="str">
        <f t="shared" si="75"/>
        <v>Toitoi</v>
      </c>
      <c r="J596" t="str">
        <f t="shared" si="76"/>
        <v>Native</v>
      </c>
      <c r="K596" t="str">
        <f t="shared" si="77"/>
        <v>No</v>
      </c>
      <c r="M596">
        <v>70</v>
      </c>
      <c r="N596">
        <f t="shared" si="71"/>
        <v>2.2000000000000002</v>
      </c>
      <c r="O596">
        <v>1</v>
      </c>
      <c r="T596" t="str">
        <f t="shared" si="78"/>
        <v/>
      </c>
    </row>
    <row r="597" spans="1:20" x14ac:dyDescent="0.55000000000000004">
      <c r="A597">
        <v>108</v>
      </c>
      <c r="B597" t="str">
        <f t="shared" si="72"/>
        <v>108_0</v>
      </c>
      <c r="C597" s="2">
        <v>45604.458333333336</v>
      </c>
      <c r="D597" t="s">
        <v>221</v>
      </c>
      <c r="E597">
        <v>2</v>
      </c>
      <c r="F597" t="s">
        <v>242</v>
      </c>
      <c r="G597" t="str">
        <f t="shared" si="73"/>
        <v>Gobiomorphus cotidianus</v>
      </c>
      <c r="H597" t="str">
        <f t="shared" si="74"/>
        <v>Common_bully</v>
      </c>
      <c r="I597" t="str">
        <f t="shared" si="75"/>
        <v>Toitoi</v>
      </c>
      <c r="J597" t="str">
        <f t="shared" si="76"/>
        <v>Native</v>
      </c>
      <c r="K597" t="str">
        <f t="shared" si="77"/>
        <v>No</v>
      </c>
      <c r="M597">
        <v>62</v>
      </c>
      <c r="N597">
        <f t="shared" si="71"/>
        <v>2.2000000000000002</v>
      </c>
      <c r="O597">
        <v>1</v>
      </c>
      <c r="T597" t="str">
        <f t="shared" si="78"/>
        <v/>
      </c>
    </row>
    <row r="598" spans="1:20" x14ac:dyDescent="0.55000000000000004">
      <c r="A598">
        <v>108</v>
      </c>
      <c r="B598" t="str">
        <f t="shared" si="72"/>
        <v>108_0</v>
      </c>
      <c r="C598" s="2">
        <v>45604.458333333336</v>
      </c>
      <c r="D598" t="s">
        <v>221</v>
      </c>
      <c r="E598">
        <v>2</v>
      </c>
      <c r="F598" t="s">
        <v>242</v>
      </c>
      <c r="G598" t="str">
        <f t="shared" si="73"/>
        <v>Gobiomorphus cotidianus</v>
      </c>
      <c r="H598" t="str">
        <f t="shared" si="74"/>
        <v>Common_bully</v>
      </c>
      <c r="I598" t="str">
        <f t="shared" si="75"/>
        <v>Toitoi</v>
      </c>
      <c r="J598" t="str">
        <f t="shared" si="76"/>
        <v>Native</v>
      </c>
      <c r="K598" t="str">
        <f t="shared" si="77"/>
        <v>No</v>
      </c>
      <c r="M598">
        <v>74</v>
      </c>
      <c r="N598">
        <f t="shared" si="71"/>
        <v>2.2000000000000002</v>
      </c>
      <c r="O598">
        <v>1</v>
      </c>
      <c r="T598" t="str">
        <f t="shared" si="78"/>
        <v/>
      </c>
    </row>
    <row r="599" spans="1:20" x14ac:dyDescent="0.55000000000000004">
      <c r="A599">
        <v>108</v>
      </c>
      <c r="B599" t="str">
        <f t="shared" si="72"/>
        <v>108_0</v>
      </c>
      <c r="C599" s="2">
        <v>45604.458333333336</v>
      </c>
      <c r="D599" t="s">
        <v>221</v>
      </c>
      <c r="E599">
        <v>2</v>
      </c>
      <c r="F599" t="s">
        <v>242</v>
      </c>
      <c r="G599" t="str">
        <f t="shared" si="73"/>
        <v>Gobiomorphus cotidianus</v>
      </c>
      <c r="H599" t="str">
        <f t="shared" si="74"/>
        <v>Common_bully</v>
      </c>
      <c r="I599" t="str">
        <f t="shared" si="75"/>
        <v>Toitoi</v>
      </c>
      <c r="J599" t="str">
        <f t="shared" si="76"/>
        <v>Native</v>
      </c>
      <c r="K599" t="str">
        <f t="shared" si="77"/>
        <v>No</v>
      </c>
      <c r="M599">
        <v>52</v>
      </c>
      <c r="N599">
        <f t="shared" si="71"/>
        <v>2.2000000000000002</v>
      </c>
      <c r="O599">
        <v>1</v>
      </c>
      <c r="T599" t="str">
        <f t="shared" si="78"/>
        <v/>
      </c>
    </row>
    <row r="600" spans="1:20" x14ac:dyDescent="0.55000000000000004">
      <c r="A600">
        <v>108</v>
      </c>
      <c r="B600" t="str">
        <f t="shared" si="72"/>
        <v>108_0</v>
      </c>
      <c r="C600" s="2">
        <v>45604.458333333336</v>
      </c>
      <c r="D600" t="s">
        <v>221</v>
      </c>
      <c r="E600">
        <v>2</v>
      </c>
      <c r="F600" t="s">
        <v>242</v>
      </c>
      <c r="G600" t="str">
        <f t="shared" si="73"/>
        <v>Gobiomorphus cotidianus</v>
      </c>
      <c r="H600" t="str">
        <f t="shared" si="74"/>
        <v>Common_bully</v>
      </c>
      <c r="I600" t="str">
        <f t="shared" si="75"/>
        <v>Toitoi</v>
      </c>
      <c r="J600" t="str">
        <f t="shared" si="76"/>
        <v>Native</v>
      </c>
      <c r="K600" t="str">
        <f t="shared" si="77"/>
        <v>No</v>
      </c>
      <c r="M600">
        <v>69</v>
      </c>
      <c r="N600">
        <f t="shared" si="71"/>
        <v>2.2000000000000002</v>
      </c>
      <c r="O600">
        <v>1</v>
      </c>
      <c r="T600" t="str">
        <f t="shared" si="78"/>
        <v/>
      </c>
    </row>
    <row r="601" spans="1:20" x14ac:dyDescent="0.55000000000000004">
      <c r="A601">
        <v>108</v>
      </c>
      <c r="B601" t="str">
        <f t="shared" si="72"/>
        <v>108_0</v>
      </c>
      <c r="C601" s="2">
        <v>45604.458333333336</v>
      </c>
      <c r="D601" t="s">
        <v>221</v>
      </c>
      <c r="E601">
        <v>2</v>
      </c>
      <c r="F601" t="s">
        <v>242</v>
      </c>
      <c r="G601" t="str">
        <f t="shared" si="73"/>
        <v>Gobiomorphus cotidianus</v>
      </c>
      <c r="H601" t="str">
        <f t="shared" si="74"/>
        <v>Common_bully</v>
      </c>
      <c r="I601" t="str">
        <f t="shared" si="75"/>
        <v>Toitoi</v>
      </c>
      <c r="J601" t="str">
        <f t="shared" si="76"/>
        <v>Native</v>
      </c>
      <c r="K601" t="str">
        <f t="shared" si="77"/>
        <v>No</v>
      </c>
      <c r="M601">
        <v>55</v>
      </c>
      <c r="N601">
        <f t="shared" si="71"/>
        <v>2.2000000000000002</v>
      </c>
      <c r="O601">
        <v>1</v>
      </c>
      <c r="T601" t="str">
        <f t="shared" si="78"/>
        <v/>
      </c>
    </row>
    <row r="602" spans="1:20" x14ac:dyDescent="0.55000000000000004">
      <c r="A602">
        <v>108</v>
      </c>
      <c r="B602" t="str">
        <f t="shared" si="72"/>
        <v>108_0</v>
      </c>
      <c r="C602" s="2">
        <v>45604.458333333336</v>
      </c>
      <c r="D602" t="s">
        <v>221</v>
      </c>
      <c r="E602">
        <v>2</v>
      </c>
      <c r="F602" t="s">
        <v>242</v>
      </c>
      <c r="G602" t="str">
        <f t="shared" si="73"/>
        <v>Gobiomorphus cotidianus</v>
      </c>
      <c r="H602" t="str">
        <f t="shared" si="74"/>
        <v>Common_bully</v>
      </c>
      <c r="I602" t="str">
        <f t="shared" si="75"/>
        <v>Toitoi</v>
      </c>
      <c r="J602" t="str">
        <f t="shared" si="76"/>
        <v>Native</v>
      </c>
      <c r="K602" t="str">
        <f t="shared" si="77"/>
        <v>No</v>
      </c>
      <c r="M602">
        <v>60</v>
      </c>
      <c r="N602">
        <f t="shared" si="71"/>
        <v>2.2000000000000002</v>
      </c>
      <c r="O602">
        <v>1</v>
      </c>
      <c r="T602" t="str">
        <f t="shared" si="78"/>
        <v/>
      </c>
    </row>
    <row r="603" spans="1:20" x14ac:dyDescent="0.55000000000000004">
      <c r="A603">
        <v>108</v>
      </c>
      <c r="B603" t="str">
        <f t="shared" si="72"/>
        <v>108_0</v>
      </c>
      <c r="C603" s="2">
        <v>45604.458333333336</v>
      </c>
      <c r="D603" t="s">
        <v>221</v>
      </c>
      <c r="E603">
        <v>2</v>
      </c>
      <c r="F603" t="s">
        <v>242</v>
      </c>
      <c r="G603" t="str">
        <f t="shared" si="73"/>
        <v>Gobiomorphus cotidianus</v>
      </c>
      <c r="H603" t="str">
        <f t="shared" si="74"/>
        <v>Common_bully</v>
      </c>
      <c r="I603" t="str">
        <f t="shared" si="75"/>
        <v>Toitoi</v>
      </c>
      <c r="J603" t="str">
        <f t="shared" si="76"/>
        <v>Native</v>
      </c>
      <c r="K603" t="str">
        <f t="shared" si="77"/>
        <v>No</v>
      </c>
      <c r="M603">
        <v>55</v>
      </c>
      <c r="N603">
        <f t="shared" si="71"/>
        <v>2.2000000000000002</v>
      </c>
      <c r="O603">
        <v>1</v>
      </c>
      <c r="T603" t="str">
        <f t="shared" si="78"/>
        <v/>
      </c>
    </row>
    <row r="604" spans="1:20" x14ac:dyDescent="0.55000000000000004">
      <c r="A604">
        <v>108</v>
      </c>
      <c r="B604" t="str">
        <f t="shared" si="72"/>
        <v>108_0</v>
      </c>
      <c r="C604" s="2">
        <v>45604.458333333336</v>
      </c>
      <c r="D604" t="s">
        <v>221</v>
      </c>
      <c r="E604">
        <v>2</v>
      </c>
      <c r="F604" t="s">
        <v>242</v>
      </c>
      <c r="G604" t="str">
        <f t="shared" si="73"/>
        <v>Gobiomorphus cotidianus</v>
      </c>
      <c r="H604" t="str">
        <f t="shared" si="74"/>
        <v>Common_bully</v>
      </c>
      <c r="I604" t="str">
        <f t="shared" si="75"/>
        <v>Toitoi</v>
      </c>
      <c r="J604" t="str">
        <f t="shared" si="76"/>
        <v>Native</v>
      </c>
      <c r="K604" t="str">
        <f t="shared" si="77"/>
        <v>No</v>
      </c>
      <c r="M604">
        <v>44</v>
      </c>
      <c r="N604">
        <f t="shared" si="71"/>
        <v>2.2000000000000002</v>
      </c>
      <c r="O604">
        <v>1</v>
      </c>
      <c r="T604" t="str">
        <f t="shared" si="78"/>
        <v/>
      </c>
    </row>
    <row r="605" spans="1:20" x14ac:dyDescent="0.55000000000000004">
      <c r="A605">
        <v>108</v>
      </c>
      <c r="B605" t="str">
        <f t="shared" si="72"/>
        <v>108_0</v>
      </c>
      <c r="C605" s="2">
        <v>45604.458333333336</v>
      </c>
      <c r="D605" t="s">
        <v>221</v>
      </c>
      <c r="E605">
        <v>2</v>
      </c>
      <c r="F605" t="s">
        <v>242</v>
      </c>
      <c r="G605" t="str">
        <f t="shared" si="73"/>
        <v>Gobiomorphus cotidianus</v>
      </c>
      <c r="H605" t="str">
        <f t="shared" si="74"/>
        <v>Common_bully</v>
      </c>
      <c r="I605" t="str">
        <f t="shared" si="75"/>
        <v>Toitoi</v>
      </c>
      <c r="J605" t="str">
        <f t="shared" si="76"/>
        <v>Native</v>
      </c>
      <c r="K605" t="str">
        <f t="shared" si="77"/>
        <v>No</v>
      </c>
      <c r="N605">
        <v>196</v>
      </c>
      <c r="S605">
        <v>1</v>
      </c>
      <c r="T605">
        <f t="shared" si="78"/>
        <v>236.58799999999999</v>
      </c>
    </row>
    <row r="606" spans="1:20" x14ac:dyDescent="0.55000000000000004">
      <c r="A606">
        <v>115</v>
      </c>
      <c r="B606" t="str">
        <f t="shared" si="72"/>
        <v>115_0</v>
      </c>
      <c r="C606" s="2">
        <v>45597.590277777781</v>
      </c>
      <c r="D606" t="s">
        <v>221</v>
      </c>
      <c r="E606">
        <v>2</v>
      </c>
      <c r="F606" t="s">
        <v>222</v>
      </c>
      <c r="G606" t="str">
        <f t="shared" si="73"/>
        <v>Paranephrops planifrons</v>
      </c>
      <c r="H606" t="str">
        <f t="shared" si="74"/>
        <v>Freshwater_crayfish</v>
      </c>
      <c r="I606" t="str">
        <f t="shared" si="75"/>
        <v>Kōura</v>
      </c>
      <c r="J606" t="str">
        <f t="shared" si="76"/>
        <v>Native</v>
      </c>
      <c r="K606" t="str">
        <f t="shared" si="77"/>
        <v>Yes</v>
      </c>
      <c r="L606" t="s">
        <v>223</v>
      </c>
      <c r="M606">
        <v>25</v>
      </c>
      <c r="N606">
        <v>16</v>
      </c>
      <c r="O606">
        <v>1</v>
      </c>
      <c r="T606" t="str">
        <f t="shared" si="78"/>
        <v/>
      </c>
    </row>
    <row r="607" spans="1:20" x14ac:dyDescent="0.55000000000000004">
      <c r="A607">
        <v>108</v>
      </c>
      <c r="B607" t="str">
        <f t="shared" si="72"/>
        <v>108_0</v>
      </c>
      <c r="C607" s="2">
        <v>45604.458333333336</v>
      </c>
      <c r="D607" t="s">
        <v>221</v>
      </c>
      <c r="E607">
        <v>2</v>
      </c>
      <c r="F607" t="s">
        <v>236</v>
      </c>
      <c r="G607" t="str">
        <f t="shared" si="73"/>
        <v>Carassius auratus</v>
      </c>
      <c r="H607" t="str">
        <f t="shared" si="74"/>
        <v>Goldfish</v>
      </c>
      <c r="I607" t="str">
        <f t="shared" si="75"/>
        <v>Morihana</v>
      </c>
      <c r="J607" t="str">
        <f t="shared" si="76"/>
        <v>Nonnative</v>
      </c>
      <c r="K607" t="str">
        <f t="shared" si="77"/>
        <v>No</v>
      </c>
      <c r="M607">
        <v>65</v>
      </c>
      <c r="N607">
        <v>5</v>
      </c>
      <c r="O607">
        <v>1</v>
      </c>
      <c r="T607" t="str">
        <f t="shared" si="78"/>
        <v/>
      </c>
    </row>
    <row r="608" spans="1:20" x14ac:dyDescent="0.55000000000000004">
      <c r="A608">
        <v>108</v>
      </c>
      <c r="B608" t="str">
        <f t="shared" si="72"/>
        <v>108_0</v>
      </c>
      <c r="C608" s="2">
        <v>45604.458333333336</v>
      </c>
      <c r="D608" t="s">
        <v>221</v>
      </c>
      <c r="E608">
        <v>2</v>
      </c>
      <c r="F608" t="s">
        <v>236</v>
      </c>
      <c r="G608" t="str">
        <f t="shared" si="73"/>
        <v>Carassius auratus</v>
      </c>
      <c r="H608" t="str">
        <f t="shared" si="74"/>
        <v>Goldfish</v>
      </c>
      <c r="I608" t="str">
        <f t="shared" si="75"/>
        <v>Morihana</v>
      </c>
      <c r="J608" t="str">
        <f t="shared" si="76"/>
        <v>Nonnative</v>
      </c>
      <c r="K608" t="str">
        <f t="shared" si="77"/>
        <v>No</v>
      </c>
      <c r="M608">
        <v>50</v>
      </c>
      <c r="N608">
        <v>1</v>
      </c>
      <c r="O608">
        <v>1</v>
      </c>
      <c r="T608" t="str">
        <f t="shared" si="78"/>
        <v/>
      </c>
    </row>
    <row r="609" spans="1:20" x14ac:dyDescent="0.55000000000000004">
      <c r="A609">
        <v>108</v>
      </c>
      <c r="B609" t="str">
        <f t="shared" si="72"/>
        <v>108_0</v>
      </c>
      <c r="C609" s="2">
        <v>45604.458333333336</v>
      </c>
      <c r="D609" t="s">
        <v>221</v>
      </c>
      <c r="E609">
        <v>2</v>
      </c>
      <c r="F609" t="s">
        <v>242</v>
      </c>
      <c r="G609" t="str">
        <f t="shared" si="73"/>
        <v>Gobiomorphus cotidianus</v>
      </c>
      <c r="H609" t="str">
        <f t="shared" si="74"/>
        <v>Common_bully</v>
      </c>
      <c r="I609" t="str">
        <f t="shared" si="75"/>
        <v>Toitoi</v>
      </c>
      <c r="J609" t="str">
        <f t="shared" si="76"/>
        <v>Native</v>
      </c>
      <c r="K609" t="str">
        <f t="shared" si="77"/>
        <v>No</v>
      </c>
      <c r="N609">
        <v>168</v>
      </c>
      <c r="S609">
        <v>0.75</v>
      </c>
      <c r="T609">
        <f t="shared" si="78"/>
        <v>177.441</v>
      </c>
    </row>
    <row r="610" spans="1:20" x14ac:dyDescent="0.55000000000000004">
      <c r="A610">
        <v>85</v>
      </c>
      <c r="B610" t="str">
        <f t="shared" si="72"/>
        <v>85_0</v>
      </c>
      <c r="C610" s="2">
        <v>45637.409722222219</v>
      </c>
      <c r="D610" t="s">
        <v>245</v>
      </c>
      <c r="E610">
        <v>2</v>
      </c>
      <c r="F610" t="s">
        <v>242</v>
      </c>
      <c r="G610" t="str">
        <f t="shared" si="73"/>
        <v>Gobiomorphus cotidianus</v>
      </c>
      <c r="H610" t="str">
        <f t="shared" si="74"/>
        <v>Common_bully</v>
      </c>
      <c r="I610" t="str">
        <f t="shared" si="75"/>
        <v>Toitoi</v>
      </c>
      <c r="J610" t="str">
        <f t="shared" si="76"/>
        <v>Native</v>
      </c>
      <c r="K610" t="str">
        <f t="shared" si="77"/>
        <v>No</v>
      </c>
      <c r="M610">
        <v>52</v>
      </c>
      <c r="N610">
        <f>19/5</f>
        <v>3.8</v>
      </c>
      <c r="O610">
        <v>1</v>
      </c>
      <c r="T610" t="str">
        <f t="shared" si="78"/>
        <v/>
      </c>
    </row>
    <row r="611" spans="1:20" x14ac:dyDescent="0.55000000000000004">
      <c r="A611">
        <v>85</v>
      </c>
      <c r="B611" t="str">
        <f t="shared" si="72"/>
        <v>85_0</v>
      </c>
      <c r="C611" s="2">
        <v>45637.409722222219</v>
      </c>
      <c r="D611" t="s">
        <v>245</v>
      </c>
      <c r="E611">
        <v>2</v>
      </c>
      <c r="F611" t="s">
        <v>242</v>
      </c>
      <c r="G611" t="str">
        <f t="shared" si="73"/>
        <v>Gobiomorphus cotidianus</v>
      </c>
      <c r="H611" t="str">
        <f t="shared" si="74"/>
        <v>Common_bully</v>
      </c>
      <c r="I611" t="str">
        <f t="shared" si="75"/>
        <v>Toitoi</v>
      </c>
      <c r="J611" t="str">
        <f t="shared" si="76"/>
        <v>Native</v>
      </c>
      <c r="K611" t="str">
        <f t="shared" si="77"/>
        <v>No</v>
      </c>
      <c r="M611">
        <v>30</v>
      </c>
      <c r="N611">
        <f>19/5</f>
        <v>3.8</v>
      </c>
      <c r="O611">
        <v>1</v>
      </c>
      <c r="T611" t="str">
        <f t="shared" si="78"/>
        <v/>
      </c>
    </row>
    <row r="612" spans="1:20" x14ac:dyDescent="0.55000000000000004">
      <c r="A612">
        <v>85</v>
      </c>
      <c r="B612" t="str">
        <f t="shared" si="72"/>
        <v>85_0</v>
      </c>
      <c r="C612" s="2">
        <v>45637.409722164353</v>
      </c>
      <c r="D612" t="s">
        <v>245</v>
      </c>
      <c r="E612">
        <v>2</v>
      </c>
      <c r="F612" t="s">
        <v>242</v>
      </c>
      <c r="G612" t="str">
        <f t="shared" si="73"/>
        <v>Gobiomorphus cotidianus</v>
      </c>
      <c r="H612" t="str">
        <f t="shared" si="74"/>
        <v>Common_bully</v>
      </c>
      <c r="I612" t="str">
        <f t="shared" si="75"/>
        <v>Toitoi</v>
      </c>
      <c r="J612" t="str">
        <f t="shared" si="76"/>
        <v>Native</v>
      </c>
      <c r="K612" t="str">
        <f t="shared" si="77"/>
        <v>No</v>
      </c>
      <c r="M612">
        <v>34</v>
      </c>
      <c r="N612">
        <f>19/5</f>
        <v>3.8</v>
      </c>
      <c r="O612">
        <v>1</v>
      </c>
      <c r="T612" t="str">
        <f t="shared" si="78"/>
        <v/>
      </c>
    </row>
    <row r="613" spans="1:20" x14ac:dyDescent="0.55000000000000004">
      <c r="A613">
        <v>85</v>
      </c>
      <c r="B613" t="str">
        <f t="shared" si="72"/>
        <v>85_0</v>
      </c>
      <c r="C613" s="2">
        <v>45637.409722164353</v>
      </c>
      <c r="D613" t="s">
        <v>245</v>
      </c>
      <c r="E613">
        <v>2</v>
      </c>
      <c r="F613" t="s">
        <v>242</v>
      </c>
      <c r="G613" t="str">
        <f t="shared" si="73"/>
        <v>Gobiomorphus cotidianus</v>
      </c>
      <c r="H613" t="str">
        <f t="shared" si="74"/>
        <v>Common_bully</v>
      </c>
      <c r="I613" t="str">
        <f t="shared" si="75"/>
        <v>Toitoi</v>
      </c>
      <c r="J613" t="str">
        <f t="shared" si="76"/>
        <v>Native</v>
      </c>
      <c r="K613" t="str">
        <f t="shared" si="77"/>
        <v>No</v>
      </c>
      <c r="M613">
        <v>49</v>
      </c>
      <c r="N613">
        <f>19/5</f>
        <v>3.8</v>
      </c>
      <c r="O613">
        <v>1</v>
      </c>
      <c r="T613" t="str">
        <f t="shared" si="78"/>
        <v/>
      </c>
    </row>
    <row r="614" spans="1:20" x14ac:dyDescent="0.55000000000000004">
      <c r="A614">
        <v>85</v>
      </c>
      <c r="B614" t="str">
        <f t="shared" si="72"/>
        <v>85_0</v>
      </c>
      <c r="C614" s="2">
        <v>45637.409722164353</v>
      </c>
      <c r="D614" t="s">
        <v>245</v>
      </c>
      <c r="E614">
        <v>2</v>
      </c>
      <c r="F614" t="s">
        <v>242</v>
      </c>
      <c r="G614" t="str">
        <f t="shared" si="73"/>
        <v>Gobiomorphus cotidianus</v>
      </c>
      <c r="H614" t="str">
        <f t="shared" si="74"/>
        <v>Common_bully</v>
      </c>
      <c r="I614" t="str">
        <f t="shared" si="75"/>
        <v>Toitoi</v>
      </c>
      <c r="J614" t="str">
        <f t="shared" si="76"/>
        <v>Native</v>
      </c>
      <c r="K614" t="str">
        <f t="shared" si="77"/>
        <v>No</v>
      </c>
      <c r="M614">
        <v>44</v>
      </c>
      <c r="N614">
        <f>19/5</f>
        <v>3.8</v>
      </c>
      <c r="O614">
        <v>1</v>
      </c>
      <c r="T614" t="str">
        <f t="shared" si="78"/>
        <v/>
      </c>
    </row>
    <row r="615" spans="1:20" x14ac:dyDescent="0.55000000000000004">
      <c r="A615">
        <v>85</v>
      </c>
      <c r="B615" t="str">
        <f t="shared" si="72"/>
        <v>85_0</v>
      </c>
      <c r="C615" s="2">
        <v>45637.409722164353</v>
      </c>
      <c r="D615" t="s">
        <v>221</v>
      </c>
      <c r="E615">
        <v>2</v>
      </c>
      <c r="F615" t="s">
        <v>236</v>
      </c>
      <c r="G615" t="str">
        <f t="shared" si="73"/>
        <v>Carassius auratus</v>
      </c>
      <c r="H615" t="str">
        <f t="shared" si="74"/>
        <v>Goldfish</v>
      </c>
      <c r="I615" t="str">
        <f t="shared" si="75"/>
        <v>Morihana</v>
      </c>
      <c r="J615" t="str">
        <f t="shared" si="76"/>
        <v>Nonnative</v>
      </c>
      <c r="K615" t="str">
        <f t="shared" si="77"/>
        <v>No</v>
      </c>
      <c r="M615">
        <v>162</v>
      </c>
      <c r="N615">
        <v>102</v>
      </c>
      <c r="O615">
        <v>1</v>
      </c>
      <c r="T615" t="str">
        <f t="shared" si="78"/>
        <v/>
      </c>
    </row>
    <row r="616" spans="1:20" x14ac:dyDescent="0.55000000000000004">
      <c r="A616">
        <v>85</v>
      </c>
      <c r="B616" t="str">
        <f t="shared" si="72"/>
        <v>85_0</v>
      </c>
      <c r="C616" s="2">
        <v>45637.409722164353</v>
      </c>
      <c r="D616" t="s">
        <v>221</v>
      </c>
      <c r="E616">
        <v>2</v>
      </c>
      <c r="F616" t="s">
        <v>236</v>
      </c>
      <c r="G616" t="str">
        <f t="shared" si="73"/>
        <v>Carassius auratus</v>
      </c>
      <c r="H616" t="str">
        <f t="shared" si="74"/>
        <v>Goldfish</v>
      </c>
      <c r="I616" t="str">
        <f t="shared" si="75"/>
        <v>Morihana</v>
      </c>
      <c r="J616" t="str">
        <f t="shared" si="76"/>
        <v>Nonnative</v>
      </c>
      <c r="K616" t="str">
        <f t="shared" si="77"/>
        <v>No</v>
      </c>
      <c r="M616">
        <v>96</v>
      </c>
      <c r="N616">
        <v>24</v>
      </c>
      <c r="O616">
        <v>1</v>
      </c>
      <c r="T616" t="str">
        <f t="shared" si="78"/>
        <v/>
      </c>
    </row>
    <row r="617" spans="1:20" x14ac:dyDescent="0.55000000000000004">
      <c r="A617">
        <v>85</v>
      </c>
      <c r="B617" t="str">
        <f t="shared" si="72"/>
        <v>85_0</v>
      </c>
      <c r="C617" s="2">
        <v>45637.409722164353</v>
      </c>
      <c r="D617" t="s">
        <v>221</v>
      </c>
      <c r="E617">
        <v>2</v>
      </c>
      <c r="F617" t="s">
        <v>236</v>
      </c>
      <c r="G617" t="str">
        <f t="shared" si="73"/>
        <v>Carassius auratus</v>
      </c>
      <c r="H617" t="str">
        <f t="shared" si="74"/>
        <v>Goldfish</v>
      </c>
      <c r="I617" t="str">
        <f t="shared" si="75"/>
        <v>Morihana</v>
      </c>
      <c r="J617" t="str">
        <f t="shared" si="76"/>
        <v>Nonnative</v>
      </c>
      <c r="K617" t="str">
        <f t="shared" si="77"/>
        <v>No</v>
      </c>
      <c r="M617">
        <v>50</v>
      </c>
      <c r="N617">
        <v>7</v>
      </c>
      <c r="O617">
        <v>1</v>
      </c>
      <c r="T617" t="str">
        <f t="shared" si="78"/>
        <v/>
      </c>
    </row>
    <row r="618" spans="1:20" x14ac:dyDescent="0.55000000000000004">
      <c r="A618">
        <v>115</v>
      </c>
      <c r="B618" t="str">
        <f t="shared" si="72"/>
        <v>115_0</v>
      </c>
      <c r="C618" s="2">
        <v>45597.590277777781</v>
      </c>
      <c r="D618" t="s">
        <v>221</v>
      </c>
      <c r="E618">
        <v>2</v>
      </c>
      <c r="F618" t="s">
        <v>222</v>
      </c>
      <c r="G618" t="str">
        <f t="shared" si="73"/>
        <v>Paranephrops planifrons</v>
      </c>
      <c r="H618" t="str">
        <f t="shared" si="74"/>
        <v>Freshwater_crayfish</v>
      </c>
      <c r="I618" t="str">
        <f t="shared" si="75"/>
        <v>Kōura</v>
      </c>
      <c r="J618" t="str">
        <f t="shared" si="76"/>
        <v>Native</v>
      </c>
      <c r="K618" t="str">
        <f t="shared" si="77"/>
        <v>Yes</v>
      </c>
      <c r="L618" t="s">
        <v>228</v>
      </c>
      <c r="M618">
        <v>25</v>
      </c>
      <c r="N618">
        <v>16</v>
      </c>
      <c r="O618">
        <v>1</v>
      </c>
      <c r="T618" t="str">
        <f t="shared" si="78"/>
        <v/>
      </c>
    </row>
    <row r="619" spans="1:20" x14ac:dyDescent="0.55000000000000004">
      <c r="A619">
        <v>115</v>
      </c>
      <c r="B619" t="str">
        <f t="shared" si="72"/>
        <v>115_0</v>
      </c>
      <c r="C619" s="2">
        <v>45597.590277777781</v>
      </c>
      <c r="D619" t="s">
        <v>221</v>
      </c>
      <c r="E619">
        <v>2</v>
      </c>
      <c r="F619" t="s">
        <v>222</v>
      </c>
      <c r="G619" t="str">
        <f t="shared" si="73"/>
        <v>Paranephrops planifrons</v>
      </c>
      <c r="H619" t="str">
        <f t="shared" si="74"/>
        <v>Freshwater_crayfish</v>
      </c>
      <c r="I619" t="str">
        <f t="shared" si="75"/>
        <v>Kōura</v>
      </c>
      <c r="J619" t="str">
        <f t="shared" si="76"/>
        <v>Native</v>
      </c>
      <c r="K619" t="str">
        <f t="shared" si="77"/>
        <v>Yes</v>
      </c>
      <c r="L619" t="s">
        <v>223</v>
      </c>
      <c r="M619">
        <v>25</v>
      </c>
      <c r="N619">
        <v>16</v>
      </c>
      <c r="O619">
        <v>1</v>
      </c>
      <c r="T619" t="str">
        <f t="shared" si="78"/>
        <v/>
      </c>
    </row>
    <row r="620" spans="1:20" x14ac:dyDescent="0.55000000000000004">
      <c r="A620">
        <v>85</v>
      </c>
      <c r="B620" t="str">
        <f t="shared" si="72"/>
        <v>85_0</v>
      </c>
      <c r="C620" s="2">
        <v>45637.409722164353</v>
      </c>
      <c r="D620" t="s">
        <v>221</v>
      </c>
      <c r="E620">
        <v>2</v>
      </c>
      <c r="F620" t="s">
        <v>243</v>
      </c>
      <c r="G620" t="str">
        <f t="shared" si="73"/>
        <v>Retropinna retropinna</v>
      </c>
      <c r="H620" t="str">
        <f t="shared" si="74"/>
        <v>Common_smelt</v>
      </c>
      <c r="I620" t="str">
        <f t="shared" si="75"/>
        <v>Common_smelt</v>
      </c>
      <c r="J620" t="str">
        <f t="shared" si="76"/>
        <v>Native</v>
      </c>
      <c r="K620" t="str">
        <f t="shared" si="77"/>
        <v>No</v>
      </c>
      <c r="N620">
        <f>194-117</f>
        <v>77</v>
      </c>
      <c r="O620">
        <v>65</v>
      </c>
      <c r="T620" t="str">
        <f t="shared" si="78"/>
        <v/>
      </c>
    </row>
    <row r="621" spans="1:20" x14ac:dyDescent="0.55000000000000004">
      <c r="A621">
        <v>85</v>
      </c>
      <c r="B621" t="str">
        <f t="shared" si="72"/>
        <v>85_0</v>
      </c>
      <c r="C621" s="2">
        <v>45637.409722164353</v>
      </c>
      <c r="D621" t="s">
        <v>221</v>
      </c>
      <c r="E621">
        <v>2</v>
      </c>
      <c r="F621" t="s">
        <v>242</v>
      </c>
      <c r="G621" t="str">
        <f t="shared" si="73"/>
        <v>Gobiomorphus cotidianus</v>
      </c>
      <c r="H621" t="str">
        <f t="shared" si="74"/>
        <v>Common_bully</v>
      </c>
      <c r="I621" t="str">
        <f t="shared" si="75"/>
        <v>Toitoi</v>
      </c>
      <c r="J621" t="str">
        <f t="shared" si="76"/>
        <v>Native</v>
      </c>
      <c r="K621" t="str">
        <f t="shared" si="77"/>
        <v>No</v>
      </c>
      <c r="M621">
        <v>45</v>
      </c>
      <c r="N621">
        <f t="shared" ref="N621:N653" si="79">(158-117)/33</f>
        <v>1.2424242424242424</v>
      </c>
      <c r="O621">
        <v>1</v>
      </c>
      <c r="T621" t="str">
        <f t="shared" si="78"/>
        <v/>
      </c>
    </row>
    <row r="622" spans="1:20" x14ac:dyDescent="0.55000000000000004">
      <c r="A622">
        <v>85</v>
      </c>
      <c r="B622" t="str">
        <f t="shared" si="72"/>
        <v>85_0</v>
      </c>
      <c r="C622" s="2">
        <v>45637.409722164353</v>
      </c>
      <c r="D622" t="s">
        <v>221</v>
      </c>
      <c r="E622">
        <v>2</v>
      </c>
      <c r="F622" t="s">
        <v>242</v>
      </c>
      <c r="G622" t="str">
        <f t="shared" si="73"/>
        <v>Gobiomorphus cotidianus</v>
      </c>
      <c r="H622" t="str">
        <f t="shared" si="74"/>
        <v>Common_bully</v>
      </c>
      <c r="I622" t="str">
        <f t="shared" si="75"/>
        <v>Toitoi</v>
      </c>
      <c r="J622" t="str">
        <f t="shared" si="76"/>
        <v>Native</v>
      </c>
      <c r="K622" t="str">
        <f t="shared" si="77"/>
        <v>No</v>
      </c>
      <c r="M622">
        <v>36</v>
      </c>
      <c r="N622">
        <f t="shared" si="79"/>
        <v>1.2424242424242424</v>
      </c>
      <c r="O622">
        <v>1</v>
      </c>
      <c r="T622" t="str">
        <f t="shared" si="78"/>
        <v/>
      </c>
    </row>
    <row r="623" spans="1:20" x14ac:dyDescent="0.55000000000000004">
      <c r="A623">
        <v>85</v>
      </c>
      <c r="B623" t="str">
        <f t="shared" si="72"/>
        <v>85_0</v>
      </c>
      <c r="C623" s="2">
        <v>45637.409722164353</v>
      </c>
      <c r="D623" t="s">
        <v>221</v>
      </c>
      <c r="E623">
        <v>2</v>
      </c>
      <c r="F623" t="s">
        <v>242</v>
      </c>
      <c r="G623" t="str">
        <f t="shared" si="73"/>
        <v>Gobiomorphus cotidianus</v>
      </c>
      <c r="H623" t="str">
        <f t="shared" si="74"/>
        <v>Common_bully</v>
      </c>
      <c r="I623" t="str">
        <f t="shared" si="75"/>
        <v>Toitoi</v>
      </c>
      <c r="J623" t="str">
        <f t="shared" si="76"/>
        <v>Native</v>
      </c>
      <c r="K623" t="str">
        <f t="shared" si="77"/>
        <v>No</v>
      </c>
      <c r="M623">
        <v>75</v>
      </c>
      <c r="N623">
        <f t="shared" si="79"/>
        <v>1.2424242424242424</v>
      </c>
      <c r="O623">
        <v>1</v>
      </c>
      <c r="T623" t="str">
        <f t="shared" si="78"/>
        <v/>
      </c>
    </row>
    <row r="624" spans="1:20" x14ac:dyDescent="0.55000000000000004">
      <c r="A624">
        <v>85</v>
      </c>
      <c r="B624" t="str">
        <f t="shared" si="72"/>
        <v>85_0</v>
      </c>
      <c r="C624" s="2">
        <v>45637.409722164353</v>
      </c>
      <c r="D624" t="s">
        <v>221</v>
      </c>
      <c r="E624">
        <v>2</v>
      </c>
      <c r="F624" t="s">
        <v>242</v>
      </c>
      <c r="G624" t="str">
        <f t="shared" si="73"/>
        <v>Gobiomorphus cotidianus</v>
      </c>
      <c r="H624" t="str">
        <f t="shared" si="74"/>
        <v>Common_bully</v>
      </c>
      <c r="I624" t="str">
        <f t="shared" si="75"/>
        <v>Toitoi</v>
      </c>
      <c r="J624" t="str">
        <f t="shared" si="76"/>
        <v>Native</v>
      </c>
      <c r="K624" t="str">
        <f t="shared" si="77"/>
        <v>No</v>
      </c>
      <c r="M624">
        <v>36</v>
      </c>
      <c r="N624">
        <f t="shared" si="79"/>
        <v>1.2424242424242424</v>
      </c>
      <c r="O624">
        <v>1</v>
      </c>
      <c r="T624" t="str">
        <f t="shared" si="78"/>
        <v/>
      </c>
    </row>
    <row r="625" spans="1:20" x14ac:dyDescent="0.55000000000000004">
      <c r="A625">
        <v>85</v>
      </c>
      <c r="B625" t="str">
        <f t="shared" si="72"/>
        <v>85_0</v>
      </c>
      <c r="C625" s="2">
        <v>45637.409722164353</v>
      </c>
      <c r="D625" t="s">
        <v>221</v>
      </c>
      <c r="E625">
        <v>2</v>
      </c>
      <c r="F625" t="s">
        <v>242</v>
      </c>
      <c r="G625" t="str">
        <f t="shared" si="73"/>
        <v>Gobiomorphus cotidianus</v>
      </c>
      <c r="H625" t="str">
        <f t="shared" si="74"/>
        <v>Common_bully</v>
      </c>
      <c r="I625" t="str">
        <f t="shared" si="75"/>
        <v>Toitoi</v>
      </c>
      <c r="J625" t="str">
        <f t="shared" si="76"/>
        <v>Native</v>
      </c>
      <c r="K625" t="str">
        <f t="shared" si="77"/>
        <v>No</v>
      </c>
      <c r="M625">
        <v>34</v>
      </c>
      <c r="N625">
        <f t="shared" si="79"/>
        <v>1.2424242424242424</v>
      </c>
      <c r="O625">
        <v>1</v>
      </c>
      <c r="T625" t="str">
        <f t="shared" si="78"/>
        <v/>
      </c>
    </row>
    <row r="626" spans="1:20" x14ac:dyDescent="0.55000000000000004">
      <c r="A626">
        <v>85</v>
      </c>
      <c r="B626" t="str">
        <f t="shared" si="72"/>
        <v>85_0</v>
      </c>
      <c r="C626" s="2">
        <v>45637.409722164353</v>
      </c>
      <c r="D626" t="s">
        <v>221</v>
      </c>
      <c r="E626">
        <v>2</v>
      </c>
      <c r="F626" t="s">
        <v>242</v>
      </c>
      <c r="G626" t="str">
        <f t="shared" si="73"/>
        <v>Gobiomorphus cotidianus</v>
      </c>
      <c r="H626" t="str">
        <f t="shared" si="74"/>
        <v>Common_bully</v>
      </c>
      <c r="I626" t="str">
        <f t="shared" si="75"/>
        <v>Toitoi</v>
      </c>
      <c r="J626" t="str">
        <f t="shared" si="76"/>
        <v>Native</v>
      </c>
      <c r="K626" t="str">
        <f t="shared" si="77"/>
        <v>No</v>
      </c>
      <c r="M626">
        <v>30</v>
      </c>
      <c r="N626">
        <f t="shared" si="79"/>
        <v>1.2424242424242424</v>
      </c>
      <c r="O626">
        <v>1</v>
      </c>
      <c r="T626" t="str">
        <f t="shared" si="78"/>
        <v/>
      </c>
    </row>
    <row r="627" spans="1:20" x14ac:dyDescent="0.55000000000000004">
      <c r="A627">
        <v>85</v>
      </c>
      <c r="B627" t="str">
        <f t="shared" si="72"/>
        <v>85_0</v>
      </c>
      <c r="C627" s="2">
        <v>45637.409722164353</v>
      </c>
      <c r="D627" t="s">
        <v>221</v>
      </c>
      <c r="E627">
        <v>2</v>
      </c>
      <c r="F627" t="s">
        <v>242</v>
      </c>
      <c r="G627" t="str">
        <f t="shared" si="73"/>
        <v>Gobiomorphus cotidianus</v>
      </c>
      <c r="H627" t="str">
        <f t="shared" si="74"/>
        <v>Common_bully</v>
      </c>
      <c r="I627" t="str">
        <f t="shared" si="75"/>
        <v>Toitoi</v>
      </c>
      <c r="J627" t="str">
        <f t="shared" si="76"/>
        <v>Native</v>
      </c>
      <c r="K627" t="str">
        <f t="shared" si="77"/>
        <v>No</v>
      </c>
      <c r="M627">
        <v>70</v>
      </c>
      <c r="N627">
        <f t="shared" si="79"/>
        <v>1.2424242424242424</v>
      </c>
      <c r="O627">
        <v>1</v>
      </c>
      <c r="T627" t="str">
        <f t="shared" si="78"/>
        <v/>
      </c>
    </row>
    <row r="628" spans="1:20" x14ac:dyDescent="0.55000000000000004">
      <c r="A628">
        <v>85</v>
      </c>
      <c r="B628" t="str">
        <f t="shared" si="72"/>
        <v>85_0</v>
      </c>
      <c r="C628" s="2">
        <v>45637.409722164353</v>
      </c>
      <c r="D628" t="s">
        <v>221</v>
      </c>
      <c r="E628">
        <v>2</v>
      </c>
      <c r="F628" t="s">
        <v>242</v>
      </c>
      <c r="G628" t="str">
        <f t="shared" si="73"/>
        <v>Gobiomorphus cotidianus</v>
      </c>
      <c r="H628" t="str">
        <f t="shared" si="74"/>
        <v>Common_bully</v>
      </c>
      <c r="I628" t="str">
        <f t="shared" si="75"/>
        <v>Toitoi</v>
      </c>
      <c r="J628" t="str">
        <f t="shared" si="76"/>
        <v>Native</v>
      </c>
      <c r="K628" t="str">
        <f t="shared" si="77"/>
        <v>No</v>
      </c>
      <c r="M628">
        <v>30</v>
      </c>
      <c r="N628">
        <f t="shared" si="79"/>
        <v>1.2424242424242424</v>
      </c>
      <c r="O628">
        <v>1</v>
      </c>
      <c r="T628" t="str">
        <f t="shared" si="78"/>
        <v/>
      </c>
    </row>
    <row r="629" spans="1:20" x14ac:dyDescent="0.55000000000000004">
      <c r="A629">
        <v>85</v>
      </c>
      <c r="B629" t="str">
        <f t="shared" si="72"/>
        <v>85_0</v>
      </c>
      <c r="C629" s="2">
        <v>45637.409722164353</v>
      </c>
      <c r="D629" t="s">
        <v>221</v>
      </c>
      <c r="E629">
        <v>2</v>
      </c>
      <c r="F629" t="s">
        <v>242</v>
      </c>
      <c r="G629" t="str">
        <f t="shared" si="73"/>
        <v>Gobiomorphus cotidianus</v>
      </c>
      <c r="H629" t="str">
        <f t="shared" si="74"/>
        <v>Common_bully</v>
      </c>
      <c r="I629" t="str">
        <f t="shared" si="75"/>
        <v>Toitoi</v>
      </c>
      <c r="J629" t="str">
        <f t="shared" si="76"/>
        <v>Native</v>
      </c>
      <c r="K629" t="str">
        <f t="shared" si="77"/>
        <v>No</v>
      </c>
      <c r="M629">
        <v>48</v>
      </c>
      <c r="N629">
        <f t="shared" si="79"/>
        <v>1.2424242424242424</v>
      </c>
      <c r="O629">
        <v>1</v>
      </c>
      <c r="T629" t="str">
        <f t="shared" si="78"/>
        <v/>
      </c>
    </row>
    <row r="630" spans="1:20" x14ac:dyDescent="0.55000000000000004">
      <c r="A630">
        <v>85</v>
      </c>
      <c r="B630" t="str">
        <f t="shared" si="72"/>
        <v>85_0</v>
      </c>
      <c r="C630" s="2">
        <v>45637.409722164353</v>
      </c>
      <c r="D630" t="s">
        <v>221</v>
      </c>
      <c r="E630">
        <v>2</v>
      </c>
      <c r="F630" t="s">
        <v>242</v>
      </c>
      <c r="G630" t="str">
        <f t="shared" si="73"/>
        <v>Gobiomorphus cotidianus</v>
      </c>
      <c r="H630" t="str">
        <f t="shared" si="74"/>
        <v>Common_bully</v>
      </c>
      <c r="I630" t="str">
        <f t="shared" si="75"/>
        <v>Toitoi</v>
      </c>
      <c r="J630" t="str">
        <f t="shared" si="76"/>
        <v>Native</v>
      </c>
      <c r="K630" t="str">
        <f t="shared" si="77"/>
        <v>No</v>
      </c>
      <c r="M630">
        <v>35</v>
      </c>
      <c r="N630">
        <f t="shared" si="79"/>
        <v>1.2424242424242424</v>
      </c>
      <c r="O630">
        <v>1</v>
      </c>
      <c r="T630" t="str">
        <f t="shared" si="78"/>
        <v/>
      </c>
    </row>
    <row r="631" spans="1:20" x14ac:dyDescent="0.55000000000000004">
      <c r="A631">
        <v>85</v>
      </c>
      <c r="B631" t="str">
        <f t="shared" si="72"/>
        <v>85_0</v>
      </c>
      <c r="C631" s="2">
        <v>45637.409722164353</v>
      </c>
      <c r="D631" t="s">
        <v>221</v>
      </c>
      <c r="E631">
        <v>2</v>
      </c>
      <c r="F631" t="s">
        <v>242</v>
      </c>
      <c r="G631" t="str">
        <f t="shared" si="73"/>
        <v>Gobiomorphus cotidianus</v>
      </c>
      <c r="H631" t="str">
        <f t="shared" si="74"/>
        <v>Common_bully</v>
      </c>
      <c r="I631" t="str">
        <f t="shared" si="75"/>
        <v>Toitoi</v>
      </c>
      <c r="J631" t="str">
        <f t="shared" si="76"/>
        <v>Native</v>
      </c>
      <c r="K631" t="str">
        <f t="shared" si="77"/>
        <v>No</v>
      </c>
      <c r="M631">
        <v>33</v>
      </c>
      <c r="N631">
        <f t="shared" si="79"/>
        <v>1.2424242424242424</v>
      </c>
      <c r="O631">
        <v>1</v>
      </c>
      <c r="T631" t="str">
        <f t="shared" si="78"/>
        <v/>
      </c>
    </row>
    <row r="632" spans="1:20" x14ac:dyDescent="0.55000000000000004">
      <c r="A632">
        <v>85</v>
      </c>
      <c r="B632" t="str">
        <f t="shared" si="72"/>
        <v>85_0</v>
      </c>
      <c r="C632" s="2">
        <v>45637.409722164353</v>
      </c>
      <c r="D632" t="s">
        <v>221</v>
      </c>
      <c r="E632">
        <v>2</v>
      </c>
      <c r="F632" t="s">
        <v>242</v>
      </c>
      <c r="G632" t="str">
        <f t="shared" si="73"/>
        <v>Gobiomorphus cotidianus</v>
      </c>
      <c r="H632" t="str">
        <f t="shared" si="74"/>
        <v>Common_bully</v>
      </c>
      <c r="I632" t="str">
        <f t="shared" si="75"/>
        <v>Toitoi</v>
      </c>
      <c r="J632" t="str">
        <f t="shared" si="76"/>
        <v>Native</v>
      </c>
      <c r="K632" t="str">
        <f t="shared" si="77"/>
        <v>No</v>
      </c>
      <c r="M632">
        <v>27</v>
      </c>
      <c r="N632">
        <f t="shared" si="79"/>
        <v>1.2424242424242424</v>
      </c>
      <c r="O632">
        <v>1</v>
      </c>
      <c r="T632" t="str">
        <f t="shared" si="78"/>
        <v/>
      </c>
    </row>
    <row r="633" spans="1:20" x14ac:dyDescent="0.55000000000000004">
      <c r="A633">
        <v>85</v>
      </c>
      <c r="B633" t="str">
        <f t="shared" si="72"/>
        <v>85_0</v>
      </c>
      <c r="C633" s="2">
        <v>45637.409722164353</v>
      </c>
      <c r="D633" t="s">
        <v>221</v>
      </c>
      <c r="E633">
        <v>2</v>
      </c>
      <c r="F633" t="s">
        <v>242</v>
      </c>
      <c r="G633" t="str">
        <f t="shared" si="73"/>
        <v>Gobiomorphus cotidianus</v>
      </c>
      <c r="H633" t="str">
        <f t="shared" si="74"/>
        <v>Common_bully</v>
      </c>
      <c r="I633" t="str">
        <f t="shared" si="75"/>
        <v>Toitoi</v>
      </c>
      <c r="J633" t="str">
        <f t="shared" si="76"/>
        <v>Native</v>
      </c>
      <c r="K633" t="str">
        <f t="shared" si="77"/>
        <v>No</v>
      </c>
      <c r="M633">
        <v>39</v>
      </c>
      <c r="N633">
        <f t="shared" si="79"/>
        <v>1.2424242424242424</v>
      </c>
      <c r="O633">
        <v>1</v>
      </c>
      <c r="T633" t="str">
        <f t="shared" si="78"/>
        <v/>
      </c>
    </row>
    <row r="634" spans="1:20" x14ac:dyDescent="0.55000000000000004">
      <c r="A634">
        <v>85</v>
      </c>
      <c r="B634" t="str">
        <f t="shared" si="72"/>
        <v>85_0</v>
      </c>
      <c r="C634" s="2">
        <v>45637.409722164353</v>
      </c>
      <c r="D634" t="s">
        <v>221</v>
      </c>
      <c r="E634">
        <v>2</v>
      </c>
      <c r="F634" t="s">
        <v>242</v>
      </c>
      <c r="G634" t="str">
        <f t="shared" si="73"/>
        <v>Gobiomorphus cotidianus</v>
      </c>
      <c r="H634" t="str">
        <f t="shared" si="74"/>
        <v>Common_bully</v>
      </c>
      <c r="I634" t="str">
        <f t="shared" si="75"/>
        <v>Toitoi</v>
      </c>
      <c r="J634" t="str">
        <f t="shared" si="76"/>
        <v>Native</v>
      </c>
      <c r="K634" t="str">
        <f t="shared" si="77"/>
        <v>No</v>
      </c>
      <c r="M634">
        <v>36</v>
      </c>
      <c r="N634">
        <f t="shared" si="79"/>
        <v>1.2424242424242424</v>
      </c>
      <c r="O634">
        <v>1</v>
      </c>
      <c r="T634" t="str">
        <f t="shared" si="78"/>
        <v/>
      </c>
    </row>
    <row r="635" spans="1:20" x14ac:dyDescent="0.55000000000000004">
      <c r="A635">
        <v>85</v>
      </c>
      <c r="B635" t="str">
        <f t="shared" si="72"/>
        <v>85_0</v>
      </c>
      <c r="C635" s="2">
        <v>45637.409722164353</v>
      </c>
      <c r="D635" t="s">
        <v>221</v>
      </c>
      <c r="E635">
        <v>2</v>
      </c>
      <c r="F635" t="s">
        <v>242</v>
      </c>
      <c r="G635" t="str">
        <f t="shared" si="73"/>
        <v>Gobiomorphus cotidianus</v>
      </c>
      <c r="H635" t="str">
        <f t="shared" si="74"/>
        <v>Common_bully</v>
      </c>
      <c r="I635" t="str">
        <f t="shared" si="75"/>
        <v>Toitoi</v>
      </c>
      <c r="J635" t="str">
        <f t="shared" si="76"/>
        <v>Native</v>
      </c>
      <c r="K635" t="str">
        <f t="shared" si="77"/>
        <v>No</v>
      </c>
      <c r="M635">
        <v>41</v>
      </c>
      <c r="N635">
        <f t="shared" si="79"/>
        <v>1.2424242424242424</v>
      </c>
      <c r="O635">
        <v>1</v>
      </c>
      <c r="T635" t="str">
        <f t="shared" si="78"/>
        <v/>
      </c>
    </row>
    <row r="636" spans="1:20" x14ac:dyDescent="0.55000000000000004">
      <c r="A636">
        <v>85</v>
      </c>
      <c r="B636" t="str">
        <f t="shared" si="72"/>
        <v>85_0</v>
      </c>
      <c r="C636" s="2">
        <v>45637.409722164353</v>
      </c>
      <c r="D636" t="s">
        <v>221</v>
      </c>
      <c r="E636">
        <v>2</v>
      </c>
      <c r="F636" t="s">
        <v>242</v>
      </c>
      <c r="G636" t="str">
        <f t="shared" si="73"/>
        <v>Gobiomorphus cotidianus</v>
      </c>
      <c r="H636" t="str">
        <f t="shared" si="74"/>
        <v>Common_bully</v>
      </c>
      <c r="I636" t="str">
        <f t="shared" si="75"/>
        <v>Toitoi</v>
      </c>
      <c r="J636" t="str">
        <f t="shared" si="76"/>
        <v>Native</v>
      </c>
      <c r="K636" t="str">
        <f t="shared" si="77"/>
        <v>No</v>
      </c>
      <c r="M636">
        <v>32</v>
      </c>
      <c r="N636">
        <f t="shared" si="79"/>
        <v>1.2424242424242424</v>
      </c>
      <c r="O636">
        <v>1</v>
      </c>
      <c r="T636" t="str">
        <f t="shared" si="78"/>
        <v/>
      </c>
    </row>
    <row r="637" spans="1:20" x14ac:dyDescent="0.55000000000000004">
      <c r="A637">
        <v>85</v>
      </c>
      <c r="B637" t="str">
        <f t="shared" si="72"/>
        <v>85_0</v>
      </c>
      <c r="C637" s="2">
        <v>45637.409722164353</v>
      </c>
      <c r="D637" t="s">
        <v>221</v>
      </c>
      <c r="E637">
        <v>2</v>
      </c>
      <c r="F637" t="s">
        <v>242</v>
      </c>
      <c r="G637" t="str">
        <f t="shared" si="73"/>
        <v>Gobiomorphus cotidianus</v>
      </c>
      <c r="H637" t="str">
        <f t="shared" si="74"/>
        <v>Common_bully</v>
      </c>
      <c r="I637" t="str">
        <f t="shared" si="75"/>
        <v>Toitoi</v>
      </c>
      <c r="J637" t="str">
        <f t="shared" si="76"/>
        <v>Native</v>
      </c>
      <c r="K637" t="str">
        <f t="shared" si="77"/>
        <v>No</v>
      </c>
      <c r="M637">
        <v>33</v>
      </c>
      <c r="N637">
        <f t="shared" si="79"/>
        <v>1.2424242424242424</v>
      </c>
      <c r="O637">
        <v>1</v>
      </c>
      <c r="T637" t="str">
        <f t="shared" si="78"/>
        <v/>
      </c>
    </row>
    <row r="638" spans="1:20" x14ac:dyDescent="0.55000000000000004">
      <c r="A638">
        <v>85</v>
      </c>
      <c r="B638" t="str">
        <f t="shared" si="72"/>
        <v>85_0</v>
      </c>
      <c r="C638" s="2">
        <v>45637.409722164353</v>
      </c>
      <c r="D638" t="s">
        <v>221</v>
      </c>
      <c r="E638">
        <v>2</v>
      </c>
      <c r="F638" t="s">
        <v>242</v>
      </c>
      <c r="G638" t="str">
        <f t="shared" si="73"/>
        <v>Gobiomorphus cotidianus</v>
      </c>
      <c r="H638" t="str">
        <f t="shared" si="74"/>
        <v>Common_bully</v>
      </c>
      <c r="I638" t="str">
        <f t="shared" si="75"/>
        <v>Toitoi</v>
      </c>
      <c r="J638" t="str">
        <f t="shared" si="76"/>
        <v>Native</v>
      </c>
      <c r="K638" t="str">
        <f t="shared" si="77"/>
        <v>No</v>
      </c>
      <c r="M638">
        <v>38</v>
      </c>
      <c r="N638">
        <f t="shared" si="79"/>
        <v>1.2424242424242424</v>
      </c>
      <c r="O638">
        <v>1</v>
      </c>
      <c r="T638" t="str">
        <f t="shared" si="78"/>
        <v/>
      </c>
    </row>
    <row r="639" spans="1:20" x14ac:dyDescent="0.55000000000000004">
      <c r="A639">
        <v>85</v>
      </c>
      <c r="B639" t="str">
        <f t="shared" si="72"/>
        <v>85_0</v>
      </c>
      <c r="C639" s="2">
        <v>45637.409722164353</v>
      </c>
      <c r="D639" t="s">
        <v>221</v>
      </c>
      <c r="E639">
        <v>2</v>
      </c>
      <c r="F639" t="s">
        <v>242</v>
      </c>
      <c r="G639" t="str">
        <f t="shared" si="73"/>
        <v>Gobiomorphus cotidianus</v>
      </c>
      <c r="H639" t="str">
        <f t="shared" si="74"/>
        <v>Common_bully</v>
      </c>
      <c r="I639" t="str">
        <f t="shared" si="75"/>
        <v>Toitoi</v>
      </c>
      <c r="J639" t="str">
        <f t="shared" si="76"/>
        <v>Native</v>
      </c>
      <c r="K639" t="str">
        <f t="shared" si="77"/>
        <v>No</v>
      </c>
      <c r="M639">
        <v>40</v>
      </c>
      <c r="N639">
        <f t="shared" si="79"/>
        <v>1.2424242424242424</v>
      </c>
      <c r="O639">
        <v>1</v>
      </c>
      <c r="T639" t="str">
        <f t="shared" si="78"/>
        <v/>
      </c>
    </row>
    <row r="640" spans="1:20" x14ac:dyDescent="0.55000000000000004">
      <c r="A640">
        <v>85</v>
      </c>
      <c r="B640" t="str">
        <f t="shared" si="72"/>
        <v>85_0</v>
      </c>
      <c r="C640" s="2">
        <v>45637.409722164353</v>
      </c>
      <c r="D640" t="s">
        <v>221</v>
      </c>
      <c r="E640">
        <v>2</v>
      </c>
      <c r="F640" t="s">
        <v>242</v>
      </c>
      <c r="G640" t="str">
        <f t="shared" si="73"/>
        <v>Gobiomorphus cotidianus</v>
      </c>
      <c r="H640" t="str">
        <f t="shared" si="74"/>
        <v>Common_bully</v>
      </c>
      <c r="I640" t="str">
        <f t="shared" si="75"/>
        <v>Toitoi</v>
      </c>
      <c r="J640" t="str">
        <f t="shared" si="76"/>
        <v>Native</v>
      </c>
      <c r="K640" t="str">
        <f t="shared" si="77"/>
        <v>No</v>
      </c>
      <c r="M640">
        <v>48</v>
      </c>
      <c r="N640">
        <f t="shared" si="79"/>
        <v>1.2424242424242424</v>
      </c>
      <c r="O640">
        <v>1</v>
      </c>
      <c r="T640" t="str">
        <f t="shared" si="78"/>
        <v/>
      </c>
    </row>
    <row r="641" spans="1:20" x14ac:dyDescent="0.55000000000000004">
      <c r="A641">
        <v>85</v>
      </c>
      <c r="B641" t="str">
        <f t="shared" si="72"/>
        <v>85_0</v>
      </c>
      <c r="C641" s="2">
        <v>45637.409722164353</v>
      </c>
      <c r="D641" t="s">
        <v>221</v>
      </c>
      <c r="E641">
        <v>2</v>
      </c>
      <c r="F641" t="s">
        <v>242</v>
      </c>
      <c r="G641" t="str">
        <f t="shared" si="73"/>
        <v>Gobiomorphus cotidianus</v>
      </c>
      <c r="H641" t="str">
        <f t="shared" si="74"/>
        <v>Common_bully</v>
      </c>
      <c r="I641" t="str">
        <f t="shared" si="75"/>
        <v>Toitoi</v>
      </c>
      <c r="J641" t="str">
        <f t="shared" si="76"/>
        <v>Native</v>
      </c>
      <c r="K641" t="str">
        <f t="shared" si="77"/>
        <v>No</v>
      </c>
      <c r="M641">
        <v>55</v>
      </c>
      <c r="N641">
        <f t="shared" si="79"/>
        <v>1.2424242424242424</v>
      </c>
      <c r="O641">
        <v>1</v>
      </c>
      <c r="T641" t="str">
        <f t="shared" si="78"/>
        <v/>
      </c>
    </row>
    <row r="642" spans="1:20" x14ac:dyDescent="0.55000000000000004">
      <c r="A642">
        <v>85</v>
      </c>
      <c r="B642" t="str">
        <f t="shared" ref="B642:B705" si="80">A642 &amp; "_0"</f>
        <v>85_0</v>
      </c>
      <c r="C642" s="2">
        <v>45637.409722164353</v>
      </c>
      <c r="D642" t="s">
        <v>221</v>
      </c>
      <c r="E642">
        <v>2</v>
      </c>
      <c r="F642" t="s">
        <v>242</v>
      </c>
      <c r="G642" t="str">
        <f t="shared" ref="G642:G705" si="81">VLOOKUP($F642, $W$1:$AB$10, 2, FALSE)</f>
        <v>Gobiomorphus cotidianus</v>
      </c>
      <c r="H642" t="str">
        <f t="shared" ref="H642:H705" si="82">VLOOKUP($F642, $W$1:$AB$10, 3, FALSE)</f>
        <v>Common_bully</v>
      </c>
      <c r="I642" t="str">
        <f t="shared" ref="I642:I705" si="83">VLOOKUP($F642, $W$1:$AB$10, 4, FALSE)</f>
        <v>Toitoi</v>
      </c>
      <c r="J642" t="str">
        <f t="shared" ref="J642:J705" si="84">VLOOKUP($F642, $W$1:$AC$10, 5, FALSE)</f>
        <v>Native</v>
      </c>
      <c r="K642" t="str">
        <f t="shared" ref="K642:K705" si="85">VLOOKUP($F642, $W$1:$AB$10, 6, FALSE)</f>
        <v>No</v>
      </c>
      <c r="M642">
        <v>46</v>
      </c>
      <c r="N642">
        <f t="shared" si="79"/>
        <v>1.2424242424242424</v>
      </c>
      <c r="O642">
        <v>1</v>
      </c>
      <c r="T642" t="str">
        <f t="shared" ref="T642:T705" si="86">IF(S642&lt;&gt;"", S642*236.588, "")</f>
        <v/>
      </c>
    </row>
    <row r="643" spans="1:20" x14ac:dyDescent="0.55000000000000004">
      <c r="A643">
        <v>85</v>
      </c>
      <c r="B643" t="str">
        <f t="shared" si="80"/>
        <v>85_0</v>
      </c>
      <c r="C643" s="2">
        <v>45637.409722164353</v>
      </c>
      <c r="D643" t="s">
        <v>221</v>
      </c>
      <c r="E643">
        <v>2</v>
      </c>
      <c r="F643" t="s">
        <v>242</v>
      </c>
      <c r="G643" t="str">
        <f t="shared" si="81"/>
        <v>Gobiomorphus cotidianus</v>
      </c>
      <c r="H643" t="str">
        <f t="shared" si="82"/>
        <v>Common_bully</v>
      </c>
      <c r="I643" t="str">
        <f t="shared" si="83"/>
        <v>Toitoi</v>
      </c>
      <c r="J643" t="str">
        <f t="shared" si="84"/>
        <v>Native</v>
      </c>
      <c r="K643" t="str">
        <f t="shared" si="85"/>
        <v>No</v>
      </c>
      <c r="M643">
        <v>47</v>
      </c>
      <c r="N643">
        <f t="shared" si="79"/>
        <v>1.2424242424242424</v>
      </c>
      <c r="O643">
        <v>1</v>
      </c>
      <c r="T643" t="str">
        <f t="shared" si="86"/>
        <v/>
      </c>
    </row>
    <row r="644" spans="1:20" x14ac:dyDescent="0.55000000000000004">
      <c r="A644">
        <v>85</v>
      </c>
      <c r="B644" t="str">
        <f t="shared" si="80"/>
        <v>85_0</v>
      </c>
      <c r="C644" s="2">
        <v>45637.409722164353</v>
      </c>
      <c r="D644" t="s">
        <v>221</v>
      </c>
      <c r="E644">
        <v>2</v>
      </c>
      <c r="F644" t="s">
        <v>242</v>
      </c>
      <c r="G644" t="str">
        <f t="shared" si="81"/>
        <v>Gobiomorphus cotidianus</v>
      </c>
      <c r="H644" t="str">
        <f t="shared" si="82"/>
        <v>Common_bully</v>
      </c>
      <c r="I644" t="str">
        <f t="shared" si="83"/>
        <v>Toitoi</v>
      </c>
      <c r="J644" t="str">
        <f t="shared" si="84"/>
        <v>Native</v>
      </c>
      <c r="K644" t="str">
        <f t="shared" si="85"/>
        <v>No</v>
      </c>
      <c r="M644">
        <v>32</v>
      </c>
      <c r="N644">
        <f t="shared" si="79"/>
        <v>1.2424242424242424</v>
      </c>
      <c r="O644">
        <v>1</v>
      </c>
      <c r="T644" t="str">
        <f t="shared" si="86"/>
        <v/>
      </c>
    </row>
    <row r="645" spans="1:20" x14ac:dyDescent="0.55000000000000004">
      <c r="A645">
        <v>85</v>
      </c>
      <c r="B645" t="str">
        <f t="shared" si="80"/>
        <v>85_0</v>
      </c>
      <c r="C645" s="2">
        <v>45637.409722164353</v>
      </c>
      <c r="D645" t="s">
        <v>221</v>
      </c>
      <c r="E645">
        <v>2</v>
      </c>
      <c r="F645" t="s">
        <v>242</v>
      </c>
      <c r="G645" t="str">
        <f t="shared" si="81"/>
        <v>Gobiomorphus cotidianus</v>
      </c>
      <c r="H645" t="str">
        <f t="shared" si="82"/>
        <v>Common_bully</v>
      </c>
      <c r="I645" t="str">
        <f t="shared" si="83"/>
        <v>Toitoi</v>
      </c>
      <c r="J645" t="str">
        <f t="shared" si="84"/>
        <v>Native</v>
      </c>
      <c r="K645" t="str">
        <f t="shared" si="85"/>
        <v>No</v>
      </c>
      <c r="M645">
        <v>44</v>
      </c>
      <c r="N645">
        <f t="shared" si="79"/>
        <v>1.2424242424242424</v>
      </c>
      <c r="O645">
        <v>1</v>
      </c>
      <c r="T645" t="str">
        <f t="shared" si="86"/>
        <v/>
      </c>
    </row>
    <row r="646" spans="1:20" x14ac:dyDescent="0.55000000000000004">
      <c r="A646">
        <v>85</v>
      </c>
      <c r="B646" t="str">
        <f t="shared" si="80"/>
        <v>85_0</v>
      </c>
      <c r="C646" s="2">
        <v>45637.409722164353</v>
      </c>
      <c r="D646" t="s">
        <v>221</v>
      </c>
      <c r="E646">
        <v>2</v>
      </c>
      <c r="F646" t="s">
        <v>242</v>
      </c>
      <c r="G646" t="str">
        <f t="shared" si="81"/>
        <v>Gobiomorphus cotidianus</v>
      </c>
      <c r="H646" t="str">
        <f t="shared" si="82"/>
        <v>Common_bully</v>
      </c>
      <c r="I646" t="str">
        <f t="shared" si="83"/>
        <v>Toitoi</v>
      </c>
      <c r="J646" t="str">
        <f t="shared" si="84"/>
        <v>Native</v>
      </c>
      <c r="K646" t="str">
        <f t="shared" si="85"/>
        <v>No</v>
      </c>
      <c r="M646">
        <v>40</v>
      </c>
      <c r="N646">
        <f t="shared" si="79"/>
        <v>1.2424242424242424</v>
      </c>
      <c r="O646">
        <v>1</v>
      </c>
      <c r="T646" t="str">
        <f t="shared" si="86"/>
        <v/>
      </c>
    </row>
    <row r="647" spans="1:20" x14ac:dyDescent="0.55000000000000004">
      <c r="A647">
        <v>85</v>
      </c>
      <c r="B647" t="str">
        <f t="shared" si="80"/>
        <v>85_0</v>
      </c>
      <c r="C647" s="2">
        <v>45637.409722164353</v>
      </c>
      <c r="D647" t="s">
        <v>221</v>
      </c>
      <c r="E647">
        <v>2</v>
      </c>
      <c r="F647" t="s">
        <v>242</v>
      </c>
      <c r="G647" t="str">
        <f t="shared" si="81"/>
        <v>Gobiomorphus cotidianus</v>
      </c>
      <c r="H647" t="str">
        <f t="shared" si="82"/>
        <v>Common_bully</v>
      </c>
      <c r="I647" t="str">
        <f t="shared" si="83"/>
        <v>Toitoi</v>
      </c>
      <c r="J647" t="str">
        <f t="shared" si="84"/>
        <v>Native</v>
      </c>
      <c r="K647" t="str">
        <f t="shared" si="85"/>
        <v>No</v>
      </c>
      <c r="M647">
        <v>41</v>
      </c>
      <c r="N647">
        <f t="shared" si="79"/>
        <v>1.2424242424242424</v>
      </c>
      <c r="O647">
        <v>1</v>
      </c>
      <c r="T647" t="str">
        <f t="shared" si="86"/>
        <v/>
      </c>
    </row>
    <row r="648" spans="1:20" x14ac:dyDescent="0.55000000000000004">
      <c r="A648">
        <v>85</v>
      </c>
      <c r="B648" t="str">
        <f t="shared" si="80"/>
        <v>85_0</v>
      </c>
      <c r="C648" s="2">
        <v>45637.409722164353</v>
      </c>
      <c r="D648" t="s">
        <v>221</v>
      </c>
      <c r="E648">
        <v>2</v>
      </c>
      <c r="F648" t="s">
        <v>242</v>
      </c>
      <c r="G648" t="str">
        <f t="shared" si="81"/>
        <v>Gobiomorphus cotidianus</v>
      </c>
      <c r="H648" t="str">
        <f t="shared" si="82"/>
        <v>Common_bully</v>
      </c>
      <c r="I648" t="str">
        <f t="shared" si="83"/>
        <v>Toitoi</v>
      </c>
      <c r="J648" t="str">
        <f t="shared" si="84"/>
        <v>Native</v>
      </c>
      <c r="K648" t="str">
        <f t="shared" si="85"/>
        <v>No</v>
      </c>
      <c r="M648">
        <v>34</v>
      </c>
      <c r="N648">
        <f t="shared" si="79"/>
        <v>1.2424242424242424</v>
      </c>
      <c r="O648">
        <v>1</v>
      </c>
      <c r="T648" t="str">
        <f t="shared" si="86"/>
        <v/>
      </c>
    </row>
    <row r="649" spans="1:20" x14ac:dyDescent="0.55000000000000004">
      <c r="A649">
        <v>85</v>
      </c>
      <c r="B649" t="str">
        <f t="shared" si="80"/>
        <v>85_0</v>
      </c>
      <c r="C649" s="2">
        <v>45637.409722164353</v>
      </c>
      <c r="D649" t="s">
        <v>221</v>
      </c>
      <c r="E649">
        <v>2</v>
      </c>
      <c r="F649" t="s">
        <v>242</v>
      </c>
      <c r="G649" t="str">
        <f t="shared" si="81"/>
        <v>Gobiomorphus cotidianus</v>
      </c>
      <c r="H649" t="str">
        <f t="shared" si="82"/>
        <v>Common_bully</v>
      </c>
      <c r="I649" t="str">
        <f t="shared" si="83"/>
        <v>Toitoi</v>
      </c>
      <c r="J649" t="str">
        <f t="shared" si="84"/>
        <v>Native</v>
      </c>
      <c r="K649" t="str">
        <f t="shared" si="85"/>
        <v>No</v>
      </c>
      <c r="M649">
        <v>45</v>
      </c>
      <c r="N649">
        <f t="shared" si="79"/>
        <v>1.2424242424242424</v>
      </c>
      <c r="O649">
        <v>1</v>
      </c>
      <c r="T649" t="str">
        <f t="shared" si="86"/>
        <v/>
      </c>
    </row>
    <row r="650" spans="1:20" x14ac:dyDescent="0.55000000000000004">
      <c r="A650">
        <v>85</v>
      </c>
      <c r="B650" t="str">
        <f t="shared" si="80"/>
        <v>85_0</v>
      </c>
      <c r="C650" s="2">
        <v>45637.409722164353</v>
      </c>
      <c r="D650" t="s">
        <v>221</v>
      </c>
      <c r="E650">
        <v>2</v>
      </c>
      <c r="F650" t="s">
        <v>242</v>
      </c>
      <c r="G650" t="str">
        <f t="shared" si="81"/>
        <v>Gobiomorphus cotidianus</v>
      </c>
      <c r="H650" t="str">
        <f t="shared" si="82"/>
        <v>Common_bully</v>
      </c>
      <c r="I650" t="str">
        <f t="shared" si="83"/>
        <v>Toitoi</v>
      </c>
      <c r="J650" t="str">
        <f t="shared" si="84"/>
        <v>Native</v>
      </c>
      <c r="K650" t="str">
        <f t="shared" si="85"/>
        <v>No</v>
      </c>
      <c r="M650">
        <v>61</v>
      </c>
      <c r="N650">
        <f t="shared" si="79"/>
        <v>1.2424242424242424</v>
      </c>
      <c r="O650">
        <v>1</v>
      </c>
      <c r="T650" t="str">
        <f t="shared" si="86"/>
        <v/>
      </c>
    </row>
    <row r="651" spans="1:20" x14ac:dyDescent="0.55000000000000004">
      <c r="A651">
        <v>85</v>
      </c>
      <c r="B651" t="str">
        <f t="shared" si="80"/>
        <v>85_0</v>
      </c>
      <c r="C651" s="2">
        <v>45637.409722164353</v>
      </c>
      <c r="D651" t="s">
        <v>221</v>
      </c>
      <c r="E651">
        <v>2</v>
      </c>
      <c r="F651" t="s">
        <v>242</v>
      </c>
      <c r="G651" t="str">
        <f t="shared" si="81"/>
        <v>Gobiomorphus cotidianus</v>
      </c>
      <c r="H651" t="str">
        <f t="shared" si="82"/>
        <v>Common_bully</v>
      </c>
      <c r="I651" t="str">
        <f t="shared" si="83"/>
        <v>Toitoi</v>
      </c>
      <c r="J651" t="str">
        <f t="shared" si="84"/>
        <v>Native</v>
      </c>
      <c r="K651" t="str">
        <f t="shared" si="85"/>
        <v>No</v>
      </c>
      <c r="M651">
        <v>31</v>
      </c>
      <c r="N651">
        <f t="shared" si="79"/>
        <v>1.2424242424242424</v>
      </c>
      <c r="O651">
        <v>1</v>
      </c>
      <c r="T651" t="str">
        <f t="shared" si="86"/>
        <v/>
      </c>
    </row>
    <row r="652" spans="1:20" x14ac:dyDescent="0.55000000000000004">
      <c r="A652">
        <v>85</v>
      </c>
      <c r="B652" t="str">
        <f t="shared" si="80"/>
        <v>85_0</v>
      </c>
      <c r="C652" s="2">
        <v>45637.409722164353</v>
      </c>
      <c r="D652" t="s">
        <v>221</v>
      </c>
      <c r="E652">
        <v>2</v>
      </c>
      <c r="F652" t="s">
        <v>242</v>
      </c>
      <c r="G652" t="str">
        <f t="shared" si="81"/>
        <v>Gobiomorphus cotidianus</v>
      </c>
      <c r="H652" t="str">
        <f t="shared" si="82"/>
        <v>Common_bully</v>
      </c>
      <c r="I652" t="str">
        <f t="shared" si="83"/>
        <v>Toitoi</v>
      </c>
      <c r="J652" t="str">
        <f t="shared" si="84"/>
        <v>Native</v>
      </c>
      <c r="K652" t="str">
        <f t="shared" si="85"/>
        <v>No</v>
      </c>
      <c r="M652">
        <v>45</v>
      </c>
      <c r="N652">
        <f t="shared" si="79"/>
        <v>1.2424242424242424</v>
      </c>
      <c r="O652">
        <v>1</v>
      </c>
      <c r="T652" t="str">
        <f t="shared" si="86"/>
        <v/>
      </c>
    </row>
    <row r="653" spans="1:20" x14ac:dyDescent="0.55000000000000004">
      <c r="A653">
        <v>85</v>
      </c>
      <c r="B653" t="str">
        <f t="shared" si="80"/>
        <v>85_0</v>
      </c>
      <c r="C653" s="2">
        <v>45637.409722164353</v>
      </c>
      <c r="D653" t="s">
        <v>221</v>
      </c>
      <c r="E653">
        <v>2</v>
      </c>
      <c r="F653" t="s">
        <v>242</v>
      </c>
      <c r="G653" t="str">
        <f t="shared" si="81"/>
        <v>Gobiomorphus cotidianus</v>
      </c>
      <c r="H653" t="str">
        <f t="shared" si="82"/>
        <v>Common_bully</v>
      </c>
      <c r="I653" t="str">
        <f t="shared" si="83"/>
        <v>Toitoi</v>
      </c>
      <c r="J653" t="str">
        <f t="shared" si="84"/>
        <v>Native</v>
      </c>
      <c r="K653" t="str">
        <f t="shared" si="85"/>
        <v>No</v>
      </c>
      <c r="M653">
        <v>34</v>
      </c>
      <c r="N653">
        <f t="shared" si="79"/>
        <v>1.2424242424242424</v>
      </c>
      <c r="O653">
        <v>1</v>
      </c>
      <c r="T653" t="str">
        <f t="shared" si="86"/>
        <v/>
      </c>
    </row>
    <row r="654" spans="1:20" x14ac:dyDescent="0.55000000000000004">
      <c r="A654">
        <v>85</v>
      </c>
      <c r="B654" t="str">
        <f t="shared" si="80"/>
        <v>85_0</v>
      </c>
      <c r="C654" s="2">
        <v>45637.409722164353</v>
      </c>
      <c r="D654" t="s">
        <v>221</v>
      </c>
      <c r="E654">
        <v>2</v>
      </c>
      <c r="F654" t="s">
        <v>242</v>
      </c>
      <c r="G654" t="str">
        <f t="shared" si="81"/>
        <v>Gobiomorphus cotidianus</v>
      </c>
      <c r="H654" t="str">
        <f t="shared" si="82"/>
        <v>Common_bully</v>
      </c>
      <c r="I654" t="str">
        <f t="shared" si="83"/>
        <v>Toitoi</v>
      </c>
      <c r="J654" t="str">
        <f t="shared" si="84"/>
        <v>Native</v>
      </c>
      <c r="K654" t="str">
        <f t="shared" si="85"/>
        <v>No</v>
      </c>
      <c r="N654">
        <v>81</v>
      </c>
      <c r="S654">
        <v>0.5</v>
      </c>
      <c r="T654">
        <f t="shared" si="86"/>
        <v>118.294</v>
      </c>
    </row>
    <row r="655" spans="1:20" x14ac:dyDescent="0.55000000000000004">
      <c r="A655">
        <v>85</v>
      </c>
      <c r="B655" t="str">
        <f t="shared" si="80"/>
        <v>85_0</v>
      </c>
      <c r="C655" s="2">
        <v>45637.409722164353</v>
      </c>
      <c r="D655" t="s">
        <v>221</v>
      </c>
      <c r="E655">
        <v>2</v>
      </c>
      <c r="F655" t="s">
        <v>242</v>
      </c>
      <c r="G655" t="str">
        <f t="shared" si="81"/>
        <v>Gobiomorphus cotidianus</v>
      </c>
      <c r="H655" t="str">
        <f t="shared" si="82"/>
        <v>Common_bully</v>
      </c>
      <c r="I655" t="str">
        <f t="shared" si="83"/>
        <v>Toitoi</v>
      </c>
      <c r="J655" t="str">
        <f t="shared" si="84"/>
        <v>Native</v>
      </c>
      <c r="K655" t="str">
        <f t="shared" si="85"/>
        <v>No</v>
      </c>
      <c r="N655">
        <v>329</v>
      </c>
      <c r="S655">
        <v>1.75</v>
      </c>
      <c r="T655">
        <f t="shared" si="86"/>
        <v>414.029</v>
      </c>
    </row>
    <row r="656" spans="1:20" x14ac:dyDescent="0.55000000000000004">
      <c r="A656">
        <v>85</v>
      </c>
      <c r="B656" t="str">
        <f t="shared" si="80"/>
        <v>85_0</v>
      </c>
      <c r="C656" s="2">
        <v>45637.409722164353</v>
      </c>
      <c r="D656" t="s">
        <v>221</v>
      </c>
      <c r="E656">
        <v>2</v>
      </c>
      <c r="F656" t="s">
        <v>236</v>
      </c>
      <c r="G656" t="str">
        <f t="shared" si="81"/>
        <v>Carassius auratus</v>
      </c>
      <c r="H656" t="str">
        <f t="shared" si="82"/>
        <v>Goldfish</v>
      </c>
      <c r="I656" t="str">
        <f t="shared" si="83"/>
        <v>Morihana</v>
      </c>
      <c r="J656" t="str">
        <f t="shared" si="84"/>
        <v>Nonnative</v>
      </c>
      <c r="K656" t="str">
        <f t="shared" si="85"/>
        <v>No</v>
      </c>
      <c r="M656">
        <v>170</v>
      </c>
      <c r="N656">
        <v>122</v>
      </c>
      <c r="O656">
        <v>1</v>
      </c>
      <c r="T656" t="str">
        <f t="shared" si="86"/>
        <v/>
      </c>
    </row>
    <row r="657" spans="1:20" x14ac:dyDescent="0.55000000000000004">
      <c r="A657">
        <v>85</v>
      </c>
      <c r="B657" t="str">
        <f t="shared" si="80"/>
        <v>85_0</v>
      </c>
      <c r="C657" s="2">
        <v>45637.409722164353</v>
      </c>
      <c r="D657" t="s">
        <v>221</v>
      </c>
      <c r="E657">
        <v>2</v>
      </c>
      <c r="F657" t="s">
        <v>236</v>
      </c>
      <c r="G657" t="str">
        <f t="shared" si="81"/>
        <v>Carassius auratus</v>
      </c>
      <c r="H657" t="str">
        <f t="shared" si="82"/>
        <v>Goldfish</v>
      </c>
      <c r="I657" t="str">
        <f t="shared" si="83"/>
        <v>Morihana</v>
      </c>
      <c r="J657" t="str">
        <f t="shared" si="84"/>
        <v>Nonnative</v>
      </c>
      <c r="K657" t="str">
        <f t="shared" si="85"/>
        <v>No</v>
      </c>
      <c r="M657">
        <v>190</v>
      </c>
      <c r="N657">
        <v>193</v>
      </c>
      <c r="O657">
        <v>1</v>
      </c>
      <c r="T657" t="str">
        <f t="shared" si="86"/>
        <v/>
      </c>
    </row>
    <row r="658" spans="1:20" x14ac:dyDescent="0.55000000000000004">
      <c r="A658">
        <v>85</v>
      </c>
      <c r="B658" t="str">
        <f t="shared" si="80"/>
        <v>85_0</v>
      </c>
      <c r="C658" s="2">
        <v>45637.409722164353</v>
      </c>
      <c r="D658" t="s">
        <v>221</v>
      </c>
      <c r="E658">
        <v>2</v>
      </c>
      <c r="F658" t="s">
        <v>236</v>
      </c>
      <c r="G658" t="str">
        <f t="shared" si="81"/>
        <v>Carassius auratus</v>
      </c>
      <c r="H658" t="str">
        <f t="shared" si="82"/>
        <v>Goldfish</v>
      </c>
      <c r="I658" t="str">
        <f t="shared" si="83"/>
        <v>Morihana</v>
      </c>
      <c r="J658" t="str">
        <f t="shared" si="84"/>
        <v>Nonnative</v>
      </c>
      <c r="K658" t="str">
        <f t="shared" si="85"/>
        <v>No</v>
      </c>
      <c r="M658">
        <v>187</v>
      </c>
      <c r="N658">
        <v>161</v>
      </c>
      <c r="O658">
        <v>1</v>
      </c>
      <c r="T658" t="str">
        <f t="shared" si="86"/>
        <v/>
      </c>
    </row>
    <row r="659" spans="1:20" x14ac:dyDescent="0.55000000000000004">
      <c r="A659">
        <v>85</v>
      </c>
      <c r="B659" t="str">
        <f t="shared" si="80"/>
        <v>85_0</v>
      </c>
      <c r="C659" s="2">
        <v>45637.409722164353</v>
      </c>
      <c r="D659" t="s">
        <v>221</v>
      </c>
      <c r="E659">
        <v>2</v>
      </c>
      <c r="F659" t="s">
        <v>236</v>
      </c>
      <c r="G659" t="str">
        <f t="shared" si="81"/>
        <v>Carassius auratus</v>
      </c>
      <c r="H659" t="str">
        <f t="shared" si="82"/>
        <v>Goldfish</v>
      </c>
      <c r="I659" t="str">
        <f t="shared" si="83"/>
        <v>Morihana</v>
      </c>
      <c r="J659" t="str">
        <f t="shared" si="84"/>
        <v>Nonnative</v>
      </c>
      <c r="K659" t="str">
        <f t="shared" si="85"/>
        <v>No</v>
      </c>
      <c r="M659">
        <v>166</v>
      </c>
      <c r="N659">
        <v>129</v>
      </c>
      <c r="O659">
        <v>1</v>
      </c>
      <c r="T659" t="str">
        <f t="shared" si="86"/>
        <v/>
      </c>
    </row>
    <row r="660" spans="1:20" x14ac:dyDescent="0.55000000000000004">
      <c r="A660">
        <v>85</v>
      </c>
      <c r="B660" t="str">
        <f t="shared" si="80"/>
        <v>85_0</v>
      </c>
      <c r="C660" s="2">
        <v>45637.409722164353</v>
      </c>
      <c r="D660" t="s">
        <v>221</v>
      </c>
      <c r="E660">
        <v>2</v>
      </c>
      <c r="F660" t="s">
        <v>236</v>
      </c>
      <c r="G660" t="str">
        <f t="shared" si="81"/>
        <v>Carassius auratus</v>
      </c>
      <c r="H660" t="str">
        <f t="shared" si="82"/>
        <v>Goldfish</v>
      </c>
      <c r="I660" t="str">
        <f t="shared" si="83"/>
        <v>Morihana</v>
      </c>
      <c r="J660" t="str">
        <f t="shared" si="84"/>
        <v>Nonnative</v>
      </c>
      <c r="K660" t="str">
        <f t="shared" si="85"/>
        <v>No</v>
      </c>
      <c r="M660">
        <v>175</v>
      </c>
      <c r="N660">
        <v>125</v>
      </c>
      <c r="O660">
        <v>1</v>
      </c>
      <c r="T660" t="str">
        <f t="shared" si="86"/>
        <v/>
      </c>
    </row>
    <row r="661" spans="1:20" x14ac:dyDescent="0.55000000000000004">
      <c r="A661">
        <v>85</v>
      </c>
      <c r="B661" t="str">
        <f t="shared" si="80"/>
        <v>85_0</v>
      </c>
      <c r="C661" s="2">
        <v>45637.409722164353</v>
      </c>
      <c r="D661" t="s">
        <v>221</v>
      </c>
      <c r="E661">
        <v>2</v>
      </c>
      <c r="F661" t="s">
        <v>236</v>
      </c>
      <c r="G661" t="str">
        <f t="shared" si="81"/>
        <v>Carassius auratus</v>
      </c>
      <c r="H661" t="str">
        <f t="shared" si="82"/>
        <v>Goldfish</v>
      </c>
      <c r="I661" t="str">
        <f t="shared" si="83"/>
        <v>Morihana</v>
      </c>
      <c r="J661" t="str">
        <f t="shared" si="84"/>
        <v>Nonnative</v>
      </c>
      <c r="K661" t="str">
        <f t="shared" si="85"/>
        <v>No</v>
      </c>
      <c r="M661">
        <v>168</v>
      </c>
      <c r="N661">
        <v>108</v>
      </c>
      <c r="O661">
        <v>1</v>
      </c>
      <c r="T661" t="str">
        <f t="shared" si="86"/>
        <v/>
      </c>
    </row>
    <row r="662" spans="1:20" x14ac:dyDescent="0.55000000000000004">
      <c r="A662">
        <v>85</v>
      </c>
      <c r="B662" t="str">
        <f t="shared" si="80"/>
        <v>85_0</v>
      </c>
      <c r="C662" s="2">
        <v>45637.409722164353</v>
      </c>
      <c r="D662" t="s">
        <v>221</v>
      </c>
      <c r="E662">
        <v>2</v>
      </c>
      <c r="F662" t="s">
        <v>236</v>
      </c>
      <c r="G662" t="str">
        <f t="shared" si="81"/>
        <v>Carassius auratus</v>
      </c>
      <c r="H662" t="str">
        <f t="shared" si="82"/>
        <v>Goldfish</v>
      </c>
      <c r="I662" t="str">
        <f t="shared" si="83"/>
        <v>Morihana</v>
      </c>
      <c r="J662" t="str">
        <f t="shared" si="84"/>
        <v>Nonnative</v>
      </c>
      <c r="K662" t="str">
        <f t="shared" si="85"/>
        <v>No</v>
      </c>
      <c r="M662">
        <v>165</v>
      </c>
      <c r="N662">
        <v>104</v>
      </c>
      <c r="O662">
        <v>1</v>
      </c>
      <c r="T662" t="str">
        <f t="shared" si="86"/>
        <v/>
      </c>
    </row>
    <row r="663" spans="1:20" x14ac:dyDescent="0.55000000000000004">
      <c r="A663">
        <v>85</v>
      </c>
      <c r="B663" t="str">
        <f t="shared" si="80"/>
        <v>85_0</v>
      </c>
      <c r="C663" s="2">
        <v>45637.409722164353</v>
      </c>
      <c r="D663" t="s">
        <v>221</v>
      </c>
      <c r="E663">
        <v>2</v>
      </c>
      <c r="F663" t="s">
        <v>236</v>
      </c>
      <c r="G663" t="str">
        <f t="shared" si="81"/>
        <v>Carassius auratus</v>
      </c>
      <c r="H663" t="str">
        <f t="shared" si="82"/>
        <v>Goldfish</v>
      </c>
      <c r="I663" t="str">
        <f t="shared" si="83"/>
        <v>Morihana</v>
      </c>
      <c r="J663" t="str">
        <f t="shared" si="84"/>
        <v>Nonnative</v>
      </c>
      <c r="K663" t="str">
        <f t="shared" si="85"/>
        <v>No</v>
      </c>
      <c r="M663">
        <v>130</v>
      </c>
      <c r="N663">
        <v>55</v>
      </c>
      <c r="O663">
        <v>1</v>
      </c>
      <c r="T663" t="str">
        <f t="shared" si="86"/>
        <v/>
      </c>
    </row>
    <row r="664" spans="1:20" x14ac:dyDescent="0.55000000000000004">
      <c r="A664">
        <v>85</v>
      </c>
      <c r="B664" t="str">
        <f t="shared" si="80"/>
        <v>85_0</v>
      </c>
      <c r="C664" s="2">
        <v>45637.409722164353</v>
      </c>
      <c r="D664" t="s">
        <v>221</v>
      </c>
      <c r="E664">
        <v>2</v>
      </c>
      <c r="F664" t="s">
        <v>236</v>
      </c>
      <c r="G664" t="str">
        <f t="shared" si="81"/>
        <v>Carassius auratus</v>
      </c>
      <c r="H664" t="str">
        <f t="shared" si="82"/>
        <v>Goldfish</v>
      </c>
      <c r="I664" t="str">
        <f t="shared" si="83"/>
        <v>Morihana</v>
      </c>
      <c r="J664" t="str">
        <f t="shared" si="84"/>
        <v>Nonnative</v>
      </c>
      <c r="K664" t="str">
        <f t="shared" si="85"/>
        <v>No</v>
      </c>
      <c r="M664">
        <v>139</v>
      </c>
      <c r="N664">
        <v>54</v>
      </c>
      <c r="O664">
        <v>1</v>
      </c>
      <c r="T664" t="str">
        <f t="shared" si="86"/>
        <v/>
      </c>
    </row>
    <row r="665" spans="1:20" x14ac:dyDescent="0.55000000000000004">
      <c r="A665">
        <v>85</v>
      </c>
      <c r="B665" t="str">
        <f t="shared" si="80"/>
        <v>85_0</v>
      </c>
      <c r="C665" s="2">
        <v>45637.409722164353</v>
      </c>
      <c r="D665" t="s">
        <v>221</v>
      </c>
      <c r="E665">
        <v>2</v>
      </c>
      <c r="F665" t="s">
        <v>236</v>
      </c>
      <c r="G665" t="str">
        <f t="shared" si="81"/>
        <v>Carassius auratus</v>
      </c>
      <c r="H665" t="str">
        <f t="shared" si="82"/>
        <v>Goldfish</v>
      </c>
      <c r="I665" t="str">
        <f t="shared" si="83"/>
        <v>Morihana</v>
      </c>
      <c r="J665" t="str">
        <f t="shared" si="84"/>
        <v>Nonnative</v>
      </c>
      <c r="K665" t="str">
        <f t="shared" si="85"/>
        <v>No</v>
      </c>
      <c r="M665">
        <v>149</v>
      </c>
      <c r="N665">
        <v>67</v>
      </c>
      <c r="O665">
        <v>1</v>
      </c>
      <c r="T665" t="str">
        <f t="shared" si="86"/>
        <v/>
      </c>
    </row>
    <row r="666" spans="1:20" x14ac:dyDescent="0.55000000000000004">
      <c r="A666">
        <v>85</v>
      </c>
      <c r="B666" t="str">
        <f t="shared" si="80"/>
        <v>85_0</v>
      </c>
      <c r="C666" s="2">
        <v>45637.409722164353</v>
      </c>
      <c r="D666" t="s">
        <v>221</v>
      </c>
      <c r="E666">
        <v>2</v>
      </c>
      <c r="F666" t="s">
        <v>236</v>
      </c>
      <c r="G666" t="str">
        <f t="shared" si="81"/>
        <v>Carassius auratus</v>
      </c>
      <c r="H666" t="str">
        <f t="shared" si="82"/>
        <v>Goldfish</v>
      </c>
      <c r="I666" t="str">
        <f t="shared" si="83"/>
        <v>Morihana</v>
      </c>
      <c r="J666" t="str">
        <f t="shared" si="84"/>
        <v>Nonnative</v>
      </c>
      <c r="K666" t="str">
        <f t="shared" si="85"/>
        <v>No</v>
      </c>
      <c r="M666">
        <v>62</v>
      </c>
      <c r="N666">
        <v>6</v>
      </c>
      <c r="O666">
        <v>1</v>
      </c>
      <c r="T666" t="str">
        <f t="shared" si="86"/>
        <v/>
      </c>
    </row>
    <row r="667" spans="1:20" x14ac:dyDescent="0.55000000000000004">
      <c r="A667">
        <v>85</v>
      </c>
      <c r="B667" t="str">
        <f t="shared" si="80"/>
        <v>85_0</v>
      </c>
      <c r="C667" s="2">
        <v>45637.409722164353</v>
      </c>
      <c r="D667" t="s">
        <v>221</v>
      </c>
      <c r="E667">
        <v>2</v>
      </c>
      <c r="F667" t="s">
        <v>236</v>
      </c>
      <c r="G667" t="str">
        <f t="shared" si="81"/>
        <v>Carassius auratus</v>
      </c>
      <c r="H667" t="str">
        <f t="shared" si="82"/>
        <v>Goldfish</v>
      </c>
      <c r="I667" t="str">
        <f t="shared" si="83"/>
        <v>Morihana</v>
      </c>
      <c r="J667" t="str">
        <f t="shared" si="84"/>
        <v>Nonnative</v>
      </c>
      <c r="K667" t="str">
        <f t="shared" si="85"/>
        <v>No</v>
      </c>
      <c r="M667">
        <v>141</v>
      </c>
      <c r="N667">
        <v>71</v>
      </c>
      <c r="O667">
        <v>1</v>
      </c>
      <c r="T667" t="str">
        <f t="shared" si="86"/>
        <v/>
      </c>
    </row>
    <row r="668" spans="1:20" x14ac:dyDescent="0.55000000000000004">
      <c r="A668">
        <v>85</v>
      </c>
      <c r="B668" t="str">
        <f t="shared" si="80"/>
        <v>85_0</v>
      </c>
      <c r="C668" s="2">
        <v>45637.409722164353</v>
      </c>
      <c r="D668" t="s">
        <v>221</v>
      </c>
      <c r="E668">
        <v>2</v>
      </c>
      <c r="F668" t="s">
        <v>236</v>
      </c>
      <c r="G668" t="str">
        <f t="shared" si="81"/>
        <v>Carassius auratus</v>
      </c>
      <c r="H668" t="str">
        <f t="shared" si="82"/>
        <v>Goldfish</v>
      </c>
      <c r="I668" t="str">
        <f t="shared" si="83"/>
        <v>Morihana</v>
      </c>
      <c r="J668" t="str">
        <f t="shared" si="84"/>
        <v>Nonnative</v>
      </c>
      <c r="K668" t="str">
        <f t="shared" si="85"/>
        <v>No</v>
      </c>
      <c r="M668">
        <v>151</v>
      </c>
      <c r="N668">
        <v>79</v>
      </c>
      <c r="O668">
        <v>1</v>
      </c>
      <c r="T668" t="str">
        <f t="shared" si="86"/>
        <v/>
      </c>
    </row>
    <row r="669" spans="1:20" x14ac:dyDescent="0.55000000000000004">
      <c r="A669">
        <v>85</v>
      </c>
      <c r="B669" t="str">
        <f t="shared" si="80"/>
        <v>85_0</v>
      </c>
      <c r="C669" s="2">
        <v>45637.409722164353</v>
      </c>
      <c r="D669" t="s">
        <v>221</v>
      </c>
      <c r="E669">
        <v>2</v>
      </c>
      <c r="F669" t="s">
        <v>236</v>
      </c>
      <c r="G669" t="str">
        <f t="shared" si="81"/>
        <v>Carassius auratus</v>
      </c>
      <c r="H669" t="str">
        <f t="shared" si="82"/>
        <v>Goldfish</v>
      </c>
      <c r="I669" t="str">
        <f t="shared" si="83"/>
        <v>Morihana</v>
      </c>
      <c r="J669" t="str">
        <f t="shared" si="84"/>
        <v>Nonnative</v>
      </c>
      <c r="K669" t="str">
        <f t="shared" si="85"/>
        <v>No</v>
      </c>
      <c r="M669">
        <v>125</v>
      </c>
      <c r="N669">
        <v>46</v>
      </c>
      <c r="O669">
        <v>1</v>
      </c>
      <c r="T669" t="str">
        <f t="shared" si="86"/>
        <v/>
      </c>
    </row>
    <row r="670" spans="1:20" x14ac:dyDescent="0.55000000000000004">
      <c r="A670">
        <v>85</v>
      </c>
      <c r="B670" t="str">
        <f t="shared" si="80"/>
        <v>85_0</v>
      </c>
      <c r="C670" s="2">
        <v>45637.409722164353</v>
      </c>
      <c r="D670" t="s">
        <v>221</v>
      </c>
      <c r="E670">
        <v>2</v>
      </c>
      <c r="F670" t="s">
        <v>236</v>
      </c>
      <c r="G670" t="str">
        <f t="shared" si="81"/>
        <v>Carassius auratus</v>
      </c>
      <c r="H670" t="str">
        <f t="shared" si="82"/>
        <v>Goldfish</v>
      </c>
      <c r="I670" t="str">
        <f t="shared" si="83"/>
        <v>Morihana</v>
      </c>
      <c r="J670" t="str">
        <f t="shared" si="84"/>
        <v>Nonnative</v>
      </c>
      <c r="K670" t="str">
        <f t="shared" si="85"/>
        <v>No</v>
      </c>
      <c r="M670">
        <v>134</v>
      </c>
      <c r="N670">
        <v>59</v>
      </c>
      <c r="O670">
        <v>1</v>
      </c>
      <c r="T670" t="str">
        <f t="shared" si="86"/>
        <v/>
      </c>
    </row>
    <row r="671" spans="1:20" x14ac:dyDescent="0.55000000000000004">
      <c r="A671">
        <v>85</v>
      </c>
      <c r="B671" t="str">
        <f t="shared" si="80"/>
        <v>85_0</v>
      </c>
      <c r="C671" s="2">
        <v>45637.409722164353</v>
      </c>
      <c r="D671" t="s">
        <v>221</v>
      </c>
      <c r="E671">
        <v>2</v>
      </c>
      <c r="F671" t="s">
        <v>236</v>
      </c>
      <c r="G671" t="str">
        <f t="shared" si="81"/>
        <v>Carassius auratus</v>
      </c>
      <c r="H671" t="str">
        <f t="shared" si="82"/>
        <v>Goldfish</v>
      </c>
      <c r="I671" t="str">
        <f t="shared" si="83"/>
        <v>Morihana</v>
      </c>
      <c r="J671" t="str">
        <f t="shared" si="84"/>
        <v>Nonnative</v>
      </c>
      <c r="K671" t="str">
        <f t="shared" si="85"/>
        <v>No</v>
      </c>
      <c r="M671">
        <v>136</v>
      </c>
      <c r="N671">
        <v>59</v>
      </c>
      <c r="O671">
        <v>1</v>
      </c>
      <c r="T671" t="str">
        <f t="shared" si="86"/>
        <v/>
      </c>
    </row>
    <row r="672" spans="1:20" x14ac:dyDescent="0.55000000000000004">
      <c r="A672">
        <v>85</v>
      </c>
      <c r="B672" t="str">
        <f t="shared" si="80"/>
        <v>85_0</v>
      </c>
      <c r="C672" s="2">
        <v>45637.409722164353</v>
      </c>
      <c r="D672" t="s">
        <v>221</v>
      </c>
      <c r="E672">
        <v>2</v>
      </c>
      <c r="F672" t="s">
        <v>236</v>
      </c>
      <c r="G672" t="str">
        <f t="shared" si="81"/>
        <v>Carassius auratus</v>
      </c>
      <c r="H672" t="str">
        <f t="shared" si="82"/>
        <v>Goldfish</v>
      </c>
      <c r="I672" t="str">
        <f t="shared" si="83"/>
        <v>Morihana</v>
      </c>
      <c r="J672" t="str">
        <f t="shared" si="84"/>
        <v>Nonnative</v>
      </c>
      <c r="K672" t="str">
        <f t="shared" si="85"/>
        <v>No</v>
      </c>
      <c r="M672">
        <v>60</v>
      </c>
      <c r="N672">
        <v>5</v>
      </c>
      <c r="O672">
        <v>1</v>
      </c>
      <c r="T672" t="str">
        <f t="shared" si="86"/>
        <v/>
      </c>
    </row>
    <row r="673" spans="1:20" x14ac:dyDescent="0.55000000000000004">
      <c r="A673">
        <v>85</v>
      </c>
      <c r="B673" t="str">
        <f t="shared" si="80"/>
        <v>85_0</v>
      </c>
      <c r="C673" s="2">
        <v>45637.409722164353</v>
      </c>
      <c r="D673" t="s">
        <v>221</v>
      </c>
      <c r="E673">
        <v>2</v>
      </c>
      <c r="F673" t="s">
        <v>236</v>
      </c>
      <c r="G673" t="str">
        <f t="shared" si="81"/>
        <v>Carassius auratus</v>
      </c>
      <c r="H673" t="str">
        <f t="shared" si="82"/>
        <v>Goldfish</v>
      </c>
      <c r="I673" t="str">
        <f t="shared" si="83"/>
        <v>Morihana</v>
      </c>
      <c r="J673" t="str">
        <f t="shared" si="84"/>
        <v>Nonnative</v>
      </c>
      <c r="K673" t="str">
        <f t="shared" si="85"/>
        <v>No</v>
      </c>
      <c r="M673">
        <v>66</v>
      </c>
      <c r="N673">
        <v>6</v>
      </c>
      <c r="O673">
        <v>1</v>
      </c>
      <c r="T673" t="str">
        <f t="shared" si="86"/>
        <v/>
      </c>
    </row>
    <row r="674" spans="1:20" x14ac:dyDescent="0.55000000000000004">
      <c r="A674">
        <v>85</v>
      </c>
      <c r="B674" t="str">
        <f t="shared" si="80"/>
        <v>85_0</v>
      </c>
      <c r="C674" s="2">
        <v>45637.409722164353</v>
      </c>
      <c r="D674" t="s">
        <v>221</v>
      </c>
      <c r="E674">
        <v>2</v>
      </c>
      <c r="F674" t="s">
        <v>236</v>
      </c>
      <c r="G674" t="str">
        <f t="shared" si="81"/>
        <v>Carassius auratus</v>
      </c>
      <c r="H674" t="str">
        <f t="shared" si="82"/>
        <v>Goldfish</v>
      </c>
      <c r="I674" t="str">
        <f t="shared" si="83"/>
        <v>Morihana</v>
      </c>
      <c r="J674" t="str">
        <f t="shared" si="84"/>
        <v>Nonnative</v>
      </c>
      <c r="K674" t="str">
        <f t="shared" si="85"/>
        <v>No</v>
      </c>
      <c r="M674">
        <v>42</v>
      </c>
      <c r="N674">
        <v>1</v>
      </c>
      <c r="O674">
        <v>1</v>
      </c>
      <c r="T674" t="str">
        <f t="shared" si="86"/>
        <v/>
      </c>
    </row>
    <row r="675" spans="1:20" x14ac:dyDescent="0.55000000000000004">
      <c r="A675">
        <v>85</v>
      </c>
      <c r="B675" t="str">
        <f t="shared" si="80"/>
        <v>85_0</v>
      </c>
      <c r="C675" s="2">
        <v>45637.409722164353</v>
      </c>
      <c r="D675" t="s">
        <v>221</v>
      </c>
      <c r="E675">
        <v>2</v>
      </c>
      <c r="F675" t="s">
        <v>243</v>
      </c>
      <c r="G675" t="str">
        <f t="shared" si="81"/>
        <v>Retropinna retropinna</v>
      </c>
      <c r="H675" t="str">
        <f t="shared" si="82"/>
        <v>Common_smelt</v>
      </c>
      <c r="I675" t="str">
        <f t="shared" si="83"/>
        <v>Common_smelt</v>
      </c>
      <c r="J675" t="str">
        <f t="shared" si="84"/>
        <v>Native</v>
      </c>
      <c r="K675" t="str">
        <f t="shared" si="85"/>
        <v>No</v>
      </c>
      <c r="N675">
        <f>478-117</f>
        <v>361</v>
      </c>
      <c r="T675" t="str">
        <f t="shared" si="86"/>
        <v/>
      </c>
    </row>
    <row r="676" spans="1:20" x14ac:dyDescent="0.55000000000000004">
      <c r="A676">
        <v>85</v>
      </c>
      <c r="B676" t="str">
        <f t="shared" si="80"/>
        <v>85_0</v>
      </c>
      <c r="C676" s="2">
        <v>45637.409722164353</v>
      </c>
      <c r="D676" t="s">
        <v>221</v>
      </c>
      <c r="E676">
        <v>2</v>
      </c>
      <c r="F676" t="s">
        <v>242</v>
      </c>
      <c r="G676" t="str">
        <f t="shared" si="81"/>
        <v>Gobiomorphus cotidianus</v>
      </c>
      <c r="H676" t="str">
        <f t="shared" si="82"/>
        <v>Common_bully</v>
      </c>
      <c r="I676" t="str">
        <f t="shared" si="83"/>
        <v>Toitoi</v>
      </c>
      <c r="J676" t="str">
        <f t="shared" si="84"/>
        <v>Native</v>
      </c>
      <c r="K676" t="str">
        <f t="shared" si="85"/>
        <v>No</v>
      </c>
      <c r="N676">
        <v>520</v>
      </c>
      <c r="S676">
        <v>2</v>
      </c>
      <c r="T676">
        <f t="shared" si="86"/>
        <v>473.17599999999999</v>
      </c>
    </row>
    <row r="677" spans="1:20" x14ac:dyDescent="0.55000000000000004">
      <c r="A677">
        <v>85</v>
      </c>
      <c r="B677" t="str">
        <f t="shared" si="80"/>
        <v>85_0</v>
      </c>
      <c r="C677" s="2">
        <v>45637.409722164353</v>
      </c>
      <c r="D677" t="s">
        <v>221</v>
      </c>
      <c r="E677">
        <v>2</v>
      </c>
      <c r="F677" t="s">
        <v>242</v>
      </c>
      <c r="G677" t="str">
        <f t="shared" si="81"/>
        <v>Gobiomorphus cotidianus</v>
      </c>
      <c r="H677" t="str">
        <f t="shared" si="82"/>
        <v>Common_bully</v>
      </c>
      <c r="I677" t="str">
        <f t="shared" si="83"/>
        <v>Toitoi</v>
      </c>
      <c r="J677" t="str">
        <f t="shared" si="84"/>
        <v>Native</v>
      </c>
      <c r="K677" t="str">
        <f t="shared" si="85"/>
        <v>No</v>
      </c>
      <c r="N677">
        <v>297</v>
      </c>
      <c r="S677">
        <v>1.5</v>
      </c>
      <c r="T677">
        <f t="shared" si="86"/>
        <v>354.88200000000001</v>
      </c>
    </row>
    <row r="678" spans="1:20" x14ac:dyDescent="0.55000000000000004">
      <c r="A678">
        <v>86</v>
      </c>
      <c r="B678" t="str">
        <f t="shared" si="80"/>
        <v>86_0</v>
      </c>
      <c r="C678" s="2">
        <v>45637.5</v>
      </c>
      <c r="D678" t="s">
        <v>245</v>
      </c>
      <c r="E678">
        <v>2</v>
      </c>
      <c r="F678" t="s">
        <v>242</v>
      </c>
      <c r="G678" t="str">
        <f t="shared" si="81"/>
        <v>Gobiomorphus cotidianus</v>
      </c>
      <c r="H678" t="str">
        <f t="shared" si="82"/>
        <v>Common_bully</v>
      </c>
      <c r="I678" t="str">
        <f t="shared" si="83"/>
        <v>Toitoi</v>
      </c>
      <c r="J678" t="str">
        <f t="shared" si="84"/>
        <v>Native</v>
      </c>
      <c r="K678" t="str">
        <f t="shared" si="85"/>
        <v>No</v>
      </c>
      <c r="N678">
        <v>77</v>
      </c>
      <c r="S678">
        <v>0.5</v>
      </c>
      <c r="T678">
        <f t="shared" si="86"/>
        <v>118.294</v>
      </c>
    </row>
    <row r="679" spans="1:20" x14ac:dyDescent="0.55000000000000004">
      <c r="A679">
        <v>86</v>
      </c>
      <c r="B679" t="str">
        <f t="shared" si="80"/>
        <v>86_0</v>
      </c>
      <c r="C679" s="2">
        <v>45637.5</v>
      </c>
      <c r="D679" t="s">
        <v>221</v>
      </c>
      <c r="E679">
        <v>2</v>
      </c>
      <c r="F679" t="s">
        <v>236</v>
      </c>
      <c r="G679" t="str">
        <f t="shared" si="81"/>
        <v>Carassius auratus</v>
      </c>
      <c r="H679" t="str">
        <f t="shared" si="82"/>
        <v>Goldfish</v>
      </c>
      <c r="I679" t="str">
        <f t="shared" si="83"/>
        <v>Morihana</v>
      </c>
      <c r="J679" t="str">
        <f t="shared" si="84"/>
        <v>Nonnative</v>
      </c>
      <c r="K679" t="str">
        <f t="shared" si="85"/>
        <v>No</v>
      </c>
      <c r="M679">
        <v>195</v>
      </c>
      <c r="N679">
        <v>184</v>
      </c>
      <c r="O679">
        <v>1</v>
      </c>
      <c r="T679" t="str">
        <f t="shared" si="86"/>
        <v/>
      </c>
    </row>
    <row r="680" spans="1:20" x14ac:dyDescent="0.55000000000000004">
      <c r="A680">
        <v>86</v>
      </c>
      <c r="B680" t="str">
        <f t="shared" si="80"/>
        <v>86_0</v>
      </c>
      <c r="C680" s="2">
        <v>45637.5</v>
      </c>
      <c r="D680" t="s">
        <v>221</v>
      </c>
      <c r="E680">
        <v>2</v>
      </c>
      <c r="F680" t="s">
        <v>236</v>
      </c>
      <c r="G680" t="str">
        <f t="shared" si="81"/>
        <v>Carassius auratus</v>
      </c>
      <c r="H680" t="str">
        <f t="shared" si="82"/>
        <v>Goldfish</v>
      </c>
      <c r="I680" t="str">
        <f t="shared" si="83"/>
        <v>Morihana</v>
      </c>
      <c r="J680" t="str">
        <f t="shared" si="84"/>
        <v>Nonnative</v>
      </c>
      <c r="K680" t="str">
        <f t="shared" si="85"/>
        <v>No</v>
      </c>
      <c r="M680">
        <v>105</v>
      </c>
      <c r="N680">
        <v>26</v>
      </c>
      <c r="O680">
        <v>1</v>
      </c>
      <c r="T680" t="str">
        <f t="shared" si="86"/>
        <v/>
      </c>
    </row>
    <row r="681" spans="1:20" x14ac:dyDescent="0.55000000000000004">
      <c r="A681">
        <v>86</v>
      </c>
      <c r="B681" t="str">
        <f t="shared" si="80"/>
        <v>86_0</v>
      </c>
      <c r="C681" s="2">
        <v>45637.5</v>
      </c>
      <c r="D681" t="s">
        <v>221</v>
      </c>
      <c r="E681">
        <v>2</v>
      </c>
      <c r="F681" t="s">
        <v>236</v>
      </c>
      <c r="G681" t="str">
        <f t="shared" si="81"/>
        <v>Carassius auratus</v>
      </c>
      <c r="H681" t="str">
        <f t="shared" si="82"/>
        <v>Goldfish</v>
      </c>
      <c r="I681" t="str">
        <f t="shared" si="83"/>
        <v>Morihana</v>
      </c>
      <c r="J681" t="str">
        <f t="shared" si="84"/>
        <v>Nonnative</v>
      </c>
      <c r="K681" t="str">
        <f t="shared" si="85"/>
        <v>No</v>
      </c>
      <c r="M681">
        <v>55</v>
      </c>
      <c r="N681">
        <v>4</v>
      </c>
      <c r="O681">
        <v>1</v>
      </c>
      <c r="T681" t="str">
        <f t="shared" si="86"/>
        <v/>
      </c>
    </row>
    <row r="682" spans="1:20" x14ac:dyDescent="0.55000000000000004">
      <c r="A682">
        <v>86</v>
      </c>
      <c r="B682" t="str">
        <f t="shared" si="80"/>
        <v>86_0</v>
      </c>
      <c r="C682" s="2">
        <v>45637.5</v>
      </c>
      <c r="D682" t="s">
        <v>221</v>
      </c>
      <c r="E682">
        <v>2</v>
      </c>
      <c r="F682" t="s">
        <v>236</v>
      </c>
      <c r="G682" t="str">
        <f t="shared" si="81"/>
        <v>Carassius auratus</v>
      </c>
      <c r="H682" t="str">
        <f t="shared" si="82"/>
        <v>Goldfish</v>
      </c>
      <c r="I682" t="str">
        <f t="shared" si="83"/>
        <v>Morihana</v>
      </c>
      <c r="J682" t="str">
        <f t="shared" si="84"/>
        <v>Nonnative</v>
      </c>
      <c r="K682" t="str">
        <f t="shared" si="85"/>
        <v>No</v>
      </c>
      <c r="M682">
        <v>53</v>
      </c>
      <c r="N682">
        <v>3</v>
      </c>
      <c r="O682">
        <v>1</v>
      </c>
      <c r="T682" t="str">
        <f t="shared" si="86"/>
        <v/>
      </c>
    </row>
    <row r="683" spans="1:20" x14ac:dyDescent="0.55000000000000004">
      <c r="A683">
        <v>86</v>
      </c>
      <c r="B683" t="str">
        <f t="shared" si="80"/>
        <v>86_0</v>
      </c>
      <c r="C683" s="2">
        <v>45637.5</v>
      </c>
      <c r="D683" t="s">
        <v>221</v>
      </c>
      <c r="E683">
        <v>2</v>
      </c>
      <c r="F683" t="s">
        <v>236</v>
      </c>
      <c r="G683" t="str">
        <f t="shared" si="81"/>
        <v>Carassius auratus</v>
      </c>
      <c r="H683" t="str">
        <f t="shared" si="82"/>
        <v>Goldfish</v>
      </c>
      <c r="I683" t="str">
        <f t="shared" si="83"/>
        <v>Morihana</v>
      </c>
      <c r="J683" t="str">
        <f t="shared" si="84"/>
        <v>Nonnative</v>
      </c>
      <c r="K683" t="str">
        <f t="shared" si="85"/>
        <v>No</v>
      </c>
      <c r="M683">
        <v>49</v>
      </c>
      <c r="N683">
        <v>2</v>
      </c>
      <c r="O683">
        <v>1</v>
      </c>
      <c r="T683" t="str">
        <f t="shared" si="86"/>
        <v/>
      </c>
    </row>
    <row r="684" spans="1:20" x14ac:dyDescent="0.55000000000000004">
      <c r="A684">
        <v>86</v>
      </c>
      <c r="B684" t="str">
        <f t="shared" si="80"/>
        <v>86_0</v>
      </c>
      <c r="C684" s="2">
        <v>45637.5</v>
      </c>
      <c r="D684" t="s">
        <v>221</v>
      </c>
      <c r="E684">
        <v>2</v>
      </c>
      <c r="F684" t="s">
        <v>236</v>
      </c>
      <c r="G684" t="str">
        <f t="shared" si="81"/>
        <v>Carassius auratus</v>
      </c>
      <c r="H684" t="str">
        <f t="shared" si="82"/>
        <v>Goldfish</v>
      </c>
      <c r="I684" t="str">
        <f t="shared" si="83"/>
        <v>Morihana</v>
      </c>
      <c r="J684" t="str">
        <f t="shared" si="84"/>
        <v>Nonnative</v>
      </c>
      <c r="K684" t="str">
        <f t="shared" si="85"/>
        <v>No</v>
      </c>
      <c r="M684">
        <v>48</v>
      </c>
      <c r="N684">
        <v>2</v>
      </c>
      <c r="O684">
        <v>1</v>
      </c>
      <c r="T684" t="str">
        <f t="shared" si="86"/>
        <v/>
      </c>
    </row>
    <row r="685" spans="1:20" x14ac:dyDescent="0.55000000000000004">
      <c r="A685">
        <v>86</v>
      </c>
      <c r="B685" t="str">
        <f t="shared" si="80"/>
        <v>86_0</v>
      </c>
      <c r="C685" s="2">
        <v>45637.5</v>
      </c>
      <c r="D685" t="s">
        <v>221</v>
      </c>
      <c r="E685">
        <v>2</v>
      </c>
      <c r="F685" t="s">
        <v>242</v>
      </c>
      <c r="G685" t="str">
        <f t="shared" si="81"/>
        <v>Gobiomorphus cotidianus</v>
      </c>
      <c r="H685" t="str">
        <f t="shared" si="82"/>
        <v>Common_bully</v>
      </c>
      <c r="I685" t="str">
        <f t="shared" si="83"/>
        <v>Toitoi</v>
      </c>
      <c r="J685" t="str">
        <f t="shared" si="84"/>
        <v>Native</v>
      </c>
      <c r="K685" t="str">
        <f t="shared" si="85"/>
        <v>No</v>
      </c>
      <c r="N685">
        <v>35</v>
      </c>
      <c r="T685" t="str">
        <f t="shared" si="86"/>
        <v/>
      </c>
    </row>
    <row r="686" spans="1:20" x14ac:dyDescent="0.55000000000000004">
      <c r="A686">
        <v>86</v>
      </c>
      <c r="B686" t="str">
        <f t="shared" si="80"/>
        <v>86_0</v>
      </c>
      <c r="C686" s="2">
        <v>45637.5</v>
      </c>
      <c r="D686" t="s">
        <v>221</v>
      </c>
      <c r="E686">
        <v>2</v>
      </c>
      <c r="F686" t="s">
        <v>236</v>
      </c>
      <c r="G686" t="str">
        <f t="shared" si="81"/>
        <v>Carassius auratus</v>
      </c>
      <c r="H686" t="str">
        <f t="shared" si="82"/>
        <v>Goldfish</v>
      </c>
      <c r="I686" t="str">
        <f t="shared" si="83"/>
        <v>Morihana</v>
      </c>
      <c r="J686" t="str">
        <f t="shared" si="84"/>
        <v>Nonnative</v>
      </c>
      <c r="K686" t="str">
        <f t="shared" si="85"/>
        <v>No</v>
      </c>
      <c r="M686">
        <v>200</v>
      </c>
      <c r="N686">
        <v>225</v>
      </c>
      <c r="O686">
        <v>1</v>
      </c>
      <c r="T686" t="str">
        <f t="shared" si="86"/>
        <v/>
      </c>
    </row>
    <row r="687" spans="1:20" x14ac:dyDescent="0.55000000000000004">
      <c r="A687">
        <v>86</v>
      </c>
      <c r="B687" t="str">
        <f t="shared" si="80"/>
        <v>86_0</v>
      </c>
      <c r="C687" s="2">
        <v>45637.5</v>
      </c>
      <c r="D687" t="s">
        <v>221</v>
      </c>
      <c r="E687">
        <v>2</v>
      </c>
      <c r="F687" t="s">
        <v>236</v>
      </c>
      <c r="G687" t="str">
        <f t="shared" si="81"/>
        <v>Carassius auratus</v>
      </c>
      <c r="H687" t="str">
        <f t="shared" si="82"/>
        <v>Goldfish</v>
      </c>
      <c r="I687" t="str">
        <f t="shared" si="83"/>
        <v>Morihana</v>
      </c>
      <c r="J687" t="str">
        <f t="shared" si="84"/>
        <v>Nonnative</v>
      </c>
      <c r="K687" t="str">
        <f t="shared" si="85"/>
        <v>No</v>
      </c>
      <c r="M687">
        <v>130</v>
      </c>
      <c r="N687">
        <v>53</v>
      </c>
      <c r="O687">
        <v>1</v>
      </c>
      <c r="T687" t="str">
        <f t="shared" si="86"/>
        <v/>
      </c>
    </row>
    <row r="688" spans="1:20" x14ac:dyDescent="0.55000000000000004">
      <c r="A688">
        <v>86</v>
      </c>
      <c r="B688" t="str">
        <f t="shared" si="80"/>
        <v>86_0</v>
      </c>
      <c r="C688" s="2">
        <v>45637.5</v>
      </c>
      <c r="D688" t="s">
        <v>221</v>
      </c>
      <c r="E688">
        <v>2</v>
      </c>
      <c r="F688" t="s">
        <v>236</v>
      </c>
      <c r="G688" t="str">
        <f t="shared" si="81"/>
        <v>Carassius auratus</v>
      </c>
      <c r="H688" t="str">
        <f t="shared" si="82"/>
        <v>Goldfish</v>
      </c>
      <c r="I688" t="str">
        <f t="shared" si="83"/>
        <v>Morihana</v>
      </c>
      <c r="J688" t="str">
        <f t="shared" si="84"/>
        <v>Nonnative</v>
      </c>
      <c r="K688" t="str">
        <f t="shared" si="85"/>
        <v>No</v>
      </c>
      <c r="M688">
        <v>55</v>
      </c>
      <c r="N688">
        <v>4</v>
      </c>
      <c r="O688">
        <v>1</v>
      </c>
      <c r="T688" t="str">
        <f t="shared" si="86"/>
        <v/>
      </c>
    </row>
    <row r="689" spans="1:20" x14ac:dyDescent="0.55000000000000004">
      <c r="A689">
        <v>86</v>
      </c>
      <c r="B689" t="str">
        <f t="shared" si="80"/>
        <v>86_0</v>
      </c>
      <c r="C689" s="2">
        <v>45637.5</v>
      </c>
      <c r="D689" t="s">
        <v>221</v>
      </c>
      <c r="E689">
        <v>2</v>
      </c>
      <c r="F689" t="s">
        <v>236</v>
      </c>
      <c r="G689" t="str">
        <f t="shared" si="81"/>
        <v>Carassius auratus</v>
      </c>
      <c r="H689" t="str">
        <f t="shared" si="82"/>
        <v>Goldfish</v>
      </c>
      <c r="I689" t="str">
        <f t="shared" si="83"/>
        <v>Morihana</v>
      </c>
      <c r="J689" t="str">
        <f t="shared" si="84"/>
        <v>Nonnative</v>
      </c>
      <c r="K689" t="str">
        <f t="shared" si="85"/>
        <v>No</v>
      </c>
      <c r="M689">
        <v>190</v>
      </c>
      <c r="N689">
        <v>160</v>
      </c>
      <c r="O689">
        <v>1</v>
      </c>
      <c r="T689" t="str">
        <f t="shared" si="86"/>
        <v/>
      </c>
    </row>
    <row r="690" spans="1:20" x14ac:dyDescent="0.55000000000000004">
      <c r="A690">
        <v>86</v>
      </c>
      <c r="B690" t="str">
        <f t="shared" si="80"/>
        <v>86_0</v>
      </c>
      <c r="C690" s="2">
        <v>45637.5</v>
      </c>
      <c r="D690" t="s">
        <v>221</v>
      </c>
      <c r="E690">
        <v>2</v>
      </c>
      <c r="F690" t="s">
        <v>236</v>
      </c>
      <c r="G690" t="str">
        <f t="shared" si="81"/>
        <v>Carassius auratus</v>
      </c>
      <c r="H690" t="str">
        <f t="shared" si="82"/>
        <v>Goldfish</v>
      </c>
      <c r="I690" t="str">
        <f t="shared" si="83"/>
        <v>Morihana</v>
      </c>
      <c r="J690" t="str">
        <f t="shared" si="84"/>
        <v>Nonnative</v>
      </c>
      <c r="K690" t="str">
        <f t="shared" si="85"/>
        <v>No</v>
      </c>
      <c r="M690">
        <v>163</v>
      </c>
      <c r="N690">
        <v>93</v>
      </c>
      <c r="O690">
        <v>1</v>
      </c>
      <c r="T690" t="str">
        <f t="shared" si="86"/>
        <v/>
      </c>
    </row>
    <row r="691" spans="1:20" x14ac:dyDescent="0.55000000000000004">
      <c r="A691">
        <v>86</v>
      </c>
      <c r="B691" t="str">
        <f t="shared" si="80"/>
        <v>86_0</v>
      </c>
      <c r="C691" s="2">
        <v>45637.5</v>
      </c>
      <c r="D691" t="s">
        <v>221</v>
      </c>
      <c r="E691">
        <v>2</v>
      </c>
      <c r="F691" t="s">
        <v>236</v>
      </c>
      <c r="G691" t="str">
        <f t="shared" si="81"/>
        <v>Carassius auratus</v>
      </c>
      <c r="H691" t="str">
        <f t="shared" si="82"/>
        <v>Goldfish</v>
      </c>
      <c r="I691" t="str">
        <f t="shared" si="83"/>
        <v>Morihana</v>
      </c>
      <c r="J691" t="str">
        <f t="shared" si="84"/>
        <v>Nonnative</v>
      </c>
      <c r="K691" t="str">
        <f t="shared" si="85"/>
        <v>No</v>
      </c>
      <c r="M691">
        <v>146</v>
      </c>
      <c r="N691">
        <v>76</v>
      </c>
      <c r="O691">
        <v>1</v>
      </c>
      <c r="T691" t="str">
        <f t="shared" si="86"/>
        <v/>
      </c>
    </row>
    <row r="692" spans="1:20" x14ac:dyDescent="0.55000000000000004">
      <c r="A692">
        <v>86</v>
      </c>
      <c r="B692" t="str">
        <f t="shared" si="80"/>
        <v>86_0</v>
      </c>
      <c r="C692" s="2">
        <v>45637.5</v>
      </c>
      <c r="D692" t="s">
        <v>221</v>
      </c>
      <c r="E692">
        <v>2</v>
      </c>
      <c r="F692" t="s">
        <v>236</v>
      </c>
      <c r="G692" t="str">
        <f t="shared" si="81"/>
        <v>Carassius auratus</v>
      </c>
      <c r="H692" t="str">
        <f t="shared" si="82"/>
        <v>Goldfish</v>
      </c>
      <c r="I692" t="str">
        <f t="shared" si="83"/>
        <v>Morihana</v>
      </c>
      <c r="J692" t="str">
        <f t="shared" si="84"/>
        <v>Nonnative</v>
      </c>
      <c r="K692" t="str">
        <f t="shared" si="85"/>
        <v>No</v>
      </c>
      <c r="M692">
        <v>71</v>
      </c>
      <c r="N692">
        <v>6</v>
      </c>
      <c r="O692">
        <v>1</v>
      </c>
      <c r="T692" t="str">
        <f t="shared" si="86"/>
        <v/>
      </c>
    </row>
    <row r="693" spans="1:20" x14ac:dyDescent="0.55000000000000004">
      <c r="A693">
        <v>86</v>
      </c>
      <c r="B693" t="str">
        <f t="shared" si="80"/>
        <v>86_0</v>
      </c>
      <c r="C693" s="2">
        <v>45637.5</v>
      </c>
      <c r="D693" t="s">
        <v>221</v>
      </c>
      <c r="E693">
        <v>2</v>
      </c>
      <c r="F693" t="s">
        <v>236</v>
      </c>
      <c r="G693" t="str">
        <f t="shared" si="81"/>
        <v>Carassius auratus</v>
      </c>
      <c r="H693" t="str">
        <f t="shared" si="82"/>
        <v>Goldfish</v>
      </c>
      <c r="I693" t="str">
        <f t="shared" si="83"/>
        <v>Morihana</v>
      </c>
      <c r="J693" t="str">
        <f t="shared" si="84"/>
        <v>Nonnative</v>
      </c>
      <c r="K693" t="str">
        <f t="shared" si="85"/>
        <v>No</v>
      </c>
      <c r="M693">
        <v>60</v>
      </c>
      <c r="N693">
        <v>4</v>
      </c>
      <c r="O693">
        <v>1</v>
      </c>
      <c r="T693" t="str">
        <f t="shared" si="86"/>
        <v/>
      </c>
    </row>
    <row r="694" spans="1:20" x14ac:dyDescent="0.55000000000000004">
      <c r="A694">
        <v>86</v>
      </c>
      <c r="B694" t="str">
        <f t="shared" si="80"/>
        <v>86_0</v>
      </c>
      <c r="C694" s="2">
        <v>45637.5</v>
      </c>
      <c r="D694" t="s">
        <v>221</v>
      </c>
      <c r="E694">
        <v>2</v>
      </c>
      <c r="F694" t="s">
        <v>236</v>
      </c>
      <c r="G694" t="str">
        <f t="shared" si="81"/>
        <v>Carassius auratus</v>
      </c>
      <c r="H694" t="str">
        <f t="shared" si="82"/>
        <v>Goldfish</v>
      </c>
      <c r="I694" t="str">
        <f t="shared" si="83"/>
        <v>Morihana</v>
      </c>
      <c r="J694" t="str">
        <f t="shared" si="84"/>
        <v>Nonnative</v>
      </c>
      <c r="K694" t="str">
        <f t="shared" si="85"/>
        <v>No</v>
      </c>
      <c r="M694">
        <v>65</v>
      </c>
      <c r="N694">
        <v>6</v>
      </c>
      <c r="O694">
        <v>1</v>
      </c>
      <c r="T694" t="str">
        <f t="shared" si="86"/>
        <v/>
      </c>
    </row>
    <row r="695" spans="1:20" x14ac:dyDescent="0.55000000000000004">
      <c r="A695">
        <v>86</v>
      </c>
      <c r="B695" t="str">
        <f t="shared" si="80"/>
        <v>86_0</v>
      </c>
      <c r="C695" s="2">
        <v>45637.5</v>
      </c>
      <c r="D695" t="s">
        <v>221</v>
      </c>
      <c r="E695">
        <v>2</v>
      </c>
      <c r="F695" t="s">
        <v>236</v>
      </c>
      <c r="G695" t="str">
        <f t="shared" si="81"/>
        <v>Carassius auratus</v>
      </c>
      <c r="H695" t="str">
        <f t="shared" si="82"/>
        <v>Goldfish</v>
      </c>
      <c r="I695" t="str">
        <f t="shared" si="83"/>
        <v>Morihana</v>
      </c>
      <c r="J695" t="str">
        <f t="shared" si="84"/>
        <v>Nonnative</v>
      </c>
      <c r="K695" t="str">
        <f t="shared" si="85"/>
        <v>No</v>
      </c>
      <c r="M695">
        <v>59</v>
      </c>
      <c r="N695">
        <v>5</v>
      </c>
      <c r="O695">
        <v>1</v>
      </c>
      <c r="T695" t="str">
        <f t="shared" si="86"/>
        <v/>
      </c>
    </row>
    <row r="696" spans="1:20" x14ac:dyDescent="0.55000000000000004">
      <c r="A696">
        <v>86</v>
      </c>
      <c r="B696" t="str">
        <f t="shared" si="80"/>
        <v>86_0</v>
      </c>
      <c r="C696" s="2">
        <v>45637.5</v>
      </c>
      <c r="D696" t="s">
        <v>221</v>
      </c>
      <c r="E696">
        <v>2</v>
      </c>
      <c r="F696" t="s">
        <v>236</v>
      </c>
      <c r="G696" t="str">
        <f t="shared" si="81"/>
        <v>Carassius auratus</v>
      </c>
      <c r="H696" t="str">
        <f t="shared" si="82"/>
        <v>Goldfish</v>
      </c>
      <c r="I696" t="str">
        <f t="shared" si="83"/>
        <v>Morihana</v>
      </c>
      <c r="J696" t="str">
        <f t="shared" si="84"/>
        <v>Nonnative</v>
      </c>
      <c r="K696" t="str">
        <f t="shared" si="85"/>
        <v>No</v>
      </c>
      <c r="M696">
        <v>60</v>
      </c>
      <c r="N696">
        <v>4</v>
      </c>
      <c r="O696">
        <v>1</v>
      </c>
      <c r="T696" t="str">
        <f t="shared" si="86"/>
        <v/>
      </c>
    </row>
    <row r="697" spans="1:20" x14ac:dyDescent="0.55000000000000004">
      <c r="A697">
        <v>86</v>
      </c>
      <c r="B697" t="str">
        <f t="shared" si="80"/>
        <v>86_0</v>
      </c>
      <c r="C697" s="2">
        <v>45637.5</v>
      </c>
      <c r="D697" t="s">
        <v>221</v>
      </c>
      <c r="E697">
        <v>2</v>
      </c>
      <c r="F697" t="s">
        <v>236</v>
      </c>
      <c r="G697" t="str">
        <f t="shared" si="81"/>
        <v>Carassius auratus</v>
      </c>
      <c r="H697" t="str">
        <f t="shared" si="82"/>
        <v>Goldfish</v>
      </c>
      <c r="I697" t="str">
        <f t="shared" si="83"/>
        <v>Morihana</v>
      </c>
      <c r="J697" t="str">
        <f t="shared" si="84"/>
        <v>Nonnative</v>
      </c>
      <c r="K697" t="str">
        <f t="shared" si="85"/>
        <v>No</v>
      </c>
      <c r="M697">
        <v>65</v>
      </c>
      <c r="N697">
        <v>6</v>
      </c>
      <c r="O697">
        <v>1</v>
      </c>
      <c r="T697" t="str">
        <f t="shared" si="86"/>
        <v/>
      </c>
    </row>
    <row r="698" spans="1:20" x14ac:dyDescent="0.55000000000000004">
      <c r="A698">
        <v>86</v>
      </c>
      <c r="B698" t="str">
        <f t="shared" si="80"/>
        <v>86_0</v>
      </c>
      <c r="C698" s="2">
        <v>45637.5</v>
      </c>
      <c r="D698" t="s">
        <v>221</v>
      </c>
      <c r="E698">
        <v>2</v>
      </c>
      <c r="F698" t="s">
        <v>236</v>
      </c>
      <c r="G698" t="str">
        <f t="shared" si="81"/>
        <v>Carassius auratus</v>
      </c>
      <c r="H698" t="str">
        <f t="shared" si="82"/>
        <v>Goldfish</v>
      </c>
      <c r="I698" t="str">
        <f t="shared" si="83"/>
        <v>Morihana</v>
      </c>
      <c r="J698" t="str">
        <f t="shared" si="84"/>
        <v>Nonnative</v>
      </c>
      <c r="K698" t="str">
        <f t="shared" si="85"/>
        <v>No</v>
      </c>
      <c r="M698">
        <v>44</v>
      </c>
      <c r="N698">
        <v>1</v>
      </c>
      <c r="O698">
        <v>1</v>
      </c>
      <c r="T698" t="str">
        <f t="shared" si="86"/>
        <v/>
      </c>
    </row>
    <row r="699" spans="1:20" x14ac:dyDescent="0.55000000000000004">
      <c r="A699">
        <v>86</v>
      </c>
      <c r="B699" t="str">
        <f t="shared" si="80"/>
        <v>86_0</v>
      </c>
      <c r="C699" s="2">
        <v>45637.5</v>
      </c>
      <c r="D699" t="s">
        <v>221</v>
      </c>
      <c r="E699">
        <v>2</v>
      </c>
      <c r="F699" t="s">
        <v>236</v>
      </c>
      <c r="G699" t="str">
        <f t="shared" si="81"/>
        <v>Carassius auratus</v>
      </c>
      <c r="H699" t="str">
        <f t="shared" si="82"/>
        <v>Goldfish</v>
      </c>
      <c r="I699" t="str">
        <f t="shared" si="83"/>
        <v>Morihana</v>
      </c>
      <c r="J699" t="str">
        <f t="shared" si="84"/>
        <v>Nonnative</v>
      </c>
      <c r="K699" t="str">
        <f t="shared" si="85"/>
        <v>No</v>
      </c>
      <c r="M699">
        <v>55</v>
      </c>
      <c r="N699">
        <v>4</v>
      </c>
      <c r="O699">
        <v>1</v>
      </c>
      <c r="T699" t="str">
        <f t="shared" si="86"/>
        <v/>
      </c>
    </row>
    <row r="700" spans="1:20" x14ac:dyDescent="0.55000000000000004">
      <c r="A700">
        <v>86</v>
      </c>
      <c r="B700" t="str">
        <f t="shared" si="80"/>
        <v>86_0</v>
      </c>
      <c r="C700" s="2">
        <v>45637.5</v>
      </c>
      <c r="D700" t="s">
        <v>221</v>
      </c>
      <c r="E700">
        <v>2</v>
      </c>
      <c r="F700" t="s">
        <v>236</v>
      </c>
      <c r="G700" t="str">
        <f t="shared" si="81"/>
        <v>Carassius auratus</v>
      </c>
      <c r="H700" t="str">
        <f t="shared" si="82"/>
        <v>Goldfish</v>
      </c>
      <c r="I700" t="str">
        <f t="shared" si="83"/>
        <v>Morihana</v>
      </c>
      <c r="J700" t="str">
        <f t="shared" si="84"/>
        <v>Nonnative</v>
      </c>
      <c r="K700" t="str">
        <f t="shared" si="85"/>
        <v>No</v>
      </c>
      <c r="M700">
        <v>50</v>
      </c>
      <c r="N700">
        <v>1</v>
      </c>
      <c r="O700">
        <v>1</v>
      </c>
      <c r="T700" t="str">
        <f t="shared" si="86"/>
        <v/>
      </c>
    </row>
    <row r="701" spans="1:20" x14ac:dyDescent="0.55000000000000004">
      <c r="A701">
        <v>86</v>
      </c>
      <c r="B701" t="str">
        <f t="shared" si="80"/>
        <v>86_0</v>
      </c>
      <c r="C701" s="2">
        <v>45637.5</v>
      </c>
      <c r="D701" t="s">
        <v>221</v>
      </c>
      <c r="E701">
        <v>2</v>
      </c>
      <c r="F701" t="s">
        <v>236</v>
      </c>
      <c r="G701" t="str">
        <f t="shared" si="81"/>
        <v>Carassius auratus</v>
      </c>
      <c r="H701" t="str">
        <f t="shared" si="82"/>
        <v>Goldfish</v>
      </c>
      <c r="I701" t="str">
        <f t="shared" si="83"/>
        <v>Morihana</v>
      </c>
      <c r="J701" t="str">
        <f t="shared" si="84"/>
        <v>Nonnative</v>
      </c>
      <c r="K701" t="str">
        <f t="shared" si="85"/>
        <v>No</v>
      </c>
      <c r="M701">
        <v>52</v>
      </c>
      <c r="N701">
        <v>1</v>
      </c>
      <c r="O701">
        <v>1</v>
      </c>
      <c r="T701" t="str">
        <f t="shared" si="86"/>
        <v/>
      </c>
    </row>
    <row r="702" spans="1:20" x14ac:dyDescent="0.55000000000000004">
      <c r="A702">
        <v>86</v>
      </c>
      <c r="B702" t="str">
        <f t="shared" si="80"/>
        <v>86_0</v>
      </c>
      <c r="C702" s="2">
        <v>45637.5</v>
      </c>
      <c r="D702" t="s">
        <v>221</v>
      </c>
      <c r="E702">
        <v>2</v>
      </c>
      <c r="F702" t="s">
        <v>243</v>
      </c>
      <c r="G702" t="str">
        <f t="shared" si="81"/>
        <v>Retropinna retropinna</v>
      </c>
      <c r="H702" t="str">
        <f t="shared" si="82"/>
        <v>Common_smelt</v>
      </c>
      <c r="I702" t="str">
        <f t="shared" si="83"/>
        <v>Common_smelt</v>
      </c>
      <c r="J702" t="str">
        <f t="shared" si="84"/>
        <v>Native</v>
      </c>
      <c r="K702" t="str">
        <f t="shared" si="85"/>
        <v>No</v>
      </c>
      <c r="N702">
        <v>13</v>
      </c>
      <c r="O702">
        <v>10</v>
      </c>
      <c r="T702" t="str">
        <f t="shared" si="86"/>
        <v/>
      </c>
    </row>
    <row r="703" spans="1:20" x14ac:dyDescent="0.55000000000000004">
      <c r="A703">
        <v>86</v>
      </c>
      <c r="B703" t="str">
        <f t="shared" si="80"/>
        <v>86_0</v>
      </c>
      <c r="C703" s="2">
        <v>45637.5</v>
      </c>
      <c r="D703" t="s">
        <v>221</v>
      </c>
      <c r="E703">
        <v>2</v>
      </c>
      <c r="F703" t="s">
        <v>242</v>
      </c>
      <c r="G703" t="str">
        <f t="shared" si="81"/>
        <v>Gobiomorphus cotidianus</v>
      </c>
      <c r="H703" t="str">
        <f t="shared" si="82"/>
        <v>Common_bully</v>
      </c>
      <c r="I703" t="str">
        <f t="shared" si="83"/>
        <v>Toitoi</v>
      </c>
      <c r="J703" t="str">
        <f t="shared" si="84"/>
        <v>Native</v>
      </c>
      <c r="K703" t="str">
        <f t="shared" si="85"/>
        <v>No</v>
      </c>
      <c r="N703">
        <v>325</v>
      </c>
      <c r="S703">
        <v>1.75</v>
      </c>
      <c r="T703">
        <f t="shared" si="86"/>
        <v>414.029</v>
      </c>
    </row>
    <row r="704" spans="1:20" x14ac:dyDescent="0.55000000000000004">
      <c r="A704">
        <v>87</v>
      </c>
      <c r="B704" t="str">
        <f t="shared" si="80"/>
        <v>87_0</v>
      </c>
      <c r="C704" s="2">
        <v>45637.625</v>
      </c>
      <c r="D704" t="s">
        <v>245</v>
      </c>
      <c r="E704">
        <v>2</v>
      </c>
      <c r="F704" t="s">
        <v>242</v>
      </c>
      <c r="G704" t="str">
        <f t="shared" si="81"/>
        <v>Gobiomorphus cotidianus</v>
      </c>
      <c r="H704" t="str">
        <f t="shared" si="82"/>
        <v>Common_bully</v>
      </c>
      <c r="I704" t="str">
        <f t="shared" si="83"/>
        <v>Toitoi</v>
      </c>
      <c r="J704" t="str">
        <f t="shared" si="84"/>
        <v>Native</v>
      </c>
      <c r="K704" t="str">
        <f t="shared" si="85"/>
        <v>No</v>
      </c>
      <c r="O704">
        <v>8</v>
      </c>
      <c r="T704" t="str">
        <f t="shared" si="86"/>
        <v/>
      </c>
    </row>
    <row r="705" spans="1:20" x14ac:dyDescent="0.55000000000000004">
      <c r="A705">
        <v>120</v>
      </c>
      <c r="B705" t="str">
        <f t="shared" si="80"/>
        <v>120_0</v>
      </c>
      <c r="C705" s="2">
        <v>45597.429166666669</v>
      </c>
      <c r="D705" t="s">
        <v>221</v>
      </c>
      <c r="E705">
        <v>2</v>
      </c>
      <c r="F705" t="s">
        <v>222</v>
      </c>
      <c r="G705" t="str">
        <f t="shared" si="81"/>
        <v>Paranephrops planifrons</v>
      </c>
      <c r="H705" t="str">
        <f t="shared" si="82"/>
        <v>Freshwater_crayfish</v>
      </c>
      <c r="I705" t="str">
        <f t="shared" si="83"/>
        <v>Kōura</v>
      </c>
      <c r="J705" t="str">
        <f t="shared" si="84"/>
        <v>Native</v>
      </c>
      <c r="K705" t="str">
        <f t="shared" si="85"/>
        <v>Yes</v>
      </c>
      <c r="L705" t="s">
        <v>228</v>
      </c>
      <c r="M705">
        <v>25</v>
      </c>
      <c r="N705">
        <v>12</v>
      </c>
      <c r="O705">
        <v>1</v>
      </c>
      <c r="T705" t="str">
        <f t="shared" si="86"/>
        <v/>
      </c>
    </row>
    <row r="706" spans="1:20" x14ac:dyDescent="0.55000000000000004">
      <c r="A706">
        <v>87</v>
      </c>
      <c r="B706" t="str">
        <f t="shared" ref="B706:B769" si="87">A706 &amp; "_0"</f>
        <v>87_0</v>
      </c>
      <c r="C706" s="2">
        <v>45637.625</v>
      </c>
      <c r="D706" t="s">
        <v>221</v>
      </c>
      <c r="E706">
        <v>2</v>
      </c>
      <c r="F706" t="s">
        <v>236</v>
      </c>
      <c r="G706" t="str">
        <f t="shared" ref="G706:G769" si="88">VLOOKUP($F706, $W$1:$AB$10, 2, FALSE)</f>
        <v>Carassius auratus</v>
      </c>
      <c r="H706" t="str">
        <f t="shared" ref="H706:H769" si="89">VLOOKUP($F706, $W$1:$AB$10, 3, FALSE)</f>
        <v>Goldfish</v>
      </c>
      <c r="I706" t="str">
        <f t="shared" ref="I706:I769" si="90">VLOOKUP($F706, $W$1:$AB$10, 4, FALSE)</f>
        <v>Morihana</v>
      </c>
      <c r="J706" t="str">
        <f t="shared" ref="J706:J769" si="91">VLOOKUP($F706, $W$1:$AC$10, 5, FALSE)</f>
        <v>Nonnative</v>
      </c>
      <c r="K706" t="str">
        <f t="shared" ref="K706:K769" si="92">VLOOKUP($F706, $W$1:$AB$10, 6, FALSE)</f>
        <v>No</v>
      </c>
      <c r="M706">
        <v>205</v>
      </c>
      <c r="N706">
        <v>245</v>
      </c>
      <c r="O706">
        <v>1</v>
      </c>
      <c r="T706" t="str">
        <f t="shared" ref="T706:T769" si="93">IF(S706&lt;&gt;"", S706*236.588, "")</f>
        <v/>
      </c>
    </row>
    <row r="707" spans="1:20" x14ac:dyDescent="0.55000000000000004">
      <c r="A707">
        <v>87</v>
      </c>
      <c r="B707" t="str">
        <f t="shared" si="87"/>
        <v>87_0</v>
      </c>
      <c r="C707" s="2">
        <v>45637.625</v>
      </c>
      <c r="D707" t="s">
        <v>221</v>
      </c>
      <c r="E707">
        <v>2</v>
      </c>
      <c r="F707" t="s">
        <v>236</v>
      </c>
      <c r="G707" t="str">
        <f t="shared" si="88"/>
        <v>Carassius auratus</v>
      </c>
      <c r="H707" t="str">
        <f t="shared" si="89"/>
        <v>Goldfish</v>
      </c>
      <c r="I707" t="str">
        <f t="shared" si="90"/>
        <v>Morihana</v>
      </c>
      <c r="J707" t="str">
        <f t="shared" si="91"/>
        <v>Nonnative</v>
      </c>
      <c r="K707" t="str">
        <f t="shared" si="92"/>
        <v>No</v>
      </c>
      <c r="M707">
        <v>205</v>
      </c>
      <c r="N707">
        <v>240</v>
      </c>
      <c r="O707">
        <v>1</v>
      </c>
      <c r="T707" t="str">
        <f t="shared" si="93"/>
        <v/>
      </c>
    </row>
    <row r="708" spans="1:20" x14ac:dyDescent="0.55000000000000004">
      <c r="A708">
        <v>87</v>
      </c>
      <c r="B708" t="str">
        <f t="shared" si="87"/>
        <v>87_0</v>
      </c>
      <c r="C708" s="2">
        <v>45637.625</v>
      </c>
      <c r="D708" t="s">
        <v>221</v>
      </c>
      <c r="E708">
        <v>2</v>
      </c>
      <c r="F708" t="s">
        <v>236</v>
      </c>
      <c r="G708" t="str">
        <f t="shared" si="88"/>
        <v>Carassius auratus</v>
      </c>
      <c r="H708" t="str">
        <f t="shared" si="89"/>
        <v>Goldfish</v>
      </c>
      <c r="I708" t="str">
        <f t="shared" si="90"/>
        <v>Morihana</v>
      </c>
      <c r="J708" t="str">
        <f t="shared" si="91"/>
        <v>Nonnative</v>
      </c>
      <c r="K708" t="str">
        <f t="shared" si="92"/>
        <v>No</v>
      </c>
      <c r="M708">
        <v>160</v>
      </c>
      <c r="N708">
        <v>99</v>
      </c>
      <c r="O708">
        <v>1</v>
      </c>
      <c r="T708" t="str">
        <f t="shared" si="93"/>
        <v/>
      </c>
    </row>
    <row r="709" spans="1:20" x14ac:dyDescent="0.55000000000000004">
      <c r="A709">
        <v>87</v>
      </c>
      <c r="B709" t="str">
        <f t="shared" si="87"/>
        <v>87_0</v>
      </c>
      <c r="C709" s="2">
        <v>45637.625</v>
      </c>
      <c r="D709" t="s">
        <v>221</v>
      </c>
      <c r="E709">
        <v>2</v>
      </c>
      <c r="F709" t="s">
        <v>236</v>
      </c>
      <c r="G709" t="str">
        <f t="shared" si="88"/>
        <v>Carassius auratus</v>
      </c>
      <c r="H709" t="str">
        <f t="shared" si="89"/>
        <v>Goldfish</v>
      </c>
      <c r="I709" t="str">
        <f t="shared" si="90"/>
        <v>Morihana</v>
      </c>
      <c r="J709" t="str">
        <f t="shared" si="91"/>
        <v>Nonnative</v>
      </c>
      <c r="K709" t="str">
        <f t="shared" si="92"/>
        <v>No</v>
      </c>
      <c r="M709">
        <v>77</v>
      </c>
      <c r="N709">
        <v>11</v>
      </c>
      <c r="O709">
        <v>1</v>
      </c>
      <c r="T709" t="str">
        <f t="shared" si="93"/>
        <v/>
      </c>
    </row>
    <row r="710" spans="1:20" x14ac:dyDescent="0.55000000000000004">
      <c r="A710">
        <v>87</v>
      </c>
      <c r="B710" t="str">
        <f t="shared" si="87"/>
        <v>87_0</v>
      </c>
      <c r="C710" s="2">
        <v>45637.625</v>
      </c>
      <c r="D710" t="s">
        <v>221</v>
      </c>
      <c r="E710">
        <v>2</v>
      </c>
      <c r="F710" t="s">
        <v>236</v>
      </c>
      <c r="G710" t="str">
        <f t="shared" si="88"/>
        <v>Carassius auratus</v>
      </c>
      <c r="H710" t="str">
        <f t="shared" si="89"/>
        <v>Goldfish</v>
      </c>
      <c r="I710" t="str">
        <f t="shared" si="90"/>
        <v>Morihana</v>
      </c>
      <c r="J710" t="str">
        <f t="shared" si="91"/>
        <v>Nonnative</v>
      </c>
      <c r="K710" t="str">
        <f t="shared" si="92"/>
        <v>No</v>
      </c>
      <c r="M710">
        <v>120</v>
      </c>
      <c r="N710">
        <v>42</v>
      </c>
      <c r="O710">
        <v>1</v>
      </c>
      <c r="T710" t="str">
        <f t="shared" si="93"/>
        <v/>
      </c>
    </row>
    <row r="711" spans="1:20" x14ac:dyDescent="0.55000000000000004">
      <c r="A711">
        <v>87</v>
      </c>
      <c r="B711" t="str">
        <f t="shared" si="87"/>
        <v>87_0</v>
      </c>
      <c r="C711" s="2">
        <v>45637.625</v>
      </c>
      <c r="D711" t="s">
        <v>221</v>
      </c>
      <c r="E711">
        <v>2</v>
      </c>
      <c r="F711" t="s">
        <v>236</v>
      </c>
      <c r="G711" t="str">
        <f t="shared" si="88"/>
        <v>Carassius auratus</v>
      </c>
      <c r="H711" t="str">
        <f t="shared" si="89"/>
        <v>Goldfish</v>
      </c>
      <c r="I711" t="str">
        <f t="shared" si="90"/>
        <v>Morihana</v>
      </c>
      <c r="J711" t="str">
        <f t="shared" si="91"/>
        <v>Nonnative</v>
      </c>
      <c r="K711" t="str">
        <f t="shared" si="92"/>
        <v>No</v>
      </c>
      <c r="M711">
        <v>155</v>
      </c>
      <c r="N711">
        <v>96</v>
      </c>
      <c r="O711">
        <v>1</v>
      </c>
      <c r="T711" t="str">
        <f t="shared" si="93"/>
        <v/>
      </c>
    </row>
    <row r="712" spans="1:20" x14ac:dyDescent="0.55000000000000004">
      <c r="A712">
        <v>87</v>
      </c>
      <c r="B712" t="str">
        <f t="shared" si="87"/>
        <v>87_0</v>
      </c>
      <c r="C712" s="2">
        <v>45637.625</v>
      </c>
      <c r="D712" t="s">
        <v>221</v>
      </c>
      <c r="E712">
        <v>2</v>
      </c>
      <c r="F712" t="s">
        <v>236</v>
      </c>
      <c r="G712" t="str">
        <f t="shared" si="88"/>
        <v>Carassius auratus</v>
      </c>
      <c r="H712" t="str">
        <f t="shared" si="89"/>
        <v>Goldfish</v>
      </c>
      <c r="I712" t="str">
        <f t="shared" si="90"/>
        <v>Morihana</v>
      </c>
      <c r="J712" t="str">
        <f t="shared" si="91"/>
        <v>Nonnative</v>
      </c>
      <c r="K712" t="str">
        <f t="shared" si="92"/>
        <v>No</v>
      </c>
      <c r="M712">
        <v>130</v>
      </c>
      <c r="N712">
        <v>54</v>
      </c>
      <c r="O712">
        <v>1</v>
      </c>
      <c r="T712" t="str">
        <f t="shared" si="93"/>
        <v/>
      </c>
    </row>
    <row r="713" spans="1:20" x14ac:dyDescent="0.55000000000000004">
      <c r="A713">
        <v>87</v>
      </c>
      <c r="B713" t="str">
        <f t="shared" si="87"/>
        <v>87_0</v>
      </c>
      <c r="C713" s="2">
        <v>45637.625</v>
      </c>
      <c r="D713" t="s">
        <v>221</v>
      </c>
      <c r="E713">
        <v>2</v>
      </c>
      <c r="F713" t="s">
        <v>236</v>
      </c>
      <c r="G713" t="str">
        <f t="shared" si="88"/>
        <v>Carassius auratus</v>
      </c>
      <c r="H713" t="str">
        <f t="shared" si="89"/>
        <v>Goldfish</v>
      </c>
      <c r="I713" t="str">
        <f t="shared" si="90"/>
        <v>Morihana</v>
      </c>
      <c r="J713" t="str">
        <f t="shared" si="91"/>
        <v>Nonnative</v>
      </c>
      <c r="K713" t="str">
        <f t="shared" si="92"/>
        <v>No</v>
      </c>
      <c r="M713">
        <v>59</v>
      </c>
      <c r="N713">
        <v>3</v>
      </c>
      <c r="O713">
        <v>1</v>
      </c>
      <c r="T713" t="str">
        <f t="shared" si="93"/>
        <v/>
      </c>
    </row>
    <row r="714" spans="1:20" x14ac:dyDescent="0.55000000000000004">
      <c r="A714">
        <v>87</v>
      </c>
      <c r="B714" t="str">
        <f t="shared" si="87"/>
        <v>87_0</v>
      </c>
      <c r="C714" s="2">
        <v>45637.625</v>
      </c>
      <c r="D714" t="s">
        <v>221</v>
      </c>
      <c r="E714">
        <v>2</v>
      </c>
      <c r="F714" t="s">
        <v>236</v>
      </c>
      <c r="G714" t="str">
        <f t="shared" si="88"/>
        <v>Carassius auratus</v>
      </c>
      <c r="H714" t="str">
        <f t="shared" si="89"/>
        <v>Goldfish</v>
      </c>
      <c r="I714" t="str">
        <f t="shared" si="90"/>
        <v>Morihana</v>
      </c>
      <c r="J714" t="str">
        <f t="shared" si="91"/>
        <v>Nonnative</v>
      </c>
      <c r="K714" t="str">
        <f t="shared" si="92"/>
        <v>No</v>
      </c>
      <c r="M714">
        <v>81</v>
      </c>
      <c r="N714">
        <v>12</v>
      </c>
      <c r="O714">
        <v>1</v>
      </c>
      <c r="T714" t="str">
        <f t="shared" si="93"/>
        <v/>
      </c>
    </row>
    <row r="715" spans="1:20" x14ac:dyDescent="0.55000000000000004">
      <c r="A715">
        <v>87</v>
      </c>
      <c r="B715" t="str">
        <f t="shared" si="87"/>
        <v>87_0</v>
      </c>
      <c r="C715" s="2">
        <v>45637.625</v>
      </c>
      <c r="D715" t="s">
        <v>221</v>
      </c>
      <c r="E715">
        <v>2</v>
      </c>
      <c r="F715" t="s">
        <v>236</v>
      </c>
      <c r="G715" t="str">
        <f t="shared" si="88"/>
        <v>Carassius auratus</v>
      </c>
      <c r="H715" t="str">
        <f t="shared" si="89"/>
        <v>Goldfish</v>
      </c>
      <c r="I715" t="str">
        <f t="shared" si="90"/>
        <v>Morihana</v>
      </c>
      <c r="J715" t="str">
        <f t="shared" si="91"/>
        <v>Nonnative</v>
      </c>
      <c r="K715" t="str">
        <f t="shared" si="92"/>
        <v>No</v>
      </c>
      <c r="M715">
        <v>55</v>
      </c>
      <c r="N715">
        <v>4</v>
      </c>
      <c r="O715">
        <v>1</v>
      </c>
      <c r="T715" t="str">
        <f t="shared" si="93"/>
        <v/>
      </c>
    </row>
    <row r="716" spans="1:20" x14ac:dyDescent="0.55000000000000004">
      <c r="A716">
        <v>87</v>
      </c>
      <c r="B716" t="str">
        <f t="shared" si="87"/>
        <v>87_0</v>
      </c>
      <c r="C716" s="2">
        <v>45637.625</v>
      </c>
      <c r="D716" t="s">
        <v>221</v>
      </c>
      <c r="E716">
        <v>2</v>
      </c>
      <c r="F716" t="s">
        <v>236</v>
      </c>
      <c r="G716" t="str">
        <f t="shared" si="88"/>
        <v>Carassius auratus</v>
      </c>
      <c r="H716" t="str">
        <f t="shared" si="89"/>
        <v>Goldfish</v>
      </c>
      <c r="I716" t="str">
        <f t="shared" si="90"/>
        <v>Morihana</v>
      </c>
      <c r="J716" t="str">
        <f t="shared" si="91"/>
        <v>Nonnative</v>
      </c>
      <c r="K716" t="str">
        <f t="shared" si="92"/>
        <v>No</v>
      </c>
      <c r="M716">
        <v>80</v>
      </c>
      <c r="N716">
        <v>13</v>
      </c>
      <c r="O716">
        <v>1</v>
      </c>
      <c r="T716" t="str">
        <f t="shared" si="93"/>
        <v/>
      </c>
    </row>
    <row r="717" spans="1:20" x14ac:dyDescent="0.55000000000000004">
      <c r="A717">
        <v>87</v>
      </c>
      <c r="B717" t="str">
        <f t="shared" si="87"/>
        <v>87_0</v>
      </c>
      <c r="C717" s="2">
        <v>45637.625</v>
      </c>
      <c r="D717" t="s">
        <v>221</v>
      </c>
      <c r="E717">
        <v>2</v>
      </c>
      <c r="F717" t="s">
        <v>236</v>
      </c>
      <c r="G717" t="str">
        <f t="shared" si="88"/>
        <v>Carassius auratus</v>
      </c>
      <c r="H717" t="str">
        <f t="shared" si="89"/>
        <v>Goldfish</v>
      </c>
      <c r="I717" t="str">
        <f t="shared" si="90"/>
        <v>Morihana</v>
      </c>
      <c r="J717" t="str">
        <f t="shared" si="91"/>
        <v>Nonnative</v>
      </c>
      <c r="K717" t="str">
        <f t="shared" si="92"/>
        <v>No</v>
      </c>
      <c r="M717">
        <v>60</v>
      </c>
      <c r="N717">
        <v>3</v>
      </c>
      <c r="O717">
        <v>1</v>
      </c>
      <c r="T717" t="str">
        <f t="shared" si="93"/>
        <v/>
      </c>
    </row>
    <row r="718" spans="1:20" x14ac:dyDescent="0.55000000000000004">
      <c r="A718">
        <v>87</v>
      </c>
      <c r="B718" t="str">
        <f t="shared" si="87"/>
        <v>87_0</v>
      </c>
      <c r="C718" s="2">
        <v>45637.625</v>
      </c>
      <c r="D718" t="s">
        <v>221</v>
      </c>
      <c r="E718">
        <v>2</v>
      </c>
      <c r="F718" t="s">
        <v>236</v>
      </c>
      <c r="G718" t="str">
        <f t="shared" si="88"/>
        <v>Carassius auratus</v>
      </c>
      <c r="H718" t="str">
        <f t="shared" si="89"/>
        <v>Goldfish</v>
      </c>
      <c r="I718" t="str">
        <f t="shared" si="90"/>
        <v>Morihana</v>
      </c>
      <c r="J718" t="str">
        <f t="shared" si="91"/>
        <v>Nonnative</v>
      </c>
      <c r="K718" t="str">
        <f t="shared" si="92"/>
        <v>No</v>
      </c>
      <c r="M718">
        <v>64</v>
      </c>
      <c r="N718">
        <v>4</v>
      </c>
      <c r="O718">
        <v>1</v>
      </c>
      <c r="T718" t="str">
        <f t="shared" si="93"/>
        <v/>
      </c>
    </row>
    <row r="719" spans="1:20" x14ac:dyDescent="0.55000000000000004">
      <c r="A719">
        <v>87</v>
      </c>
      <c r="B719" t="str">
        <f t="shared" si="87"/>
        <v>87_0</v>
      </c>
      <c r="C719" s="2">
        <v>45637.625</v>
      </c>
      <c r="D719" t="s">
        <v>221</v>
      </c>
      <c r="E719">
        <v>2</v>
      </c>
      <c r="F719" t="s">
        <v>236</v>
      </c>
      <c r="G719" t="str">
        <f t="shared" si="88"/>
        <v>Carassius auratus</v>
      </c>
      <c r="H719" t="str">
        <f t="shared" si="89"/>
        <v>Goldfish</v>
      </c>
      <c r="I719" t="str">
        <f t="shared" si="90"/>
        <v>Morihana</v>
      </c>
      <c r="J719" t="str">
        <f t="shared" si="91"/>
        <v>Nonnative</v>
      </c>
      <c r="K719" t="str">
        <f t="shared" si="92"/>
        <v>No</v>
      </c>
      <c r="M719">
        <v>57</v>
      </c>
      <c r="N719">
        <v>3</v>
      </c>
      <c r="O719">
        <v>1</v>
      </c>
      <c r="T719" t="str">
        <f t="shared" si="93"/>
        <v/>
      </c>
    </row>
    <row r="720" spans="1:20" x14ac:dyDescent="0.55000000000000004">
      <c r="A720">
        <v>87</v>
      </c>
      <c r="B720" t="str">
        <f t="shared" si="87"/>
        <v>87_0</v>
      </c>
      <c r="C720" s="2">
        <v>45637.625</v>
      </c>
      <c r="D720" t="s">
        <v>221</v>
      </c>
      <c r="E720">
        <v>2</v>
      </c>
      <c r="F720" t="s">
        <v>243</v>
      </c>
      <c r="G720" t="str">
        <f t="shared" si="88"/>
        <v>Retropinna retropinna</v>
      </c>
      <c r="H720" t="str">
        <f t="shared" si="89"/>
        <v>Common_smelt</v>
      </c>
      <c r="I720" t="str">
        <f t="shared" si="90"/>
        <v>Common_smelt</v>
      </c>
      <c r="J720" t="str">
        <f t="shared" si="91"/>
        <v>Native</v>
      </c>
      <c r="K720" t="str">
        <f t="shared" si="92"/>
        <v>No</v>
      </c>
      <c r="O720">
        <v>3</v>
      </c>
      <c r="T720" t="str">
        <f t="shared" si="93"/>
        <v/>
      </c>
    </row>
    <row r="721" spans="1:21" x14ac:dyDescent="0.55000000000000004">
      <c r="A721">
        <v>87</v>
      </c>
      <c r="B721" t="str">
        <f t="shared" si="87"/>
        <v>87_0</v>
      </c>
      <c r="C721" s="2">
        <v>45637.625</v>
      </c>
      <c r="D721" t="s">
        <v>221</v>
      </c>
      <c r="E721">
        <v>2</v>
      </c>
      <c r="F721" t="s">
        <v>242</v>
      </c>
      <c r="G721" t="str">
        <f t="shared" si="88"/>
        <v>Gobiomorphus cotidianus</v>
      </c>
      <c r="H721" t="str">
        <f t="shared" si="89"/>
        <v>Common_bully</v>
      </c>
      <c r="I721" t="str">
        <f t="shared" si="90"/>
        <v>Toitoi</v>
      </c>
      <c r="J721" t="str">
        <f t="shared" si="91"/>
        <v>Native</v>
      </c>
      <c r="K721" t="str">
        <f t="shared" si="92"/>
        <v>No</v>
      </c>
      <c r="N721">
        <v>527</v>
      </c>
      <c r="S721">
        <v>2.5</v>
      </c>
      <c r="T721">
        <f t="shared" si="93"/>
        <v>591.47</v>
      </c>
      <c r="U721" t="s">
        <v>258</v>
      </c>
    </row>
    <row r="722" spans="1:21" x14ac:dyDescent="0.55000000000000004">
      <c r="A722">
        <v>87</v>
      </c>
      <c r="B722" t="str">
        <f t="shared" si="87"/>
        <v>87_0</v>
      </c>
      <c r="C722" s="2">
        <v>45637.625</v>
      </c>
      <c r="D722" t="s">
        <v>221</v>
      </c>
      <c r="E722">
        <v>2</v>
      </c>
      <c r="F722" t="s">
        <v>242</v>
      </c>
      <c r="G722" t="str">
        <f t="shared" si="88"/>
        <v>Gobiomorphus cotidianus</v>
      </c>
      <c r="H722" t="str">
        <f t="shared" si="89"/>
        <v>Common_bully</v>
      </c>
      <c r="I722" t="str">
        <f t="shared" si="90"/>
        <v>Toitoi</v>
      </c>
      <c r="J722" t="str">
        <f t="shared" si="91"/>
        <v>Native</v>
      </c>
      <c r="K722" t="str">
        <f t="shared" si="92"/>
        <v>No</v>
      </c>
      <c r="N722">
        <v>407</v>
      </c>
      <c r="S722">
        <v>2</v>
      </c>
      <c r="T722">
        <f t="shared" si="93"/>
        <v>473.17599999999999</v>
      </c>
      <c r="U722" t="s">
        <v>258</v>
      </c>
    </row>
    <row r="723" spans="1:21" x14ac:dyDescent="0.55000000000000004">
      <c r="A723">
        <v>87</v>
      </c>
      <c r="B723" t="str">
        <f t="shared" si="87"/>
        <v>87_0</v>
      </c>
      <c r="C723" s="2">
        <v>45637.625</v>
      </c>
      <c r="D723" t="s">
        <v>221</v>
      </c>
      <c r="E723">
        <v>2</v>
      </c>
      <c r="F723" t="s">
        <v>242</v>
      </c>
      <c r="G723" t="str">
        <f t="shared" si="88"/>
        <v>Gobiomorphus cotidianus</v>
      </c>
      <c r="H723" t="str">
        <f t="shared" si="89"/>
        <v>Common_bully</v>
      </c>
      <c r="I723" t="str">
        <f t="shared" si="90"/>
        <v>Toitoi</v>
      </c>
      <c r="J723" t="str">
        <f t="shared" si="91"/>
        <v>Native</v>
      </c>
      <c r="K723" t="str">
        <f t="shared" si="92"/>
        <v>No</v>
      </c>
      <c r="N723">
        <v>325</v>
      </c>
      <c r="S723">
        <v>1.75</v>
      </c>
      <c r="T723">
        <f t="shared" si="93"/>
        <v>414.029</v>
      </c>
      <c r="U723" t="s">
        <v>258</v>
      </c>
    </row>
    <row r="724" spans="1:21" x14ac:dyDescent="0.55000000000000004">
      <c r="A724">
        <v>87</v>
      </c>
      <c r="B724" t="str">
        <f t="shared" si="87"/>
        <v>87_0</v>
      </c>
      <c r="C724" s="2">
        <v>45637.625</v>
      </c>
      <c r="D724" t="s">
        <v>221</v>
      </c>
      <c r="E724">
        <v>2</v>
      </c>
      <c r="F724" t="s">
        <v>236</v>
      </c>
      <c r="G724" t="str">
        <f t="shared" si="88"/>
        <v>Carassius auratus</v>
      </c>
      <c r="H724" t="str">
        <f t="shared" si="89"/>
        <v>Goldfish</v>
      </c>
      <c r="I724" t="str">
        <f t="shared" si="90"/>
        <v>Morihana</v>
      </c>
      <c r="J724" t="str">
        <f t="shared" si="91"/>
        <v>Nonnative</v>
      </c>
      <c r="K724" t="str">
        <f t="shared" si="92"/>
        <v>No</v>
      </c>
      <c r="M724">
        <v>206</v>
      </c>
      <c r="N724">
        <v>239</v>
      </c>
      <c r="O724">
        <v>1</v>
      </c>
      <c r="T724" t="str">
        <f t="shared" si="93"/>
        <v/>
      </c>
    </row>
    <row r="725" spans="1:21" x14ac:dyDescent="0.55000000000000004">
      <c r="A725">
        <v>87</v>
      </c>
      <c r="B725" t="str">
        <f t="shared" si="87"/>
        <v>87_0</v>
      </c>
      <c r="C725" s="2">
        <v>45637.625</v>
      </c>
      <c r="D725" t="s">
        <v>221</v>
      </c>
      <c r="E725">
        <v>2</v>
      </c>
      <c r="F725" t="s">
        <v>236</v>
      </c>
      <c r="G725" t="str">
        <f t="shared" si="88"/>
        <v>Carassius auratus</v>
      </c>
      <c r="H725" t="str">
        <f t="shared" si="89"/>
        <v>Goldfish</v>
      </c>
      <c r="I725" t="str">
        <f t="shared" si="90"/>
        <v>Morihana</v>
      </c>
      <c r="J725" t="str">
        <f t="shared" si="91"/>
        <v>Nonnative</v>
      </c>
      <c r="K725" t="str">
        <f t="shared" si="92"/>
        <v>No</v>
      </c>
      <c r="M725">
        <v>170</v>
      </c>
      <c r="N725">
        <v>142</v>
      </c>
      <c r="O725">
        <v>1</v>
      </c>
      <c r="T725" t="str">
        <f t="shared" si="93"/>
        <v/>
      </c>
    </row>
    <row r="726" spans="1:21" x14ac:dyDescent="0.55000000000000004">
      <c r="A726">
        <v>87</v>
      </c>
      <c r="B726" t="str">
        <f t="shared" si="87"/>
        <v>87_0</v>
      </c>
      <c r="C726" s="2">
        <v>45637.625</v>
      </c>
      <c r="D726" t="s">
        <v>221</v>
      </c>
      <c r="E726">
        <v>2</v>
      </c>
      <c r="F726" t="s">
        <v>236</v>
      </c>
      <c r="G726" t="str">
        <f t="shared" si="88"/>
        <v>Carassius auratus</v>
      </c>
      <c r="H726" t="str">
        <f t="shared" si="89"/>
        <v>Goldfish</v>
      </c>
      <c r="I726" t="str">
        <f t="shared" si="90"/>
        <v>Morihana</v>
      </c>
      <c r="J726" t="str">
        <f t="shared" si="91"/>
        <v>Nonnative</v>
      </c>
      <c r="K726" t="str">
        <f t="shared" si="92"/>
        <v>No</v>
      </c>
      <c r="M726">
        <v>170</v>
      </c>
      <c r="N726">
        <v>128</v>
      </c>
      <c r="O726">
        <v>1</v>
      </c>
      <c r="T726" t="str">
        <f t="shared" si="93"/>
        <v/>
      </c>
    </row>
    <row r="727" spans="1:21" x14ac:dyDescent="0.55000000000000004">
      <c r="A727">
        <v>87</v>
      </c>
      <c r="B727" t="str">
        <f t="shared" si="87"/>
        <v>87_0</v>
      </c>
      <c r="C727" s="2">
        <v>45637.625</v>
      </c>
      <c r="D727" t="s">
        <v>221</v>
      </c>
      <c r="E727">
        <v>2</v>
      </c>
      <c r="F727" t="s">
        <v>236</v>
      </c>
      <c r="G727" t="str">
        <f t="shared" si="88"/>
        <v>Carassius auratus</v>
      </c>
      <c r="H727" t="str">
        <f t="shared" si="89"/>
        <v>Goldfish</v>
      </c>
      <c r="I727" t="str">
        <f t="shared" si="90"/>
        <v>Morihana</v>
      </c>
      <c r="J727" t="str">
        <f t="shared" si="91"/>
        <v>Nonnative</v>
      </c>
      <c r="K727" t="str">
        <f t="shared" si="92"/>
        <v>No</v>
      </c>
      <c r="M727">
        <v>175</v>
      </c>
      <c r="N727">
        <v>153</v>
      </c>
      <c r="O727">
        <v>1</v>
      </c>
      <c r="T727" t="str">
        <f t="shared" si="93"/>
        <v/>
      </c>
    </row>
    <row r="728" spans="1:21" x14ac:dyDescent="0.55000000000000004">
      <c r="A728">
        <v>87</v>
      </c>
      <c r="B728" t="str">
        <f t="shared" si="87"/>
        <v>87_0</v>
      </c>
      <c r="C728" s="2">
        <v>45637.625</v>
      </c>
      <c r="D728" t="s">
        <v>221</v>
      </c>
      <c r="E728">
        <v>2</v>
      </c>
      <c r="F728" t="s">
        <v>236</v>
      </c>
      <c r="G728" t="str">
        <f t="shared" si="88"/>
        <v>Carassius auratus</v>
      </c>
      <c r="H728" t="str">
        <f t="shared" si="89"/>
        <v>Goldfish</v>
      </c>
      <c r="I728" t="str">
        <f t="shared" si="90"/>
        <v>Morihana</v>
      </c>
      <c r="J728" t="str">
        <f t="shared" si="91"/>
        <v>Nonnative</v>
      </c>
      <c r="K728" t="str">
        <f t="shared" si="92"/>
        <v>No</v>
      </c>
      <c r="M728">
        <v>142</v>
      </c>
      <c r="N728">
        <v>74</v>
      </c>
      <c r="O728">
        <v>1</v>
      </c>
      <c r="T728" t="str">
        <f t="shared" si="93"/>
        <v/>
      </c>
    </row>
    <row r="729" spans="1:21" x14ac:dyDescent="0.55000000000000004">
      <c r="A729">
        <v>87</v>
      </c>
      <c r="B729" t="str">
        <f t="shared" si="87"/>
        <v>87_0</v>
      </c>
      <c r="C729" s="2">
        <v>45637.625</v>
      </c>
      <c r="D729" t="s">
        <v>221</v>
      </c>
      <c r="E729">
        <v>2</v>
      </c>
      <c r="F729" t="s">
        <v>236</v>
      </c>
      <c r="G729" t="str">
        <f t="shared" si="88"/>
        <v>Carassius auratus</v>
      </c>
      <c r="H729" t="str">
        <f t="shared" si="89"/>
        <v>Goldfish</v>
      </c>
      <c r="I729" t="str">
        <f t="shared" si="90"/>
        <v>Morihana</v>
      </c>
      <c r="J729" t="str">
        <f t="shared" si="91"/>
        <v>Nonnative</v>
      </c>
      <c r="K729" t="str">
        <f t="shared" si="92"/>
        <v>No</v>
      </c>
      <c r="M729">
        <v>139</v>
      </c>
      <c r="N729">
        <v>64</v>
      </c>
      <c r="O729">
        <v>1</v>
      </c>
      <c r="T729" t="str">
        <f t="shared" si="93"/>
        <v/>
      </c>
    </row>
    <row r="730" spans="1:21" x14ac:dyDescent="0.55000000000000004">
      <c r="A730">
        <v>87</v>
      </c>
      <c r="B730" t="str">
        <f t="shared" si="87"/>
        <v>87_0</v>
      </c>
      <c r="C730" s="2">
        <v>45637.625</v>
      </c>
      <c r="D730" t="s">
        <v>221</v>
      </c>
      <c r="E730">
        <v>2</v>
      </c>
      <c r="F730" t="s">
        <v>236</v>
      </c>
      <c r="G730" t="str">
        <f t="shared" si="88"/>
        <v>Carassius auratus</v>
      </c>
      <c r="H730" t="str">
        <f t="shared" si="89"/>
        <v>Goldfish</v>
      </c>
      <c r="I730" t="str">
        <f t="shared" si="90"/>
        <v>Morihana</v>
      </c>
      <c r="J730" t="str">
        <f t="shared" si="91"/>
        <v>Nonnative</v>
      </c>
      <c r="K730" t="str">
        <f t="shared" si="92"/>
        <v>No</v>
      </c>
      <c r="M730">
        <v>80</v>
      </c>
      <c r="N730">
        <v>15</v>
      </c>
      <c r="O730">
        <v>1</v>
      </c>
      <c r="T730" t="str">
        <f t="shared" si="93"/>
        <v/>
      </c>
    </row>
    <row r="731" spans="1:21" x14ac:dyDescent="0.55000000000000004">
      <c r="A731">
        <v>87</v>
      </c>
      <c r="B731" t="str">
        <f t="shared" si="87"/>
        <v>87_0</v>
      </c>
      <c r="C731" s="2">
        <v>45637.625</v>
      </c>
      <c r="D731" t="s">
        <v>221</v>
      </c>
      <c r="E731">
        <v>2</v>
      </c>
      <c r="F731" t="s">
        <v>236</v>
      </c>
      <c r="G731" t="str">
        <f t="shared" si="88"/>
        <v>Carassius auratus</v>
      </c>
      <c r="H731" t="str">
        <f t="shared" si="89"/>
        <v>Goldfish</v>
      </c>
      <c r="I731" t="str">
        <f t="shared" si="90"/>
        <v>Morihana</v>
      </c>
      <c r="J731" t="str">
        <f t="shared" si="91"/>
        <v>Nonnative</v>
      </c>
      <c r="K731" t="str">
        <f t="shared" si="92"/>
        <v>No</v>
      </c>
      <c r="M731">
        <v>61</v>
      </c>
      <c r="N731">
        <v>3</v>
      </c>
      <c r="O731">
        <v>1</v>
      </c>
      <c r="T731" t="str">
        <f t="shared" si="93"/>
        <v/>
      </c>
    </row>
    <row r="732" spans="1:21" x14ac:dyDescent="0.55000000000000004">
      <c r="A732">
        <v>87</v>
      </c>
      <c r="B732" t="str">
        <f t="shared" si="87"/>
        <v>87_0</v>
      </c>
      <c r="C732" s="2">
        <v>45637.625</v>
      </c>
      <c r="D732" t="s">
        <v>221</v>
      </c>
      <c r="E732">
        <v>2</v>
      </c>
      <c r="F732" t="s">
        <v>236</v>
      </c>
      <c r="G732" t="str">
        <f t="shared" si="88"/>
        <v>Carassius auratus</v>
      </c>
      <c r="H732" t="str">
        <f t="shared" si="89"/>
        <v>Goldfish</v>
      </c>
      <c r="I732" t="str">
        <f t="shared" si="90"/>
        <v>Morihana</v>
      </c>
      <c r="J732" t="str">
        <f t="shared" si="91"/>
        <v>Nonnative</v>
      </c>
      <c r="K732" t="str">
        <f t="shared" si="92"/>
        <v>No</v>
      </c>
      <c r="M732">
        <v>74</v>
      </c>
      <c r="N732">
        <v>7</v>
      </c>
      <c r="O732">
        <v>1</v>
      </c>
      <c r="T732" t="str">
        <f t="shared" si="93"/>
        <v/>
      </c>
    </row>
    <row r="733" spans="1:21" x14ac:dyDescent="0.55000000000000004">
      <c r="A733">
        <v>87</v>
      </c>
      <c r="B733" t="str">
        <f t="shared" si="87"/>
        <v>87_0</v>
      </c>
      <c r="C733" s="2">
        <v>45637.625</v>
      </c>
      <c r="D733" t="s">
        <v>221</v>
      </c>
      <c r="E733">
        <v>2</v>
      </c>
      <c r="F733" t="s">
        <v>236</v>
      </c>
      <c r="G733" t="str">
        <f t="shared" si="88"/>
        <v>Carassius auratus</v>
      </c>
      <c r="H733" t="str">
        <f t="shared" si="89"/>
        <v>Goldfish</v>
      </c>
      <c r="I733" t="str">
        <f t="shared" si="90"/>
        <v>Morihana</v>
      </c>
      <c r="J733" t="str">
        <f t="shared" si="91"/>
        <v>Nonnative</v>
      </c>
      <c r="K733" t="str">
        <f t="shared" si="92"/>
        <v>No</v>
      </c>
      <c r="M733">
        <v>75</v>
      </c>
      <c r="N733">
        <v>3</v>
      </c>
      <c r="O733">
        <v>1</v>
      </c>
      <c r="T733" t="str">
        <f t="shared" si="93"/>
        <v/>
      </c>
    </row>
    <row r="734" spans="1:21" x14ac:dyDescent="0.55000000000000004">
      <c r="A734">
        <v>87</v>
      </c>
      <c r="B734" t="str">
        <f t="shared" si="87"/>
        <v>87_0</v>
      </c>
      <c r="C734" s="2">
        <v>45637.625</v>
      </c>
      <c r="D734" t="s">
        <v>221</v>
      </c>
      <c r="E734">
        <v>2</v>
      </c>
      <c r="F734" t="s">
        <v>242</v>
      </c>
      <c r="G734" t="str">
        <f t="shared" si="88"/>
        <v>Gobiomorphus cotidianus</v>
      </c>
      <c r="H734" t="str">
        <f t="shared" si="89"/>
        <v>Common_bully</v>
      </c>
      <c r="I734" t="str">
        <f t="shared" si="90"/>
        <v>Toitoi</v>
      </c>
      <c r="J734" t="str">
        <f t="shared" si="91"/>
        <v>Native</v>
      </c>
      <c r="K734" t="str">
        <f t="shared" si="92"/>
        <v>No</v>
      </c>
      <c r="N734">
        <v>550</v>
      </c>
      <c r="S734">
        <v>2.5</v>
      </c>
      <c r="T734">
        <f t="shared" si="93"/>
        <v>591.47</v>
      </c>
    </row>
    <row r="735" spans="1:21" x14ac:dyDescent="0.55000000000000004">
      <c r="A735">
        <v>87</v>
      </c>
      <c r="B735" t="str">
        <f t="shared" si="87"/>
        <v>87_0</v>
      </c>
      <c r="C735" s="2">
        <v>45637.625</v>
      </c>
      <c r="D735" t="s">
        <v>221</v>
      </c>
      <c r="E735">
        <v>2</v>
      </c>
      <c r="F735" t="s">
        <v>242</v>
      </c>
      <c r="G735" t="str">
        <f t="shared" si="88"/>
        <v>Gobiomorphus cotidianus</v>
      </c>
      <c r="H735" t="str">
        <f t="shared" si="89"/>
        <v>Common_bully</v>
      </c>
      <c r="I735" t="str">
        <f t="shared" si="90"/>
        <v>Toitoi</v>
      </c>
      <c r="J735" t="str">
        <f t="shared" si="91"/>
        <v>Native</v>
      </c>
      <c r="K735" t="str">
        <f t="shared" si="92"/>
        <v>No</v>
      </c>
      <c r="N735">
        <v>566</v>
      </c>
      <c r="S735">
        <v>2.5</v>
      </c>
      <c r="T735">
        <f t="shared" si="93"/>
        <v>591.47</v>
      </c>
    </row>
    <row r="736" spans="1:21" x14ac:dyDescent="0.55000000000000004">
      <c r="A736">
        <v>87</v>
      </c>
      <c r="B736" t="str">
        <f t="shared" si="87"/>
        <v>87_0</v>
      </c>
      <c r="C736" s="2">
        <v>45637.625</v>
      </c>
      <c r="D736" t="s">
        <v>221</v>
      </c>
      <c r="E736">
        <v>2</v>
      </c>
      <c r="F736" t="s">
        <v>242</v>
      </c>
      <c r="G736" t="str">
        <f t="shared" si="88"/>
        <v>Gobiomorphus cotidianus</v>
      </c>
      <c r="H736" t="str">
        <f t="shared" si="89"/>
        <v>Common_bully</v>
      </c>
      <c r="I736" t="str">
        <f t="shared" si="90"/>
        <v>Toitoi</v>
      </c>
      <c r="J736" t="str">
        <f t="shared" si="91"/>
        <v>Native</v>
      </c>
      <c r="K736" t="str">
        <f t="shared" si="92"/>
        <v>No</v>
      </c>
      <c r="N736">
        <v>604</v>
      </c>
      <c r="S736">
        <v>2.5</v>
      </c>
      <c r="T736">
        <f t="shared" si="93"/>
        <v>591.47</v>
      </c>
    </row>
    <row r="737" spans="1:20" x14ac:dyDescent="0.55000000000000004">
      <c r="A737">
        <v>87</v>
      </c>
      <c r="B737" t="str">
        <f t="shared" si="87"/>
        <v>87_0</v>
      </c>
      <c r="C737" s="2">
        <v>45637.625</v>
      </c>
      <c r="D737" t="s">
        <v>221</v>
      </c>
      <c r="E737">
        <v>2</v>
      </c>
      <c r="F737" t="s">
        <v>242</v>
      </c>
      <c r="G737" t="str">
        <f t="shared" si="88"/>
        <v>Gobiomorphus cotidianus</v>
      </c>
      <c r="H737" t="str">
        <f t="shared" si="89"/>
        <v>Common_bully</v>
      </c>
      <c r="I737" t="str">
        <f t="shared" si="90"/>
        <v>Toitoi</v>
      </c>
      <c r="J737" t="str">
        <f t="shared" si="91"/>
        <v>Native</v>
      </c>
      <c r="K737" t="str">
        <f t="shared" si="92"/>
        <v>No</v>
      </c>
      <c r="N737">
        <v>457</v>
      </c>
      <c r="S737">
        <v>2</v>
      </c>
      <c r="T737">
        <f t="shared" si="93"/>
        <v>473.17599999999999</v>
      </c>
    </row>
    <row r="738" spans="1:20" x14ac:dyDescent="0.55000000000000004">
      <c r="A738">
        <v>88</v>
      </c>
      <c r="B738" t="str">
        <f t="shared" si="87"/>
        <v>88_0</v>
      </c>
      <c r="C738" s="2">
        <v>45638.4375</v>
      </c>
      <c r="D738" t="s">
        <v>245</v>
      </c>
      <c r="E738">
        <v>2</v>
      </c>
      <c r="F738" t="s">
        <v>242</v>
      </c>
      <c r="G738" t="str">
        <f t="shared" si="88"/>
        <v>Gobiomorphus cotidianus</v>
      </c>
      <c r="H738" t="str">
        <f t="shared" si="89"/>
        <v>Common_bully</v>
      </c>
      <c r="I738" t="str">
        <f t="shared" si="90"/>
        <v>Toitoi</v>
      </c>
      <c r="J738" t="str">
        <f t="shared" si="91"/>
        <v>Native</v>
      </c>
      <c r="K738" t="str">
        <f t="shared" si="92"/>
        <v>No</v>
      </c>
      <c r="N738">
        <v>3</v>
      </c>
      <c r="O738">
        <v>9</v>
      </c>
      <c r="T738" t="str">
        <f t="shared" si="93"/>
        <v/>
      </c>
    </row>
    <row r="739" spans="1:20" x14ac:dyDescent="0.55000000000000004">
      <c r="A739">
        <v>88</v>
      </c>
      <c r="B739" t="str">
        <f t="shared" si="87"/>
        <v>88_0</v>
      </c>
      <c r="C739" s="2">
        <v>45638.4375</v>
      </c>
      <c r="D739" t="s">
        <v>221</v>
      </c>
      <c r="E739">
        <v>2</v>
      </c>
      <c r="F739" t="s">
        <v>236</v>
      </c>
      <c r="G739" t="str">
        <f t="shared" si="88"/>
        <v>Carassius auratus</v>
      </c>
      <c r="H739" t="str">
        <f t="shared" si="89"/>
        <v>Goldfish</v>
      </c>
      <c r="I739" t="str">
        <f t="shared" si="90"/>
        <v>Morihana</v>
      </c>
      <c r="J739" t="str">
        <f t="shared" si="91"/>
        <v>Nonnative</v>
      </c>
      <c r="K739" t="str">
        <f t="shared" si="92"/>
        <v>No</v>
      </c>
      <c r="M739">
        <v>254</v>
      </c>
      <c r="N739">
        <v>463</v>
      </c>
      <c r="O739">
        <v>1</v>
      </c>
      <c r="T739" t="str">
        <f t="shared" si="93"/>
        <v/>
      </c>
    </row>
    <row r="740" spans="1:20" x14ac:dyDescent="0.55000000000000004">
      <c r="A740">
        <v>88</v>
      </c>
      <c r="B740" t="str">
        <f t="shared" si="87"/>
        <v>88_0</v>
      </c>
      <c r="C740" s="2">
        <v>45638.4375</v>
      </c>
      <c r="D740" t="s">
        <v>221</v>
      </c>
      <c r="E740">
        <v>2</v>
      </c>
      <c r="F740" t="s">
        <v>236</v>
      </c>
      <c r="G740" t="str">
        <f t="shared" si="88"/>
        <v>Carassius auratus</v>
      </c>
      <c r="H740" t="str">
        <f t="shared" si="89"/>
        <v>Goldfish</v>
      </c>
      <c r="I740" t="str">
        <f t="shared" si="90"/>
        <v>Morihana</v>
      </c>
      <c r="J740" t="str">
        <f t="shared" si="91"/>
        <v>Nonnative</v>
      </c>
      <c r="K740" t="str">
        <f t="shared" si="92"/>
        <v>No</v>
      </c>
      <c r="M740">
        <v>175</v>
      </c>
      <c r="N740">
        <v>145</v>
      </c>
      <c r="O740">
        <v>1</v>
      </c>
      <c r="T740" t="str">
        <f t="shared" si="93"/>
        <v/>
      </c>
    </row>
    <row r="741" spans="1:20" x14ac:dyDescent="0.55000000000000004">
      <c r="A741">
        <v>88</v>
      </c>
      <c r="B741" t="str">
        <f t="shared" si="87"/>
        <v>88_0</v>
      </c>
      <c r="C741" s="2">
        <v>45638.4375</v>
      </c>
      <c r="D741" t="s">
        <v>221</v>
      </c>
      <c r="E741">
        <v>2</v>
      </c>
      <c r="F741" t="s">
        <v>236</v>
      </c>
      <c r="G741" t="str">
        <f t="shared" si="88"/>
        <v>Carassius auratus</v>
      </c>
      <c r="H741" t="str">
        <f t="shared" si="89"/>
        <v>Goldfish</v>
      </c>
      <c r="I741" t="str">
        <f t="shared" si="90"/>
        <v>Morihana</v>
      </c>
      <c r="J741" t="str">
        <f t="shared" si="91"/>
        <v>Nonnative</v>
      </c>
      <c r="K741" t="str">
        <f t="shared" si="92"/>
        <v>No</v>
      </c>
      <c r="M741">
        <v>171</v>
      </c>
      <c r="N741">
        <v>122</v>
      </c>
      <c r="O741">
        <v>1</v>
      </c>
      <c r="T741" t="str">
        <f t="shared" si="93"/>
        <v/>
      </c>
    </row>
    <row r="742" spans="1:20" x14ac:dyDescent="0.55000000000000004">
      <c r="A742">
        <v>88</v>
      </c>
      <c r="B742" t="str">
        <f t="shared" si="87"/>
        <v>88_0</v>
      </c>
      <c r="C742" s="2">
        <v>45638.4375</v>
      </c>
      <c r="D742" t="s">
        <v>221</v>
      </c>
      <c r="E742">
        <v>2</v>
      </c>
      <c r="F742" t="s">
        <v>236</v>
      </c>
      <c r="G742" t="str">
        <f t="shared" si="88"/>
        <v>Carassius auratus</v>
      </c>
      <c r="H742" t="str">
        <f t="shared" si="89"/>
        <v>Goldfish</v>
      </c>
      <c r="I742" t="str">
        <f t="shared" si="90"/>
        <v>Morihana</v>
      </c>
      <c r="J742" t="str">
        <f t="shared" si="91"/>
        <v>Nonnative</v>
      </c>
      <c r="K742" t="str">
        <f t="shared" si="92"/>
        <v>No</v>
      </c>
      <c r="M742">
        <v>183</v>
      </c>
      <c r="N742">
        <v>134</v>
      </c>
      <c r="O742">
        <v>1</v>
      </c>
      <c r="T742" t="str">
        <f t="shared" si="93"/>
        <v/>
      </c>
    </row>
    <row r="743" spans="1:20" x14ac:dyDescent="0.55000000000000004">
      <c r="A743">
        <v>88</v>
      </c>
      <c r="B743" t="str">
        <f t="shared" si="87"/>
        <v>88_0</v>
      </c>
      <c r="C743" s="2">
        <v>45638.4375</v>
      </c>
      <c r="D743" t="s">
        <v>221</v>
      </c>
      <c r="E743">
        <v>2</v>
      </c>
      <c r="F743" t="s">
        <v>236</v>
      </c>
      <c r="G743" t="str">
        <f t="shared" si="88"/>
        <v>Carassius auratus</v>
      </c>
      <c r="H743" t="str">
        <f t="shared" si="89"/>
        <v>Goldfish</v>
      </c>
      <c r="I743" t="str">
        <f t="shared" si="90"/>
        <v>Morihana</v>
      </c>
      <c r="J743" t="str">
        <f t="shared" si="91"/>
        <v>Nonnative</v>
      </c>
      <c r="K743" t="str">
        <f t="shared" si="92"/>
        <v>No</v>
      </c>
      <c r="M743">
        <v>165</v>
      </c>
      <c r="N743">
        <v>111</v>
      </c>
      <c r="O743">
        <v>1</v>
      </c>
      <c r="T743" t="str">
        <f t="shared" si="93"/>
        <v/>
      </c>
    </row>
    <row r="744" spans="1:20" x14ac:dyDescent="0.55000000000000004">
      <c r="A744">
        <v>88</v>
      </c>
      <c r="B744" t="str">
        <f t="shared" si="87"/>
        <v>88_0</v>
      </c>
      <c r="C744" s="2">
        <v>45638.4375</v>
      </c>
      <c r="D744" t="s">
        <v>221</v>
      </c>
      <c r="E744">
        <v>2</v>
      </c>
      <c r="F744" t="s">
        <v>236</v>
      </c>
      <c r="G744" t="str">
        <f t="shared" si="88"/>
        <v>Carassius auratus</v>
      </c>
      <c r="H744" t="str">
        <f t="shared" si="89"/>
        <v>Goldfish</v>
      </c>
      <c r="I744" t="str">
        <f t="shared" si="90"/>
        <v>Morihana</v>
      </c>
      <c r="J744" t="str">
        <f t="shared" si="91"/>
        <v>Nonnative</v>
      </c>
      <c r="K744" t="str">
        <f t="shared" si="92"/>
        <v>No</v>
      </c>
      <c r="M744">
        <v>160</v>
      </c>
      <c r="N744">
        <v>97</v>
      </c>
      <c r="O744">
        <v>1</v>
      </c>
      <c r="T744" t="str">
        <f t="shared" si="93"/>
        <v/>
      </c>
    </row>
    <row r="745" spans="1:20" x14ac:dyDescent="0.55000000000000004">
      <c r="A745">
        <v>88</v>
      </c>
      <c r="B745" t="str">
        <f t="shared" si="87"/>
        <v>88_0</v>
      </c>
      <c r="C745" s="2">
        <v>45638.4375</v>
      </c>
      <c r="D745" t="s">
        <v>221</v>
      </c>
      <c r="E745">
        <v>2</v>
      </c>
      <c r="F745" t="s">
        <v>236</v>
      </c>
      <c r="G745" t="str">
        <f t="shared" si="88"/>
        <v>Carassius auratus</v>
      </c>
      <c r="H745" t="str">
        <f t="shared" si="89"/>
        <v>Goldfish</v>
      </c>
      <c r="I745" t="str">
        <f t="shared" si="90"/>
        <v>Morihana</v>
      </c>
      <c r="J745" t="str">
        <f t="shared" si="91"/>
        <v>Nonnative</v>
      </c>
      <c r="K745" t="str">
        <f t="shared" si="92"/>
        <v>No</v>
      </c>
      <c r="M745">
        <v>169</v>
      </c>
      <c r="N745">
        <v>102</v>
      </c>
      <c r="O745">
        <v>1</v>
      </c>
      <c r="T745" t="str">
        <f t="shared" si="93"/>
        <v/>
      </c>
    </row>
    <row r="746" spans="1:20" x14ac:dyDescent="0.55000000000000004">
      <c r="A746">
        <v>88</v>
      </c>
      <c r="B746" t="str">
        <f t="shared" si="87"/>
        <v>88_0</v>
      </c>
      <c r="C746" s="2">
        <v>45638.4375</v>
      </c>
      <c r="D746" t="s">
        <v>221</v>
      </c>
      <c r="E746">
        <v>2</v>
      </c>
      <c r="F746" t="s">
        <v>236</v>
      </c>
      <c r="G746" t="str">
        <f t="shared" si="88"/>
        <v>Carassius auratus</v>
      </c>
      <c r="H746" t="str">
        <f t="shared" si="89"/>
        <v>Goldfish</v>
      </c>
      <c r="I746" t="str">
        <f t="shared" si="90"/>
        <v>Morihana</v>
      </c>
      <c r="J746" t="str">
        <f t="shared" si="91"/>
        <v>Nonnative</v>
      </c>
      <c r="K746" t="str">
        <f t="shared" si="92"/>
        <v>No</v>
      </c>
      <c r="M746">
        <v>170</v>
      </c>
      <c r="N746">
        <v>111</v>
      </c>
      <c r="O746">
        <v>1</v>
      </c>
      <c r="T746" t="str">
        <f t="shared" si="93"/>
        <v/>
      </c>
    </row>
    <row r="747" spans="1:20" x14ac:dyDescent="0.55000000000000004">
      <c r="A747">
        <v>88</v>
      </c>
      <c r="B747" t="str">
        <f t="shared" si="87"/>
        <v>88_0</v>
      </c>
      <c r="C747" s="2">
        <v>45638.4375</v>
      </c>
      <c r="D747" t="s">
        <v>221</v>
      </c>
      <c r="E747">
        <v>2</v>
      </c>
      <c r="F747" t="s">
        <v>236</v>
      </c>
      <c r="G747" t="str">
        <f t="shared" si="88"/>
        <v>Carassius auratus</v>
      </c>
      <c r="H747" t="str">
        <f t="shared" si="89"/>
        <v>Goldfish</v>
      </c>
      <c r="I747" t="str">
        <f t="shared" si="90"/>
        <v>Morihana</v>
      </c>
      <c r="J747" t="str">
        <f t="shared" si="91"/>
        <v>Nonnative</v>
      </c>
      <c r="K747" t="str">
        <f t="shared" si="92"/>
        <v>No</v>
      </c>
      <c r="M747">
        <v>140</v>
      </c>
      <c r="N747">
        <v>56</v>
      </c>
      <c r="O747">
        <v>1</v>
      </c>
      <c r="T747" t="str">
        <f t="shared" si="93"/>
        <v/>
      </c>
    </row>
    <row r="748" spans="1:20" x14ac:dyDescent="0.55000000000000004">
      <c r="A748">
        <v>88</v>
      </c>
      <c r="B748" t="str">
        <f t="shared" si="87"/>
        <v>88_0</v>
      </c>
      <c r="C748" s="2">
        <v>45638.4375</v>
      </c>
      <c r="D748" t="s">
        <v>221</v>
      </c>
      <c r="E748">
        <v>2</v>
      </c>
      <c r="F748" t="s">
        <v>236</v>
      </c>
      <c r="G748" t="str">
        <f t="shared" si="88"/>
        <v>Carassius auratus</v>
      </c>
      <c r="H748" t="str">
        <f t="shared" si="89"/>
        <v>Goldfish</v>
      </c>
      <c r="I748" t="str">
        <f t="shared" si="90"/>
        <v>Morihana</v>
      </c>
      <c r="J748" t="str">
        <f t="shared" si="91"/>
        <v>Nonnative</v>
      </c>
      <c r="K748" t="str">
        <f t="shared" si="92"/>
        <v>No</v>
      </c>
      <c r="M748">
        <v>156</v>
      </c>
      <c r="N748">
        <v>95</v>
      </c>
      <c r="O748">
        <v>1</v>
      </c>
      <c r="T748" t="str">
        <f t="shared" si="93"/>
        <v/>
      </c>
    </row>
    <row r="749" spans="1:20" x14ac:dyDescent="0.55000000000000004">
      <c r="A749">
        <v>88</v>
      </c>
      <c r="B749" t="str">
        <f t="shared" si="87"/>
        <v>88_0</v>
      </c>
      <c r="C749" s="2">
        <v>45638.4375</v>
      </c>
      <c r="D749" t="s">
        <v>221</v>
      </c>
      <c r="E749">
        <v>2</v>
      </c>
      <c r="F749" t="s">
        <v>236</v>
      </c>
      <c r="G749" t="str">
        <f t="shared" si="88"/>
        <v>Carassius auratus</v>
      </c>
      <c r="H749" t="str">
        <f t="shared" si="89"/>
        <v>Goldfish</v>
      </c>
      <c r="I749" t="str">
        <f t="shared" si="90"/>
        <v>Morihana</v>
      </c>
      <c r="J749" t="str">
        <f t="shared" si="91"/>
        <v>Nonnative</v>
      </c>
      <c r="K749" t="str">
        <f t="shared" si="92"/>
        <v>No</v>
      </c>
      <c r="M749">
        <v>145</v>
      </c>
      <c r="N749">
        <v>76</v>
      </c>
      <c r="O749">
        <v>1</v>
      </c>
      <c r="T749" t="str">
        <f t="shared" si="93"/>
        <v/>
      </c>
    </row>
    <row r="750" spans="1:20" x14ac:dyDescent="0.55000000000000004">
      <c r="A750">
        <v>88</v>
      </c>
      <c r="B750" t="str">
        <f t="shared" si="87"/>
        <v>88_0</v>
      </c>
      <c r="C750" s="2">
        <v>45638.4375</v>
      </c>
      <c r="D750" t="s">
        <v>221</v>
      </c>
      <c r="E750">
        <v>2</v>
      </c>
      <c r="F750" t="s">
        <v>236</v>
      </c>
      <c r="G750" t="str">
        <f t="shared" si="88"/>
        <v>Carassius auratus</v>
      </c>
      <c r="H750" t="str">
        <f t="shared" si="89"/>
        <v>Goldfish</v>
      </c>
      <c r="I750" t="str">
        <f t="shared" si="90"/>
        <v>Morihana</v>
      </c>
      <c r="J750" t="str">
        <f t="shared" si="91"/>
        <v>Nonnative</v>
      </c>
      <c r="K750" t="str">
        <f t="shared" si="92"/>
        <v>No</v>
      </c>
      <c r="M750">
        <v>160</v>
      </c>
      <c r="N750">
        <v>90</v>
      </c>
      <c r="O750">
        <v>1</v>
      </c>
      <c r="T750" t="str">
        <f t="shared" si="93"/>
        <v/>
      </c>
    </row>
    <row r="751" spans="1:20" x14ac:dyDescent="0.55000000000000004">
      <c r="A751">
        <v>88</v>
      </c>
      <c r="B751" t="str">
        <f t="shared" si="87"/>
        <v>88_0</v>
      </c>
      <c r="C751" s="2">
        <v>45638.4375</v>
      </c>
      <c r="D751" t="s">
        <v>221</v>
      </c>
      <c r="E751">
        <v>2</v>
      </c>
      <c r="F751" t="s">
        <v>236</v>
      </c>
      <c r="G751" t="str">
        <f t="shared" si="88"/>
        <v>Carassius auratus</v>
      </c>
      <c r="H751" t="str">
        <f t="shared" si="89"/>
        <v>Goldfish</v>
      </c>
      <c r="I751" t="str">
        <f t="shared" si="90"/>
        <v>Morihana</v>
      </c>
      <c r="J751" t="str">
        <f t="shared" si="91"/>
        <v>Nonnative</v>
      </c>
      <c r="K751" t="str">
        <f t="shared" si="92"/>
        <v>No</v>
      </c>
      <c r="M751">
        <v>120</v>
      </c>
      <c r="N751">
        <v>52</v>
      </c>
      <c r="O751">
        <v>1</v>
      </c>
      <c r="T751" t="str">
        <f t="shared" si="93"/>
        <v/>
      </c>
    </row>
    <row r="752" spans="1:20" x14ac:dyDescent="0.55000000000000004">
      <c r="A752">
        <v>88</v>
      </c>
      <c r="B752" t="str">
        <f t="shared" si="87"/>
        <v>88_0</v>
      </c>
      <c r="C752" s="2">
        <v>45638.4375</v>
      </c>
      <c r="D752" t="s">
        <v>221</v>
      </c>
      <c r="E752">
        <v>2</v>
      </c>
      <c r="F752" t="s">
        <v>236</v>
      </c>
      <c r="G752" t="str">
        <f t="shared" si="88"/>
        <v>Carassius auratus</v>
      </c>
      <c r="H752" t="str">
        <f t="shared" si="89"/>
        <v>Goldfish</v>
      </c>
      <c r="I752" t="str">
        <f t="shared" si="90"/>
        <v>Morihana</v>
      </c>
      <c r="J752" t="str">
        <f t="shared" si="91"/>
        <v>Nonnative</v>
      </c>
      <c r="K752" t="str">
        <f t="shared" si="92"/>
        <v>No</v>
      </c>
      <c r="M752">
        <v>135</v>
      </c>
      <c r="N752">
        <v>56</v>
      </c>
      <c r="O752">
        <v>1</v>
      </c>
      <c r="T752" t="str">
        <f t="shared" si="93"/>
        <v/>
      </c>
    </row>
    <row r="753" spans="1:21" x14ac:dyDescent="0.55000000000000004">
      <c r="A753">
        <v>88</v>
      </c>
      <c r="B753" t="str">
        <f t="shared" si="87"/>
        <v>88_0</v>
      </c>
      <c r="C753" s="2">
        <v>45638.4375</v>
      </c>
      <c r="D753" t="s">
        <v>221</v>
      </c>
      <c r="E753">
        <v>2</v>
      </c>
      <c r="F753" t="s">
        <v>236</v>
      </c>
      <c r="G753" t="str">
        <f t="shared" si="88"/>
        <v>Carassius auratus</v>
      </c>
      <c r="H753" t="str">
        <f t="shared" si="89"/>
        <v>Goldfish</v>
      </c>
      <c r="I753" t="str">
        <f t="shared" si="90"/>
        <v>Morihana</v>
      </c>
      <c r="J753" t="str">
        <f t="shared" si="91"/>
        <v>Nonnative</v>
      </c>
      <c r="K753" t="str">
        <f t="shared" si="92"/>
        <v>No</v>
      </c>
      <c r="M753">
        <v>130</v>
      </c>
      <c r="N753">
        <v>52</v>
      </c>
      <c r="O753">
        <v>1</v>
      </c>
      <c r="T753" t="str">
        <f t="shared" si="93"/>
        <v/>
      </c>
    </row>
    <row r="754" spans="1:21" x14ac:dyDescent="0.55000000000000004">
      <c r="A754">
        <v>88</v>
      </c>
      <c r="B754" t="str">
        <f t="shared" si="87"/>
        <v>88_0</v>
      </c>
      <c r="C754" s="2">
        <v>45638.4375</v>
      </c>
      <c r="D754" t="s">
        <v>221</v>
      </c>
      <c r="E754">
        <v>2</v>
      </c>
      <c r="F754" t="s">
        <v>243</v>
      </c>
      <c r="G754" t="str">
        <f t="shared" si="88"/>
        <v>Retropinna retropinna</v>
      </c>
      <c r="H754" t="str">
        <f t="shared" si="89"/>
        <v>Common_smelt</v>
      </c>
      <c r="I754" t="str">
        <f t="shared" si="90"/>
        <v>Common_smelt</v>
      </c>
      <c r="J754" t="str">
        <f t="shared" si="91"/>
        <v>Native</v>
      </c>
      <c r="K754" t="str">
        <f t="shared" si="92"/>
        <v>No</v>
      </c>
      <c r="O754">
        <v>22</v>
      </c>
      <c r="T754" t="str">
        <f t="shared" si="93"/>
        <v/>
      </c>
    </row>
    <row r="755" spans="1:21" x14ac:dyDescent="0.55000000000000004">
      <c r="A755">
        <v>88</v>
      </c>
      <c r="B755" t="str">
        <f t="shared" si="87"/>
        <v>88_0</v>
      </c>
      <c r="C755" s="2">
        <v>45638.4375</v>
      </c>
      <c r="D755" t="s">
        <v>221</v>
      </c>
      <c r="E755">
        <v>2</v>
      </c>
      <c r="F755" t="s">
        <v>242</v>
      </c>
      <c r="G755" t="str">
        <f t="shared" si="88"/>
        <v>Gobiomorphus cotidianus</v>
      </c>
      <c r="H755" t="str">
        <f t="shared" si="89"/>
        <v>Common_bully</v>
      </c>
      <c r="I755" t="str">
        <f t="shared" si="90"/>
        <v>Toitoi</v>
      </c>
      <c r="J755" t="str">
        <f t="shared" si="91"/>
        <v>Native</v>
      </c>
      <c r="K755" t="str">
        <f t="shared" si="92"/>
        <v>No</v>
      </c>
      <c r="N755">
        <f>606-117</f>
        <v>489</v>
      </c>
      <c r="S755">
        <v>2.5</v>
      </c>
      <c r="T755">
        <f t="shared" si="93"/>
        <v>591.47</v>
      </c>
    </row>
    <row r="756" spans="1:21" x14ac:dyDescent="0.55000000000000004">
      <c r="A756">
        <v>88</v>
      </c>
      <c r="B756" t="str">
        <f t="shared" si="87"/>
        <v>88_0</v>
      </c>
      <c r="C756" s="2">
        <v>45638.4375</v>
      </c>
      <c r="D756" t="s">
        <v>221</v>
      </c>
      <c r="E756">
        <v>2</v>
      </c>
      <c r="F756" t="s">
        <v>242</v>
      </c>
      <c r="G756" t="str">
        <f t="shared" si="88"/>
        <v>Gobiomorphus cotidianus</v>
      </c>
      <c r="H756" t="str">
        <f t="shared" si="89"/>
        <v>Common_bully</v>
      </c>
      <c r="I756" t="str">
        <f t="shared" si="90"/>
        <v>Toitoi</v>
      </c>
      <c r="J756" t="str">
        <f t="shared" si="91"/>
        <v>Native</v>
      </c>
      <c r="K756" t="str">
        <f t="shared" si="92"/>
        <v>No</v>
      </c>
      <c r="N756">
        <f>381-117</f>
        <v>264</v>
      </c>
      <c r="S756">
        <v>1.25</v>
      </c>
      <c r="T756">
        <f t="shared" si="93"/>
        <v>295.73500000000001</v>
      </c>
    </row>
    <row r="757" spans="1:21" x14ac:dyDescent="0.55000000000000004">
      <c r="A757">
        <v>89</v>
      </c>
      <c r="B757" t="str">
        <f t="shared" si="87"/>
        <v>89_0</v>
      </c>
      <c r="C757" s="2">
        <v>45637.541666666664</v>
      </c>
      <c r="D757" t="s">
        <v>245</v>
      </c>
      <c r="E757">
        <v>2</v>
      </c>
      <c r="F757" t="s">
        <v>242</v>
      </c>
      <c r="G757" t="str">
        <f t="shared" si="88"/>
        <v>Gobiomorphus cotidianus</v>
      </c>
      <c r="H757" t="str">
        <f t="shared" si="89"/>
        <v>Common_bully</v>
      </c>
      <c r="I757" t="str">
        <f t="shared" si="90"/>
        <v>Toitoi</v>
      </c>
      <c r="J757" t="str">
        <f t="shared" si="91"/>
        <v>Native</v>
      </c>
      <c r="K757" t="str">
        <f t="shared" si="92"/>
        <v>No</v>
      </c>
      <c r="N757">
        <v>58</v>
      </c>
      <c r="T757" t="str">
        <f t="shared" si="93"/>
        <v/>
      </c>
    </row>
    <row r="758" spans="1:21" x14ac:dyDescent="0.55000000000000004">
      <c r="A758">
        <v>89</v>
      </c>
      <c r="B758" t="str">
        <f t="shared" si="87"/>
        <v>89_0</v>
      </c>
      <c r="C758" s="2">
        <v>45637.541666666664</v>
      </c>
      <c r="D758" t="s">
        <v>221</v>
      </c>
      <c r="E758">
        <v>2</v>
      </c>
      <c r="F758" t="s">
        <v>236</v>
      </c>
      <c r="G758" t="str">
        <f t="shared" si="88"/>
        <v>Carassius auratus</v>
      </c>
      <c r="H758" t="str">
        <f t="shared" si="89"/>
        <v>Goldfish</v>
      </c>
      <c r="I758" t="str">
        <f t="shared" si="90"/>
        <v>Morihana</v>
      </c>
      <c r="J758" t="str">
        <f t="shared" si="91"/>
        <v>Nonnative</v>
      </c>
      <c r="K758" t="str">
        <f t="shared" si="92"/>
        <v>No</v>
      </c>
      <c r="M758">
        <v>182</v>
      </c>
      <c r="N758">
        <v>167</v>
      </c>
      <c r="O758">
        <v>1</v>
      </c>
      <c r="T758" t="str">
        <f t="shared" si="93"/>
        <v/>
      </c>
    </row>
    <row r="759" spans="1:21" x14ac:dyDescent="0.55000000000000004">
      <c r="A759">
        <v>89</v>
      </c>
      <c r="B759" t="str">
        <f t="shared" si="87"/>
        <v>89_0</v>
      </c>
      <c r="C759" s="2">
        <v>45637.541666608799</v>
      </c>
      <c r="D759" t="s">
        <v>221</v>
      </c>
      <c r="E759">
        <v>2</v>
      </c>
      <c r="F759" t="s">
        <v>236</v>
      </c>
      <c r="G759" t="str">
        <f t="shared" si="88"/>
        <v>Carassius auratus</v>
      </c>
      <c r="H759" t="str">
        <f t="shared" si="89"/>
        <v>Goldfish</v>
      </c>
      <c r="I759" t="str">
        <f t="shared" si="90"/>
        <v>Morihana</v>
      </c>
      <c r="J759" t="str">
        <f t="shared" si="91"/>
        <v>Nonnative</v>
      </c>
      <c r="K759" t="str">
        <f t="shared" si="92"/>
        <v>No</v>
      </c>
      <c r="M759">
        <v>154</v>
      </c>
      <c r="N759">
        <v>88</v>
      </c>
      <c r="O759">
        <v>1</v>
      </c>
      <c r="T759" t="str">
        <f t="shared" si="93"/>
        <v/>
      </c>
      <c r="U759" t="s">
        <v>259</v>
      </c>
    </row>
    <row r="760" spans="1:21" x14ac:dyDescent="0.55000000000000004">
      <c r="A760">
        <v>89</v>
      </c>
      <c r="B760" t="str">
        <f t="shared" si="87"/>
        <v>89_0</v>
      </c>
      <c r="C760" s="2">
        <v>45637.541666608799</v>
      </c>
      <c r="D760" t="s">
        <v>221</v>
      </c>
      <c r="E760">
        <v>2</v>
      </c>
      <c r="F760" t="s">
        <v>236</v>
      </c>
      <c r="G760" t="str">
        <f t="shared" si="88"/>
        <v>Carassius auratus</v>
      </c>
      <c r="H760" t="str">
        <f t="shared" si="89"/>
        <v>Goldfish</v>
      </c>
      <c r="I760" t="str">
        <f t="shared" si="90"/>
        <v>Morihana</v>
      </c>
      <c r="J760" t="str">
        <f t="shared" si="91"/>
        <v>Nonnative</v>
      </c>
      <c r="K760" t="str">
        <f t="shared" si="92"/>
        <v>No</v>
      </c>
      <c r="M760">
        <v>189</v>
      </c>
      <c r="N760">
        <v>169</v>
      </c>
      <c r="O760">
        <v>1</v>
      </c>
      <c r="T760" t="str">
        <f t="shared" si="93"/>
        <v/>
      </c>
    </row>
    <row r="761" spans="1:21" x14ac:dyDescent="0.55000000000000004">
      <c r="A761">
        <v>89</v>
      </c>
      <c r="B761" t="str">
        <f t="shared" si="87"/>
        <v>89_0</v>
      </c>
      <c r="C761" s="2">
        <v>45637.541666608799</v>
      </c>
      <c r="D761" t="s">
        <v>221</v>
      </c>
      <c r="E761">
        <v>2</v>
      </c>
      <c r="F761" t="s">
        <v>236</v>
      </c>
      <c r="G761" t="str">
        <f t="shared" si="88"/>
        <v>Carassius auratus</v>
      </c>
      <c r="H761" t="str">
        <f t="shared" si="89"/>
        <v>Goldfish</v>
      </c>
      <c r="I761" t="str">
        <f t="shared" si="90"/>
        <v>Morihana</v>
      </c>
      <c r="J761" t="str">
        <f t="shared" si="91"/>
        <v>Nonnative</v>
      </c>
      <c r="K761" t="str">
        <f t="shared" si="92"/>
        <v>No</v>
      </c>
      <c r="M761">
        <v>156</v>
      </c>
      <c r="N761">
        <v>106</v>
      </c>
      <c r="O761">
        <v>1</v>
      </c>
      <c r="T761" t="str">
        <f t="shared" si="93"/>
        <v/>
      </c>
    </row>
    <row r="762" spans="1:21" x14ac:dyDescent="0.55000000000000004">
      <c r="A762">
        <v>89</v>
      </c>
      <c r="B762" t="str">
        <f t="shared" si="87"/>
        <v>89_0</v>
      </c>
      <c r="C762" s="2">
        <v>45637.541666608799</v>
      </c>
      <c r="D762" t="s">
        <v>221</v>
      </c>
      <c r="E762">
        <v>2</v>
      </c>
      <c r="F762" t="s">
        <v>236</v>
      </c>
      <c r="G762" t="str">
        <f t="shared" si="88"/>
        <v>Carassius auratus</v>
      </c>
      <c r="H762" t="str">
        <f t="shared" si="89"/>
        <v>Goldfish</v>
      </c>
      <c r="I762" t="str">
        <f t="shared" si="90"/>
        <v>Morihana</v>
      </c>
      <c r="J762" t="str">
        <f t="shared" si="91"/>
        <v>Nonnative</v>
      </c>
      <c r="K762" t="str">
        <f t="shared" si="92"/>
        <v>No</v>
      </c>
      <c r="M762">
        <v>162</v>
      </c>
      <c r="N762">
        <v>112</v>
      </c>
      <c r="O762">
        <v>1</v>
      </c>
      <c r="T762" t="str">
        <f t="shared" si="93"/>
        <v/>
      </c>
    </row>
    <row r="763" spans="1:21" x14ac:dyDescent="0.55000000000000004">
      <c r="A763">
        <v>89</v>
      </c>
      <c r="B763" t="str">
        <f t="shared" si="87"/>
        <v>89_0</v>
      </c>
      <c r="C763" s="2">
        <v>45637.541666608799</v>
      </c>
      <c r="D763" t="s">
        <v>221</v>
      </c>
      <c r="E763">
        <v>2</v>
      </c>
      <c r="F763" t="s">
        <v>236</v>
      </c>
      <c r="G763" t="str">
        <f t="shared" si="88"/>
        <v>Carassius auratus</v>
      </c>
      <c r="H763" t="str">
        <f t="shared" si="89"/>
        <v>Goldfish</v>
      </c>
      <c r="I763" t="str">
        <f t="shared" si="90"/>
        <v>Morihana</v>
      </c>
      <c r="J763" t="str">
        <f t="shared" si="91"/>
        <v>Nonnative</v>
      </c>
      <c r="K763" t="str">
        <f t="shared" si="92"/>
        <v>No</v>
      </c>
      <c r="M763">
        <v>157</v>
      </c>
      <c r="N763">
        <v>106</v>
      </c>
      <c r="O763">
        <v>1</v>
      </c>
      <c r="T763" t="str">
        <f t="shared" si="93"/>
        <v/>
      </c>
    </row>
    <row r="764" spans="1:21" x14ac:dyDescent="0.55000000000000004">
      <c r="A764">
        <v>89</v>
      </c>
      <c r="B764" t="str">
        <f t="shared" si="87"/>
        <v>89_0</v>
      </c>
      <c r="C764" s="2">
        <v>45637.541666608799</v>
      </c>
      <c r="D764" t="s">
        <v>221</v>
      </c>
      <c r="E764">
        <v>2</v>
      </c>
      <c r="F764" t="s">
        <v>236</v>
      </c>
      <c r="G764" t="str">
        <f t="shared" si="88"/>
        <v>Carassius auratus</v>
      </c>
      <c r="H764" t="str">
        <f t="shared" si="89"/>
        <v>Goldfish</v>
      </c>
      <c r="I764" t="str">
        <f t="shared" si="90"/>
        <v>Morihana</v>
      </c>
      <c r="J764" t="str">
        <f t="shared" si="91"/>
        <v>Nonnative</v>
      </c>
      <c r="K764" t="str">
        <f t="shared" si="92"/>
        <v>No</v>
      </c>
      <c r="M764">
        <v>152</v>
      </c>
      <c r="N764">
        <v>94</v>
      </c>
      <c r="O764">
        <v>1</v>
      </c>
      <c r="T764" t="str">
        <f t="shared" si="93"/>
        <v/>
      </c>
    </row>
    <row r="765" spans="1:21" x14ac:dyDescent="0.55000000000000004">
      <c r="A765">
        <v>89</v>
      </c>
      <c r="B765" t="str">
        <f t="shared" si="87"/>
        <v>89_0</v>
      </c>
      <c r="C765" s="2">
        <v>45637.541666608799</v>
      </c>
      <c r="D765" t="s">
        <v>221</v>
      </c>
      <c r="E765">
        <v>2</v>
      </c>
      <c r="F765" t="s">
        <v>236</v>
      </c>
      <c r="G765" t="str">
        <f t="shared" si="88"/>
        <v>Carassius auratus</v>
      </c>
      <c r="H765" t="str">
        <f t="shared" si="89"/>
        <v>Goldfish</v>
      </c>
      <c r="I765" t="str">
        <f t="shared" si="90"/>
        <v>Morihana</v>
      </c>
      <c r="J765" t="str">
        <f t="shared" si="91"/>
        <v>Nonnative</v>
      </c>
      <c r="K765" t="str">
        <f t="shared" si="92"/>
        <v>No</v>
      </c>
      <c r="M765">
        <v>155</v>
      </c>
      <c r="N765">
        <v>78</v>
      </c>
      <c r="O765">
        <v>1</v>
      </c>
      <c r="T765" t="str">
        <f t="shared" si="93"/>
        <v/>
      </c>
    </row>
    <row r="766" spans="1:21" x14ac:dyDescent="0.55000000000000004">
      <c r="A766">
        <v>89</v>
      </c>
      <c r="B766" t="str">
        <f t="shared" si="87"/>
        <v>89_0</v>
      </c>
      <c r="C766" s="2">
        <v>45637.541666608799</v>
      </c>
      <c r="D766" t="s">
        <v>221</v>
      </c>
      <c r="E766">
        <v>2</v>
      </c>
      <c r="F766" t="s">
        <v>236</v>
      </c>
      <c r="G766" t="str">
        <f t="shared" si="88"/>
        <v>Carassius auratus</v>
      </c>
      <c r="H766" t="str">
        <f t="shared" si="89"/>
        <v>Goldfish</v>
      </c>
      <c r="I766" t="str">
        <f t="shared" si="90"/>
        <v>Morihana</v>
      </c>
      <c r="J766" t="str">
        <f t="shared" si="91"/>
        <v>Nonnative</v>
      </c>
      <c r="K766" t="str">
        <f t="shared" si="92"/>
        <v>No</v>
      </c>
      <c r="M766">
        <v>141</v>
      </c>
      <c r="N766">
        <v>64</v>
      </c>
      <c r="O766">
        <v>1</v>
      </c>
      <c r="T766" t="str">
        <f t="shared" si="93"/>
        <v/>
      </c>
    </row>
    <row r="767" spans="1:21" x14ac:dyDescent="0.55000000000000004">
      <c r="A767">
        <v>89</v>
      </c>
      <c r="B767" t="str">
        <f t="shared" si="87"/>
        <v>89_0</v>
      </c>
      <c r="C767" s="2">
        <v>45637.541666608799</v>
      </c>
      <c r="D767" t="s">
        <v>221</v>
      </c>
      <c r="E767">
        <v>2</v>
      </c>
      <c r="F767" t="s">
        <v>236</v>
      </c>
      <c r="G767" t="str">
        <f t="shared" si="88"/>
        <v>Carassius auratus</v>
      </c>
      <c r="H767" t="str">
        <f t="shared" si="89"/>
        <v>Goldfish</v>
      </c>
      <c r="I767" t="str">
        <f t="shared" si="90"/>
        <v>Morihana</v>
      </c>
      <c r="J767" t="str">
        <f t="shared" si="91"/>
        <v>Nonnative</v>
      </c>
      <c r="K767" t="str">
        <f t="shared" si="92"/>
        <v>No</v>
      </c>
      <c r="M767">
        <v>155</v>
      </c>
      <c r="N767">
        <v>89</v>
      </c>
      <c r="O767">
        <v>1</v>
      </c>
      <c r="T767" t="str">
        <f t="shared" si="93"/>
        <v/>
      </c>
    </row>
    <row r="768" spans="1:21" x14ac:dyDescent="0.55000000000000004">
      <c r="A768">
        <v>89</v>
      </c>
      <c r="B768" t="str">
        <f t="shared" si="87"/>
        <v>89_0</v>
      </c>
      <c r="C768" s="2">
        <v>45637.541666608799</v>
      </c>
      <c r="D768" t="s">
        <v>221</v>
      </c>
      <c r="E768">
        <v>2</v>
      </c>
      <c r="F768" t="s">
        <v>236</v>
      </c>
      <c r="G768" t="str">
        <f t="shared" si="88"/>
        <v>Carassius auratus</v>
      </c>
      <c r="H768" t="str">
        <f t="shared" si="89"/>
        <v>Goldfish</v>
      </c>
      <c r="I768" t="str">
        <f t="shared" si="90"/>
        <v>Morihana</v>
      </c>
      <c r="J768" t="str">
        <f t="shared" si="91"/>
        <v>Nonnative</v>
      </c>
      <c r="K768" t="str">
        <f t="shared" si="92"/>
        <v>No</v>
      </c>
      <c r="M768">
        <v>115</v>
      </c>
      <c r="N768">
        <v>40</v>
      </c>
      <c r="O768">
        <v>1</v>
      </c>
      <c r="T768" t="str">
        <f t="shared" si="93"/>
        <v/>
      </c>
    </row>
    <row r="769" spans="1:21" x14ac:dyDescent="0.55000000000000004">
      <c r="A769">
        <v>89</v>
      </c>
      <c r="B769" t="str">
        <f t="shared" si="87"/>
        <v>89_0</v>
      </c>
      <c r="C769" s="2">
        <v>45637.541666608799</v>
      </c>
      <c r="D769" t="s">
        <v>221</v>
      </c>
      <c r="E769">
        <v>2</v>
      </c>
      <c r="F769" t="s">
        <v>236</v>
      </c>
      <c r="G769" t="str">
        <f t="shared" si="88"/>
        <v>Carassius auratus</v>
      </c>
      <c r="H769" t="str">
        <f t="shared" si="89"/>
        <v>Goldfish</v>
      </c>
      <c r="I769" t="str">
        <f t="shared" si="90"/>
        <v>Morihana</v>
      </c>
      <c r="J769" t="str">
        <f t="shared" si="91"/>
        <v>Nonnative</v>
      </c>
      <c r="K769" t="str">
        <f t="shared" si="92"/>
        <v>No</v>
      </c>
      <c r="M769">
        <v>113</v>
      </c>
      <c r="N769">
        <v>37</v>
      </c>
      <c r="O769">
        <v>1</v>
      </c>
      <c r="T769" t="str">
        <f t="shared" si="93"/>
        <v/>
      </c>
    </row>
    <row r="770" spans="1:21" x14ac:dyDescent="0.55000000000000004">
      <c r="A770">
        <v>89</v>
      </c>
      <c r="B770" t="str">
        <f t="shared" ref="B770:B833" si="94">A770 &amp; "_0"</f>
        <v>89_0</v>
      </c>
      <c r="C770" s="2">
        <v>45637.541666608799</v>
      </c>
      <c r="D770" t="s">
        <v>221</v>
      </c>
      <c r="E770">
        <v>2</v>
      </c>
      <c r="F770" t="s">
        <v>236</v>
      </c>
      <c r="G770" t="str">
        <f t="shared" ref="G770:G833" si="95">VLOOKUP($F770, $W$1:$AB$10, 2, FALSE)</f>
        <v>Carassius auratus</v>
      </c>
      <c r="H770" t="str">
        <f t="shared" ref="H770:H833" si="96">VLOOKUP($F770, $W$1:$AB$10, 3, FALSE)</f>
        <v>Goldfish</v>
      </c>
      <c r="I770" t="str">
        <f t="shared" ref="I770:I833" si="97">VLOOKUP($F770, $W$1:$AB$10, 4, FALSE)</f>
        <v>Morihana</v>
      </c>
      <c r="J770" t="str">
        <f t="shared" ref="J770:J833" si="98">VLOOKUP($F770, $W$1:$AC$10, 5, FALSE)</f>
        <v>Nonnative</v>
      </c>
      <c r="K770" t="str">
        <f t="shared" ref="K770:K833" si="99">VLOOKUP($F770, $W$1:$AB$10, 6, FALSE)</f>
        <v>No</v>
      </c>
      <c r="M770">
        <v>126</v>
      </c>
      <c r="N770">
        <v>55</v>
      </c>
      <c r="O770">
        <v>1</v>
      </c>
      <c r="T770" t="str">
        <f t="shared" ref="T770:T833" si="100">IF(S770&lt;&gt;"", S770*236.588, "")</f>
        <v/>
      </c>
    </row>
    <row r="771" spans="1:21" x14ac:dyDescent="0.55000000000000004">
      <c r="A771">
        <v>89</v>
      </c>
      <c r="B771" t="str">
        <f t="shared" si="94"/>
        <v>89_0</v>
      </c>
      <c r="C771" s="2">
        <v>45637.541666608799</v>
      </c>
      <c r="D771" t="s">
        <v>221</v>
      </c>
      <c r="E771">
        <v>2</v>
      </c>
      <c r="F771" t="s">
        <v>236</v>
      </c>
      <c r="G771" t="str">
        <f t="shared" si="95"/>
        <v>Carassius auratus</v>
      </c>
      <c r="H771" t="str">
        <f t="shared" si="96"/>
        <v>Goldfish</v>
      </c>
      <c r="I771" t="str">
        <f t="shared" si="97"/>
        <v>Morihana</v>
      </c>
      <c r="J771" t="str">
        <f t="shared" si="98"/>
        <v>Nonnative</v>
      </c>
      <c r="K771" t="str">
        <f t="shared" si="99"/>
        <v>No</v>
      </c>
      <c r="M771">
        <v>132</v>
      </c>
      <c r="N771">
        <v>57</v>
      </c>
      <c r="O771">
        <v>1</v>
      </c>
      <c r="T771" t="str">
        <f t="shared" si="100"/>
        <v/>
      </c>
    </row>
    <row r="772" spans="1:21" x14ac:dyDescent="0.55000000000000004">
      <c r="A772">
        <v>89</v>
      </c>
      <c r="B772" t="str">
        <f t="shared" si="94"/>
        <v>89_0</v>
      </c>
      <c r="C772" s="2">
        <v>45637.541666608799</v>
      </c>
      <c r="D772" t="s">
        <v>221</v>
      </c>
      <c r="E772">
        <v>2</v>
      </c>
      <c r="F772" t="s">
        <v>242</v>
      </c>
      <c r="G772" t="str">
        <f t="shared" si="95"/>
        <v>Gobiomorphus cotidianus</v>
      </c>
      <c r="H772" t="str">
        <f t="shared" si="96"/>
        <v>Common_bully</v>
      </c>
      <c r="I772" t="str">
        <f t="shared" si="97"/>
        <v>Toitoi</v>
      </c>
      <c r="J772" t="str">
        <f t="shared" si="98"/>
        <v>Native</v>
      </c>
      <c r="K772" t="str">
        <f t="shared" si="99"/>
        <v>No</v>
      </c>
      <c r="N772">
        <v>41</v>
      </c>
      <c r="O772">
        <v>100</v>
      </c>
      <c r="S772">
        <v>0.25</v>
      </c>
      <c r="T772">
        <f t="shared" si="100"/>
        <v>59.146999999999998</v>
      </c>
      <c r="U772" t="s">
        <v>260</v>
      </c>
    </row>
    <row r="773" spans="1:21" x14ac:dyDescent="0.55000000000000004">
      <c r="A773">
        <v>89</v>
      </c>
      <c r="B773" t="str">
        <f t="shared" si="94"/>
        <v>89_0</v>
      </c>
      <c r="C773" s="2">
        <v>45637.541666608799</v>
      </c>
      <c r="D773" t="s">
        <v>221</v>
      </c>
      <c r="E773">
        <v>2</v>
      </c>
      <c r="F773" t="s">
        <v>242</v>
      </c>
      <c r="G773" t="str">
        <f t="shared" si="95"/>
        <v>Gobiomorphus cotidianus</v>
      </c>
      <c r="H773" t="str">
        <f t="shared" si="96"/>
        <v>Common_bully</v>
      </c>
      <c r="I773" t="str">
        <f t="shared" si="97"/>
        <v>Toitoi</v>
      </c>
      <c r="J773" t="str">
        <f t="shared" si="98"/>
        <v>Native</v>
      </c>
      <c r="K773" t="str">
        <f t="shared" si="99"/>
        <v>No</v>
      </c>
      <c r="N773">
        <v>515</v>
      </c>
      <c r="S773">
        <v>2</v>
      </c>
      <c r="T773">
        <f t="shared" si="100"/>
        <v>473.17599999999999</v>
      </c>
    </row>
    <row r="774" spans="1:21" x14ac:dyDescent="0.55000000000000004">
      <c r="A774">
        <v>89</v>
      </c>
      <c r="B774" t="str">
        <f t="shared" si="94"/>
        <v>89_0</v>
      </c>
      <c r="C774" s="2">
        <v>45637.541666608799</v>
      </c>
      <c r="D774" t="s">
        <v>221</v>
      </c>
      <c r="E774">
        <v>2</v>
      </c>
      <c r="F774" t="s">
        <v>242</v>
      </c>
      <c r="G774" t="str">
        <f t="shared" si="95"/>
        <v>Gobiomorphus cotidianus</v>
      </c>
      <c r="H774" t="str">
        <f t="shared" si="96"/>
        <v>Common_bully</v>
      </c>
      <c r="I774" t="str">
        <f t="shared" si="97"/>
        <v>Toitoi</v>
      </c>
      <c r="J774" t="str">
        <f t="shared" si="98"/>
        <v>Native</v>
      </c>
      <c r="K774" t="str">
        <f t="shared" si="99"/>
        <v>No</v>
      </c>
      <c r="N774">
        <v>497</v>
      </c>
      <c r="S774">
        <v>2</v>
      </c>
      <c r="T774">
        <f t="shared" si="100"/>
        <v>473.17599999999999</v>
      </c>
    </row>
    <row r="775" spans="1:21" x14ac:dyDescent="0.55000000000000004">
      <c r="A775">
        <v>89</v>
      </c>
      <c r="B775" t="str">
        <f t="shared" si="94"/>
        <v>89_0</v>
      </c>
      <c r="C775" s="2">
        <v>45637.541666608799</v>
      </c>
      <c r="D775" t="s">
        <v>221</v>
      </c>
      <c r="E775">
        <v>2</v>
      </c>
      <c r="F775" t="s">
        <v>242</v>
      </c>
      <c r="G775" t="str">
        <f t="shared" si="95"/>
        <v>Gobiomorphus cotidianus</v>
      </c>
      <c r="H775" t="str">
        <f t="shared" si="96"/>
        <v>Common_bully</v>
      </c>
      <c r="I775" t="str">
        <f t="shared" si="97"/>
        <v>Toitoi</v>
      </c>
      <c r="J775" t="str">
        <f t="shared" si="98"/>
        <v>Native</v>
      </c>
      <c r="K775" t="str">
        <f t="shared" si="99"/>
        <v>No</v>
      </c>
      <c r="N775">
        <v>433</v>
      </c>
      <c r="S775">
        <v>2</v>
      </c>
      <c r="T775">
        <f t="shared" si="100"/>
        <v>473.17599999999999</v>
      </c>
    </row>
    <row r="776" spans="1:21" x14ac:dyDescent="0.55000000000000004">
      <c r="A776">
        <v>89</v>
      </c>
      <c r="B776" t="str">
        <f t="shared" si="94"/>
        <v>89_0</v>
      </c>
      <c r="C776" s="2">
        <v>45637.541666608799</v>
      </c>
      <c r="D776" t="s">
        <v>221</v>
      </c>
      <c r="E776">
        <v>2</v>
      </c>
      <c r="F776" t="s">
        <v>236</v>
      </c>
      <c r="G776" t="str">
        <f t="shared" si="95"/>
        <v>Carassius auratus</v>
      </c>
      <c r="H776" t="str">
        <f t="shared" si="96"/>
        <v>Goldfish</v>
      </c>
      <c r="I776" t="str">
        <f t="shared" si="97"/>
        <v>Morihana</v>
      </c>
      <c r="J776" t="str">
        <f t="shared" si="98"/>
        <v>Nonnative</v>
      </c>
      <c r="K776" t="str">
        <f t="shared" si="99"/>
        <v>No</v>
      </c>
      <c r="M776">
        <v>208</v>
      </c>
      <c r="N776">
        <v>197</v>
      </c>
      <c r="O776">
        <v>1</v>
      </c>
      <c r="T776" t="str">
        <f t="shared" si="100"/>
        <v/>
      </c>
    </row>
    <row r="777" spans="1:21" x14ac:dyDescent="0.55000000000000004">
      <c r="A777">
        <v>89</v>
      </c>
      <c r="B777" t="str">
        <f t="shared" si="94"/>
        <v>89_0</v>
      </c>
      <c r="C777" s="2">
        <v>45637.541666608799</v>
      </c>
      <c r="D777" t="s">
        <v>221</v>
      </c>
      <c r="E777">
        <v>2</v>
      </c>
      <c r="F777" t="s">
        <v>236</v>
      </c>
      <c r="G777" t="str">
        <f t="shared" si="95"/>
        <v>Carassius auratus</v>
      </c>
      <c r="H777" t="str">
        <f t="shared" si="96"/>
        <v>Goldfish</v>
      </c>
      <c r="I777" t="str">
        <f t="shared" si="97"/>
        <v>Morihana</v>
      </c>
      <c r="J777" t="str">
        <f t="shared" si="98"/>
        <v>Nonnative</v>
      </c>
      <c r="K777" t="str">
        <f t="shared" si="99"/>
        <v>No</v>
      </c>
      <c r="M777">
        <v>146</v>
      </c>
      <c r="N777">
        <v>84</v>
      </c>
      <c r="O777">
        <v>1</v>
      </c>
      <c r="T777" t="str">
        <f t="shared" si="100"/>
        <v/>
      </c>
    </row>
    <row r="778" spans="1:21" x14ac:dyDescent="0.55000000000000004">
      <c r="A778">
        <v>89</v>
      </c>
      <c r="B778" t="str">
        <f t="shared" si="94"/>
        <v>89_0</v>
      </c>
      <c r="C778" s="2">
        <v>45637.541666608799</v>
      </c>
      <c r="D778" t="s">
        <v>221</v>
      </c>
      <c r="E778">
        <v>2</v>
      </c>
      <c r="F778" t="s">
        <v>236</v>
      </c>
      <c r="G778" t="str">
        <f t="shared" si="95"/>
        <v>Carassius auratus</v>
      </c>
      <c r="H778" t="str">
        <f t="shared" si="96"/>
        <v>Goldfish</v>
      </c>
      <c r="I778" t="str">
        <f t="shared" si="97"/>
        <v>Morihana</v>
      </c>
      <c r="J778" t="str">
        <f t="shared" si="98"/>
        <v>Nonnative</v>
      </c>
      <c r="K778" t="str">
        <f t="shared" si="99"/>
        <v>No</v>
      </c>
      <c r="M778">
        <v>170</v>
      </c>
      <c r="N778">
        <v>128</v>
      </c>
      <c r="O778">
        <v>1</v>
      </c>
      <c r="T778" t="str">
        <f t="shared" si="100"/>
        <v/>
      </c>
    </row>
    <row r="779" spans="1:21" x14ac:dyDescent="0.55000000000000004">
      <c r="A779">
        <v>89</v>
      </c>
      <c r="B779" t="str">
        <f t="shared" si="94"/>
        <v>89_0</v>
      </c>
      <c r="C779" s="2">
        <v>45637.541666608799</v>
      </c>
      <c r="D779" t="s">
        <v>221</v>
      </c>
      <c r="E779">
        <v>2</v>
      </c>
      <c r="F779" t="s">
        <v>236</v>
      </c>
      <c r="G779" t="str">
        <f t="shared" si="95"/>
        <v>Carassius auratus</v>
      </c>
      <c r="H779" t="str">
        <f t="shared" si="96"/>
        <v>Goldfish</v>
      </c>
      <c r="I779" t="str">
        <f t="shared" si="97"/>
        <v>Morihana</v>
      </c>
      <c r="J779" t="str">
        <f t="shared" si="98"/>
        <v>Nonnative</v>
      </c>
      <c r="K779" t="str">
        <f t="shared" si="99"/>
        <v>No</v>
      </c>
      <c r="M779">
        <v>161</v>
      </c>
      <c r="N779">
        <v>119</v>
      </c>
      <c r="O779">
        <v>1</v>
      </c>
      <c r="T779" t="str">
        <f t="shared" si="100"/>
        <v/>
      </c>
    </row>
    <row r="780" spans="1:21" x14ac:dyDescent="0.55000000000000004">
      <c r="A780">
        <v>89</v>
      </c>
      <c r="B780" t="str">
        <f t="shared" si="94"/>
        <v>89_0</v>
      </c>
      <c r="C780" s="2">
        <v>45637.541666608799</v>
      </c>
      <c r="D780" t="s">
        <v>221</v>
      </c>
      <c r="E780">
        <v>2</v>
      </c>
      <c r="F780" t="s">
        <v>236</v>
      </c>
      <c r="G780" t="str">
        <f t="shared" si="95"/>
        <v>Carassius auratus</v>
      </c>
      <c r="H780" t="str">
        <f t="shared" si="96"/>
        <v>Goldfish</v>
      </c>
      <c r="I780" t="str">
        <f t="shared" si="97"/>
        <v>Morihana</v>
      </c>
      <c r="J780" t="str">
        <f t="shared" si="98"/>
        <v>Nonnative</v>
      </c>
      <c r="K780" t="str">
        <f t="shared" si="99"/>
        <v>No</v>
      </c>
      <c r="M780">
        <v>140</v>
      </c>
      <c r="N780">
        <v>67</v>
      </c>
      <c r="O780">
        <v>1</v>
      </c>
      <c r="T780" t="str">
        <f t="shared" si="100"/>
        <v/>
      </c>
    </row>
    <row r="781" spans="1:21" x14ac:dyDescent="0.55000000000000004">
      <c r="A781">
        <v>89</v>
      </c>
      <c r="B781" t="str">
        <f t="shared" si="94"/>
        <v>89_0</v>
      </c>
      <c r="C781" s="2">
        <v>45637.541666608799</v>
      </c>
      <c r="D781" t="s">
        <v>221</v>
      </c>
      <c r="E781">
        <v>2</v>
      </c>
      <c r="F781" t="s">
        <v>236</v>
      </c>
      <c r="G781" t="str">
        <f t="shared" si="95"/>
        <v>Carassius auratus</v>
      </c>
      <c r="H781" t="str">
        <f t="shared" si="96"/>
        <v>Goldfish</v>
      </c>
      <c r="I781" t="str">
        <f t="shared" si="97"/>
        <v>Morihana</v>
      </c>
      <c r="J781" t="str">
        <f t="shared" si="98"/>
        <v>Nonnative</v>
      </c>
      <c r="K781" t="str">
        <f t="shared" si="99"/>
        <v>No</v>
      </c>
      <c r="M781">
        <v>137</v>
      </c>
      <c r="N781">
        <v>65</v>
      </c>
      <c r="O781">
        <v>1</v>
      </c>
      <c r="T781" t="str">
        <f t="shared" si="100"/>
        <v/>
      </c>
    </row>
    <row r="782" spans="1:21" x14ac:dyDescent="0.55000000000000004">
      <c r="A782">
        <v>89</v>
      </c>
      <c r="B782" t="str">
        <f t="shared" si="94"/>
        <v>89_0</v>
      </c>
      <c r="C782" s="2">
        <v>45637.541666608799</v>
      </c>
      <c r="D782" t="s">
        <v>221</v>
      </c>
      <c r="E782">
        <v>2</v>
      </c>
      <c r="F782" t="s">
        <v>236</v>
      </c>
      <c r="G782" t="str">
        <f t="shared" si="95"/>
        <v>Carassius auratus</v>
      </c>
      <c r="H782" t="str">
        <f t="shared" si="96"/>
        <v>Goldfish</v>
      </c>
      <c r="I782" t="str">
        <f t="shared" si="97"/>
        <v>Morihana</v>
      </c>
      <c r="J782" t="str">
        <f t="shared" si="98"/>
        <v>Nonnative</v>
      </c>
      <c r="K782" t="str">
        <f t="shared" si="99"/>
        <v>No</v>
      </c>
      <c r="M782">
        <v>80</v>
      </c>
      <c r="N782">
        <v>10</v>
      </c>
      <c r="O782">
        <v>1</v>
      </c>
      <c r="T782" t="str">
        <f t="shared" si="100"/>
        <v/>
      </c>
    </row>
    <row r="783" spans="1:21" x14ac:dyDescent="0.55000000000000004">
      <c r="A783">
        <v>89</v>
      </c>
      <c r="B783" t="str">
        <f t="shared" si="94"/>
        <v>89_0</v>
      </c>
      <c r="C783" s="2">
        <v>45637.541666608799</v>
      </c>
      <c r="D783" t="s">
        <v>221</v>
      </c>
      <c r="E783">
        <v>2</v>
      </c>
      <c r="F783" t="s">
        <v>236</v>
      </c>
      <c r="G783" t="str">
        <f t="shared" si="95"/>
        <v>Carassius auratus</v>
      </c>
      <c r="H783" t="str">
        <f t="shared" si="96"/>
        <v>Goldfish</v>
      </c>
      <c r="I783" t="str">
        <f t="shared" si="97"/>
        <v>Morihana</v>
      </c>
      <c r="J783" t="str">
        <f t="shared" si="98"/>
        <v>Nonnative</v>
      </c>
      <c r="K783" t="str">
        <f t="shared" si="99"/>
        <v>No</v>
      </c>
      <c r="M783">
        <v>81</v>
      </c>
      <c r="N783">
        <v>13</v>
      </c>
      <c r="O783">
        <v>1</v>
      </c>
      <c r="T783" t="str">
        <f t="shared" si="100"/>
        <v/>
      </c>
    </row>
    <row r="784" spans="1:21" x14ac:dyDescent="0.55000000000000004">
      <c r="A784">
        <v>89</v>
      </c>
      <c r="B784" t="str">
        <f t="shared" si="94"/>
        <v>89_0</v>
      </c>
      <c r="C784" s="2">
        <v>45637.541666608799</v>
      </c>
      <c r="D784" t="s">
        <v>221</v>
      </c>
      <c r="E784">
        <v>2</v>
      </c>
      <c r="F784" t="s">
        <v>236</v>
      </c>
      <c r="G784" t="str">
        <f t="shared" si="95"/>
        <v>Carassius auratus</v>
      </c>
      <c r="H784" t="str">
        <f t="shared" si="96"/>
        <v>Goldfish</v>
      </c>
      <c r="I784" t="str">
        <f t="shared" si="97"/>
        <v>Morihana</v>
      </c>
      <c r="J784" t="str">
        <f t="shared" si="98"/>
        <v>Nonnative</v>
      </c>
      <c r="K784" t="str">
        <f t="shared" si="99"/>
        <v>No</v>
      </c>
      <c r="M784">
        <v>52</v>
      </c>
      <c r="N784">
        <v>4</v>
      </c>
      <c r="O784">
        <v>1</v>
      </c>
      <c r="T784" t="str">
        <f t="shared" si="100"/>
        <v/>
      </c>
    </row>
    <row r="785" spans="1:20" x14ac:dyDescent="0.55000000000000004">
      <c r="A785">
        <v>89</v>
      </c>
      <c r="B785" t="str">
        <f t="shared" si="94"/>
        <v>89_0</v>
      </c>
      <c r="C785" s="2">
        <v>45637.541666608799</v>
      </c>
      <c r="D785" t="s">
        <v>221</v>
      </c>
      <c r="E785">
        <v>2</v>
      </c>
      <c r="F785" t="s">
        <v>236</v>
      </c>
      <c r="G785" t="str">
        <f t="shared" si="95"/>
        <v>Carassius auratus</v>
      </c>
      <c r="H785" t="str">
        <f t="shared" si="96"/>
        <v>Goldfish</v>
      </c>
      <c r="I785" t="str">
        <f t="shared" si="97"/>
        <v>Morihana</v>
      </c>
      <c r="J785" t="str">
        <f t="shared" si="98"/>
        <v>Nonnative</v>
      </c>
      <c r="K785" t="str">
        <f t="shared" si="99"/>
        <v>No</v>
      </c>
      <c r="M785">
        <v>30</v>
      </c>
      <c r="N785">
        <v>4</v>
      </c>
      <c r="O785">
        <v>1</v>
      </c>
      <c r="T785" t="str">
        <f t="shared" si="100"/>
        <v/>
      </c>
    </row>
    <row r="786" spans="1:20" x14ac:dyDescent="0.55000000000000004">
      <c r="A786">
        <v>89</v>
      </c>
      <c r="B786" t="str">
        <f t="shared" si="94"/>
        <v>89_0</v>
      </c>
      <c r="C786" s="2">
        <v>45637.541666608799</v>
      </c>
      <c r="D786" t="s">
        <v>221</v>
      </c>
      <c r="E786">
        <v>2</v>
      </c>
      <c r="F786" t="s">
        <v>236</v>
      </c>
      <c r="G786" t="str">
        <f t="shared" si="95"/>
        <v>Carassius auratus</v>
      </c>
      <c r="H786" t="str">
        <f t="shared" si="96"/>
        <v>Goldfish</v>
      </c>
      <c r="I786" t="str">
        <f t="shared" si="97"/>
        <v>Morihana</v>
      </c>
      <c r="J786" t="str">
        <f t="shared" si="98"/>
        <v>Nonnative</v>
      </c>
      <c r="K786" t="str">
        <f t="shared" si="99"/>
        <v>No</v>
      </c>
      <c r="M786">
        <v>55</v>
      </c>
      <c r="N786">
        <v>5</v>
      </c>
      <c r="O786">
        <v>1</v>
      </c>
      <c r="T786" t="str">
        <f t="shared" si="100"/>
        <v/>
      </c>
    </row>
    <row r="787" spans="1:20" x14ac:dyDescent="0.55000000000000004">
      <c r="A787">
        <v>89</v>
      </c>
      <c r="B787" t="str">
        <f t="shared" si="94"/>
        <v>89_0</v>
      </c>
      <c r="C787" s="2">
        <v>45637.541666608799</v>
      </c>
      <c r="D787" t="s">
        <v>221</v>
      </c>
      <c r="E787">
        <v>2</v>
      </c>
      <c r="F787" t="s">
        <v>236</v>
      </c>
      <c r="G787" t="str">
        <f t="shared" si="95"/>
        <v>Carassius auratus</v>
      </c>
      <c r="H787" t="str">
        <f t="shared" si="96"/>
        <v>Goldfish</v>
      </c>
      <c r="I787" t="str">
        <f t="shared" si="97"/>
        <v>Morihana</v>
      </c>
      <c r="J787" t="str">
        <f t="shared" si="98"/>
        <v>Nonnative</v>
      </c>
      <c r="K787" t="str">
        <f t="shared" si="99"/>
        <v>No</v>
      </c>
      <c r="M787">
        <v>39</v>
      </c>
      <c r="N787">
        <v>1</v>
      </c>
      <c r="O787">
        <v>1</v>
      </c>
      <c r="T787" t="str">
        <f t="shared" si="100"/>
        <v/>
      </c>
    </row>
    <row r="788" spans="1:20" x14ac:dyDescent="0.55000000000000004">
      <c r="A788">
        <v>89</v>
      </c>
      <c r="B788" t="str">
        <f t="shared" si="94"/>
        <v>89_0</v>
      </c>
      <c r="C788" s="2">
        <v>45637.541666608799</v>
      </c>
      <c r="D788" t="s">
        <v>221</v>
      </c>
      <c r="E788">
        <v>2</v>
      </c>
      <c r="F788" t="s">
        <v>236</v>
      </c>
      <c r="G788" t="str">
        <f t="shared" si="95"/>
        <v>Carassius auratus</v>
      </c>
      <c r="H788" t="str">
        <f t="shared" si="96"/>
        <v>Goldfish</v>
      </c>
      <c r="I788" t="str">
        <f t="shared" si="97"/>
        <v>Morihana</v>
      </c>
      <c r="J788" t="str">
        <f t="shared" si="98"/>
        <v>Nonnative</v>
      </c>
      <c r="K788" t="str">
        <f t="shared" si="99"/>
        <v>No</v>
      </c>
      <c r="M788">
        <v>45</v>
      </c>
      <c r="N788">
        <v>2</v>
      </c>
      <c r="O788">
        <v>1</v>
      </c>
      <c r="T788" t="str">
        <f t="shared" si="100"/>
        <v/>
      </c>
    </row>
    <row r="789" spans="1:20" x14ac:dyDescent="0.55000000000000004">
      <c r="A789">
        <v>89</v>
      </c>
      <c r="B789" t="str">
        <f t="shared" si="94"/>
        <v>89_0</v>
      </c>
      <c r="C789" s="2">
        <v>45637.541666608799</v>
      </c>
      <c r="D789" t="s">
        <v>221</v>
      </c>
      <c r="E789">
        <v>2</v>
      </c>
      <c r="F789" t="s">
        <v>236</v>
      </c>
      <c r="G789" t="str">
        <f t="shared" si="95"/>
        <v>Carassius auratus</v>
      </c>
      <c r="H789" t="str">
        <f t="shared" si="96"/>
        <v>Goldfish</v>
      </c>
      <c r="I789" t="str">
        <f t="shared" si="97"/>
        <v>Morihana</v>
      </c>
      <c r="J789" t="str">
        <f t="shared" si="98"/>
        <v>Nonnative</v>
      </c>
      <c r="K789" t="str">
        <f t="shared" si="99"/>
        <v>No</v>
      </c>
      <c r="M789">
        <v>49</v>
      </c>
      <c r="N789">
        <v>4</v>
      </c>
      <c r="O789">
        <v>1</v>
      </c>
      <c r="T789" t="str">
        <f t="shared" si="100"/>
        <v/>
      </c>
    </row>
    <row r="790" spans="1:20" x14ac:dyDescent="0.55000000000000004">
      <c r="A790">
        <v>89</v>
      </c>
      <c r="B790" t="str">
        <f t="shared" si="94"/>
        <v>89_0</v>
      </c>
      <c r="C790" s="2">
        <v>45637.541666608799</v>
      </c>
      <c r="D790" t="s">
        <v>221</v>
      </c>
      <c r="E790">
        <v>2</v>
      </c>
      <c r="F790" t="s">
        <v>236</v>
      </c>
      <c r="G790" t="str">
        <f t="shared" si="95"/>
        <v>Carassius auratus</v>
      </c>
      <c r="H790" t="str">
        <f t="shared" si="96"/>
        <v>Goldfish</v>
      </c>
      <c r="I790" t="str">
        <f t="shared" si="97"/>
        <v>Morihana</v>
      </c>
      <c r="J790" t="str">
        <f t="shared" si="98"/>
        <v>Nonnative</v>
      </c>
      <c r="K790" t="str">
        <f t="shared" si="99"/>
        <v>No</v>
      </c>
      <c r="M790">
        <v>55</v>
      </c>
      <c r="N790">
        <v>6</v>
      </c>
      <c r="O790">
        <v>1</v>
      </c>
      <c r="T790" t="str">
        <f t="shared" si="100"/>
        <v/>
      </c>
    </row>
    <row r="791" spans="1:20" x14ac:dyDescent="0.55000000000000004">
      <c r="A791">
        <v>89</v>
      </c>
      <c r="B791" t="str">
        <f t="shared" si="94"/>
        <v>89_0</v>
      </c>
      <c r="C791" s="2">
        <v>45637.541666608799</v>
      </c>
      <c r="D791" t="s">
        <v>221</v>
      </c>
      <c r="E791">
        <v>2</v>
      </c>
      <c r="F791" t="s">
        <v>236</v>
      </c>
      <c r="G791" t="str">
        <f t="shared" si="95"/>
        <v>Carassius auratus</v>
      </c>
      <c r="H791" t="str">
        <f t="shared" si="96"/>
        <v>Goldfish</v>
      </c>
      <c r="I791" t="str">
        <f t="shared" si="97"/>
        <v>Morihana</v>
      </c>
      <c r="J791" t="str">
        <f t="shared" si="98"/>
        <v>Nonnative</v>
      </c>
      <c r="K791" t="str">
        <f t="shared" si="99"/>
        <v>No</v>
      </c>
      <c r="M791">
        <v>43</v>
      </c>
      <c r="N791">
        <v>1</v>
      </c>
      <c r="O791">
        <v>1</v>
      </c>
      <c r="T791" t="str">
        <f t="shared" si="100"/>
        <v/>
      </c>
    </row>
    <row r="792" spans="1:20" x14ac:dyDescent="0.55000000000000004">
      <c r="A792">
        <v>89</v>
      </c>
      <c r="B792" t="str">
        <f t="shared" si="94"/>
        <v>89_0</v>
      </c>
      <c r="C792" s="2">
        <v>45637.541666608799</v>
      </c>
      <c r="D792" t="s">
        <v>221</v>
      </c>
      <c r="E792">
        <v>2</v>
      </c>
      <c r="F792" t="s">
        <v>236</v>
      </c>
      <c r="G792" t="str">
        <f t="shared" si="95"/>
        <v>Carassius auratus</v>
      </c>
      <c r="H792" t="str">
        <f t="shared" si="96"/>
        <v>Goldfish</v>
      </c>
      <c r="I792" t="str">
        <f t="shared" si="97"/>
        <v>Morihana</v>
      </c>
      <c r="J792" t="str">
        <f t="shared" si="98"/>
        <v>Nonnative</v>
      </c>
      <c r="K792" t="str">
        <f t="shared" si="99"/>
        <v>No</v>
      </c>
      <c r="M792">
        <v>50</v>
      </c>
      <c r="N792">
        <v>4</v>
      </c>
      <c r="O792">
        <v>1</v>
      </c>
      <c r="T792" t="str">
        <f t="shared" si="100"/>
        <v/>
      </c>
    </row>
    <row r="793" spans="1:20" x14ac:dyDescent="0.55000000000000004">
      <c r="A793">
        <v>89</v>
      </c>
      <c r="B793" t="str">
        <f t="shared" si="94"/>
        <v>89_0</v>
      </c>
      <c r="C793" s="2">
        <v>45637.541666608799</v>
      </c>
      <c r="D793" t="s">
        <v>221</v>
      </c>
      <c r="E793">
        <v>2</v>
      </c>
      <c r="F793" t="s">
        <v>236</v>
      </c>
      <c r="G793" t="str">
        <f t="shared" si="95"/>
        <v>Carassius auratus</v>
      </c>
      <c r="H793" t="str">
        <f t="shared" si="96"/>
        <v>Goldfish</v>
      </c>
      <c r="I793" t="str">
        <f t="shared" si="97"/>
        <v>Morihana</v>
      </c>
      <c r="J793" t="str">
        <f t="shared" si="98"/>
        <v>Nonnative</v>
      </c>
      <c r="K793" t="str">
        <f t="shared" si="99"/>
        <v>No</v>
      </c>
      <c r="M793">
        <v>39</v>
      </c>
      <c r="N793">
        <v>1</v>
      </c>
      <c r="O793">
        <v>1</v>
      </c>
      <c r="T793" t="str">
        <f t="shared" si="100"/>
        <v/>
      </c>
    </row>
    <row r="794" spans="1:20" x14ac:dyDescent="0.55000000000000004">
      <c r="A794">
        <v>89</v>
      </c>
      <c r="B794" t="str">
        <f t="shared" si="94"/>
        <v>89_0</v>
      </c>
      <c r="C794" s="2">
        <v>45637.541666608799</v>
      </c>
      <c r="D794" t="s">
        <v>221</v>
      </c>
      <c r="E794">
        <v>2</v>
      </c>
      <c r="F794" t="s">
        <v>242</v>
      </c>
      <c r="G794" t="str">
        <f t="shared" si="95"/>
        <v>Gobiomorphus cotidianus</v>
      </c>
      <c r="H794" t="str">
        <f t="shared" si="96"/>
        <v>Common_bully</v>
      </c>
      <c r="I794" t="str">
        <f t="shared" si="97"/>
        <v>Toitoi</v>
      </c>
      <c r="J794" t="str">
        <f t="shared" si="98"/>
        <v>Native</v>
      </c>
      <c r="K794" t="str">
        <f t="shared" si="99"/>
        <v>No</v>
      </c>
      <c r="N794">
        <f>360-117</f>
        <v>243</v>
      </c>
      <c r="S794">
        <v>1.25</v>
      </c>
      <c r="T794">
        <f t="shared" si="100"/>
        <v>295.73500000000001</v>
      </c>
    </row>
    <row r="795" spans="1:20" x14ac:dyDescent="0.55000000000000004">
      <c r="A795">
        <v>90</v>
      </c>
      <c r="B795" t="str">
        <f t="shared" si="94"/>
        <v>90_0</v>
      </c>
      <c r="C795" s="2">
        <v>45637.583333333336</v>
      </c>
      <c r="D795" t="s">
        <v>245</v>
      </c>
      <c r="E795">
        <v>2</v>
      </c>
      <c r="F795" t="s">
        <v>242</v>
      </c>
      <c r="G795" t="str">
        <f t="shared" si="95"/>
        <v>Gobiomorphus cotidianus</v>
      </c>
      <c r="H795" t="str">
        <f t="shared" si="96"/>
        <v>Common_bully</v>
      </c>
      <c r="I795" t="str">
        <f t="shared" si="97"/>
        <v>Toitoi</v>
      </c>
      <c r="J795" t="str">
        <f t="shared" si="98"/>
        <v>Native</v>
      </c>
      <c r="K795" t="str">
        <f t="shared" si="99"/>
        <v>No</v>
      </c>
      <c r="N795">
        <v>33</v>
      </c>
      <c r="T795" t="str">
        <f t="shared" si="100"/>
        <v/>
      </c>
    </row>
    <row r="796" spans="1:20" x14ac:dyDescent="0.55000000000000004">
      <c r="A796">
        <v>90</v>
      </c>
      <c r="B796" t="str">
        <f t="shared" si="94"/>
        <v>90_0</v>
      </c>
      <c r="C796" s="2">
        <v>45637.583333333336</v>
      </c>
      <c r="D796" t="s">
        <v>221</v>
      </c>
      <c r="E796">
        <v>2</v>
      </c>
      <c r="F796" t="s">
        <v>236</v>
      </c>
      <c r="G796" t="str">
        <f t="shared" si="95"/>
        <v>Carassius auratus</v>
      </c>
      <c r="H796" t="str">
        <f t="shared" si="96"/>
        <v>Goldfish</v>
      </c>
      <c r="I796" t="str">
        <f t="shared" si="97"/>
        <v>Morihana</v>
      </c>
      <c r="J796" t="str">
        <f t="shared" si="98"/>
        <v>Nonnative</v>
      </c>
      <c r="K796" t="str">
        <f t="shared" si="99"/>
        <v>No</v>
      </c>
      <c r="M796">
        <v>139</v>
      </c>
      <c r="N796">
        <v>58</v>
      </c>
      <c r="O796">
        <v>1</v>
      </c>
      <c r="T796" t="str">
        <f t="shared" si="100"/>
        <v/>
      </c>
    </row>
    <row r="797" spans="1:20" x14ac:dyDescent="0.55000000000000004">
      <c r="A797">
        <v>90</v>
      </c>
      <c r="B797" t="str">
        <f t="shared" si="94"/>
        <v>90_0</v>
      </c>
      <c r="C797" s="2">
        <v>45637.583333333336</v>
      </c>
      <c r="D797" t="s">
        <v>221</v>
      </c>
      <c r="E797">
        <v>2</v>
      </c>
      <c r="F797" t="s">
        <v>236</v>
      </c>
      <c r="G797" t="str">
        <f t="shared" si="95"/>
        <v>Carassius auratus</v>
      </c>
      <c r="H797" t="str">
        <f t="shared" si="96"/>
        <v>Goldfish</v>
      </c>
      <c r="I797" t="str">
        <f t="shared" si="97"/>
        <v>Morihana</v>
      </c>
      <c r="J797" t="str">
        <f t="shared" si="98"/>
        <v>Nonnative</v>
      </c>
      <c r="K797" t="str">
        <f t="shared" si="99"/>
        <v>No</v>
      </c>
      <c r="M797">
        <v>200</v>
      </c>
      <c r="N797">
        <v>220</v>
      </c>
      <c r="O797">
        <v>1</v>
      </c>
      <c r="T797" t="str">
        <f t="shared" si="100"/>
        <v/>
      </c>
    </row>
    <row r="798" spans="1:20" x14ac:dyDescent="0.55000000000000004">
      <c r="A798">
        <v>90</v>
      </c>
      <c r="B798" t="str">
        <f t="shared" si="94"/>
        <v>90_0</v>
      </c>
      <c r="C798" s="2">
        <v>45637.583333333336</v>
      </c>
      <c r="D798" t="s">
        <v>221</v>
      </c>
      <c r="E798">
        <v>2</v>
      </c>
      <c r="F798" t="s">
        <v>236</v>
      </c>
      <c r="G798" t="str">
        <f t="shared" si="95"/>
        <v>Carassius auratus</v>
      </c>
      <c r="H798" t="str">
        <f t="shared" si="96"/>
        <v>Goldfish</v>
      </c>
      <c r="I798" t="str">
        <f t="shared" si="97"/>
        <v>Morihana</v>
      </c>
      <c r="J798" t="str">
        <f t="shared" si="98"/>
        <v>Nonnative</v>
      </c>
      <c r="K798" t="str">
        <f t="shared" si="99"/>
        <v>No</v>
      </c>
      <c r="M798">
        <v>165</v>
      </c>
      <c r="N798">
        <v>114</v>
      </c>
      <c r="O798">
        <v>1</v>
      </c>
      <c r="T798" t="str">
        <f t="shared" si="100"/>
        <v/>
      </c>
    </row>
    <row r="799" spans="1:20" x14ac:dyDescent="0.55000000000000004">
      <c r="A799">
        <v>90</v>
      </c>
      <c r="B799" t="str">
        <f t="shared" si="94"/>
        <v>90_0</v>
      </c>
      <c r="C799" s="2">
        <v>45637.583333333336</v>
      </c>
      <c r="D799" t="s">
        <v>221</v>
      </c>
      <c r="E799">
        <v>2</v>
      </c>
      <c r="F799" t="s">
        <v>236</v>
      </c>
      <c r="G799" t="str">
        <f t="shared" si="95"/>
        <v>Carassius auratus</v>
      </c>
      <c r="H799" t="str">
        <f t="shared" si="96"/>
        <v>Goldfish</v>
      </c>
      <c r="I799" t="str">
        <f t="shared" si="97"/>
        <v>Morihana</v>
      </c>
      <c r="J799" t="str">
        <f t="shared" si="98"/>
        <v>Nonnative</v>
      </c>
      <c r="K799" t="str">
        <f t="shared" si="99"/>
        <v>No</v>
      </c>
      <c r="M799">
        <v>169</v>
      </c>
      <c r="N799">
        <v>159</v>
      </c>
      <c r="O799">
        <v>1</v>
      </c>
      <c r="T799" t="str">
        <f t="shared" si="100"/>
        <v/>
      </c>
    </row>
    <row r="800" spans="1:20" x14ac:dyDescent="0.55000000000000004">
      <c r="A800">
        <v>90</v>
      </c>
      <c r="B800" t="str">
        <f t="shared" si="94"/>
        <v>90_0</v>
      </c>
      <c r="C800" s="2">
        <v>45637.583333333336</v>
      </c>
      <c r="D800" t="s">
        <v>221</v>
      </c>
      <c r="E800">
        <v>2</v>
      </c>
      <c r="F800" t="s">
        <v>236</v>
      </c>
      <c r="G800" t="str">
        <f t="shared" si="95"/>
        <v>Carassius auratus</v>
      </c>
      <c r="H800" t="str">
        <f t="shared" si="96"/>
        <v>Goldfish</v>
      </c>
      <c r="I800" t="str">
        <f t="shared" si="97"/>
        <v>Morihana</v>
      </c>
      <c r="J800" t="str">
        <f t="shared" si="98"/>
        <v>Nonnative</v>
      </c>
      <c r="K800" t="str">
        <f t="shared" si="99"/>
        <v>No</v>
      </c>
      <c r="M800">
        <v>160</v>
      </c>
      <c r="N800">
        <v>109</v>
      </c>
      <c r="O800">
        <v>1</v>
      </c>
      <c r="T800" t="str">
        <f t="shared" si="100"/>
        <v/>
      </c>
    </row>
    <row r="801" spans="1:21" x14ac:dyDescent="0.55000000000000004">
      <c r="A801">
        <v>90</v>
      </c>
      <c r="B801" t="str">
        <f t="shared" si="94"/>
        <v>90_0</v>
      </c>
      <c r="C801" s="2">
        <v>45637.583333333336</v>
      </c>
      <c r="D801" t="s">
        <v>221</v>
      </c>
      <c r="E801">
        <v>2</v>
      </c>
      <c r="F801" t="s">
        <v>236</v>
      </c>
      <c r="G801" t="str">
        <f t="shared" si="95"/>
        <v>Carassius auratus</v>
      </c>
      <c r="H801" t="str">
        <f t="shared" si="96"/>
        <v>Goldfish</v>
      </c>
      <c r="I801" t="str">
        <f t="shared" si="97"/>
        <v>Morihana</v>
      </c>
      <c r="J801" t="str">
        <f t="shared" si="98"/>
        <v>Nonnative</v>
      </c>
      <c r="K801" t="str">
        <f t="shared" si="99"/>
        <v>No</v>
      </c>
      <c r="M801">
        <v>202</v>
      </c>
      <c r="N801">
        <v>222</v>
      </c>
      <c r="O801">
        <v>1</v>
      </c>
      <c r="T801" t="str">
        <f t="shared" si="100"/>
        <v/>
      </c>
    </row>
    <row r="802" spans="1:21" x14ac:dyDescent="0.55000000000000004">
      <c r="A802">
        <v>90</v>
      </c>
      <c r="B802" t="str">
        <f t="shared" si="94"/>
        <v>90_0</v>
      </c>
      <c r="C802" s="2">
        <v>45637.583333333336</v>
      </c>
      <c r="D802" t="s">
        <v>221</v>
      </c>
      <c r="E802">
        <v>2</v>
      </c>
      <c r="F802" t="s">
        <v>236</v>
      </c>
      <c r="G802" t="str">
        <f t="shared" si="95"/>
        <v>Carassius auratus</v>
      </c>
      <c r="H802" t="str">
        <f t="shared" si="96"/>
        <v>Goldfish</v>
      </c>
      <c r="I802" t="str">
        <f t="shared" si="97"/>
        <v>Morihana</v>
      </c>
      <c r="J802" t="str">
        <f t="shared" si="98"/>
        <v>Nonnative</v>
      </c>
      <c r="K802" t="str">
        <f t="shared" si="99"/>
        <v>No</v>
      </c>
      <c r="M802">
        <v>160</v>
      </c>
      <c r="N802">
        <v>97</v>
      </c>
      <c r="O802">
        <v>1</v>
      </c>
      <c r="T802" t="str">
        <f t="shared" si="100"/>
        <v/>
      </c>
    </row>
    <row r="803" spans="1:21" x14ac:dyDescent="0.55000000000000004">
      <c r="A803">
        <v>90</v>
      </c>
      <c r="B803" t="str">
        <f t="shared" si="94"/>
        <v>90_0</v>
      </c>
      <c r="C803" s="2">
        <v>45637.583333333336</v>
      </c>
      <c r="D803" t="s">
        <v>221</v>
      </c>
      <c r="E803">
        <v>2</v>
      </c>
      <c r="F803" t="s">
        <v>236</v>
      </c>
      <c r="G803" t="str">
        <f t="shared" si="95"/>
        <v>Carassius auratus</v>
      </c>
      <c r="H803" t="str">
        <f t="shared" si="96"/>
        <v>Goldfish</v>
      </c>
      <c r="I803" t="str">
        <f t="shared" si="97"/>
        <v>Morihana</v>
      </c>
      <c r="J803" t="str">
        <f t="shared" si="98"/>
        <v>Nonnative</v>
      </c>
      <c r="K803" t="str">
        <f t="shared" si="99"/>
        <v>No</v>
      </c>
      <c r="M803">
        <v>175</v>
      </c>
      <c r="N803">
        <v>156</v>
      </c>
      <c r="O803">
        <v>1</v>
      </c>
      <c r="T803" t="str">
        <f t="shared" si="100"/>
        <v/>
      </c>
    </row>
    <row r="804" spans="1:21" x14ac:dyDescent="0.55000000000000004">
      <c r="A804">
        <v>90</v>
      </c>
      <c r="B804" t="str">
        <f t="shared" si="94"/>
        <v>90_0</v>
      </c>
      <c r="C804" s="2">
        <v>45637.583333333336</v>
      </c>
      <c r="D804" t="s">
        <v>221</v>
      </c>
      <c r="E804">
        <v>2</v>
      </c>
      <c r="F804" t="s">
        <v>236</v>
      </c>
      <c r="G804" t="str">
        <f t="shared" si="95"/>
        <v>Carassius auratus</v>
      </c>
      <c r="H804" t="str">
        <f t="shared" si="96"/>
        <v>Goldfish</v>
      </c>
      <c r="I804" t="str">
        <f t="shared" si="97"/>
        <v>Morihana</v>
      </c>
      <c r="J804" t="str">
        <f t="shared" si="98"/>
        <v>Nonnative</v>
      </c>
      <c r="K804" t="str">
        <f t="shared" si="99"/>
        <v>No</v>
      </c>
      <c r="M804">
        <v>190</v>
      </c>
      <c r="N804">
        <v>175</v>
      </c>
      <c r="O804">
        <v>1</v>
      </c>
      <c r="T804" t="str">
        <f t="shared" si="100"/>
        <v/>
      </c>
    </row>
    <row r="805" spans="1:21" x14ac:dyDescent="0.55000000000000004">
      <c r="A805">
        <v>90</v>
      </c>
      <c r="B805" t="str">
        <f t="shared" si="94"/>
        <v>90_0</v>
      </c>
      <c r="C805" s="2">
        <v>45637.583333333336</v>
      </c>
      <c r="D805" t="s">
        <v>221</v>
      </c>
      <c r="E805">
        <v>2</v>
      </c>
      <c r="F805" t="s">
        <v>236</v>
      </c>
      <c r="G805" t="str">
        <f t="shared" si="95"/>
        <v>Carassius auratus</v>
      </c>
      <c r="H805" t="str">
        <f t="shared" si="96"/>
        <v>Goldfish</v>
      </c>
      <c r="I805" t="str">
        <f t="shared" si="97"/>
        <v>Morihana</v>
      </c>
      <c r="J805" t="str">
        <f t="shared" si="98"/>
        <v>Nonnative</v>
      </c>
      <c r="K805" t="str">
        <f t="shared" si="99"/>
        <v>No</v>
      </c>
      <c r="M805">
        <v>175</v>
      </c>
      <c r="N805">
        <v>159</v>
      </c>
      <c r="O805">
        <v>1</v>
      </c>
      <c r="T805" t="str">
        <f t="shared" si="100"/>
        <v/>
      </c>
    </row>
    <row r="806" spans="1:21" x14ac:dyDescent="0.55000000000000004">
      <c r="A806">
        <v>90</v>
      </c>
      <c r="B806" t="str">
        <f t="shared" si="94"/>
        <v>90_0</v>
      </c>
      <c r="C806" s="2">
        <v>45637.583333333336</v>
      </c>
      <c r="D806" t="s">
        <v>221</v>
      </c>
      <c r="E806">
        <v>2</v>
      </c>
      <c r="F806" t="s">
        <v>236</v>
      </c>
      <c r="G806" t="str">
        <f t="shared" si="95"/>
        <v>Carassius auratus</v>
      </c>
      <c r="H806" t="str">
        <f t="shared" si="96"/>
        <v>Goldfish</v>
      </c>
      <c r="I806" t="str">
        <f t="shared" si="97"/>
        <v>Morihana</v>
      </c>
      <c r="J806" t="str">
        <f t="shared" si="98"/>
        <v>Nonnative</v>
      </c>
      <c r="K806" t="str">
        <f t="shared" si="99"/>
        <v>No</v>
      </c>
      <c r="M806">
        <v>164</v>
      </c>
      <c r="N806">
        <v>124</v>
      </c>
      <c r="O806">
        <v>1</v>
      </c>
      <c r="T806" t="str">
        <f t="shared" si="100"/>
        <v/>
      </c>
    </row>
    <row r="807" spans="1:21" x14ac:dyDescent="0.55000000000000004">
      <c r="A807">
        <v>90</v>
      </c>
      <c r="B807" t="str">
        <f t="shared" si="94"/>
        <v>90_0</v>
      </c>
      <c r="C807" s="2">
        <v>45637.583333333336</v>
      </c>
      <c r="D807" t="s">
        <v>221</v>
      </c>
      <c r="E807">
        <v>2</v>
      </c>
      <c r="F807" t="s">
        <v>236</v>
      </c>
      <c r="G807" t="str">
        <f t="shared" si="95"/>
        <v>Carassius auratus</v>
      </c>
      <c r="H807" t="str">
        <f t="shared" si="96"/>
        <v>Goldfish</v>
      </c>
      <c r="I807" t="str">
        <f t="shared" si="97"/>
        <v>Morihana</v>
      </c>
      <c r="J807" t="str">
        <f t="shared" si="98"/>
        <v>Nonnative</v>
      </c>
      <c r="K807" t="str">
        <f t="shared" si="99"/>
        <v>No</v>
      </c>
      <c r="M807">
        <v>210</v>
      </c>
      <c r="N807">
        <v>244</v>
      </c>
      <c r="O807">
        <v>1</v>
      </c>
      <c r="T807" t="str">
        <f t="shared" si="100"/>
        <v/>
      </c>
    </row>
    <row r="808" spans="1:21" x14ac:dyDescent="0.55000000000000004">
      <c r="A808">
        <v>90</v>
      </c>
      <c r="B808" t="str">
        <f t="shared" si="94"/>
        <v>90_0</v>
      </c>
      <c r="C808" s="2">
        <v>45637.583333333336</v>
      </c>
      <c r="D808" t="s">
        <v>221</v>
      </c>
      <c r="E808">
        <v>2</v>
      </c>
      <c r="F808" t="s">
        <v>236</v>
      </c>
      <c r="G808" t="str">
        <f t="shared" si="95"/>
        <v>Carassius auratus</v>
      </c>
      <c r="H808" t="str">
        <f t="shared" si="96"/>
        <v>Goldfish</v>
      </c>
      <c r="I808" t="str">
        <f t="shared" si="97"/>
        <v>Morihana</v>
      </c>
      <c r="J808" t="str">
        <f t="shared" si="98"/>
        <v>Nonnative</v>
      </c>
      <c r="K808" t="str">
        <f t="shared" si="99"/>
        <v>No</v>
      </c>
      <c r="M808">
        <v>200</v>
      </c>
      <c r="N808">
        <v>215</v>
      </c>
      <c r="O808">
        <v>1</v>
      </c>
      <c r="T808" t="str">
        <f t="shared" si="100"/>
        <v/>
      </c>
    </row>
    <row r="809" spans="1:21" x14ac:dyDescent="0.55000000000000004">
      <c r="A809">
        <v>90</v>
      </c>
      <c r="B809" t="str">
        <f t="shared" si="94"/>
        <v>90_0</v>
      </c>
      <c r="C809" s="2">
        <v>45637.583333333336</v>
      </c>
      <c r="D809" t="s">
        <v>221</v>
      </c>
      <c r="E809">
        <v>2</v>
      </c>
      <c r="F809" t="s">
        <v>236</v>
      </c>
      <c r="G809" t="str">
        <f t="shared" si="95"/>
        <v>Carassius auratus</v>
      </c>
      <c r="H809" t="str">
        <f t="shared" si="96"/>
        <v>Goldfish</v>
      </c>
      <c r="I809" t="str">
        <f t="shared" si="97"/>
        <v>Morihana</v>
      </c>
      <c r="J809" t="str">
        <f t="shared" si="98"/>
        <v>Nonnative</v>
      </c>
      <c r="K809" t="str">
        <f t="shared" si="99"/>
        <v>No</v>
      </c>
      <c r="M809">
        <v>185</v>
      </c>
      <c r="N809">
        <v>167</v>
      </c>
      <c r="O809">
        <v>1</v>
      </c>
      <c r="T809" t="str">
        <f t="shared" si="100"/>
        <v/>
      </c>
    </row>
    <row r="810" spans="1:21" x14ac:dyDescent="0.55000000000000004">
      <c r="A810">
        <v>90</v>
      </c>
      <c r="B810" t="str">
        <f t="shared" si="94"/>
        <v>90_0</v>
      </c>
      <c r="C810" s="2">
        <v>45637.583333333336</v>
      </c>
      <c r="D810" t="s">
        <v>221</v>
      </c>
      <c r="E810">
        <v>2</v>
      </c>
      <c r="F810" t="s">
        <v>236</v>
      </c>
      <c r="G810" t="str">
        <f t="shared" si="95"/>
        <v>Carassius auratus</v>
      </c>
      <c r="H810" t="str">
        <f t="shared" si="96"/>
        <v>Goldfish</v>
      </c>
      <c r="I810" t="str">
        <f t="shared" si="97"/>
        <v>Morihana</v>
      </c>
      <c r="J810" t="str">
        <f t="shared" si="98"/>
        <v>Nonnative</v>
      </c>
      <c r="K810" t="str">
        <f t="shared" si="99"/>
        <v>No</v>
      </c>
      <c r="M810">
        <v>182</v>
      </c>
      <c r="N810">
        <v>160</v>
      </c>
      <c r="O810">
        <v>1</v>
      </c>
      <c r="T810" t="str">
        <f t="shared" si="100"/>
        <v/>
      </c>
    </row>
    <row r="811" spans="1:21" x14ac:dyDescent="0.55000000000000004">
      <c r="A811">
        <v>90</v>
      </c>
      <c r="B811" t="str">
        <f t="shared" si="94"/>
        <v>90_0</v>
      </c>
      <c r="C811" s="2">
        <v>45637.583333333336</v>
      </c>
      <c r="D811" t="s">
        <v>221</v>
      </c>
      <c r="E811">
        <v>2</v>
      </c>
      <c r="F811" t="s">
        <v>236</v>
      </c>
      <c r="G811" t="str">
        <f t="shared" si="95"/>
        <v>Carassius auratus</v>
      </c>
      <c r="H811" t="str">
        <f t="shared" si="96"/>
        <v>Goldfish</v>
      </c>
      <c r="I811" t="str">
        <f t="shared" si="97"/>
        <v>Morihana</v>
      </c>
      <c r="J811" t="str">
        <f t="shared" si="98"/>
        <v>Nonnative</v>
      </c>
      <c r="K811" t="str">
        <f t="shared" si="99"/>
        <v>No</v>
      </c>
      <c r="M811">
        <v>167</v>
      </c>
      <c r="N811">
        <v>117</v>
      </c>
      <c r="O811">
        <v>1</v>
      </c>
      <c r="T811" t="str">
        <f t="shared" si="100"/>
        <v/>
      </c>
    </row>
    <row r="812" spans="1:21" x14ac:dyDescent="0.55000000000000004">
      <c r="A812">
        <v>90</v>
      </c>
      <c r="B812" t="str">
        <f t="shared" si="94"/>
        <v>90_0</v>
      </c>
      <c r="C812" s="2">
        <v>45637.583333333336</v>
      </c>
      <c r="D812" t="s">
        <v>221</v>
      </c>
      <c r="E812">
        <v>2</v>
      </c>
      <c r="F812" t="s">
        <v>236</v>
      </c>
      <c r="G812" t="str">
        <f t="shared" si="95"/>
        <v>Carassius auratus</v>
      </c>
      <c r="H812" t="str">
        <f t="shared" si="96"/>
        <v>Goldfish</v>
      </c>
      <c r="I812" t="str">
        <f t="shared" si="97"/>
        <v>Morihana</v>
      </c>
      <c r="J812" t="str">
        <f t="shared" si="98"/>
        <v>Nonnative</v>
      </c>
      <c r="K812" t="str">
        <f t="shared" si="99"/>
        <v>No</v>
      </c>
      <c r="M812">
        <v>155</v>
      </c>
      <c r="N812">
        <v>88</v>
      </c>
      <c r="O812">
        <v>1</v>
      </c>
      <c r="T812" t="str">
        <f t="shared" si="100"/>
        <v/>
      </c>
    </row>
    <row r="813" spans="1:21" x14ac:dyDescent="0.55000000000000004">
      <c r="A813">
        <v>90</v>
      </c>
      <c r="B813" t="str">
        <f t="shared" si="94"/>
        <v>90_0</v>
      </c>
      <c r="C813" s="2">
        <v>45637.583333333336</v>
      </c>
      <c r="D813" t="s">
        <v>221</v>
      </c>
      <c r="E813">
        <v>2</v>
      </c>
      <c r="F813" t="s">
        <v>236</v>
      </c>
      <c r="G813" t="str">
        <f t="shared" si="95"/>
        <v>Carassius auratus</v>
      </c>
      <c r="H813" t="str">
        <f t="shared" si="96"/>
        <v>Goldfish</v>
      </c>
      <c r="I813" t="str">
        <f t="shared" si="97"/>
        <v>Morihana</v>
      </c>
      <c r="J813" t="str">
        <f t="shared" si="98"/>
        <v>Nonnative</v>
      </c>
      <c r="K813" t="str">
        <f t="shared" si="99"/>
        <v>No</v>
      </c>
      <c r="M813">
        <v>163</v>
      </c>
      <c r="N813">
        <v>100</v>
      </c>
      <c r="O813">
        <v>1</v>
      </c>
      <c r="T813" t="str">
        <f t="shared" si="100"/>
        <v/>
      </c>
      <c r="U813" t="s">
        <v>259</v>
      </c>
    </row>
    <row r="814" spans="1:21" x14ac:dyDescent="0.55000000000000004">
      <c r="A814">
        <v>90</v>
      </c>
      <c r="B814" t="str">
        <f t="shared" si="94"/>
        <v>90_0</v>
      </c>
      <c r="C814" s="2">
        <v>45637.583333333336</v>
      </c>
      <c r="D814" t="s">
        <v>221</v>
      </c>
      <c r="E814">
        <v>2</v>
      </c>
      <c r="F814" t="s">
        <v>236</v>
      </c>
      <c r="G814" t="str">
        <f t="shared" si="95"/>
        <v>Carassius auratus</v>
      </c>
      <c r="H814" t="str">
        <f t="shared" si="96"/>
        <v>Goldfish</v>
      </c>
      <c r="I814" t="str">
        <f t="shared" si="97"/>
        <v>Morihana</v>
      </c>
      <c r="J814" t="str">
        <f t="shared" si="98"/>
        <v>Nonnative</v>
      </c>
      <c r="K814" t="str">
        <f t="shared" si="99"/>
        <v>No</v>
      </c>
      <c r="M814">
        <v>152</v>
      </c>
      <c r="N814">
        <v>84</v>
      </c>
      <c r="O814">
        <v>1</v>
      </c>
      <c r="T814" t="str">
        <f t="shared" si="100"/>
        <v/>
      </c>
    </row>
    <row r="815" spans="1:21" x14ac:dyDescent="0.55000000000000004">
      <c r="A815">
        <v>90</v>
      </c>
      <c r="B815" t="str">
        <f t="shared" si="94"/>
        <v>90_0</v>
      </c>
      <c r="C815" s="2">
        <v>45637.583333333336</v>
      </c>
      <c r="D815" t="s">
        <v>221</v>
      </c>
      <c r="E815">
        <v>2</v>
      </c>
      <c r="F815" t="s">
        <v>236</v>
      </c>
      <c r="G815" t="str">
        <f t="shared" si="95"/>
        <v>Carassius auratus</v>
      </c>
      <c r="H815" t="str">
        <f t="shared" si="96"/>
        <v>Goldfish</v>
      </c>
      <c r="I815" t="str">
        <f t="shared" si="97"/>
        <v>Morihana</v>
      </c>
      <c r="J815" t="str">
        <f t="shared" si="98"/>
        <v>Nonnative</v>
      </c>
      <c r="K815" t="str">
        <f t="shared" si="99"/>
        <v>No</v>
      </c>
      <c r="M815">
        <v>191</v>
      </c>
      <c r="N815">
        <v>219</v>
      </c>
      <c r="O815">
        <v>1</v>
      </c>
      <c r="T815" t="str">
        <f t="shared" si="100"/>
        <v/>
      </c>
    </row>
    <row r="816" spans="1:21" x14ac:dyDescent="0.55000000000000004">
      <c r="A816">
        <v>90</v>
      </c>
      <c r="B816" t="str">
        <f t="shared" si="94"/>
        <v>90_0</v>
      </c>
      <c r="C816" s="2">
        <v>45637.583333333336</v>
      </c>
      <c r="D816" t="s">
        <v>221</v>
      </c>
      <c r="E816">
        <v>2</v>
      </c>
      <c r="F816" t="s">
        <v>236</v>
      </c>
      <c r="G816" t="str">
        <f t="shared" si="95"/>
        <v>Carassius auratus</v>
      </c>
      <c r="H816" t="str">
        <f t="shared" si="96"/>
        <v>Goldfish</v>
      </c>
      <c r="I816" t="str">
        <f t="shared" si="97"/>
        <v>Morihana</v>
      </c>
      <c r="J816" t="str">
        <f t="shared" si="98"/>
        <v>Nonnative</v>
      </c>
      <c r="K816" t="str">
        <f t="shared" si="99"/>
        <v>No</v>
      </c>
      <c r="M816">
        <v>195</v>
      </c>
      <c r="N816">
        <v>202</v>
      </c>
      <c r="O816">
        <v>1</v>
      </c>
      <c r="T816" t="str">
        <f t="shared" si="100"/>
        <v/>
      </c>
    </row>
    <row r="817" spans="1:21" x14ac:dyDescent="0.55000000000000004">
      <c r="A817">
        <v>90</v>
      </c>
      <c r="B817" t="str">
        <f t="shared" si="94"/>
        <v>90_0</v>
      </c>
      <c r="C817" s="2">
        <v>45637.583333333336</v>
      </c>
      <c r="D817" t="s">
        <v>221</v>
      </c>
      <c r="E817">
        <v>2</v>
      </c>
      <c r="F817" t="s">
        <v>236</v>
      </c>
      <c r="G817" t="str">
        <f t="shared" si="95"/>
        <v>Carassius auratus</v>
      </c>
      <c r="H817" t="str">
        <f t="shared" si="96"/>
        <v>Goldfish</v>
      </c>
      <c r="I817" t="str">
        <f t="shared" si="97"/>
        <v>Morihana</v>
      </c>
      <c r="J817" t="str">
        <f t="shared" si="98"/>
        <v>Nonnative</v>
      </c>
      <c r="K817" t="str">
        <f t="shared" si="99"/>
        <v>No</v>
      </c>
      <c r="M817">
        <v>195</v>
      </c>
      <c r="N817">
        <v>197</v>
      </c>
      <c r="O817">
        <v>1</v>
      </c>
      <c r="T817" t="str">
        <f t="shared" si="100"/>
        <v/>
      </c>
    </row>
    <row r="818" spans="1:21" x14ac:dyDescent="0.55000000000000004">
      <c r="A818">
        <v>90</v>
      </c>
      <c r="B818" t="str">
        <f t="shared" si="94"/>
        <v>90_0</v>
      </c>
      <c r="C818" s="2">
        <v>45637.583333333336</v>
      </c>
      <c r="D818" t="s">
        <v>221</v>
      </c>
      <c r="E818">
        <v>2</v>
      </c>
      <c r="F818" t="s">
        <v>236</v>
      </c>
      <c r="G818" t="str">
        <f t="shared" si="95"/>
        <v>Carassius auratus</v>
      </c>
      <c r="H818" t="str">
        <f t="shared" si="96"/>
        <v>Goldfish</v>
      </c>
      <c r="I818" t="str">
        <f t="shared" si="97"/>
        <v>Morihana</v>
      </c>
      <c r="J818" t="str">
        <f t="shared" si="98"/>
        <v>Nonnative</v>
      </c>
      <c r="K818" t="str">
        <f t="shared" si="99"/>
        <v>No</v>
      </c>
      <c r="M818">
        <v>152</v>
      </c>
      <c r="N818">
        <v>49</v>
      </c>
      <c r="O818">
        <v>1</v>
      </c>
      <c r="T818" t="str">
        <f t="shared" si="100"/>
        <v/>
      </c>
    </row>
    <row r="819" spans="1:21" x14ac:dyDescent="0.55000000000000004">
      <c r="A819">
        <v>90</v>
      </c>
      <c r="B819" t="str">
        <f t="shared" si="94"/>
        <v>90_0</v>
      </c>
      <c r="C819" s="2">
        <v>45637.583333333336</v>
      </c>
      <c r="D819" t="s">
        <v>221</v>
      </c>
      <c r="E819">
        <v>2</v>
      </c>
      <c r="F819" t="s">
        <v>236</v>
      </c>
      <c r="G819" t="str">
        <f t="shared" si="95"/>
        <v>Carassius auratus</v>
      </c>
      <c r="H819" t="str">
        <f t="shared" si="96"/>
        <v>Goldfish</v>
      </c>
      <c r="I819" t="str">
        <f t="shared" si="97"/>
        <v>Morihana</v>
      </c>
      <c r="J819" t="str">
        <f t="shared" si="98"/>
        <v>Nonnative</v>
      </c>
      <c r="K819" t="str">
        <f t="shared" si="99"/>
        <v>No</v>
      </c>
      <c r="M819">
        <v>160</v>
      </c>
      <c r="N819">
        <v>128</v>
      </c>
      <c r="O819">
        <v>1</v>
      </c>
      <c r="T819" t="str">
        <f t="shared" si="100"/>
        <v/>
      </c>
    </row>
    <row r="820" spans="1:21" x14ac:dyDescent="0.55000000000000004">
      <c r="A820">
        <v>90</v>
      </c>
      <c r="B820" t="str">
        <f t="shared" si="94"/>
        <v>90_0</v>
      </c>
      <c r="C820" s="2">
        <v>45637.583333333336</v>
      </c>
      <c r="D820" t="s">
        <v>221</v>
      </c>
      <c r="E820">
        <v>2</v>
      </c>
      <c r="F820" t="s">
        <v>236</v>
      </c>
      <c r="G820" t="str">
        <f t="shared" si="95"/>
        <v>Carassius auratus</v>
      </c>
      <c r="H820" t="str">
        <f t="shared" si="96"/>
        <v>Goldfish</v>
      </c>
      <c r="I820" t="str">
        <f t="shared" si="97"/>
        <v>Morihana</v>
      </c>
      <c r="J820" t="str">
        <f t="shared" si="98"/>
        <v>Nonnative</v>
      </c>
      <c r="K820" t="str">
        <f t="shared" si="99"/>
        <v>No</v>
      </c>
      <c r="M820">
        <v>176</v>
      </c>
      <c r="N820">
        <v>119</v>
      </c>
      <c r="O820">
        <v>1</v>
      </c>
      <c r="T820" t="str">
        <f t="shared" si="100"/>
        <v/>
      </c>
    </row>
    <row r="821" spans="1:21" x14ac:dyDescent="0.55000000000000004">
      <c r="A821">
        <v>90</v>
      </c>
      <c r="B821" t="str">
        <f t="shared" si="94"/>
        <v>90_0</v>
      </c>
      <c r="C821" s="2">
        <v>45637.583333333336</v>
      </c>
      <c r="D821" t="s">
        <v>221</v>
      </c>
      <c r="E821">
        <v>2</v>
      </c>
      <c r="F821" t="s">
        <v>236</v>
      </c>
      <c r="G821" t="str">
        <f t="shared" si="95"/>
        <v>Carassius auratus</v>
      </c>
      <c r="H821" t="str">
        <f t="shared" si="96"/>
        <v>Goldfish</v>
      </c>
      <c r="I821" t="str">
        <f t="shared" si="97"/>
        <v>Morihana</v>
      </c>
      <c r="J821" t="str">
        <f t="shared" si="98"/>
        <v>Nonnative</v>
      </c>
      <c r="K821" t="str">
        <f t="shared" si="99"/>
        <v>No</v>
      </c>
      <c r="M821">
        <v>166</v>
      </c>
      <c r="N821">
        <v>93</v>
      </c>
      <c r="O821">
        <v>1</v>
      </c>
      <c r="T821" t="str">
        <f t="shared" si="100"/>
        <v/>
      </c>
    </row>
    <row r="822" spans="1:21" x14ac:dyDescent="0.55000000000000004">
      <c r="A822">
        <v>90</v>
      </c>
      <c r="B822" t="str">
        <f t="shared" si="94"/>
        <v>90_0</v>
      </c>
      <c r="C822" s="2">
        <v>45637.583333333336</v>
      </c>
      <c r="D822" t="s">
        <v>221</v>
      </c>
      <c r="E822">
        <v>2</v>
      </c>
      <c r="F822" t="s">
        <v>236</v>
      </c>
      <c r="G822" t="str">
        <f t="shared" si="95"/>
        <v>Carassius auratus</v>
      </c>
      <c r="H822" t="str">
        <f t="shared" si="96"/>
        <v>Goldfish</v>
      </c>
      <c r="I822" t="str">
        <f t="shared" si="97"/>
        <v>Morihana</v>
      </c>
      <c r="J822" t="str">
        <f t="shared" si="98"/>
        <v>Nonnative</v>
      </c>
      <c r="K822" t="str">
        <f t="shared" si="99"/>
        <v>No</v>
      </c>
      <c r="M822">
        <v>132</v>
      </c>
      <c r="N822">
        <v>61</v>
      </c>
      <c r="O822">
        <v>1</v>
      </c>
      <c r="T822" t="str">
        <f t="shared" si="100"/>
        <v/>
      </c>
    </row>
    <row r="823" spans="1:21" x14ac:dyDescent="0.55000000000000004">
      <c r="A823">
        <v>90</v>
      </c>
      <c r="B823" t="str">
        <f t="shared" si="94"/>
        <v>90_0</v>
      </c>
      <c r="C823" s="2">
        <v>45637.583333333336</v>
      </c>
      <c r="D823" t="s">
        <v>221</v>
      </c>
      <c r="E823">
        <v>2</v>
      </c>
      <c r="F823" t="s">
        <v>236</v>
      </c>
      <c r="G823" t="str">
        <f t="shared" si="95"/>
        <v>Carassius auratus</v>
      </c>
      <c r="H823" t="str">
        <f t="shared" si="96"/>
        <v>Goldfish</v>
      </c>
      <c r="I823" t="str">
        <f t="shared" si="97"/>
        <v>Morihana</v>
      </c>
      <c r="J823" t="str">
        <f t="shared" si="98"/>
        <v>Nonnative</v>
      </c>
      <c r="K823" t="str">
        <f t="shared" si="99"/>
        <v>No</v>
      </c>
      <c r="M823">
        <v>171</v>
      </c>
      <c r="N823">
        <v>127</v>
      </c>
      <c r="O823">
        <v>1</v>
      </c>
      <c r="T823" t="str">
        <f t="shared" si="100"/>
        <v/>
      </c>
    </row>
    <row r="824" spans="1:21" x14ac:dyDescent="0.55000000000000004">
      <c r="A824">
        <v>90</v>
      </c>
      <c r="B824" t="str">
        <f t="shared" si="94"/>
        <v>90_0</v>
      </c>
      <c r="C824" s="2">
        <v>45637.583333333336</v>
      </c>
      <c r="D824" t="s">
        <v>221</v>
      </c>
      <c r="E824">
        <v>2</v>
      </c>
      <c r="F824" t="s">
        <v>236</v>
      </c>
      <c r="G824" t="str">
        <f t="shared" si="95"/>
        <v>Carassius auratus</v>
      </c>
      <c r="H824" t="str">
        <f t="shared" si="96"/>
        <v>Goldfish</v>
      </c>
      <c r="I824" t="str">
        <f t="shared" si="97"/>
        <v>Morihana</v>
      </c>
      <c r="J824" t="str">
        <f t="shared" si="98"/>
        <v>Nonnative</v>
      </c>
      <c r="K824" t="str">
        <f t="shared" si="99"/>
        <v>No</v>
      </c>
      <c r="M824">
        <v>181</v>
      </c>
      <c r="N824">
        <v>150</v>
      </c>
      <c r="O824">
        <v>1</v>
      </c>
      <c r="T824" t="str">
        <f t="shared" si="100"/>
        <v/>
      </c>
    </row>
    <row r="825" spans="1:21" x14ac:dyDescent="0.55000000000000004">
      <c r="A825">
        <v>90</v>
      </c>
      <c r="B825" t="str">
        <f t="shared" si="94"/>
        <v>90_0</v>
      </c>
      <c r="C825" s="2">
        <v>45637.583333333336</v>
      </c>
      <c r="D825" t="s">
        <v>221</v>
      </c>
      <c r="E825">
        <v>2</v>
      </c>
      <c r="F825" t="s">
        <v>236</v>
      </c>
      <c r="G825" t="str">
        <f t="shared" si="95"/>
        <v>Carassius auratus</v>
      </c>
      <c r="H825" t="str">
        <f t="shared" si="96"/>
        <v>Goldfish</v>
      </c>
      <c r="I825" t="str">
        <f t="shared" si="97"/>
        <v>Morihana</v>
      </c>
      <c r="J825" t="str">
        <f t="shared" si="98"/>
        <v>Nonnative</v>
      </c>
      <c r="K825" t="str">
        <f t="shared" si="99"/>
        <v>No</v>
      </c>
      <c r="M825">
        <v>199</v>
      </c>
      <c r="N825">
        <v>195</v>
      </c>
      <c r="O825">
        <v>1</v>
      </c>
      <c r="T825" t="str">
        <f t="shared" si="100"/>
        <v/>
      </c>
    </row>
    <row r="826" spans="1:21" x14ac:dyDescent="0.55000000000000004">
      <c r="A826">
        <v>90</v>
      </c>
      <c r="B826" t="str">
        <f t="shared" si="94"/>
        <v>90_0</v>
      </c>
      <c r="C826" s="2">
        <v>45637.583333333336</v>
      </c>
      <c r="D826" t="s">
        <v>221</v>
      </c>
      <c r="E826">
        <v>2</v>
      </c>
      <c r="F826" t="s">
        <v>236</v>
      </c>
      <c r="G826" t="str">
        <f t="shared" si="95"/>
        <v>Carassius auratus</v>
      </c>
      <c r="H826" t="str">
        <f t="shared" si="96"/>
        <v>Goldfish</v>
      </c>
      <c r="I826" t="str">
        <f t="shared" si="97"/>
        <v>Morihana</v>
      </c>
      <c r="J826" t="str">
        <f t="shared" si="98"/>
        <v>Nonnative</v>
      </c>
      <c r="K826" t="str">
        <f t="shared" si="99"/>
        <v>No</v>
      </c>
      <c r="M826">
        <v>182</v>
      </c>
      <c r="N826">
        <v>144</v>
      </c>
      <c r="O826">
        <v>1</v>
      </c>
      <c r="T826" t="str">
        <f t="shared" si="100"/>
        <v/>
      </c>
      <c r="U826" t="s">
        <v>259</v>
      </c>
    </row>
    <row r="827" spans="1:21" x14ac:dyDescent="0.55000000000000004">
      <c r="A827">
        <v>90</v>
      </c>
      <c r="B827" t="str">
        <f t="shared" si="94"/>
        <v>90_0</v>
      </c>
      <c r="C827" s="2">
        <v>45637.583333333336</v>
      </c>
      <c r="D827" t="s">
        <v>221</v>
      </c>
      <c r="E827">
        <v>2</v>
      </c>
      <c r="F827" t="s">
        <v>236</v>
      </c>
      <c r="G827" t="str">
        <f t="shared" si="95"/>
        <v>Carassius auratus</v>
      </c>
      <c r="H827" t="str">
        <f t="shared" si="96"/>
        <v>Goldfish</v>
      </c>
      <c r="I827" t="str">
        <f t="shared" si="97"/>
        <v>Morihana</v>
      </c>
      <c r="J827" t="str">
        <f t="shared" si="98"/>
        <v>Nonnative</v>
      </c>
      <c r="K827" t="str">
        <f t="shared" si="99"/>
        <v>No</v>
      </c>
      <c r="M827">
        <v>133</v>
      </c>
      <c r="N827">
        <v>155</v>
      </c>
      <c r="O827">
        <v>1</v>
      </c>
      <c r="T827" t="str">
        <f t="shared" si="100"/>
        <v/>
      </c>
    </row>
    <row r="828" spans="1:21" x14ac:dyDescent="0.55000000000000004">
      <c r="A828">
        <v>90</v>
      </c>
      <c r="B828" t="str">
        <f t="shared" si="94"/>
        <v>90_0</v>
      </c>
      <c r="C828" s="2">
        <v>45637.583333333336</v>
      </c>
      <c r="D828" t="s">
        <v>221</v>
      </c>
      <c r="E828">
        <v>2</v>
      </c>
      <c r="F828" t="s">
        <v>236</v>
      </c>
      <c r="G828" t="str">
        <f t="shared" si="95"/>
        <v>Carassius auratus</v>
      </c>
      <c r="H828" t="str">
        <f t="shared" si="96"/>
        <v>Goldfish</v>
      </c>
      <c r="I828" t="str">
        <f t="shared" si="97"/>
        <v>Morihana</v>
      </c>
      <c r="J828" t="str">
        <f t="shared" si="98"/>
        <v>Nonnative</v>
      </c>
      <c r="K828" t="str">
        <f t="shared" si="99"/>
        <v>No</v>
      </c>
      <c r="M828">
        <v>166</v>
      </c>
      <c r="N828">
        <v>127</v>
      </c>
      <c r="O828">
        <v>1</v>
      </c>
      <c r="T828" t="str">
        <f t="shared" si="100"/>
        <v/>
      </c>
    </row>
    <row r="829" spans="1:21" x14ac:dyDescent="0.55000000000000004">
      <c r="A829">
        <v>90</v>
      </c>
      <c r="B829" t="str">
        <f t="shared" si="94"/>
        <v>90_0</v>
      </c>
      <c r="C829" s="2">
        <v>45637.583333333336</v>
      </c>
      <c r="D829" t="s">
        <v>221</v>
      </c>
      <c r="E829">
        <v>2</v>
      </c>
      <c r="F829" t="s">
        <v>236</v>
      </c>
      <c r="G829" t="str">
        <f t="shared" si="95"/>
        <v>Carassius auratus</v>
      </c>
      <c r="H829" t="str">
        <f t="shared" si="96"/>
        <v>Goldfish</v>
      </c>
      <c r="I829" t="str">
        <f t="shared" si="97"/>
        <v>Morihana</v>
      </c>
      <c r="J829" t="str">
        <f t="shared" si="98"/>
        <v>Nonnative</v>
      </c>
      <c r="K829" t="str">
        <f t="shared" si="99"/>
        <v>No</v>
      </c>
      <c r="M829">
        <v>150</v>
      </c>
      <c r="N829">
        <v>84</v>
      </c>
      <c r="O829">
        <v>1</v>
      </c>
      <c r="T829" t="str">
        <f t="shared" si="100"/>
        <v/>
      </c>
    </row>
    <row r="830" spans="1:21" x14ac:dyDescent="0.55000000000000004">
      <c r="A830">
        <v>90</v>
      </c>
      <c r="B830" t="str">
        <f t="shared" si="94"/>
        <v>90_0</v>
      </c>
      <c r="C830" s="2">
        <v>45637.583333333336</v>
      </c>
      <c r="D830" t="s">
        <v>221</v>
      </c>
      <c r="E830">
        <v>2</v>
      </c>
      <c r="F830" t="s">
        <v>236</v>
      </c>
      <c r="G830" t="str">
        <f t="shared" si="95"/>
        <v>Carassius auratus</v>
      </c>
      <c r="H830" t="str">
        <f t="shared" si="96"/>
        <v>Goldfish</v>
      </c>
      <c r="I830" t="str">
        <f t="shared" si="97"/>
        <v>Morihana</v>
      </c>
      <c r="J830" t="str">
        <f t="shared" si="98"/>
        <v>Nonnative</v>
      </c>
      <c r="K830" t="str">
        <f t="shared" si="99"/>
        <v>No</v>
      </c>
      <c r="M830">
        <v>170</v>
      </c>
      <c r="N830">
        <v>150</v>
      </c>
      <c r="O830">
        <v>1</v>
      </c>
      <c r="T830" t="str">
        <f t="shared" si="100"/>
        <v/>
      </c>
    </row>
    <row r="831" spans="1:21" x14ac:dyDescent="0.55000000000000004">
      <c r="A831">
        <v>90</v>
      </c>
      <c r="B831" t="str">
        <f t="shared" si="94"/>
        <v>90_0</v>
      </c>
      <c r="C831" s="2">
        <v>45637.583333333336</v>
      </c>
      <c r="D831" t="s">
        <v>221</v>
      </c>
      <c r="E831">
        <v>2</v>
      </c>
      <c r="F831" t="s">
        <v>236</v>
      </c>
      <c r="G831" t="str">
        <f t="shared" si="95"/>
        <v>Carassius auratus</v>
      </c>
      <c r="H831" t="str">
        <f t="shared" si="96"/>
        <v>Goldfish</v>
      </c>
      <c r="I831" t="str">
        <f t="shared" si="97"/>
        <v>Morihana</v>
      </c>
      <c r="J831" t="str">
        <f t="shared" si="98"/>
        <v>Nonnative</v>
      </c>
      <c r="K831" t="str">
        <f t="shared" si="99"/>
        <v>No</v>
      </c>
      <c r="M831">
        <v>129</v>
      </c>
      <c r="N831">
        <v>49</v>
      </c>
      <c r="O831">
        <v>1</v>
      </c>
      <c r="T831" t="str">
        <f t="shared" si="100"/>
        <v/>
      </c>
    </row>
    <row r="832" spans="1:21" x14ac:dyDescent="0.55000000000000004">
      <c r="A832">
        <v>90</v>
      </c>
      <c r="B832" t="str">
        <f t="shared" si="94"/>
        <v>90_0</v>
      </c>
      <c r="C832" s="2">
        <v>45637.583333333336</v>
      </c>
      <c r="D832" t="s">
        <v>221</v>
      </c>
      <c r="E832">
        <v>2</v>
      </c>
      <c r="F832" t="s">
        <v>236</v>
      </c>
      <c r="G832" t="str">
        <f t="shared" si="95"/>
        <v>Carassius auratus</v>
      </c>
      <c r="H832" t="str">
        <f t="shared" si="96"/>
        <v>Goldfish</v>
      </c>
      <c r="I832" t="str">
        <f t="shared" si="97"/>
        <v>Morihana</v>
      </c>
      <c r="J832" t="str">
        <f t="shared" si="98"/>
        <v>Nonnative</v>
      </c>
      <c r="K832" t="str">
        <f t="shared" si="99"/>
        <v>No</v>
      </c>
      <c r="M832">
        <v>165</v>
      </c>
      <c r="N832">
        <v>127</v>
      </c>
      <c r="O832">
        <v>1</v>
      </c>
      <c r="T832" t="str">
        <f t="shared" si="100"/>
        <v/>
      </c>
    </row>
    <row r="833" spans="1:21" x14ac:dyDescent="0.55000000000000004">
      <c r="A833">
        <v>90</v>
      </c>
      <c r="B833" t="str">
        <f t="shared" si="94"/>
        <v>90_0</v>
      </c>
      <c r="C833" s="2">
        <v>45637.583333333336</v>
      </c>
      <c r="D833" t="s">
        <v>221</v>
      </c>
      <c r="E833">
        <v>2</v>
      </c>
      <c r="F833" t="s">
        <v>236</v>
      </c>
      <c r="G833" t="str">
        <f t="shared" si="95"/>
        <v>Carassius auratus</v>
      </c>
      <c r="H833" t="str">
        <f t="shared" si="96"/>
        <v>Goldfish</v>
      </c>
      <c r="I833" t="str">
        <f t="shared" si="97"/>
        <v>Morihana</v>
      </c>
      <c r="J833" t="str">
        <f t="shared" si="98"/>
        <v>Nonnative</v>
      </c>
      <c r="K833" t="str">
        <f t="shared" si="99"/>
        <v>No</v>
      </c>
      <c r="M833">
        <v>160</v>
      </c>
      <c r="N833">
        <v>115</v>
      </c>
      <c r="O833">
        <v>1</v>
      </c>
      <c r="T833" t="str">
        <f t="shared" si="100"/>
        <v/>
      </c>
    </row>
    <row r="834" spans="1:21" x14ac:dyDescent="0.55000000000000004">
      <c r="A834">
        <v>90</v>
      </c>
      <c r="B834" t="str">
        <f t="shared" ref="B834:B897" si="101">A834 &amp; "_0"</f>
        <v>90_0</v>
      </c>
      <c r="C834" s="2">
        <v>45637.583333333336</v>
      </c>
      <c r="D834" t="s">
        <v>221</v>
      </c>
      <c r="E834">
        <v>2</v>
      </c>
      <c r="F834" t="s">
        <v>236</v>
      </c>
      <c r="G834" t="str">
        <f t="shared" ref="G834:G897" si="102">VLOOKUP($F834, $W$1:$AB$10, 2, FALSE)</f>
        <v>Carassius auratus</v>
      </c>
      <c r="H834" t="str">
        <f t="shared" ref="H834:H897" si="103">VLOOKUP($F834, $W$1:$AB$10, 3, FALSE)</f>
        <v>Goldfish</v>
      </c>
      <c r="I834" t="str">
        <f t="shared" ref="I834:I897" si="104">VLOOKUP($F834, $W$1:$AB$10, 4, FALSE)</f>
        <v>Morihana</v>
      </c>
      <c r="J834" t="str">
        <f t="shared" ref="J834:J897" si="105">VLOOKUP($F834, $W$1:$AC$10, 5, FALSE)</f>
        <v>Nonnative</v>
      </c>
      <c r="K834" t="str">
        <f t="shared" ref="K834:K897" si="106">VLOOKUP($F834, $W$1:$AB$10, 6, FALSE)</f>
        <v>No</v>
      </c>
      <c r="M834">
        <v>139</v>
      </c>
      <c r="N834">
        <v>65</v>
      </c>
      <c r="O834">
        <v>1</v>
      </c>
      <c r="T834" t="str">
        <f t="shared" ref="T834:T839" si="107">IF(S834&lt;&gt;"", S834*236.588, "")</f>
        <v/>
      </c>
    </row>
    <row r="835" spans="1:21" x14ac:dyDescent="0.55000000000000004">
      <c r="A835">
        <v>90</v>
      </c>
      <c r="B835" t="str">
        <f t="shared" si="101"/>
        <v>90_0</v>
      </c>
      <c r="C835" s="2">
        <v>45637.583333333336</v>
      </c>
      <c r="D835" t="s">
        <v>221</v>
      </c>
      <c r="E835">
        <v>2</v>
      </c>
      <c r="F835" t="s">
        <v>236</v>
      </c>
      <c r="G835" t="str">
        <f t="shared" si="102"/>
        <v>Carassius auratus</v>
      </c>
      <c r="H835" t="str">
        <f t="shared" si="103"/>
        <v>Goldfish</v>
      </c>
      <c r="I835" t="str">
        <f t="shared" si="104"/>
        <v>Morihana</v>
      </c>
      <c r="J835" t="str">
        <f t="shared" si="105"/>
        <v>Nonnative</v>
      </c>
      <c r="K835" t="str">
        <f t="shared" si="106"/>
        <v>No</v>
      </c>
      <c r="M835">
        <v>149</v>
      </c>
      <c r="O835">
        <v>1</v>
      </c>
      <c r="T835" t="str">
        <f t="shared" si="107"/>
        <v/>
      </c>
    </row>
    <row r="836" spans="1:21" x14ac:dyDescent="0.55000000000000004">
      <c r="A836">
        <v>90</v>
      </c>
      <c r="B836" t="str">
        <f t="shared" si="101"/>
        <v>90_0</v>
      </c>
      <c r="C836" s="2">
        <v>45637.583333333336</v>
      </c>
      <c r="D836" t="s">
        <v>221</v>
      </c>
      <c r="E836">
        <v>2</v>
      </c>
      <c r="F836" t="s">
        <v>236</v>
      </c>
      <c r="G836" t="str">
        <f t="shared" si="102"/>
        <v>Carassius auratus</v>
      </c>
      <c r="H836" t="str">
        <f t="shared" si="103"/>
        <v>Goldfish</v>
      </c>
      <c r="I836" t="str">
        <f t="shared" si="104"/>
        <v>Morihana</v>
      </c>
      <c r="J836" t="str">
        <f t="shared" si="105"/>
        <v>Nonnative</v>
      </c>
      <c r="K836" t="str">
        <f t="shared" si="106"/>
        <v>No</v>
      </c>
      <c r="M836">
        <v>162</v>
      </c>
      <c r="N836">
        <v>119</v>
      </c>
      <c r="O836">
        <v>1</v>
      </c>
      <c r="T836" t="str">
        <f t="shared" si="107"/>
        <v/>
      </c>
    </row>
    <row r="837" spans="1:21" x14ac:dyDescent="0.55000000000000004">
      <c r="A837">
        <v>90</v>
      </c>
      <c r="B837" t="str">
        <f t="shared" si="101"/>
        <v>90_0</v>
      </c>
      <c r="C837" s="2">
        <v>45637.583333333336</v>
      </c>
      <c r="D837" t="s">
        <v>221</v>
      </c>
      <c r="E837">
        <v>2</v>
      </c>
      <c r="F837" t="s">
        <v>236</v>
      </c>
      <c r="G837" t="str">
        <f t="shared" si="102"/>
        <v>Carassius auratus</v>
      </c>
      <c r="H837" t="str">
        <f t="shared" si="103"/>
        <v>Goldfish</v>
      </c>
      <c r="I837" t="str">
        <f t="shared" si="104"/>
        <v>Morihana</v>
      </c>
      <c r="J837" t="str">
        <f t="shared" si="105"/>
        <v>Nonnative</v>
      </c>
      <c r="K837" t="str">
        <f t="shared" si="106"/>
        <v>No</v>
      </c>
      <c r="M837">
        <v>145</v>
      </c>
      <c r="N837">
        <v>75</v>
      </c>
      <c r="O837">
        <v>1</v>
      </c>
      <c r="T837" t="str">
        <f t="shared" si="107"/>
        <v/>
      </c>
    </row>
    <row r="838" spans="1:21" x14ac:dyDescent="0.55000000000000004">
      <c r="A838">
        <v>90</v>
      </c>
      <c r="B838" t="str">
        <f t="shared" si="101"/>
        <v>90_0</v>
      </c>
      <c r="C838" s="2">
        <v>45637.583333333336</v>
      </c>
      <c r="D838" t="s">
        <v>221</v>
      </c>
      <c r="E838">
        <v>2</v>
      </c>
      <c r="F838" t="s">
        <v>236</v>
      </c>
      <c r="G838" t="str">
        <f t="shared" si="102"/>
        <v>Carassius auratus</v>
      </c>
      <c r="H838" t="str">
        <f t="shared" si="103"/>
        <v>Goldfish</v>
      </c>
      <c r="I838" t="str">
        <f t="shared" si="104"/>
        <v>Morihana</v>
      </c>
      <c r="J838" t="str">
        <f t="shared" si="105"/>
        <v>Nonnative</v>
      </c>
      <c r="K838" t="str">
        <f t="shared" si="106"/>
        <v>No</v>
      </c>
      <c r="M838">
        <v>188</v>
      </c>
      <c r="N838">
        <v>172</v>
      </c>
      <c r="O838">
        <v>1</v>
      </c>
      <c r="T838" t="str">
        <f t="shared" si="107"/>
        <v/>
      </c>
    </row>
    <row r="839" spans="1:21" x14ac:dyDescent="0.55000000000000004">
      <c r="A839">
        <v>90</v>
      </c>
      <c r="B839" t="str">
        <f t="shared" si="101"/>
        <v>90_0</v>
      </c>
      <c r="C839" s="2">
        <v>45637.583333333336</v>
      </c>
      <c r="D839" t="s">
        <v>221</v>
      </c>
      <c r="E839">
        <v>2</v>
      </c>
      <c r="F839" t="s">
        <v>236</v>
      </c>
      <c r="G839" t="str">
        <f t="shared" si="102"/>
        <v>Carassius auratus</v>
      </c>
      <c r="H839" t="str">
        <f t="shared" si="103"/>
        <v>Goldfish</v>
      </c>
      <c r="I839" t="str">
        <f t="shared" si="104"/>
        <v>Morihana</v>
      </c>
      <c r="J839" t="str">
        <f t="shared" si="105"/>
        <v>Nonnative</v>
      </c>
      <c r="K839" t="str">
        <f t="shared" si="106"/>
        <v>No</v>
      </c>
      <c r="N839">
        <f>1626-804</f>
        <v>822</v>
      </c>
      <c r="O839">
        <v>16</v>
      </c>
      <c r="T839" t="str">
        <f t="shared" si="107"/>
        <v/>
      </c>
    </row>
    <row r="840" spans="1:21" x14ac:dyDescent="0.55000000000000004">
      <c r="A840">
        <v>90</v>
      </c>
      <c r="B840" t="str">
        <f t="shared" si="101"/>
        <v>90_0</v>
      </c>
      <c r="C840" s="2">
        <v>45637.583333333336</v>
      </c>
      <c r="D840" t="s">
        <v>221</v>
      </c>
      <c r="E840">
        <v>2</v>
      </c>
      <c r="F840" t="s">
        <v>236</v>
      </c>
      <c r="G840" t="str">
        <f t="shared" si="102"/>
        <v>Carassius auratus</v>
      </c>
      <c r="H840" t="str">
        <f t="shared" si="103"/>
        <v>Goldfish</v>
      </c>
      <c r="I840" t="str">
        <f t="shared" si="104"/>
        <v>Morihana</v>
      </c>
      <c r="J840" t="str">
        <f t="shared" si="105"/>
        <v>Nonnative</v>
      </c>
      <c r="K840" t="str">
        <f t="shared" si="106"/>
        <v>No</v>
      </c>
      <c r="N840">
        <v>125</v>
      </c>
      <c r="O840">
        <v>22</v>
      </c>
    </row>
    <row r="841" spans="1:21" x14ac:dyDescent="0.55000000000000004">
      <c r="A841">
        <v>90</v>
      </c>
      <c r="B841" t="str">
        <f t="shared" si="101"/>
        <v>90_0</v>
      </c>
      <c r="C841" s="2">
        <v>45637.583333333336</v>
      </c>
      <c r="D841" t="s">
        <v>221</v>
      </c>
      <c r="E841">
        <v>2</v>
      </c>
      <c r="F841" t="s">
        <v>242</v>
      </c>
      <c r="G841" t="str">
        <f t="shared" si="102"/>
        <v>Gobiomorphus cotidianus</v>
      </c>
      <c r="H841" t="str">
        <f t="shared" si="103"/>
        <v>Common_bully</v>
      </c>
      <c r="I841" t="str">
        <f t="shared" si="104"/>
        <v>Toitoi</v>
      </c>
      <c r="J841" t="str">
        <f t="shared" si="105"/>
        <v>Native</v>
      </c>
      <c r="K841" t="str">
        <f t="shared" si="106"/>
        <v>No</v>
      </c>
      <c r="N841">
        <v>521</v>
      </c>
      <c r="S841">
        <v>2</v>
      </c>
      <c r="T841">
        <f t="shared" ref="T841:T904" si="108">IF(S841&lt;&gt;"", S841*236.588, "")</f>
        <v>473.17599999999999</v>
      </c>
    </row>
    <row r="842" spans="1:21" x14ac:dyDescent="0.55000000000000004">
      <c r="A842">
        <v>90</v>
      </c>
      <c r="B842" t="str">
        <f t="shared" si="101"/>
        <v>90_0</v>
      </c>
      <c r="C842" s="2">
        <v>45637.583333333336</v>
      </c>
      <c r="D842" t="s">
        <v>221</v>
      </c>
      <c r="E842">
        <v>2</v>
      </c>
      <c r="F842" t="s">
        <v>242</v>
      </c>
      <c r="G842" t="str">
        <f t="shared" si="102"/>
        <v>Gobiomorphus cotidianus</v>
      </c>
      <c r="H842" t="str">
        <f t="shared" si="103"/>
        <v>Common_bully</v>
      </c>
      <c r="I842" t="str">
        <f t="shared" si="104"/>
        <v>Toitoi</v>
      </c>
      <c r="J842" t="str">
        <f t="shared" si="105"/>
        <v>Native</v>
      </c>
      <c r="K842" t="str">
        <f t="shared" si="106"/>
        <v>No</v>
      </c>
      <c r="N842">
        <v>590</v>
      </c>
      <c r="S842">
        <v>2.33</v>
      </c>
      <c r="T842">
        <f t="shared" si="108"/>
        <v>551.25004000000001</v>
      </c>
    </row>
    <row r="843" spans="1:21" x14ac:dyDescent="0.55000000000000004">
      <c r="A843">
        <v>91</v>
      </c>
      <c r="B843" t="str">
        <f t="shared" si="101"/>
        <v>91_0</v>
      </c>
      <c r="C843" s="2">
        <v>45638.5</v>
      </c>
      <c r="D843" t="s">
        <v>245</v>
      </c>
      <c r="E843">
        <v>2</v>
      </c>
      <c r="F843" t="s">
        <v>242</v>
      </c>
      <c r="G843" t="str">
        <f t="shared" si="102"/>
        <v>Gobiomorphus cotidianus</v>
      </c>
      <c r="H843" t="str">
        <f t="shared" si="103"/>
        <v>Common_bully</v>
      </c>
      <c r="I843" t="str">
        <f t="shared" si="104"/>
        <v>Toitoi</v>
      </c>
      <c r="J843" t="str">
        <f t="shared" si="105"/>
        <v>Native</v>
      </c>
      <c r="K843" t="str">
        <f t="shared" si="106"/>
        <v>No</v>
      </c>
      <c r="N843">
        <f>193-117</f>
        <v>76</v>
      </c>
      <c r="S843">
        <v>0.5</v>
      </c>
      <c r="T843">
        <f t="shared" si="108"/>
        <v>118.294</v>
      </c>
    </row>
    <row r="844" spans="1:21" x14ac:dyDescent="0.55000000000000004">
      <c r="A844">
        <v>91</v>
      </c>
      <c r="B844" t="str">
        <f t="shared" si="101"/>
        <v>91_0</v>
      </c>
      <c r="C844" s="2">
        <v>45638.5</v>
      </c>
      <c r="D844" t="s">
        <v>221</v>
      </c>
      <c r="E844">
        <v>2</v>
      </c>
      <c r="F844" t="s">
        <v>243</v>
      </c>
      <c r="G844" t="str">
        <f t="shared" si="102"/>
        <v>Retropinna retropinna</v>
      </c>
      <c r="H844" t="str">
        <f t="shared" si="103"/>
        <v>Common_smelt</v>
      </c>
      <c r="I844" t="str">
        <f t="shared" si="104"/>
        <v>Common_smelt</v>
      </c>
      <c r="J844" t="str">
        <f t="shared" si="105"/>
        <v>Native</v>
      </c>
      <c r="K844" t="str">
        <f t="shared" si="106"/>
        <v>No</v>
      </c>
      <c r="N844">
        <f>232-117</f>
        <v>115</v>
      </c>
      <c r="O844">
        <v>100</v>
      </c>
      <c r="S844">
        <v>0.5</v>
      </c>
      <c r="T844">
        <f t="shared" si="108"/>
        <v>118.294</v>
      </c>
      <c r="U844" t="s">
        <v>261</v>
      </c>
    </row>
    <row r="845" spans="1:21" x14ac:dyDescent="0.55000000000000004">
      <c r="A845">
        <v>91</v>
      </c>
      <c r="B845" t="str">
        <f t="shared" si="101"/>
        <v>91_0</v>
      </c>
      <c r="C845" s="2">
        <v>45638.5</v>
      </c>
      <c r="D845" t="s">
        <v>221</v>
      </c>
      <c r="E845">
        <v>2</v>
      </c>
      <c r="F845" t="s">
        <v>243</v>
      </c>
      <c r="G845" t="str">
        <f t="shared" si="102"/>
        <v>Retropinna retropinna</v>
      </c>
      <c r="H845" t="str">
        <f t="shared" si="103"/>
        <v>Common_smelt</v>
      </c>
      <c r="I845" t="str">
        <f t="shared" si="104"/>
        <v>Common_smelt</v>
      </c>
      <c r="J845" t="str">
        <f t="shared" si="105"/>
        <v>Native</v>
      </c>
      <c r="K845" t="str">
        <f t="shared" si="106"/>
        <v>No</v>
      </c>
      <c r="N845">
        <f>324-117</f>
        <v>207</v>
      </c>
      <c r="S845">
        <v>1</v>
      </c>
      <c r="T845">
        <f t="shared" si="108"/>
        <v>236.58799999999999</v>
      </c>
    </row>
    <row r="846" spans="1:21" x14ac:dyDescent="0.55000000000000004">
      <c r="A846">
        <v>91</v>
      </c>
      <c r="B846" t="str">
        <f t="shared" si="101"/>
        <v>91_0</v>
      </c>
      <c r="C846" s="2">
        <v>45638.5</v>
      </c>
      <c r="D846" t="s">
        <v>221</v>
      </c>
      <c r="E846">
        <v>2</v>
      </c>
      <c r="F846" t="s">
        <v>236</v>
      </c>
      <c r="G846" t="str">
        <f t="shared" si="102"/>
        <v>Carassius auratus</v>
      </c>
      <c r="H846" t="str">
        <f t="shared" si="103"/>
        <v>Goldfish</v>
      </c>
      <c r="I846" t="str">
        <f t="shared" si="104"/>
        <v>Morihana</v>
      </c>
      <c r="J846" t="str">
        <f t="shared" si="105"/>
        <v>Nonnative</v>
      </c>
      <c r="K846" t="str">
        <f t="shared" si="106"/>
        <v>No</v>
      </c>
      <c r="M846">
        <v>68</v>
      </c>
      <c r="N846">
        <v>7</v>
      </c>
      <c r="O846">
        <v>1</v>
      </c>
      <c r="T846" t="str">
        <f t="shared" si="108"/>
        <v/>
      </c>
    </row>
    <row r="847" spans="1:21" x14ac:dyDescent="0.55000000000000004">
      <c r="A847">
        <v>91</v>
      </c>
      <c r="B847" t="str">
        <f t="shared" si="101"/>
        <v>91_0</v>
      </c>
      <c r="C847" s="2">
        <v>45638.5</v>
      </c>
      <c r="D847" t="s">
        <v>221</v>
      </c>
      <c r="E847">
        <v>2</v>
      </c>
      <c r="F847" t="s">
        <v>236</v>
      </c>
      <c r="G847" t="str">
        <f t="shared" si="102"/>
        <v>Carassius auratus</v>
      </c>
      <c r="H847" t="str">
        <f t="shared" si="103"/>
        <v>Goldfish</v>
      </c>
      <c r="I847" t="str">
        <f t="shared" si="104"/>
        <v>Morihana</v>
      </c>
      <c r="J847" t="str">
        <f t="shared" si="105"/>
        <v>Nonnative</v>
      </c>
      <c r="K847" t="str">
        <f t="shared" si="106"/>
        <v>No</v>
      </c>
      <c r="M847">
        <v>65</v>
      </c>
      <c r="N847">
        <v>4</v>
      </c>
      <c r="O847">
        <v>1</v>
      </c>
      <c r="T847" t="str">
        <f t="shared" si="108"/>
        <v/>
      </c>
    </row>
    <row r="848" spans="1:21" x14ac:dyDescent="0.55000000000000004">
      <c r="A848">
        <v>91</v>
      </c>
      <c r="B848" t="str">
        <f t="shared" si="101"/>
        <v>91_0</v>
      </c>
      <c r="C848" s="2">
        <v>45638.5</v>
      </c>
      <c r="D848" t="s">
        <v>221</v>
      </c>
      <c r="E848">
        <v>2</v>
      </c>
      <c r="F848" t="s">
        <v>242</v>
      </c>
      <c r="G848" t="str">
        <f t="shared" si="102"/>
        <v>Gobiomorphus cotidianus</v>
      </c>
      <c r="H848" t="str">
        <f t="shared" si="103"/>
        <v>Common_bully</v>
      </c>
      <c r="I848" t="str">
        <f t="shared" si="104"/>
        <v>Toitoi</v>
      </c>
      <c r="J848" t="str">
        <f t="shared" si="105"/>
        <v>Native</v>
      </c>
      <c r="K848" t="str">
        <f t="shared" si="106"/>
        <v>No</v>
      </c>
      <c r="N848">
        <f>666-117</f>
        <v>549</v>
      </c>
      <c r="S848">
        <v>2.5</v>
      </c>
      <c r="T848">
        <f t="shared" si="108"/>
        <v>591.47</v>
      </c>
    </row>
    <row r="849" spans="1:20" x14ac:dyDescent="0.55000000000000004">
      <c r="A849">
        <v>91</v>
      </c>
      <c r="B849" t="str">
        <f t="shared" si="101"/>
        <v>91_0</v>
      </c>
      <c r="C849" s="2">
        <v>45638.5</v>
      </c>
      <c r="D849" t="s">
        <v>221</v>
      </c>
      <c r="E849">
        <v>2</v>
      </c>
      <c r="F849" t="s">
        <v>242</v>
      </c>
      <c r="G849" t="str">
        <f t="shared" si="102"/>
        <v>Gobiomorphus cotidianus</v>
      </c>
      <c r="H849" t="str">
        <f t="shared" si="103"/>
        <v>Common_bully</v>
      </c>
      <c r="I849" t="str">
        <f t="shared" si="104"/>
        <v>Toitoi</v>
      </c>
      <c r="J849" t="str">
        <f t="shared" si="105"/>
        <v>Native</v>
      </c>
      <c r="K849" t="str">
        <f t="shared" si="106"/>
        <v>No</v>
      </c>
      <c r="N849">
        <f>655-117</f>
        <v>538</v>
      </c>
      <c r="S849">
        <v>2.5</v>
      </c>
      <c r="T849">
        <f t="shared" si="108"/>
        <v>591.47</v>
      </c>
    </row>
    <row r="850" spans="1:20" x14ac:dyDescent="0.55000000000000004">
      <c r="A850">
        <v>91</v>
      </c>
      <c r="B850" t="str">
        <f t="shared" si="101"/>
        <v>91_0</v>
      </c>
      <c r="C850" s="2">
        <v>45638.5</v>
      </c>
      <c r="D850" t="s">
        <v>221</v>
      </c>
      <c r="E850">
        <v>2</v>
      </c>
      <c r="F850" t="s">
        <v>242</v>
      </c>
      <c r="G850" t="str">
        <f t="shared" si="102"/>
        <v>Gobiomorphus cotidianus</v>
      </c>
      <c r="H850" t="str">
        <f t="shared" si="103"/>
        <v>Common_bully</v>
      </c>
      <c r="I850" t="str">
        <f t="shared" si="104"/>
        <v>Toitoi</v>
      </c>
      <c r="J850" t="str">
        <f t="shared" si="105"/>
        <v>Native</v>
      </c>
      <c r="K850" t="str">
        <f t="shared" si="106"/>
        <v>No</v>
      </c>
      <c r="N850">
        <f>347-117</f>
        <v>230</v>
      </c>
      <c r="S850">
        <v>1</v>
      </c>
      <c r="T850">
        <f t="shared" si="108"/>
        <v>236.58799999999999</v>
      </c>
    </row>
    <row r="851" spans="1:20" x14ac:dyDescent="0.55000000000000004">
      <c r="A851">
        <v>120</v>
      </c>
      <c r="B851" t="str">
        <f t="shared" si="101"/>
        <v>120_0</v>
      </c>
      <c r="C851" s="2">
        <v>45597.429166666669</v>
      </c>
      <c r="D851" t="s">
        <v>221</v>
      </c>
      <c r="E851">
        <v>2</v>
      </c>
      <c r="F851" t="s">
        <v>222</v>
      </c>
      <c r="G851" t="str">
        <f t="shared" si="102"/>
        <v>Paranephrops planifrons</v>
      </c>
      <c r="H851" t="str">
        <f t="shared" si="103"/>
        <v>Freshwater_crayfish</v>
      </c>
      <c r="I851" t="str">
        <f t="shared" si="104"/>
        <v>Kōura</v>
      </c>
      <c r="J851" t="str">
        <f t="shared" si="105"/>
        <v>Native</v>
      </c>
      <c r="K851" t="str">
        <f t="shared" si="106"/>
        <v>Yes</v>
      </c>
      <c r="L851" t="s">
        <v>228</v>
      </c>
      <c r="M851">
        <v>25</v>
      </c>
      <c r="N851">
        <v>12</v>
      </c>
      <c r="O851">
        <v>1</v>
      </c>
      <c r="T851" t="str">
        <f t="shared" si="108"/>
        <v/>
      </c>
    </row>
    <row r="852" spans="1:20" x14ac:dyDescent="0.55000000000000004">
      <c r="A852">
        <v>96</v>
      </c>
      <c r="B852" t="str">
        <f t="shared" si="101"/>
        <v>96_0</v>
      </c>
      <c r="C852" s="2">
        <v>45638.489583333336</v>
      </c>
      <c r="D852" t="s">
        <v>221</v>
      </c>
      <c r="E852">
        <v>2</v>
      </c>
      <c r="F852" t="s">
        <v>222</v>
      </c>
      <c r="G852" t="str">
        <f t="shared" si="102"/>
        <v>Paranephrops planifrons</v>
      </c>
      <c r="H852" t="str">
        <f t="shared" si="103"/>
        <v>Freshwater_crayfish</v>
      </c>
      <c r="I852" t="str">
        <f t="shared" si="104"/>
        <v>Kōura</v>
      </c>
      <c r="J852" t="str">
        <f t="shared" si="105"/>
        <v>Native</v>
      </c>
      <c r="K852" t="str">
        <f t="shared" si="106"/>
        <v>Yes</v>
      </c>
      <c r="L852" t="s">
        <v>223</v>
      </c>
      <c r="M852">
        <v>25</v>
      </c>
      <c r="O852">
        <v>1</v>
      </c>
      <c r="T852" t="str">
        <f t="shared" si="108"/>
        <v/>
      </c>
    </row>
    <row r="853" spans="1:20" x14ac:dyDescent="0.55000000000000004">
      <c r="A853">
        <v>105</v>
      </c>
      <c r="B853" t="str">
        <f t="shared" si="101"/>
        <v>105_0</v>
      </c>
      <c r="C853" s="2">
        <v>45603.541666608799</v>
      </c>
      <c r="D853" t="s">
        <v>221</v>
      </c>
      <c r="E853">
        <v>2</v>
      </c>
      <c r="F853" t="s">
        <v>222</v>
      </c>
      <c r="G853" t="str">
        <f t="shared" si="102"/>
        <v>Paranephrops planifrons</v>
      </c>
      <c r="H853" t="str">
        <f t="shared" si="103"/>
        <v>Freshwater_crayfish</v>
      </c>
      <c r="I853" t="str">
        <f t="shared" si="104"/>
        <v>Kōura</v>
      </c>
      <c r="J853" t="str">
        <f t="shared" si="105"/>
        <v>Native</v>
      </c>
      <c r="K853" t="str">
        <f t="shared" si="106"/>
        <v>Yes</v>
      </c>
      <c r="L853" t="s">
        <v>223</v>
      </c>
      <c r="M853">
        <v>25</v>
      </c>
      <c r="O853">
        <v>1</v>
      </c>
      <c r="T853" t="str">
        <f t="shared" si="108"/>
        <v/>
      </c>
    </row>
    <row r="854" spans="1:20" x14ac:dyDescent="0.55000000000000004">
      <c r="A854">
        <v>106</v>
      </c>
      <c r="B854" t="str">
        <f t="shared" si="101"/>
        <v>106_0</v>
      </c>
      <c r="C854" s="2">
        <v>45603.4375</v>
      </c>
      <c r="D854" t="s">
        <v>221</v>
      </c>
      <c r="E854">
        <v>2</v>
      </c>
      <c r="F854" t="s">
        <v>222</v>
      </c>
      <c r="G854" t="str">
        <f t="shared" si="102"/>
        <v>Paranephrops planifrons</v>
      </c>
      <c r="H854" t="str">
        <f t="shared" si="103"/>
        <v>Freshwater_crayfish</v>
      </c>
      <c r="I854" t="str">
        <f t="shared" si="104"/>
        <v>Kōura</v>
      </c>
      <c r="J854" t="str">
        <f t="shared" si="105"/>
        <v>Native</v>
      </c>
      <c r="K854" t="str">
        <f t="shared" si="106"/>
        <v>Yes</v>
      </c>
      <c r="L854" t="s">
        <v>223</v>
      </c>
      <c r="M854">
        <v>25</v>
      </c>
      <c r="O854">
        <v>1</v>
      </c>
      <c r="T854" t="str">
        <f t="shared" si="108"/>
        <v/>
      </c>
    </row>
    <row r="855" spans="1:20" x14ac:dyDescent="0.55000000000000004">
      <c r="A855">
        <v>75</v>
      </c>
      <c r="B855" t="str">
        <f t="shared" si="101"/>
        <v>75_0</v>
      </c>
      <c r="C855" s="2">
        <v>45673.434027777781</v>
      </c>
      <c r="D855" t="s">
        <v>221</v>
      </c>
      <c r="E855">
        <v>2</v>
      </c>
      <c r="F855" t="s">
        <v>222</v>
      </c>
      <c r="G855" t="str">
        <f t="shared" si="102"/>
        <v>Paranephrops planifrons</v>
      </c>
      <c r="H855" t="str">
        <f t="shared" si="103"/>
        <v>Freshwater_crayfish</v>
      </c>
      <c r="I855" t="str">
        <f t="shared" si="104"/>
        <v>Kōura</v>
      </c>
      <c r="J855" t="str">
        <f t="shared" si="105"/>
        <v>Native</v>
      </c>
      <c r="K855" t="str">
        <f t="shared" si="106"/>
        <v>Yes</v>
      </c>
      <c r="L855" t="s">
        <v>223</v>
      </c>
      <c r="M855">
        <v>24.66</v>
      </c>
      <c r="N855">
        <v>17</v>
      </c>
      <c r="O855">
        <v>1</v>
      </c>
      <c r="T855" t="str">
        <f t="shared" si="108"/>
        <v/>
      </c>
    </row>
    <row r="856" spans="1:20" x14ac:dyDescent="0.55000000000000004">
      <c r="A856">
        <v>77</v>
      </c>
      <c r="B856" t="str">
        <f t="shared" si="101"/>
        <v>77_0</v>
      </c>
      <c r="C856" s="2">
        <v>45674.520833333336</v>
      </c>
      <c r="D856" t="s">
        <v>221</v>
      </c>
      <c r="E856">
        <v>2</v>
      </c>
      <c r="F856" t="s">
        <v>222</v>
      </c>
      <c r="G856" t="str">
        <f t="shared" si="102"/>
        <v>Paranephrops planifrons</v>
      </c>
      <c r="H856" t="str">
        <f t="shared" si="103"/>
        <v>Freshwater_crayfish</v>
      </c>
      <c r="I856" t="str">
        <f t="shared" si="104"/>
        <v>Kōura</v>
      </c>
      <c r="J856" t="str">
        <f t="shared" si="105"/>
        <v>Native</v>
      </c>
      <c r="K856" t="str">
        <f t="shared" si="106"/>
        <v>Yes</v>
      </c>
      <c r="L856" t="s">
        <v>223</v>
      </c>
      <c r="M856">
        <v>24.37</v>
      </c>
      <c r="N856">
        <v>7</v>
      </c>
      <c r="O856">
        <v>1</v>
      </c>
      <c r="T856" t="str">
        <f t="shared" si="108"/>
        <v/>
      </c>
    </row>
    <row r="857" spans="1:20" x14ac:dyDescent="0.55000000000000004">
      <c r="A857">
        <v>66</v>
      </c>
      <c r="B857" t="str">
        <f t="shared" si="101"/>
        <v>66_0</v>
      </c>
      <c r="C857" s="2">
        <v>45709.513888888891</v>
      </c>
      <c r="D857" t="s">
        <v>221</v>
      </c>
      <c r="E857">
        <v>2</v>
      </c>
      <c r="F857" t="s">
        <v>222</v>
      </c>
      <c r="G857" t="str">
        <f t="shared" si="102"/>
        <v>Paranephrops planifrons</v>
      </c>
      <c r="H857" t="str">
        <f t="shared" si="103"/>
        <v>Freshwater_crayfish</v>
      </c>
      <c r="I857" t="str">
        <f t="shared" si="104"/>
        <v>Kōura</v>
      </c>
      <c r="J857" t="str">
        <f t="shared" si="105"/>
        <v>Native</v>
      </c>
      <c r="K857" t="str">
        <f t="shared" si="106"/>
        <v>Yes</v>
      </c>
      <c r="L857" t="s">
        <v>228</v>
      </c>
      <c r="M857">
        <v>24.31</v>
      </c>
      <c r="N857">
        <v>10</v>
      </c>
      <c r="O857">
        <v>1</v>
      </c>
      <c r="P857">
        <v>1</v>
      </c>
      <c r="T857" t="str">
        <f t="shared" si="108"/>
        <v/>
      </c>
    </row>
    <row r="858" spans="1:20" x14ac:dyDescent="0.55000000000000004">
      <c r="A858">
        <v>92</v>
      </c>
      <c r="B858" t="str">
        <f t="shared" si="101"/>
        <v>92_0</v>
      </c>
      <c r="C858" s="2">
        <v>45638.456944386577</v>
      </c>
      <c r="D858" t="s">
        <v>245</v>
      </c>
      <c r="E858">
        <v>2</v>
      </c>
      <c r="F858" t="s">
        <v>242</v>
      </c>
      <c r="G858" t="str">
        <f t="shared" si="102"/>
        <v>Gobiomorphus cotidianus</v>
      </c>
      <c r="H858" t="str">
        <f t="shared" si="103"/>
        <v>Common_bully</v>
      </c>
      <c r="I858" t="str">
        <f t="shared" si="104"/>
        <v>Toitoi</v>
      </c>
      <c r="J858" t="str">
        <f t="shared" si="105"/>
        <v>Native</v>
      </c>
      <c r="K858" t="str">
        <f t="shared" si="106"/>
        <v>No</v>
      </c>
      <c r="N858">
        <v>24</v>
      </c>
      <c r="O858">
        <v>33</v>
      </c>
      <c r="T858" t="str">
        <f t="shared" si="108"/>
        <v/>
      </c>
    </row>
    <row r="859" spans="1:20" x14ac:dyDescent="0.55000000000000004">
      <c r="A859">
        <v>92</v>
      </c>
      <c r="B859" t="str">
        <f t="shared" si="101"/>
        <v>92_0</v>
      </c>
      <c r="C859" s="2">
        <v>45638.456944386577</v>
      </c>
      <c r="D859" t="s">
        <v>221</v>
      </c>
      <c r="E859">
        <v>2</v>
      </c>
      <c r="F859" t="s">
        <v>236</v>
      </c>
      <c r="G859" t="str">
        <f t="shared" si="102"/>
        <v>Carassius auratus</v>
      </c>
      <c r="H859" t="str">
        <f t="shared" si="103"/>
        <v>Goldfish</v>
      </c>
      <c r="I859" t="str">
        <f t="shared" si="104"/>
        <v>Morihana</v>
      </c>
      <c r="J859" t="str">
        <f t="shared" si="105"/>
        <v>Nonnative</v>
      </c>
      <c r="K859" t="str">
        <f t="shared" si="106"/>
        <v>No</v>
      </c>
      <c r="M859">
        <v>54</v>
      </c>
      <c r="N859">
        <v>3</v>
      </c>
      <c r="O859">
        <v>1</v>
      </c>
      <c r="T859" t="str">
        <f t="shared" si="108"/>
        <v/>
      </c>
    </row>
    <row r="860" spans="1:20" x14ac:dyDescent="0.55000000000000004">
      <c r="A860">
        <v>92</v>
      </c>
      <c r="B860" t="str">
        <f t="shared" si="101"/>
        <v>92_0</v>
      </c>
      <c r="C860" s="2">
        <v>45638.456944386577</v>
      </c>
      <c r="D860" t="s">
        <v>221</v>
      </c>
      <c r="E860">
        <v>2</v>
      </c>
      <c r="F860" t="s">
        <v>236</v>
      </c>
      <c r="G860" t="str">
        <f t="shared" si="102"/>
        <v>Carassius auratus</v>
      </c>
      <c r="H860" t="str">
        <f t="shared" si="103"/>
        <v>Goldfish</v>
      </c>
      <c r="I860" t="str">
        <f t="shared" si="104"/>
        <v>Morihana</v>
      </c>
      <c r="J860" t="str">
        <f t="shared" si="105"/>
        <v>Nonnative</v>
      </c>
      <c r="K860" t="str">
        <f t="shared" si="106"/>
        <v>No</v>
      </c>
      <c r="M860">
        <v>175</v>
      </c>
      <c r="N860">
        <v>125</v>
      </c>
      <c r="O860">
        <v>1</v>
      </c>
      <c r="T860" t="str">
        <f t="shared" si="108"/>
        <v/>
      </c>
    </row>
    <row r="861" spans="1:20" x14ac:dyDescent="0.55000000000000004">
      <c r="A861">
        <v>92</v>
      </c>
      <c r="B861" t="str">
        <f t="shared" si="101"/>
        <v>92_0</v>
      </c>
      <c r="C861" s="2">
        <v>45638.456944386577</v>
      </c>
      <c r="D861" t="s">
        <v>221</v>
      </c>
      <c r="E861">
        <v>2</v>
      </c>
      <c r="F861" t="s">
        <v>236</v>
      </c>
      <c r="G861" t="str">
        <f t="shared" si="102"/>
        <v>Carassius auratus</v>
      </c>
      <c r="H861" t="str">
        <f t="shared" si="103"/>
        <v>Goldfish</v>
      </c>
      <c r="I861" t="str">
        <f t="shared" si="104"/>
        <v>Morihana</v>
      </c>
      <c r="J861" t="str">
        <f t="shared" si="105"/>
        <v>Nonnative</v>
      </c>
      <c r="K861" t="str">
        <f t="shared" si="106"/>
        <v>No</v>
      </c>
      <c r="M861">
        <v>166</v>
      </c>
      <c r="N861">
        <v>103</v>
      </c>
      <c r="O861">
        <v>1</v>
      </c>
      <c r="T861" t="str">
        <f t="shared" si="108"/>
        <v/>
      </c>
    </row>
    <row r="862" spans="1:20" x14ac:dyDescent="0.55000000000000004">
      <c r="A862">
        <v>92</v>
      </c>
      <c r="B862" t="str">
        <f t="shared" si="101"/>
        <v>92_0</v>
      </c>
      <c r="C862" s="2">
        <v>45638.456944386577</v>
      </c>
      <c r="D862" t="s">
        <v>221</v>
      </c>
      <c r="E862">
        <v>2</v>
      </c>
      <c r="F862" t="s">
        <v>236</v>
      </c>
      <c r="G862" t="str">
        <f t="shared" si="102"/>
        <v>Carassius auratus</v>
      </c>
      <c r="H862" t="str">
        <f t="shared" si="103"/>
        <v>Goldfish</v>
      </c>
      <c r="I862" t="str">
        <f t="shared" si="104"/>
        <v>Morihana</v>
      </c>
      <c r="J862" t="str">
        <f t="shared" si="105"/>
        <v>Nonnative</v>
      </c>
      <c r="K862" t="str">
        <f t="shared" si="106"/>
        <v>No</v>
      </c>
      <c r="M862">
        <v>168</v>
      </c>
      <c r="N862">
        <v>110</v>
      </c>
      <c r="O862">
        <v>1</v>
      </c>
      <c r="T862" t="str">
        <f t="shared" si="108"/>
        <v/>
      </c>
    </row>
    <row r="863" spans="1:20" x14ac:dyDescent="0.55000000000000004">
      <c r="A863">
        <v>92</v>
      </c>
      <c r="B863" t="str">
        <f t="shared" si="101"/>
        <v>92_0</v>
      </c>
      <c r="C863" s="2">
        <v>45638.456944386577</v>
      </c>
      <c r="D863" t="s">
        <v>221</v>
      </c>
      <c r="E863">
        <v>2</v>
      </c>
      <c r="F863" t="s">
        <v>236</v>
      </c>
      <c r="G863" t="str">
        <f t="shared" si="102"/>
        <v>Carassius auratus</v>
      </c>
      <c r="H863" t="str">
        <f t="shared" si="103"/>
        <v>Goldfish</v>
      </c>
      <c r="I863" t="str">
        <f t="shared" si="104"/>
        <v>Morihana</v>
      </c>
      <c r="J863" t="str">
        <f t="shared" si="105"/>
        <v>Nonnative</v>
      </c>
      <c r="K863" t="str">
        <f t="shared" si="106"/>
        <v>No</v>
      </c>
      <c r="M863">
        <v>174</v>
      </c>
      <c r="N863">
        <v>126</v>
      </c>
      <c r="O863">
        <v>1</v>
      </c>
      <c r="T863" t="str">
        <f t="shared" si="108"/>
        <v/>
      </c>
    </row>
    <row r="864" spans="1:20" x14ac:dyDescent="0.55000000000000004">
      <c r="A864">
        <v>92</v>
      </c>
      <c r="B864" t="str">
        <f t="shared" si="101"/>
        <v>92_0</v>
      </c>
      <c r="C864" s="2">
        <v>45638.456944386577</v>
      </c>
      <c r="D864" t="s">
        <v>221</v>
      </c>
      <c r="E864">
        <v>2</v>
      </c>
      <c r="F864" t="s">
        <v>236</v>
      </c>
      <c r="G864" t="str">
        <f t="shared" si="102"/>
        <v>Carassius auratus</v>
      </c>
      <c r="H864" t="str">
        <f t="shared" si="103"/>
        <v>Goldfish</v>
      </c>
      <c r="I864" t="str">
        <f t="shared" si="104"/>
        <v>Morihana</v>
      </c>
      <c r="J864" t="str">
        <f t="shared" si="105"/>
        <v>Nonnative</v>
      </c>
      <c r="K864" t="str">
        <f t="shared" si="106"/>
        <v>No</v>
      </c>
      <c r="M864">
        <v>173</v>
      </c>
      <c r="N864">
        <v>123</v>
      </c>
      <c r="O864">
        <v>1</v>
      </c>
      <c r="T864" t="str">
        <f t="shared" si="108"/>
        <v/>
      </c>
    </row>
    <row r="865" spans="1:20" x14ac:dyDescent="0.55000000000000004">
      <c r="A865">
        <v>92</v>
      </c>
      <c r="B865" t="str">
        <f t="shared" si="101"/>
        <v>92_0</v>
      </c>
      <c r="C865" s="2">
        <v>45638.456944386577</v>
      </c>
      <c r="D865" t="s">
        <v>221</v>
      </c>
      <c r="E865">
        <v>2</v>
      </c>
      <c r="F865" t="s">
        <v>236</v>
      </c>
      <c r="G865" t="str">
        <f t="shared" si="102"/>
        <v>Carassius auratus</v>
      </c>
      <c r="H865" t="str">
        <f t="shared" si="103"/>
        <v>Goldfish</v>
      </c>
      <c r="I865" t="str">
        <f t="shared" si="104"/>
        <v>Morihana</v>
      </c>
      <c r="J865" t="str">
        <f t="shared" si="105"/>
        <v>Nonnative</v>
      </c>
      <c r="K865" t="str">
        <f t="shared" si="106"/>
        <v>No</v>
      </c>
      <c r="M865">
        <v>150</v>
      </c>
      <c r="N865">
        <v>86</v>
      </c>
      <c r="O865">
        <v>1</v>
      </c>
      <c r="T865" t="str">
        <f t="shared" si="108"/>
        <v/>
      </c>
    </row>
    <row r="866" spans="1:20" x14ac:dyDescent="0.55000000000000004">
      <c r="A866">
        <v>92</v>
      </c>
      <c r="B866" t="str">
        <f t="shared" si="101"/>
        <v>92_0</v>
      </c>
      <c r="C866" s="2">
        <v>45638.456944386577</v>
      </c>
      <c r="D866" t="s">
        <v>221</v>
      </c>
      <c r="E866">
        <v>2</v>
      </c>
      <c r="F866" t="s">
        <v>236</v>
      </c>
      <c r="G866" t="str">
        <f t="shared" si="102"/>
        <v>Carassius auratus</v>
      </c>
      <c r="H866" t="str">
        <f t="shared" si="103"/>
        <v>Goldfish</v>
      </c>
      <c r="I866" t="str">
        <f t="shared" si="104"/>
        <v>Morihana</v>
      </c>
      <c r="J866" t="str">
        <f t="shared" si="105"/>
        <v>Nonnative</v>
      </c>
      <c r="K866" t="str">
        <f t="shared" si="106"/>
        <v>No</v>
      </c>
      <c r="M866">
        <v>69</v>
      </c>
      <c r="N866">
        <v>8</v>
      </c>
      <c r="O866">
        <v>1</v>
      </c>
      <c r="T866" t="str">
        <f t="shared" si="108"/>
        <v/>
      </c>
    </row>
    <row r="867" spans="1:20" x14ac:dyDescent="0.55000000000000004">
      <c r="A867">
        <v>92</v>
      </c>
      <c r="B867" t="str">
        <f t="shared" si="101"/>
        <v>92_0</v>
      </c>
      <c r="C867" s="2">
        <v>45638.456944386577</v>
      </c>
      <c r="D867" t="s">
        <v>221</v>
      </c>
      <c r="E867">
        <v>2</v>
      </c>
      <c r="F867" t="s">
        <v>236</v>
      </c>
      <c r="G867" t="str">
        <f t="shared" si="102"/>
        <v>Carassius auratus</v>
      </c>
      <c r="H867" t="str">
        <f t="shared" si="103"/>
        <v>Goldfish</v>
      </c>
      <c r="I867" t="str">
        <f t="shared" si="104"/>
        <v>Morihana</v>
      </c>
      <c r="J867" t="str">
        <f t="shared" si="105"/>
        <v>Nonnative</v>
      </c>
      <c r="K867" t="str">
        <f t="shared" si="106"/>
        <v>No</v>
      </c>
      <c r="M867">
        <v>144</v>
      </c>
      <c r="N867">
        <v>68</v>
      </c>
      <c r="O867">
        <v>1</v>
      </c>
      <c r="T867" t="str">
        <f t="shared" si="108"/>
        <v/>
      </c>
    </row>
    <row r="868" spans="1:20" x14ac:dyDescent="0.55000000000000004">
      <c r="A868">
        <v>92</v>
      </c>
      <c r="B868" t="str">
        <f t="shared" si="101"/>
        <v>92_0</v>
      </c>
      <c r="C868" s="2">
        <v>45638.456944386577</v>
      </c>
      <c r="D868" t="s">
        <v>221</v>
      </c>
      <c r="E868">
        <v>2</v>
      </c>
      <c r="F868" t="s">
        <v>236</v>
      </c>
      <c r="G868" t="str">
        <f t="shared" si="102"/>
        <v>Carassius auratus</v>
      </c>
      <c r="H868" t="str">
        <f t="shared" si="103"/>
        <v>Goldfish</v>
      </c>
      <c r="I868" t="str">
        <f t="shared" si="104"/>
        <v>Morihana</v>
      </c>
      <c r="J868" t="str">
        <f t="shared" si="105"/>
        <v>Nonnative</v>
      </c>
      <c r="K868" t="str">
        <f t="shared" si="106"/>
        <v>No</v>
      </c>
      <c r="M868">
        <v>163</v>
      </c>
      <c r="N868">
        <v>96</v>
      </c>
      <c r="O868">
        <v>1</v>
      </c>
      <c r="T868" t="str">
        <f t="shared" si="108"/>
        <v/>
      </c>
    </row>
    <row r="869" spans="1:20" x14ac:dyDescent="0.55000000000000004">
      <c r="A869">
        <v>92</v>
      </c>
      <c r="B869" t="str">
        <f t="shared" si="101"/>
        <v>92_0</v>
      </c>
      <c r="C869" s="2">
        <v>45638.456944386577</v>
      </c>
      <c r="D869" t="s">
        <v>221</v>
      </c>
      <c r="E869">
        <v>2</v>
      </c>
      <c r="F869" t="s">
        <v>236</v>
      </c>
      <c r="G869" t="str">
        <f t="shared" si="102"/>
        <v>Carassius auratus</v>
      </c>
      <c r="H869" t="str">
        <f t="shared" si="103"/>
        <v>Goldfish</v>
      </c>
      <c r="I869" t="str">
        <f t="shared" si="104"/>
        <v>Morihana</v>
      </c>
      <c r="J869" t="str">
        <f t="shared" si="105"/>
        <v>Nonnative</v>
      </c>
      <c r="K869" t="str">
        <f t="shared" si="106"/>
        <v>No</v>
      </c>
      <c r="M869">
        <v>185</v>
      </c>
      <c r="N869">
        <v>159</v>
      </c>
      <c r="O869">
        <v>1</v>
      </c>
      <c r="T869" t="str">
        <f t="shared" si="108"/>
        <v/>
      </c>
    </row>
    <row r="870" spans="1:20" x14ac:dyDescent="0.55000000000000004">
      <c r="A870">
        <v>92</v>
      </c>
      <c r="B870" t="str">
        <f t="shared" si="101"/>
        <v>92_0</v>
      </c>
      <c r="C870" s="2">
        <v>45638.456944386577</v>
      </c>
      <c r="D870" t="s">
        <v>221</v>
      </c>
      <c r="E870">
        <v>2</v>
      </c>
      <c r="F870" t="s">
        <v>236</v>
      </c>
      <c r="G870" t="str">
        <f t="shared" si="102"/>
        <v>Carassius auratus</v>
      </c>
      <c r="H870" t="str">
        <f t="shared" si="103"/>
        <v>Goldfish</v>
      </c>
      <c r="I870" t="str">
        <f t="shared" si="104"/>
        <v>Morihana</v>
      </c>
      <c r="J870" t="str">
        <f t="shared" si="105"/>
        <v>Nonnative</v>
      </c>
      <c r="K870" t="str">
        <f t="shared" si="106"/>
        <v>No</v>
      </c>
      <c r="M870">
        <v>134</v>
      </c>
      <c r="N870">
        <v>60</v>
      </c>
      <c r="O870">
        <v>1</v>
      </c>
      <c r="T870" t="str">
        <f t="shared" si="108"/>
        <v/>
      </c>
    </row>
    <row r="871" spans="1:20" x14ac:dyDescent="0.55000000000000004">
      <c r="A871">
        <v>92</v>
      </c>
      <c r="B871" t="str">
        <f t="shared" si="101"/>
        <v>92_0</v>
      </c>
      <c r="C871" s="2">
        <v>45638.456944386577</v>
      </c>
      <c r="D871" t="s">
        <v>221</v>
      </c>
      <c r="E871">
        <v>2</v>
      </c>
      <c r="F871" t="s">
        <v>236</v>
      </c>
      <c r="G871" t="str">
        <f t="shared" si="102"/>
        <v>Carassius auratus</v>
      </c>
      <c r="H871" t="str">
        <f t="shared" si="103"/>
        <v>Goldfish</v>
      </c>
      <c r="I871" t="str">
        <f t="shared" si="104"/>
        <v>Morihana</v>
      </c>
      <c r="J871" t="str">
        <f t="shared" si="105"/>
        <v>Nonnative</v>
      </c>
      <c r="K871" t="str">
        <f t="shared" si="106"/>
        <v>No</v>
      </c>
      <c r="M871">
        <v>142</v>
      </c>
      <c r="N871">
        <v>55</v>
      </c>
      <c r="O871">
        <v>1</v>
      </c>
      <c r="T871" t="str">
        <f t="shared" si="108"/>
        <v/>
      </c>
    </row>
    <row r="872" spans="1:20" x14ac:dyDescent="0.55000000000000004">
      <c r="A872">
        <v>92</v>
      </c>
      <c r="B872" t="str">
        <f t="shared" si="101"/>
        <v>92_0</v>
      </c>
      <c r="C872" s="2">
        <v>45638.456944386577</v>
      </c>
      <c r="D872" t="s">
        <v>221</v>
      </c>
      <c r="E872">
        <v>2</v>
      </c>
      <c r="F872" t="s">
        <v>236</v>
      </c>
      <c r="G872" t="str">
        <f t="shared" si="102"/>
        <v>Carassius auratus</v>
      </c>
      <c r="H872" t="str">
        <f t="shared" si="103"/>
        <v>Goldfish</v>
      </c>
      <c r="I872" t="str">
        <f t="shared" si="104"/>
        <v>Morihana</v>
      </c>
      <c r="J872" t="str">
        <f t="shared" si="105"/>
        <v>Nonnative</v>
      </c>
      <c r="K872" t="str">
        <f t="shared" si="106"/>
        <v>No</v>
      </c>
      <c r="M872">
        <v>141</v>
      </c>
      <c r="N872">
        <v>75</v>
      </c>
      <c r="O872">
        <v>1</v>
      </c>
      <c r="T872" t="str">
        <f t="shared" si="108"/>
        <v/>
      </c>
    </row>
    <row r="873" spans="1:20" x14ac:dyDescent="0.55000000000000004">
      <c r="A873">
        <v>92</v>
      </c>
      <c r="B873" t="str">
        <f t="shared" si="101"/>
        <v>92_0</v>
      </c>
      <c r="C873" s="2">
        <v>45638.456944386577</v>
      </c>
      <c r="D873" t="s">
        <v>221</v>
      </c>
      <c r="E873">
        <v>2</v>
      </c>
      <c r="F873" t="s">
        <v>236</v>
      </c>
      <c r="G873" t="str">
        <f t="shared" si="102"/>
        <v>Carassius auratus</v>
      </c>
      <c r="H873" t="str">
        <f t="shared" si="103"/>
        <v>Goldfish</v>
      </c>
      <c r="I873" t="str">
        <f t="shared" si="104"/>
        <v>Morihana</v>
      </c>
      <c r="J873" t="str">
        <f t="shared" si="105"/>
        <v>Nonnative</v>
      </c>
      <c r="K873" t="str">
        <f t="shared" si="106"/>
        <v>No</v>
      </c>
      <c r="M873">
        <v>52</v>
      </c>
      <c r="N873">
        <v>3</v>
      </c>
      <c r="O873">
        <v>1</v>
      </c>
      <c r="T873" t="str">
        <f t="shared" si="108"/>
        <v/>
      </c>
    </row>
    <row r="874" spans="1:20" x14ac:dyDescent="0.55000000000000004">
      <c r="A874">
        <v>92</v>
      </c>
      <c r="B874" t="str">
        <f t="shared" si="101"/>
        <v>92_0</v>
      </c>
      <c r="C874" s="2">
        <v>45638.456944386577</v>
      </c>
      <c r="D874" t="s">
        <v>221</v>
      </c>
      <c r="E874">
        <v>2</v>
      </c>
      <c r="F874" t="s">
        <v>236</v>
      </c>
      <c r="G874" t="str">
        <f t="shared" si="102"/>
        <v>Carassius auratus</v>
      </c>
      <c r="H874" t="str">
        <f t="shared" si="103"/>
        <v>Goldfish</v>
      </c>
      <c r="I874" t="str">
        <f t="shared" si="104"/>
        <v>Morihana</v>
      </c>
      <c r="J874" t="str">
        <f t="shared" si="105"/>
        <v>Nonnative</v>
      </c>
      <c r="K874" t="str">
        <f t="shared" si="106"/>
        <v>No</v>
      </c>
      <c r="M874">
        <v>140</v>
      </c>
      <c r="N874">
        <v>66</v>
      </c>
      <c r="O874">
        <v>1</v>
      </c>
      <c r="T874" t="str">
        <f t="shared" si="108"/>
        <v/>
      </c>
    </row>
    <row r="875" spans="1:20" x14ac:dyDescent="0.55000000000000004">
      <c r="A875">
        <v>92</v>
      </c>
      <c r="B875" t="str">
        <f t="shared" si="101"/>
        <v>92_0</v>
      </c>
      <c r="C875" s="2">
        <v>45638.456944386577</v>
      </c>
      <c r="D875" t="s">
        <v>221</v>
      </c>
      <c r="E875">
        <v>2</v>
      </c>
      <c r="F875" t="s">
        <v>236</v>
      </c>
      <c r="G875" t="str">
        <f t="shared" si="102"/>
        <v>Carassius auratus</v>
      </c>
      <c r="H875" t="str">
        <f t="shared" si="103"/>
        <v>Goldfish</v>
      </c>
      <c r="I875" t="str">
        <f t="shared" si="104"/>
        <v>Morihana</v>
      </c>
      <c r="J875" t="str">
        <f t="shared" si="105"/>
        <v>Nonnative</v>
      </c>
      <c r="K875" t="str">
        <f t="shared" si="106"/>
        <v>No</v>
      </c>
      <c r="M875">
        <v>74</v>
      </c>
      <c r="N875">
        <v>8</v>
      </c>
      <c r="O875">
        <v>1</v>
      </c>
      <c r="T875" t="str">
        <f t="shared" si="108"/>
        <v/>
      </c>
    </row>
    <row r="876" spans="1:20" x14ac:dyDescent="0.55000000000000004">
      <c r="A876">
        <v>92</v>
      </c>
      <c r="B876" t="str">
        <f t="shared" si="101"/>
        <v>92_0</v>
      </c>
      <c r="C876" s="2">
        <v>45638.456944386577</v>
      </c>
      <c r="D876" t="s">
        <v>221</v>
      </c>
      <c r="E876">
        <v>2</v>
      </c>
      <c r="F876" t="s">
        <v>236</v>
      </c>
      <c r="G876" t="str">
        <f t="shared" si="102"/>
        <v>Carassius auratus</v>
      </c>
      <c r="H876" t="str">
        <f t="shared" si="103"/>
        <v>Goldfish</v>
      </c>
      <c r="I876" t="str">
        <f t="shared" si="104"/>
        <v>Morihana</v>
      </c>
      <c r="J876" t="str">
        <f t="shared" si="105"/>
        <v>Nonnative</v>
      </c>
      <c r="K876" t="str">
        <f t="shared" si="106"/>
        <v>No</v>
      </c>
      <c r="M876">
        <v>102</v>
      </c>
      <c r="N876">
        <v>27</v>
      </c>
      <c r="O876">
        <v>1</v>
      </c>
      <c r="T876" t="str">
        <f t="shared" si="108"/>
        <v/>
      </c>
    </row>
    <row r="877" spans="1:20" x14ac:dyDescent="0.55000000000000004">
      <c r="A877">
        <v>92</v>
      </c>
      <c r="B877" t="str">
        <f t="shared" si="101"/>
        <v>92_0</v>
      </c>
      <c r="C877" s="2">
        <v>45638.456944386577</v>
      </c>
      <c r="D877" t="s">
        <v>221</v>
      </c>
      <c r="E877">
        <v>2</v>
      </c>
      <c r="F877" t="s">
        <v>236</v>
      </c>
      <c r="G877" t="str">
        <f t="shared" si="102"/>
        <v>Carassius auratus</v>
      </c>
      <c r="H877" t="str">
        <f t="shared" si="103"/>
        <v>Goldfish</v>
      </c>
      <c r="I877" t="str">
        <f t="shared" si="104"/>
        <v>Morihana</v>
      </c>
      <c r="J877" t="str">
        <f t="shared" si="105"/>
        <v>Nonnative</v>
      </c>
      <c r="K877" t="str">
        <f t="shared" si="106"/>
        <v>No</v>
      </c>
      <c r="M877">
        <v>61</v>
      </c>
      <c r="N877">
        <v>5</v>
      </c>
      <c r="O877">
        <v>1</v>
      </c>
      <c r="T877" t="str">
        <f t="shared" si="108"/>
        <v/>
      </c>
    </row>
    <row r="878" spans="1:20" x14ac:dyDescent="0.55000000000000004">
      <c r="A878">
        <v>92</v>
      </c>
      <c r="B878" t="str">
        <f t="shared" si="101"/>
        <v>92_0</v>
      </c>
      <c r="C878" s="2">
        <v>45638.456944386577</v>
      </c>
      <c r="D878" t="s">
        <v>221</v>
      </c>
      <c r="E878">
        <v>2</v>
      </c>
      <c r="F878" t="s">
        <v>236</v>
      </c>
      <c r="G878" t="str">
        <f t="shared" si="102"/>
        <v>Carassius auratus</v>
      </c>
      <c r="H878" t="str">
        <f t="shared" si="103"/>
        <v>Goldfish</v>
      </c>
      <c r="I878" t="str">
        <f t="shared" si="104"/>
        <v>Morihana</v>
      </c>
      <c r="J878" t="str">
        <f t="shared" si="105"/>
        <v>Nonnative</v>
      </c>
      <c r="K878" t="str">
        <f t="shared" si="106"/>
        <v>No</v>
      </c>
      <c r="M878">
        <v>51</v>
      </c>
      <c r="N878">
        <v>3</v>
      </c>
      <c r="O878">
        <v>1</v>
      </c>
      <c r="T878" t="str">
        <f t="shared" si="108"/>
        <v/>
      </c>
    </row>
    <row r="879" spans="1:20" x14ac:dyDescent="0.55000000000000004">
      <c r="A879">
        <v>92</v>
      </c>
      <c r="B879" t="str">
        <f t="shared" si="101"/>
        <v>92_0</v>
      </c>
      <c r="C879" s="2">
        <v>45638.456944386577</v>
      </c>
      <c r="D879" t="s">
        <v>221</v>
      </c>
      <c r="E879">
        <v>2</v>
      </c>
      <c r="F879" t="s">
        <v>236</v>
      </c>
      <c r="G879" t="str">
        <f t="shared" si="102"/>
        <v>Carassius auratus</v>
      </c>
      <c r="H879" t="str">
        <f t="shared" si="103"/>
        <v>Goldfish</v>
      </c>
      <c r="I879" t="str">
        <f t="shared" si="104"/>
        <v>Morihana</v>
      </c>
      <c r="J879" t="str">
        <f t="shared" si="105"/>
        <v>Nonnative</v>
      </c>
      <c r="K879" t="str">
        <f t="shared" si="106"/>
        <v>No</v>
      </c>
      <c r="M879">
        <v>68</v>
      </c>
      <c r="N879">
        <v>8</v>
      </c>
      <c r="O879">
        <v>1</v>
      </c>
      <c r="T879" t="str">
        <f t="shared" si="108"/>
        <v/>
      </c>
    </row>
    <row r="880" spans="1:20" x14ac:dyDescent="0.55000000000000004">
      <c r="A880">
        <v>92</v>
      </c>
      <c r="B880" t="str">
        <f t="shared" si="101"/>
        <v>92_0</v>
      </c>
      <c r="C880" s="2">
        <v>45638.456944386577</v>
      </c>
      <c r="D880" t="s">
        <v>221</v>
      </c>
      <c r="E880">
        <v>2</v>
      </c>
      <c r="F880" t="s">
        <v>236</v>
      </c>
      <c r="G880" t="str">
        <f t="shared" si="102"/>
        <v>Carassius auratus</v>
      </c>
      <c r="H880" t="str">
        <f t="shared" si="103"/>
        <v>Goldfish</v>
      </c>
      <c r="I880" t="str">
        <f t="shared" si="104"/>
        <v>Morihana</v>
      </c>
      <c r="J880" t="str">
        <f t="shared" si="105"/>
        <v>Nonnative</v>
      </c>
      <c r="K880" t="str">
        <f t="shared" si="106"/>
        <v>No</v>
      </c>
      <c r="M880">
        <v>45</v>
      </c>
      <c r="N880">
        <v>1</v>
      </c>
      <c r="O880">
        <v>1</v>
      </c>
      <c r="T880" t="str">
        <f t="shared" si="108"/>
        <v/>
      </c>
    </row>
    <row r="881" spans="1:20" x14ac:dyDescent="0.55000000000000004">
      <c r="A881">
        <v>92</v>
      </c>
      <c r="B881" t="str">
        <f t="shared" si="101"/>
        <v>92_0</v>
      </c>
      <c r="C881" s="2">
        <v>45638.456944386577</v>
      </c>
      <c r="D881" t="s">
        <v>221</v>
      </c>
      <c r="E881">
        <v>2</v>
      </c>
      <c r="F881" t="s">
        <v>236</v>
      </c>
      <c r="G881" t="str">
        <f t="shared" si="102"/>
        <v>Carassius auratus</v>
      </c>
      <c r="H881" t="str">
        <f t="shared" si="103"/>
        <v>Goldfish</v>
      </c>
      <c r="I881" t="str">
        <f t="shared" si="104"/>
        <v>Morihana</v>
      </c>
      <c r="J881" t="str">
        <f t="shared" si="105"/>
        <v>Nonnative</v>
      </c>
      <c r="K881" t="str">
        <f t="shared" si="106"/>
        <v>No</v>
      </c>
      <c r="M881">
        <v>55</v>
      </c>
      <c r="N881">
        <v>1</v>
      </c>
      <c r="O881">
        <v>1</v>
      </c>
      <c r="T881" t="str">
        <f t="shared" si="108"/>
        <v/>
      </c>
    </row>
    <row r="882" spans="1:20" x14ac:dyDescent="0.55000000000000004">
      <c r="A882">
        <v>92</v>
      </c>
      <c r="B882" t="str">
        <f t="shared" si="101"/>
        <v>92_0</v>
      </c>
      <c r="C882" s="2">
        <v>45638.456944386577</v>
      </c>
      <c r="D882" t="s">
        <v>221</v>
      </c>
      <c r="E882">
        <v>2</v>
      </c>
      <c r="F882" t="s">
        <v>236</v>
      </c>
      <c r="G882" t="str">
        <f t="shared" si="102"/>
        <v>Carassius auratus</v>
      </c>
      <c r="H882" t="str">
        <f t="shared" si="103"/>
        <v>Goldfish</v>
      </c>
      <c r="I882" t="str">
        <f t="shared" si="104"/>
        <v>Morihana</v>
      </c>
      <c r="J882" t="str">
        <f t="shared" si="105"/>
        <v>Nonnative</v>
      </c>
      <c r="K882" t="str">
        <f t="shared" si="106"/>
        <v>No</v>
      </c>
      <c r="M882">
        <v>51</v>
      </c>
      <c r="N882">
        <v>1</v>
      </c>
      <c r="O882">
        <v>1</v>
      </c>
      <c r="T882" t="str">
        <f t="shared" si="108"/>
        <v/>
      </c>
    </row>
    <row r="883" spans="1:20" x14ac:dyDescent="0.55000000000000004">
      <c r="A883">
        <v>92</v>
      </c>
      <c r="B883" t="str">
        <f t="shared" si="101"/>
        <v>92_0</v>
      </c>
      <c r="C883" s="2">
        <v>45638.456944386577</v>
      </c>
      <c r="D883" t="s">
        <v>221</v>
      </c>
      <c r="E883">
        <v>2</v>
      </c>
      <c r="F883" t="s">
        <v>236</v>
      </c>
      <c r="G883" t="str">
        <f t="shared" si="102"/>
        <v>Carassius auratus</v>
      </c>
      <c r="H883" t="str">
        <f t="shared" si="103"/>
        <v>Goldfish</v>
      </c>
      <c r="I883" t="str">
        <f t="shared" si="104"/>
        <v>Morihana</v>
      </c>
      <c r="J883" t="str">
        <f t="shared" si="105"/>
        <v>Nonnative</v>
      </c>
      <c r="K883" t="str">
        <f t="shared" si="106"/>
        <v>No</v>
      </c>
      <c r="M883">
        <v>50</v>
      </c>
      <c r="N883">
        <v>1</v>
      </c>
      <c r="O883">
        <v>1</v>
      </c>
      <c r="T883" t="str">
        <f t="shared" si="108"/>
        <v/>
      </c>
    </row>
    <row r="884" spans="1:20" x14ac:dyDescent="0.55000000000000004">
      <c r="A884">
        <v>92</v>
      </c>
      <c r="B884" t="str">
        <f t="shared" si="101"/>
        <v>92_0</v>
      </c>
      <c r="C884" s="2">
        <v>45638.456944386577</v>
      </c>
      <c r="D884" t="s">
        <v>221</v>
      </c>
      <c r="E884">
        <v>2</v>
      </c>
      <c r="F884" t="s">
        <v>236</v>
      </c>
      <c r="G884" t="str">
        <f t="shared" si="102"/>
        <v>Carassius auratus</v>
      </c>
      <c r="H884" t="str">
        <f t="shared" si="103"/>
        <v>Goldfish</v>
      </c>
      <c r="I884" t="str">
        <f t="shared" si="104"/>
        <v>Morihana</v>
      </c>
      <c r="J884" t="str">
        <f t="shared" si="105"/>
        <v>Nonnative</v>
      </c>
      <c r="K884" t="str">
        <f t="shared" si="106"/>
        <v>No</v>
      </c>
      <c r="M884">
        <v>42</v>
      </c>
      <c r="N884">
        <v>1</v>
      </c>
      <c r="O884">
        <v>1</v>
      </c>
      <c r="T884" t="str">
        <f t="shared" si="108"/>
        <v/>
      </c>
    </row>
    <row r="885" spans="1:20" x14ac:dyDescent="0.55000000000000004">
      <c r="A885">
        <v>92</v>
      </c>
      <c r="B885" t="str">
        <f t="shared" si="101"/>
        <v>92_0</v>
      </c>
      <c r="C885" s="2">
        <v>45638.456944386577</v>
      </c>
      <c r="D885" t="s">
        <v>221</v>
      </c>
      <c r="E885">
        <v>2</v>
      </c>
      <c r="F885" t="s">
        <v>242</v>
      </c>
      <c r="G885" t="str">
        <f t="shared" si="102"/>
        <v>Gobiomorphus cotidianus</v>
      </c>
      <c r="H885" t="str">
        <f t="shared" si="103"/>
        <v>Common_bully</v>
      </c>
      <c r="I885" t="str">
        <f t="shared" si="104"/>
        <v>Toitoi</v>
      </c>
      <c r="J885" t="str">
        <f t="shared" si="105"/>
        <v>Native</v>
      </c>
      <c r="K885" t="str">
        <f t="shared" si="106"/>
        <v>No</v>
      </c>
      <c r="N885">
        <v>392</v>
      </c>
      <c r="S885">
        <v>2</v>
      </c>
      <c r="T885">
        <f t="shared" si="108"/>
        <v>473.17599999999999</v>
      </c>
    </row>
    <row r="886" spans="1:20" x14ac:dyDescent="0.55000000000000004">
      <c r="A886">
        <v>92</v>
      </c>
      <c r="B886" t="str">
        <f t="shared" si="101"/>
        <v>92_0</v>
      </c>
      <c r="C886" s="2">
        <v>45638.456944386577</v>
      </c>
      <c r="D886" t="s">
        <v>221</v>
      </c>
      <c r="E886">
        <v>2</v>
      </c>
      <c r="F886" t="s">
        <v>242</v>
      </c>
      <c r="G886" t="str">
        <f t="shared" si="102"/>
        <v>Gobiomorphus cotidianus</v>
      </c>
      <c r="H886" t="str">
        <f t="shared" si="103"/>
        <v>Common_bully</v>
      </c>
      <c r="I886" t="str">
        <f t="shared" si="104"/>
        <v>Toitoi</v>
      </c>
      <c r="J886" t="str">
        <f t="shared" si="105"/>
        <v>Native</v>
      </c>
      <c r="K886" t="str">
        <f t="shared" si="106"/>
        <v>No</v>
      </c>
      <c r="N886">
        <v>118</v>
      </c>
      <c r="S886">
        <v>0.75</v>
      </c>
      <c r="T886">
        <f t="shared" si="108"/>
        <v>177.441</v>
      </c>
    </row>
    <row r="887" spans="1:20" x14ac:dyDescent="0.55000000000000004">
      <c r="A887">
        <v>93</v>
      </c>
      <c r="B887" t="str">
        <f t="shared" si="101"/>
        <v>93_0</v>
      </c>
      <c r="C887" s="2">
        <v>45637.465277777781</v>
      </c>
      <c r="D887" t="s">
        <v>245</v>
      </c>
      <c r="E887">
        <v>2</v>
      </c>
      <c r="F887" t="s">
        <v>242</v>
      </c>
      <c r="G887" t="str">
        <f t="shared" si="102"/>
        <v>Gobiomorphus cotidianus</v>
      </c>
      <c r="H887" t="str">
        <f t="shared" si="103"/>
        <v>Common_bully</v>
      </c>
      <c r="I887" t="str">
        <f t="shared" si="104"/>
        <v>Toitoi</v>
      </c>
      <c r="J887" t="str">
        <f t="shared" si="105"/>
        <v>Native</v>
      </c>
      <c r="K887" t="str">
        <f t="shared" si="106"/>
        <v>No</v>
      </c>
      <c r="N887">
        <v>37</v>
      </c>
      <c r="T887" t="str">
        <f t="shared" si="108"/>
        <v/>
      </c>
    </row>
    <row r="888" spans="1:20" x14ac:dyDescent="0.55000000000000004">
      <c r="A888">
        <v>93</v>
      </c>
      <c r="B888" t="str">
        <f t="shared" si="101"/>
        <v>93_0</v>
      </c>
      <c r="C888" s="2">
        <v>45637.465277777781</v>
      </c>
      <c r="D888" t="s">
        <v>221</v>
      </c>
      <c r="E888">
        <v>2</v>
      </c>
      <c r="F888" t="s">
        <v>236</v>
      </c>
      <c r="G888" t="str">
        <f t="shared" si="102"/>
        <v>Carassius auratus</v>
      </c>
      <c r="H888" t="str">
        <f t="shared" si="103"/>
        <v>Goldfish</v>
      </c>
      <c r="I888" t="str">
        <f t="shared" si="104"/>
        <v>Morihana</v>
      </c>
      <c r="J888" t="str">
        <f t="shared" si="105"/>
        <v>Nonnative</v>
      </c>
      <c r="K888" t="str">
        <f t="shared" si="106"/>
        <v>No</v>
      </c>
      <c r="M888">
        <v>145</v>
      </c>
      <c r="N888">
        <v>70</v>
      </c>
      <c r="O888">
        <v>1</v>
      </c>
      <c r="T888" t="str">
        <f t="shared" si="108"/>
        <v/>
      </c>
    </row>
    <row r="889" spans="1:20" x14ac:dyDescent="0.55000000000000004">
      <c r="A889">
        <v>93</v>
      </c>
      <c r="B889" t="str">
        <f t="shared" si="101"/>
        <v>93_0</v>
      </c>
      <c r="C889" s="2">
        <v>45637.465277777781</v>
      </c>
      <c r="D889" t="s">
        <v>221</v>
      </c>
      <c r="E889">
        <v>2</v>
      </c>
      <c r="F889" t="s">
        <v>236</v>
      </c>
      <c r="G889" t="str">
        <f t="shared" si="102"/>
        <v>Carassius auratus</v>
      </c>
      <c r="H889" t="str">
        <f t="shared" si="103"/>
        <v>Goldfish</v>
      </c>
      <c r="I889" t="str">
        <f t="shared" si="104"/>
        <v>Morihana</v>
      </c>
      <c r="J889" t="str">
        <f t="shared" si="105"/>
        <v>Nonnative</v>
      </c>
      <c r="K889" t="str">
        <f t="shared" si="106"/>
        <v>No</v>
      </c>
      <c r="M889">
        <v>200</v>
      </c>
      <c r="N889">
        <v>202</v>
      </c>
      <c r="O889">
        <v>1</v>
      </c>
      <c r="T889" t="str">
        <f t="shared" si="108"/>
        <v/>
      </c>
    </row>
    <row r="890" spans="1:20" x14ac:dyDescent="0.55000000000000004">
      <c r="A890">
        <v>93</v>
      </c>
      <c r="B890" t="str">
        <f t="shared" si="101"/>
        <v>93_0</v>
      </c>
      <c r="C890" s="2">
        <v>45637.465277777781</v>
      </c>
      <c r="D890" t="s">
        <v>221</v>
      </c>
      <c r="E890">
        <v>2</v>
      </c>
      <c r="F890" t="s">
        <v>236</v>
      </c>
      <c r="G890" t="str">
        <f t="shared" si="102"/>
        <v>Carassius auratus</v>
      </c>
      <c r="H890" t="str">
        <f t="shared" si="103"/>
        <v>Goldfish</v>
      </c>
      <c r="I890" t="str">
        <f t="shared" si="104"/>
        <v>Morihana</v>
      </c>
      <c r="J890" t="str">
        <f t="shared" si="105"/>
        <v>Nonnative</v>
      </c>
      <c r="K890" t="str">
        <f t="shared" si="106"/>
        <v>No</v>
      </c>
      <c r="M890">
        <v>222</v>
      </c>
      <c r="N890">
        <v>276</v>
      </c>
      <c r="O890">
        <v>1</v>
      </c>
      <c r="T890" t="str">
        <f t="shared" si="108"/>
        <v/>
      </c>
    </row>
    <row r="891" spans="1:20" x14ac:dyDescent="0.55000000000000004">
      <c r="A891">
        <v>93</v>
      </c>
      <c r="B891" t="str">
        <f t="shared" si="101"/>
        <v>93_0</v>
      </c>
      <c r="C891" s="2">
        <v>45637.465277777781</v>
      </c>
      <c r="D891" t="s">
        <v>221</v>
      </c>
      <c r="E891">
        <v>2</v>
      </c>
      <c r="F891" t="s">
        <v>236</v>
      </c>
      <c r="G891" t="str">
        <f t="shared" si="102"/>
        <v>Carassius auratus</v>
      </c>
      <c r="H891" t="str">
        <f t="shared" si="103"/>
        <v>Goldfish</v>
      </c>
      <c r="I891" t="str">
        <f t="shared" si="104"/>
        <v>Morihana</v>
      </c>
      <c r="J891" t="str">
        <f t="shared" si="105"/>
        <v>Nonnative</v>
      </c>
      <c r="K891" t="str">
        <f t="shared" si="106"/>
        <v>No</v>
      </c>
      <c r="M891">
        <v>170</v>
      </c>
      <c r="N891">
        <v>134</v>
      </c>
      <c r="O891">
        <v>1</v>
      </c>
      <c r="T891" t="str">
        <f t="shared" si="108"/>
        <v/>
      </c>
    </row>
    <row r="892" spans="1:20" x14ac:dyDescent="0.55000000000000004">
      <c r="A892">
        <v>93</v>
      </c>
      <c r="B892" t="str">
        <f t="shared" si="101"/>
        <v>93_0</v>
      </c>
      <c r="C892" s="2">
        <v>45637.465277777781</v>
      </c>
      <c r="D892" t="s">
        <v>221</v>
      </c>
      <c r="E892">
        <v>2</v>
      </c>
      <c r="F892" t="s">
        <v>236</v>
      </c>
      <c r="G892" t="str">
        <f t="shared" si="102"/>
        <v>Carassius auratus</v>
      </c>
      <c r="H892" t="str">
        <f t="shared" si="103"/>
        <v>Goldfish</v>
      </c>
      <c r="I892" t="str">
        <f t="shared" si="104"/>
        <v>Morihana</v>
      </c>
      <c r="J892" t="str">
        <f t="shared" si="105"/>
        <v>Nonnative</v>
      </c>
      <c r="K892" t="str">
        <f t="shared" si="106"/>
        <v>No</v>
      </c>
      <c r="M892">
        <v>166</v>
      </c>
      <c r="N892">
        <v>107</v>
      </c>
      <c r="O892">
        <v>1</v>
      </c>
      <c r="T892" t="str">
        <f t="shared" si="108"/>
        <v/>
      </c>
    </row>
    <row r="893" spans="1:20" x14ac:dyDescent="0.55000000000000004">
      <c r="A893">
        <v>93</v>
      </c>
      <c r="B893" t="str">
        <f t="shared" si="101"/>
        <v>93_0</v>
      </c>
      <c r="C893" s="2">
        <v>45637.465277777781</v>
      </c>
      <c r="D893" t="s">
        <v>221</v>
      </c>
      <c r="E893">
        <v>2</v>
      </c>
      <c r="F893" t="s">
        <v>236</v>
      </c>
      <c r="G893" t="str">
        <f t="shared" si="102"/>
        <v>Carassius auratus</v>
      </c>
      <c r="H893" t="str">
        <f t="shared" si="103"/>
        <v>Goldfish</v>
      </c>
      <c r="I893" t="str">
        <f t="shared" si="104"/>
        <v>Morihana</v>
      </c>
      <c r="J893" t="str">
        <f t="shared" si="105"/>
        <v>Nonnative</v>
      </c>
      <c r="K893" t="str">
        <f t="shared" si="106"/>
        <v>No</v>
      </c>
      <c r="M893">
        <v>181</v>
      </c>
      <c r="N893">
        <v>170</v>
      </c>
      <c r="O893">
        <v>1</v>
      </c>
      <c r="T893" t="str">
        <f t="shared" si="108"/>
        <v/>
      </c>
    </row>
    <row r="894" spans="1:20" x14ac:dyDescent="0.55000000000000004">
      <c r="A894">
        <v>93</v>
      </c>
      <c r="B894" t="str">
        <f t="shared" si="101"/>
        <v>93_0</v>
      </c>
      <c r="C894" s="2">
        <v>45637.465277777781</v>
      </c>
      <c r="D894" t="s">
        <v>221</v>
      </c>
      <c r="E894">
        <v>2</v>
      </c>
      <c r="F894" t="s">
        <v>236</v>
      </c>
      <c r="G894" t="str">
        <f t="shared" si="102"/>
        <v>Carassius auratus</v>
      </c>
      <c r="H894" t="str">
        <f t="shared" si="103"/>
        <v>Goldfish</v>
      </c>
      <c r="I894" t="str">
        <f t="shared" si="104"/>
        <v>Morihana</v>
      </c>
      <c r="J894" t="str">
        <f t="shared" si="105"/>
        <v>Nonnative</v>
      </c>
      <c r="K894" t="str">
        <f t="shared" si="106"/>
        <v>No</v>
      </c>
      <c r="M894">
        <v>203</v>
      </c>
      <c r="N894">
        <v>231</v>
      </c>
      <c r="O894">
        <v>1</v>
      </c>
      <c r="T894" t="str">
        <f t="shared" si="108"/>
        <v/>
      </c>
    </row>
    <row r="895" spans="1:20" x14ac:dyDescent="0.55000000000000004">
      <c r="A895">
        <v>93</v>
      </c>
      <c r="B895" t="str">
        <f t="shared" si="101"/>
        <v>93_0</v>
      </c>
      <c r="C895" s="2">
        <v>45637.465277777781</v>
      </c>
      <c r="D895" t="s">
        <v>221</v>
      </c>
      <c r="E895">
        <v>2</v>
      </c>
      <c r="F895" t="s">
        <v>236</v>
      </c>
      <c r="G895" t="str">
        <f t="shared" si="102"/>
        <v>Carassius auratus</v>
      </c>
      <c r="H895" t="str">
        <f t="shared" si="103"/>
        <v>Goldfish</v>
      </c>
      <c r="I895" t="str">
        <f t="shared" si="104"/>
        <v>Morihana</v>
      </c>
      <c r="J895" t="str">
        <f t="shared" si="105"/>
        <v>Nonnative</v>
      </c>
      <c r="K895" t="str">
        <f t="shared" si="106"/>
        <v>No</v>
      </c>
      <c r="M895">
        <v>142</v>
      </c>
      <c r="N895">
        <v>64</v>
      </c>
      <c r="O895">
        <v>1</v>
      </c>
      <c r="T895" t="str">
        <f t="shared" si="108"/>
        <v/>
      </c>
    </row>
    <row r="896" spans="1:20" x14ac:dyDescent="0.55000000000000004">
      <c r="A896">
        <v>93</v>
      </c>
      <c r="B896" t="str">
        <f t="shared" si="101"/>
        <v>93_0</v>
      </c>
      <c r="C896" s="2">
        <v>45637.465277777781</v>
      </c>
      <c r="D896" t="s">
        <v>221</v>
      </c>
      <c r="E896">
        <v>2</v>
      </c>
      <c r="F896" t="s">
        <v>236</v>
      </c>
      <c r="G896" t="str">
        <f t="shared" si="102"/>
        <v>Carassius auratus</v>
      </c>
      <c r="H896" t="str">
        <f t="shared" si="103"/>
        <v>Goldfish</v>
      </c>
      <c r="I896" t="str">
        <f t="shared" si="104"/>
        <v>Morihana</v>
      </c>
      <c r="J896" t="str">
        <f t="shared" si="105"/>
        <v>Nonnative</v>
      </c>
      <c r="K896" t="str">
        <f t="shared" si="106"/>
        <v>No</v>
      </c>
      <c r="M896">
        <v>191</v>
      </c>
      <c r="N896">
        <v>170</v>
      </c>
      <c r="O896">
        <v>1</v>
      </c>
      <c r="T896" t="str">
        <f t="shared" si="108"/>
        <v/>
      </c>
    </row>
    <row r="897" spans="1:20" x14ac:dyDescent="0.55000000000000004">
      <c r="A897">
        <v>93</v>
      </c>
      <c r="B897" t="str">
        <f t="shared" si="101"/>
        <v>93_0</v>
      </c>
      <c r="C897" s="2">
        <v>45637.465277777781</v>
      </c>
      <c r="D897" t="s">
        <v>221</v>
      </c>
      <c r="E897">
        <v>2</v>
      </c>
      <c r="F897" t="s">
        <v>236</v>
      </c>
      <c r="G897" t="str">
        <f t="shared" si="102"/>
        <v>Carassius auratus</v>
      </c>
      <c r="H897" t="str">
        <f t="shared" si="103"/>
        <v>Goldfish</v>
      </c>
      <c r="I897" t="str">
        <f t="shared" si="104"/>
        <v>Morihana</v>
      </c>
      <c r="J897" t="str">
        <f t="shared" si="105"/>
        <v>Nonnative</v>
      </c>
      <c r="K897" t="str">
        <f t="shared" si="106"/>
        <v>No</v>
      </c>
      <c r="M897">
        <v>176</v>
      </c>
      <c r="N897">
        <v>127</v>
      </c>
      <c r="O897">
        <v>1</v>
      </c>
      <c r="T897" t="str">
        <f t="shared" si="108"/>
        <v/>
      </c>
    </row>
    <row r="898" spans="1:20" x14ac:dyDescent="0.55000000000000004">
      <c r="A898">
        <v>93</v>
      </c>
      <c r="B898" t="str">
        <f t="shared" ref="B898:B961" si="109">A898 &amp; "_0"</f>
        <v>93_0</v>
      </c>
      <c r="C898" s="2">
        <v>45637.465277777781</v>
      </c>
      <c r="D898" t="s">
        <v>221</v>
      </c>
      <c r="E898">
        <v>2</v>
      </c>
      <c r="F898" t="s">
        <v>236</v>
      </c>
      <c r="G898" t="str">
        <f t="shared" ref="G898:G961" si="110">VLOOKUP($F898, $W$1:$AB$10, 2, FALSE)</f>
        <v>Carassius auratus</v>
      </c>
      <c r="H898" t="str">
        <f t="shared" ref="H898:H961" si="111">VLOOKUP($F898, $W$1:$AB$10, 3, FALSE)</f>
        <v>Goldfish</v>
      </c>
      <c r="I898" t="str">
        <f t="shared" ref="I898:I961" si="112">VLOOKUP($F898, $W$1:$AB$10, 4, FALSE)</f>
        <v>Morihana</v>
      </c>
      <c r="J898" t="str">
        <f t="shared" ref="J898:J961" si="113">VLOOKUP($F898, $W$1:$AC$10, 5, FALSE)</f>
        <v>Nonnative</v>
      </c>
      <c r="K898" t="str">
        <f t="shared" ref="K898:K961" si="114">VLOOKUP($F898, $W$1:$AB$10, 6, FALSE)</f>
        <v>No</v>
      </c>
      <c r="M898">
        <v>190</v>
      </c>
      <c r="N898">
        <v>172</v>
      </c>
      <c r="O898">
        <v>1</v>
      </c>
      <c r="T898" t="str">
        <f t="shared" si="108"/>
        <v/>
      </c>
    </row>
    <row r="899" spans="1:20" x14ac:dyDescent="0.55000000000000004">
      <c r="A899">
        <v>93</v>
      </c>
      <c r="B899" t="str">
        <f t="shared" si="109"/>
        <v>93_0</v>
      </c>
      <c r="C899" s="2">
        <v>45637.465277777781</v>
      </c>
      <c r="D899" t="s">
        <v>221</v>
      </c>
      <c r="E899">
        <v>2</v>
      </c>
      <c r="F899" t="s">
        <v>236</v>
      </c>
      <c r="G899" t="str">
        <f t="shared" si="110"/>
        <v>Carassius auratus</v>
      </c>
      <c r="H899" t="str">
        <f t="shared" si="111"/>
        <v>Goldfish</v>
      </c>
      <c r="I899" t="str">
        <f t="shared" si="112"/>
        <v>Morihana</v>
      </c>
      <c r="J899" t="str">
        <f t="shared" si="113"/>
        <v>Nonnative</v>
      </c>
      <c r="K899" t="str">
        <f t="shared" si="114"/>
        <v>No</v>
      </c>
      <c r="M899">
        <v>211</v>
      </c>
      <c r="N899">
        <v>230</v>
      </c>
      <c r="O899">
        <v>1</v>
      </c>
      <c r="T899" t="str">
        <f t="shared" si="108"/>
        <v/>
      </c>
    </row>
    <row r="900" spans="1:20" x14ac:dyDescent="0.55000000000000004">
      <c r="A900">
        <v>93</v>
      </c>
      <c r="B900" t="str">
        <f t="shared" si="109"/>
        <v>93_0</v>
      </c>
      <c r="C900" s="2">
        <v>45637.465277777781</v>
      </c>
      <c r="D900" t="s">
        <v>221</v>
      </c>
      <c r="E900">
        <v>2</v>
      </c>
      <c r="F900" t="s">
        <v>236</v>
      </c>
      <c r="G900" t="str">
        <f t="shared" si="110"/>
        <v>Carassius auratus</v>
      </c>
      <c r="H900" t="str">
        <f t="shared" si="111"/>
        <v>Goldfish</v>
      </c>
      <c r="I900" t="str">
        <f t="shared" si="112"/>
        <v>Morihana</v>
      </c>
      <c r="J900" t="str">
        <f t="shared" si="113"/>
        <v>Nonnative</v>
      </c>
      <c r="K900" t="str">
        <f t="shared" si="114"/>
        <v>No</v>
      </c>
      <c r="M900">
        <v>192</v>
      </c>
      <c r="N900">
        <v>172</v>
      </c>
      <c r="O900">
        <v>1</v>
      </c>
      <c r="T900" t="str">
        <f t="shared" si="108"/>
        <v/>
      </c>
    </row>
    <row r="901" spans="1:20" x14ac:dyDescent="0.55000000000000004">
      <c r="A901">
        <v>93</v>
      </c>
      <c r="B901" t="str">
        <f t="shared" si="109"/>
        <v>93_0</v>
      </c>
      <c r="C901" s="2">
        <v>45637.465277777781</v>
      </c>
      <c r="D901" t="s">
        <v>221</v>
      </c>
      <c r="E901">
        <v>2</v>
      </c>
      <c r="F901" t="s">
        <v>236</v>
      </c>
      <c r="G901" t="str">
        <f t="shared" si="110"/>
        <v>Carassius auratus</v>
      </c>
      <c r="H901" t="str">
        <f t="shared" si="111"/>
        <v>Goldfish</v>
      </c>
      <c r="I901" t="str">
        <f t="shared" si="112"/>
        <v>Morihana</v>
      </c>
      <c r="J901" t="str">
        <f t="shared" si="113"/>
        <v>Nonnative</v>
      </c>
      <c r="K901" t="str">
        <f t="shared" si="114"/>
        <v>No</v>
      </c>
      <c r="M901">
        <v>142</v>
      </c>
      <c r="N901">
        <v>172</v>
      </c>
      <c r="O901">
        <v>1</v>
      </c>
      <c r="T901" t="str">
        <f t="shared" si="108"/>
        <v/>
      </c>
    </row>
    <row r="902" spans="1:20" x14ac:dyDescent="0.55000000000000004">
      <c r="A902">
        <v>93</v>
      </c>
      <c r="B902" t="str">
        <f t="shared" si="109"/>
        <v>93_0</v>
      </c>
      <c r="C902" s="2">
        <v>45637.465277777781</v>
      </c>
      <c r="D902" t="s">
        <v>221</v>
      </c>
      <c r="E902">
        <v>2</v>
      </c>
      <c r="F902" t="s">
        <v>236</v>
      </c>
      <c r="G902" t="str">
        <f t="shared" si="110"/>
        <v>Carassius auratus</v>
      </c>
      <c r="H902" t="str">
        <f t="shared" si="111"/>
        <v>Goldfish</v>
      </c>
      <c r="I902" t="str">
        <f t="shared" si="112"/>
        <v>Morihana</v>
      </c>
      <c r="J902" t="str">
        <f t="shared" si="113"/>
        <v>Nonnative</v>
      </c>
      <c r="K902" t="str">
        <f t="shared" si="114"/>
        <v>No</v>
      </c>
      <c r="M902">
        <v>176</v>
      </c>
      <c r="N902">
        <v>135</v>
      </c>
      <c r="O902">
        <v>1</v>
      </c>
      <c r="T902" t="str">
        <f t="shared" si="108"/>
        <v/>
      </c>
    </row>
    <row r="903" spans="1:20" x14ac:dyDescent="0.55000000000000004">
      <c r="A903">
        <v>93</v>
      </c>
      <c r="B903" t="str">
        <f t="shared" si="109"/>
        <v>93_0</v>
      </c>
      <c r="C903" s="2">
        <v>45637.465277777781</v>
      </c>
      <c r="D903" t="s">
        <v>221</v>
      </c>
      <c r="E903">
        <v>2</v>
      </c>
      <c r="F903" t="s">
        <v>236</v>
      </c>
      <c r="G903" t="str">
        <f t="shared" si="110"/>
        <v>Carassius auratus</v>
      </c>
      <c r="H903" t="str">
        <f t="shared" si="111"/>
        <v>Goldfish</v>
      </c>
      <c r="I903" t="str">
        <f t="shared" si="112"/>
        <v>Morihana</v>
      </c>
      <c r="J903" t="str">
        <f t="shared" si="113"/>
        <v>Nonnative</v>
      </c>
      <c r="K903" t="str">
        <f t="shared" si="114"/>
        <v>No</v>
      </c>
      <c r="M903">
        <v>175</v>
      </c>
      <c r="N903">
        <v>116</v>
      </c>
      <c r="O903">
        <v>1</v>
      </c>
      <c r="T903" t="str">
        <f t="shared" si="108"/>
        <v/>
      </c>
    </row>
    <row r="904" spans="1:20" x14ac:dyDescent="0.55000000000000004">
      <c r="A904">
        <v>93</v>
      </c>
      <c r="B904" t="str">
        <f t="shared" si="109"/>
        <v>93_0</v>
      </c>
      <c r="C904" s="2">
        <v>45637.465277777781</v>
      </c>
      <c r="D904" t="s">
        <v>221</v>
      </c>
      <c r="E904">
        <v>2</v>
      </c>
      <c r="F904" t="s">
        <v>236</v>
      </c>
      <c r="G904" t="str">
        <f t="shared" si="110"/>
        <v>Carassius auratus</v>
      </c>
      <c r="H904" t="str">
        <f t="shared" si="111"/>
        <v>Goldfish</v>
      </c>
      <c r="I904" t="str">
        <f t="shared" si="112"/>
        <v>Morihana</v>
      </c>
      <c r="J904" t="str">
        <f t="shared" si="113"/>
        <v>Nonnative</v>
      </c>
      <c r="K904" t="str">
        <f t="shared" si="114"/>
        <v>No</v>
      </c>
      <c r="N904">
        <v>1912</v>
      </c>
      <c r="O904">
        <v>64</v>
      </c>
      <c r="T904" t="str">
        <f t="shared" si="108"/>
        <v/>
      </c>
    </row>
    <row r="905" spans="1:20" x14ac:dyDescent="0.55000000000000004">
      <c r="A905">
        <v>93</v>
      </c>
      <c r="B905" t="str">
        <f t="shared" si="109"/>
        <v>93_0</v>
      </c>
      <c r="C905" s="2">
        <v>45637.465277777781</v>
      </c>
      <c r="D905" t="s">
        <v>221</v>
      </c>
      <c r="E905">
        <v>2</v>
      </c>
      <c r="F905" t="s">
        <v>242</v>
      </c>
      <c r="G905" t="str">
        <f t="shared" si="110"/>
        <v>Gobiomorphus cotidianus</v>
      </c>
      <c r="H905" t="str">
        <f t="shared" si="111"/>
        <v>Common_bully</v>
      </c>
      <c r="I905" t="str">
        <f t="shared" si="112"/>
        <v>Toitoi</v>
      </c>
      <c r="J905" t="str">
        <f t="shared" si="113"/>
        <v>Native</v>
      </c>
      <c r="K905" t="str">
        <f t="shared" si="114"/>
        <v>No</v>
      </c>
      <c r="N905">
        <f>126-117</f>
        <v>9</v>
      </c>
      <c r="O905">
        <v>30</v>
      </c>
      <c r="T905" t="str">
        <f t="shared" ref="T905:T968" si="115">IF(S905&lt;&gt;"", S905*236.588, "")</f>
        <v/>
      </c>
    </row>
    <row r="906" spans="1:20" x14ac:dyDescent="0.55000000000000004">
      <c r="A906">
        <v>93</v>
      </c>
      <c r="B906" t="str">
        <f t="shared" si="109"/>
        <v>93_0</v>
      </c>
      <c r="C906" s="2">
        <v>45637.465277777781</v>
      </c>
      <c r="D906" t="s">
        <v>221</v>
      </c>
      <c r="E906">
        <v>2</v>
      </c>
      <c r="F906" t="s">
        <v>236</v>
      </c>
      <c r="G906" t="str">
        <f t="shared" si="110"/>
        <v>Carassius auratus</v>
      </c>
      <c r="H906" t="str">
        <f t="shared" si="111"/>
        <v>Goldfish</v>
      </c>
      <c r="I906" t="str">
        <f t="shared" si="112"/>
        <v>Morihana</v>
      </c>
      <c r="J906" t="str">
        <f t="shared" si="113"/>
        <v>Nonnative</v>
      </c>
      <c r="K906" t="str">
        <f t="shared" si="114"/>
        <v>No</v>
      </c>
      <c r="M906">
        <v>180</v>
      </c>
      <c r="N906">
        <v>145</v>
      </c>
      <c r="O906">
        <v>1</v>
      </c>
      <c r="T906" t="str">
        <f t="shared" si="115"/>
        <v/>
      </c>
    </row>
    <row r="907" spans="1:20" x14ac:dyDescent="0.55000000000000004">
      <c r="A907">
        <v>93</v>
      </c>
      <c r="B907" t="str">
        <f t="shared" si="109"/>
        <v>93_0</v>
      </c>
      <c r="C907" s="2">
        <v>45637.465277777781</v>
      </c>
      <c r="D907" t="s">
        <v>221</v>
      </c>
      <c r="E907">
        <v>2</v>
      </c>
      <c r="F907" t="s">
        <v>236</v>
      </c>
      <c r="G907" t="str">
        <f t="shared" si="110"/>
        <v>Carassius auratus</v>
      </c>
      <c r="H907" t="str">
        <f t="shared" si="111"/>
        <v>Goldfish</v>
      </c>
      <c r="I907" t="str">
        <f t="shared" si="112"/>
        <v>Morihana</v>
      </c>
      <c r="J907" t="str">
        <f t="shared" si="113"/>
        <v>Nonnative</v>
      </c>
      <c r="K907" t="str">
        <f t="shared" si="114"/>
        <v>No</v>
      </c>
      <c r="M907">
        <v>155</v>
      </c>
      <c r="N907">
        <v>95</v>
      </c>
      <c r="O907">
        <v>1</v>
      </c>
      <c r="T907" t="str">
        <f t="shared" si="115"/>
        <v/>
      </c>
    </row>
    <row r="908" spans="1:20" x14ac:dyDescent="0.55000000000000004">
      <c r="A908">
        <v>93</v>
      </c>
      <c r="B908" t="str">
        <f t="shared" si="109"/>
        <v>93_0</v>
      </c>
      <c r="C908" s="2">
        <v>45637.465277777781</v>
      </c>
      <c r="D908" t="s">
        <v>221</v>
      </c>
      <c r="E908">
        <v>2</v>
      </c>
      <c r="F908" t="s">
        <v>236</v>
      </c>
      <c r="G908" t="str">
        <f t="shared" si="110"/>
        <v>Carassius auratus</v>
      </c>
      <c r="H908" t="str">
        <f t="shared" si="111"/>
        <v>Goldfish</v>
      </c>
      <c r="I908" t="str">
        <f t="shared" si="112"/>
        <v>Morihana</v>
      </c>
      <c r="J908" t="str">
        <f t="shared" si="113"/>
        <v>Nonnative</v>
      </c>
      <c r="K908" t="str">
        <f t="shared" si="114"/>
        <v>No</v>
      </c>
      <c r="M908">
        <v>152</v>
      </c>
      <c r="N908">
        <v>61</v>
      </c>
      <c r="O908">
        <v>1</v>
      </c>
      <c r="T908" t="str">
        <f t="shared" si="115"/>
        <v/>
      </c>
    </row>
    <row r="909" spans="1:20" x14ac:dyDescent="0.55000000000000004">
      <c r="A909">
        <v>93</v>
      </c>
      <c r="B909" t="str">
        <f t="shared" si="109"/>
        <v>93_0</v>
      </c>
      <c r="C909" s="2">
        <v>45637.465277777781</v>
      </c>
      <c r="D909" t="s">
        <v>221</v>
      </c>
      <c r="E909">
        <v>2</v>
      </c>
      <c r="F909" t="s">
        <v>236</v>
      </c>
      <c r="G909" t="str">
        <f t="shared" si="110"/>
        <v>Carassius auratus</v>
      </c>
      <c r="H909" t="str">
        <f t="shared" si="111"/>
        <v>Goldfish</v>
      </c>
      <c r="I909" t="str">
        <f t="shared" si="112"/>
        <v>Morihana</v>
      </c>
      <c r="J909" t="str">
        <f t="shared" si="113"/>
        <v>Nonnative</v>
      </c>
      <c r="K909" t="str">
        <f t="shared" si="114"/>
        <v>No</v>
      </c>
      <c r="M909">
        <v>150</v>
      </c>
      <c r="N909">
        <v>73</v>
      </c>
      <c r="O909">
        <v>1</v>
      </c>
      <c r="T909" t="str">
        <f t="shared" si="115"/>
        <v/>
      </c>
    </row>
    <row r="910" spans="1:20" x14ac:dyDescent="0.55000000000000004">
      <c r="A910">
        <v>93</v>
      </c>
      <c r="B910" t="str">
        <f t="shared" si="109"/>
        <v>93_0</v>
      </c>
      <c r="C910" s="2">
        <v>45637.465277777781</v>
      </c>
      <c r="D910" t="s">
        <v>221</v>
      </c>
      <c r="E910">
        <v>2</v>
      </c>
      <c r="F910" t="s">
        <v>236</v>
      </c>
      <c r="G910" t="str">
        <f t="shared" si="110"/>
        <v>Carassius auratus</v>
      </c>
      <c r="H910" t="str">
        <f t="shared" si="111"/>
        <v>Goldfish</v>
      </c>
      <c r="I910" t="str">
        <f t="shared" si="112"/>
        <v>Morihana</v>
      </c>
      <c r="J910" t="str">
        <f t="shared" si="113"/>
        <v>Nonnative</v>
      </c>
      <c r="K910" t="str">
        <f t="shared" si="114"/>
        <v>No</v>
      </c>
      <c r="M910">
        <v>135</v>
      </c>
      <c r="N910">
        <v>54</v>
      </c>
      <c r="O910">
        <v>1</v>
      </c>
      <c r="T910" t="str">
        <f t="shared" si="115"/>
        <v/>
      </c>
    </row>
    <row r="911" spans="1:20" x14ac:dyDescent="0.55000000000000004">
      <c r="A911">
        <v>93</v>
      </c>
      <c r="B911" t="str">
        <f t="shared" si="109"/>
        <v>93_0</v>
      </c>
      <c r="C911" s="2">
        <v>45637.465277777781</v>
      </c>
      <c r="D911" t="s">
        <v>221</v>
      </c>
      <c r="E911">
        <v>2</v>
      </c>
      <c r="F911" t="s">
        <v>236</v>
      </c>
      <c r="G911" t="str">
        <f t="shared" si="110"/>
        <v>Carassius auratus</v>
      </c>
      <c r="H911" t="str">
        <f t="shared" si="111"/>
        <v>Goldfish</v>
      </c>
      <c r="I911" t="str">
        <f t="shared" si="112"/>
        <v>Morihana</v>
      </c>
      <c r="J911" t="str">
        <f t="shared" si="113"/>
        <v>Nonnative</v>
      </c>
      <c r="K911" t="str">
        <f t="shared" si="114"/>
        <v>No</v>
      </c>
      <c r="M911">
        <v>130</v>
      </c>
      <c r="N911">
        <v>57</v>
      </c>
      <c r="O911">
        <v>1</v>
      </c>
      <c r="T911" t="str">
        <f t="shared" si="115"/>
        <v/>
      </c>
    </row>
    <row r="912" spans="1:20" x14ac:dyDescent="0.55000000000000004">
      <c r="A912">
        <v>93</v>
      </c>
      <c r="B912" t="str">
        <f t="shared" si="109"/>
        <v>93_0</v>
      </c>
      <c r="C912" s="2">
        <v>45637.465277777781</v>
      </c>
      <c r="D912" t="s">
        <v>221</v>
      </c>
      <c r="E912">
        <v>2</v>
      </c>
      <c r="F912" t="s">
        <v>236</v>
      </c>
      <c r="G912" t="str">
        <f t="shared" si="110"/>
        <v>Carassius auratus</v>
      </c>
      <c r="H912" t="str">
        <f t="shared" si="111"/>
        <v>Goldfish</v>
      </c>
      <c r="I912" t="str">
        <f t="shared" si="112"/>
        <v>Morihana</v>
      </c>
      <c r="J912" t="str">
        <f t="shared" si="113"/>
        <v>Nonnative</v>
      </c>
      <c r="K912" t="str">
        <f t="shared" si="114"/>
        <v>No</v>
      </c>
      <c r="M912">
        <v>179</v>
      </c>
      <c r="N912">
        <v>167</v>
      </c>
      <c r="O912">
        <v>1</v>
      </c>
      <c r="T912" t="str">
        <f t="shared" si="115"/>
        <v/>
      </c>
    </row>
    <row r="913" spans="1:20" x14ac:dyDescent="0.55000000000000004">
      <c r="A913">
        <v>93</v>
      </c>
      <c r="B913" t="str">
        <f t="shared" si="109"/>
        <v>93_0</v>
      </c>
      <c r="C913" s="2">
        <v>45637.465277777781</v>
      </c>
      <c r="D913" t="s">
        <v>221</v>
      </c>
      <c r="E913">
        <v>2</v>
      </c>
      <c r="F913" t="s">
        <v>236</v>
      </c>
      <c r="G913" t="str">
        <f t="shared" si="110"/>
        <v>Carassius auratus</v>
      </c>
      <c r="H913" t="str">
        <f t="shared" si="111"/>
        <v>Goldfish</v>
      </c>
      <c r="I913" t="str">
        <f t="shared" si="112"/>
        <v>Morihana</v>
      </c>
      <c r="J913" t="str">
        <f t="shared" si="113"/>
        <v>Nonnative</v>
      </c>
      <c r="K913" t="str">
        <f t="shared" si="114"/>
        <v>No</v>
      </c>
      <c r="M913">
        <v>159</v>
      </c>
      <c r="N913">
        <v>96</v>
      </c>
      <c r="O913">
        <v>1</v>
      </c>
      <c r="T913" t="str">
        <f t="shared" si="115"/>
        <v/>
      </c>
    </row>
    <row r="914" spans="1:20" x14ac:dyDescent="0.55000000000000004">
      <c r="A914">
        <v>93</v>
      </c>
      <c r="B914" t="str">
        <f t="shared" si="109"/>
        <v>93_0</v>
      </c>
      <c r="C914" s="2">
        <v>45637.465277777781</v>
      </c>
      <c r="D914" t="s">
        <v>221</v>
      </c>
      <c r="E914">
        <v>2</v>
      </c>
      <c r="F914" t="s">
        <v>236</v>
      </c>
      <c r="G914" t="str">
        <f t="shared" si="110"/>
        <v>Carassius auratus</v>
      </c>
      <c r="H914" t="str">
        <f t="shared" si="111"/>
        <v>Goldfish</v>
      </c>
      <c r="I914" t="str">
        <f t="shared" si="112"/>
        <v>Morihana</v>
      </c>
      <c r="J914" t="str">
        <f t="shared" si="113"/>
        <v>Nonnative</v>
      </c>
      <c r="K914" t="str">
        <f t="shared" si="114"/>
        <v>No</v>
      </c>
      <c r="M914">
        <v>129</v>
      </c>
      <c r="N914">
        <v>53</v>
      </c>
      <c r="O914">
        <v>1</v>
      </c>
      <c r="T914" t="str">
        <f t="shared" si="115"/>
        <v/>
      </c>
    </row>
    <row r="915" spans="1:20" x14ac:dyDescent="0.55000000000000004">
      <c r="A915">
        <v>93</v>
      </c>
      <c r="B915" t="str">
        <f t="shared" si="109"/>
        <v>93_0</v>
      </c>
      <c r="C915" s="2">
        <v>45637.465277777781</v>
      </c>
      <c r="D915" t="s">
        <v>221</v>
      </c>
      <c r="E915">
        <v>2</v>
      </c>
      <c r="F915" t="s">
        <v>236</v>
      </c>
      <c r="G915" t="str">
        <f t="shared" si="110"/>
        <v>Carassius auratus</v>
      </c>
      <c r="H915" t="str">
        <f t="shared" si="111"/>
        <v>Goldfish</v>
      </c>
      <c r="I915" t="str">
        <f t="shared" si="112"/>
        <v>Morihana</v>
      </c>
      <c r="J915" t="str">
        <f t="shared" si="113"/>
        <v>Nonnative</v>
      </c>
      <c r="K915" t="str">
        <f t="shared" si="114"/>
        <v>No</v>
      </c>
      <c r="M915">
        <v>143</v>
      </c>
      <c r="N915">
        <v>68</v>
      </c>
      <c r="O915">
        <v>1</v>
      </c>
      <c r="T915" t="str">
        <f t="shared" si="115"/>
        <v/>
      </c>
    </row>
    <row r="916" spans="1:20" x14ac:dyDescent="0.55000000000000004">
      <c r="A916">
        <v>93</v>
      </c>
      <c r="B916" t="str">
        <f t="shared" si="109"/>
        <v>93_0</v>
      </c>
      <c r="C916" s="2">
        <v>45637.465277777781</v>
      </c>
      <c r="D916" t="s">
        <v>221</v>
      </c>
      <c r="E916">
        <v>2</v>
      </c>
      <c r="F916" t="s">
        <v>236</v>
      </c>
      <c r="G916" t="str">
        <f t="shared" si="110"/>
        <v>Carassius auratus</v>
      </c>
      <c r="H916" t="str">
        <f t="shared" si="111"/>
        <v>Goldfish</v>
      </c>
      <c r="I916" t="str">
        <f t="shared" si="112"/>
        <v>Morihana</v>
      </c>
      <c r="J916" t="str">
        <f t="shared" si="113"/>
        <v>Nonnative</v>
      </c>
      <c r="K916" t="str">
        <f t="shared" si="114"/>
        <v>No</v>
      </c>
      <c r="M916">
        <v>125</v>
      </c>
      <c r="N916">
        <v>47</v>
      </c>
      <c r="O916">
        <v>1</v>
      </c>
      <c r="T916" t="str">
        <f t="shared" si="115"/>
        <v/>
      </c>
    </row>
    <row r="917" spans="1:20" x14ac:dyDescent="0.55000000000000004">
      <c r="A917">
        <v>93</v>
      </c>
      <c r="B917" t="str">
        <f t="shared" si="109"/>
        <v>93_0</v>
      </c>
      <c r="C917" s="2">
        <v>45637.465277777781</v>
      </c>
      <c r="D917" t="s">
        <v>221</v>
      </c>
      <c r="E917">
        <v>2</v>
      </c>
      <c r="F917" t="s">
        <v>236</v>
      </c>
      <c r="G917" t="str">
        <f t="shared" si="110"/>
        <v>Carassius auratus</v>
      </c>
      <c r="H917" t="str">
        <f t="shared" si="111"/>
        <v>Goldfish</v>
      </c>
      <c r="I917" t="str">
        <f t="shared" si="112"/>
        <v>Morihana</v>
      </c>
      <c r="J917" t="str">
        <f t="shared" si="113"/>
        <v>Nonnative</v>
      </c>
      <c r="K917" t="str">
        <f t="shared" si="114"/>
        <v>No</v>
      </c>
      <c r="M917">
        <v>135</v>
      </c>
      <c r="N917">
        <v>61</v>
      </c>
      <c r="O917">
        <v>1</v>
      </c>
      <c r="T917" t="str">
        <f t="shared" si="115"/>
        <v/>
      </c>
    </row>
    <row r="918" spans="1:20" x14ac:dyDescent="0.55000000000000004">
      <c r="A918">
        <v>93</v>
      </c>
      <c r="B918" t="str">
        <f t="shared" si="109"/>
        <v>93_0</v>
      </c>
      <c r="C918" s="2">
        <v>45637.465277777781</v>
      </c>
      <c r="D918" t="s">
        <v>221</v>
      </c>
      <c r="E918">
        <v>2</v>
      </c>
      <c r="F918" t="s">
        <v>236</v>
      </c>
      <c r="G918" t="str">
        <f t="shared" si="110"/>
        <v>Carassius auratus</v>
      </c>
      <c r="H918" t="str">
        <f t="shared" si="111"/>
        <v>Goldfish</v>
      </c>
      <c r="I918" t="str">
        <f t="shared" si="112"/>
        <v>Morihana</v>
      </c>
      <c r="J918" t="str">
        <f t="shared" si="113"/>
        <v>Nonnative</v>
      </c>
      <c r="K918" t="str">
        <f t="shared" si="114"/>
        <v>No</v>
      </c>
      <c r="M918">
        <v>131</v>
      </c>
      <c r="N918">
        <v>48</v>
      </c>
      <c r="O918">
        <v>1</v>
      </c>
      <c r="T918" t="str">
        <f t="shared" si="115"/>
        <v/>
      </c>
    </row>
    <row r="919" spans="1:20" x14ac:dyDescent="0.55000000000000004">
      <c r="A919">
        <v>93</v>
      </c>
      <c r="B919" t="str">
        <f t="shared" si="109"/>
        <v>93_0</v>
      </c>
      <c r="C919" s="2">
        <v>45637.465277777781</v>
      </c>
      <c r="D919" t="s">
        <v>221</v>
      </c>
      <c r="E919">
        <v>2</v>
      </c>
      <c r="F919" t="s">
        <v>236</v>
      </c>
      <c r="G919" t="str">
        <f t="shared" si="110"/>
        <v>Carassius auratus</v>
      </c>
      <c r="H919" t="str">
        <f t="shared" si="111"/>
        <v>Goldfish</v>
      </c>
      <c r="I919" t="str">
        <f t="shared" si="112"/>
        <v>Morihana</v>
      </c>
      <c r="J919" t="str">
        <f t="shared" si="113"/>
        <v>Nonnative</v>
      </c>
      <c r="K919" t="str">
        <f t="shared" si="114"/>
        <v>No</v>
      </c>
      <c r="M919">
        <v>104</v>
      </c>
      <c r="N919">
        <v>25</v>
      </c>
      <c r="O919">
        <v>1</v>
      </c>
      <c r="T919" t="str">
        <f t="shared" si="115"/>
        <v/>
      </c>
    </row>
    <row r="920" spans="1:20" x14ac:dyDescent="0.55000000000000004">
      <c r="A920">
        <v>93</v>
      </c>
      <c r="B920" t="str">
        <f t="shared" si="109"/>
        <v>93_0</v>
      </c>
      <c r="C920" s="2">
        <v>45637.465277777781</v>
      </c>
      <c r="D920" t="s">
        <v>221</v>
      </c>
      <c r="E920">
        <v>2</v>
      </c>
      <c r="F920" t="s">
        <v>236</v>
      </c>
      <c r="G920" t="str">
        <f t="shared" si="110"/>
        <v>Carassius auratus</v>
      </c>
      <c r="H920" t="str">
        <f t="shared" si="111"/>
        <v>Goldfish</v>
      </c>
      <c r="I920" t="str">
        <f t="shared" si="112"/>
        <v>Morihana</v>
      </c>
      <c r="J920" t="str">
        <f t="shared" si="113"/>
        <v>Nonnative</v>
      </c>
      <c r="K920" t="str">
        <f t="shared" si="114"/>
        <v>No</v>
      </c>
      <c r="M920">
        <v>101</v>
      </c>
      <c r="N920">
        <v>20</v>
      </c>
      <c r="O920">
        <v>1</v>
      </c>
      <c r="T920" t="str">
        <f t="shared" si="115"/>
        <v/>
      </c>
    </row>
    <row r="921" spans="1:20" x14ac:dyDescent="0.55000000000000004">
      <c r="A921">
        <v>93</v>
      </c>
      <c r="B921" t="str">
        <f t="shared" si="109"/>
        <v>93_0</v>
      </c>
      <c r="C921" s="2">
        <v>45637.465277777781</v>
      </c>
      <c r="D921" t="s">
        <v>221</v>
      </c>
      <c r="E921">
        <v>2</v>
      </c>
      <c r="F921" t="s">
        <v>236</v>
      </c>
      <c r="G921" t="str">
        <f t="shared" si="110"/>
        <v>Carassius auratus</v>
      </c>
      <c r="H921" t="str">
        <f t="shared" si="111"/>
        <v>Goldfish</v>
      </c>
      <c r="I921" t="str">
        <f t="shared" si="112"/>
        <v>Morihana</v>
      </c>
      <c r="J921" t="str">
        <f t="shared" si="113"/>
        <v>Nonnative</v>
      </c>
      <c r="K921" t="str">
        <f t="shared" si="114"/>
        <v>No</v>
      </c>
      <c r="M921">
        <v>57</v>
      </c>
      <c r="N921">
        <v>2</v>
      </c>
      <c r="O921">
        <v>1</v>
      </c>
      <c r="T921" t="str">
        <f t="shared" si="115"/>
        <v/>
      </c>
    </row>
    <row r="922" spans="1:20" x14ac:dyDescent="0.55000000000000004">
      <c r="A922">
        <v>93</v>
      </c>
      <c r="B922" t="str">
        <f t="shared" si="109"/>
        <v>93_0</v>
      </c>
      <c r="C922" s="2">
        <v>45637.465277777781</v>
      </c>
      <c r="D922" t="s">
        <v>221</v>
      </c>
      <c r="E922">
        <v>2</v>
      </c>
      <c r="F922" t="s">
        <v>236</v>
      </c>
      <c r="G922" t="str">
        <f t="shared" si="110"/>
        <v>Carassius auratus</v>
      </c>
      <c r="H922" t="str">
        <f t="shared" si="111"/>
        <v>Goldfish</v>
      </c>
      <c r="I922" t="str">
        <f t="shared" si="112"/>
        <v>Morihana</v>
      </c>
      <c r="J922" t="str">
        <f t="shared" si="113"/>
        <v>Nonnative</v>
      </c>
      <c r="K922" t="str">
        <f t="shared" si="114"/>
        <v>No</v>
      </c>
      <c r="M922">
        <v>70</v>
      </c>
      <c r="N922">
        <v>9</v>
      </c>
      <c r="O922">
        <v>1</v>
      </c>
      <c r="T922" t="str">
        <f t="shared" si="115"/>
        <v/>
      </c>
    </row>
    <row r="923" spans="1:20" x14ac:dyDescent="0.55000000000000004">
      <c r="A923">
        <v>93</v>
      </c>
      <c r="B923" t="str">
        <f t="shared" si="109"/>
        <v>93_0</v>
      </c>
      <c r="C923" s="2">
        <v>45637.465277777781</v>
      </c>
      <c r="D923" t="s">
        <v>221</v>
      </c>
      <c r="E923">
        <v>2</v>
      </c>
      <c r="F923" t="s">
        <v>236</v>
      </c>
      <c r="G923" t="str">
        <f t="shared" si="110"/>
        <v>Carassius auratus</v>
      </c>
      <c r="H923" t="str">
        <f t="shared" si="111"/>
        <v>Goldfish</v>
      </c>
      <c r="I923" t="str">
        <f t="shared" si="112"/>
        <v>Morihana</v>
      </c>
      <c r="J923" t="str">
        <f t="shared" si="113"/>
        <v>Nonnative</v>
      </c>
      <c r="K923" t="str">
        <f t="shared" si="114"/>
        <v>No</v>
      </c>
      <c r="M923">
        <v>65</v>
      </c>
      <c r="N923">
        <v>12</v>
      </c>
      <c r="O923">
        <v>1</v>
      </c>
      <c r="T923" t="str">
        <f t="shared" si="115"/>
        <v/>
      </c>
    </row>
    <row r="924" spans="1:20" x14ac:dyDescent="0.55000000000000004">
      <c r="A924">
        <v>93</v>
      </c>
      <c r="B924" t="str">
        <f t="shared" si="109"/>
        <v>93_0</v>
      </c>
      <c r="C924" s="2">
        <v>45637.465277777781</v>
      </c>
      <c r="D924" t="s">
        <v>221</v>
      </c>
      <c r="E924">
        <v>2</v>
      </c>
      <c r="F924" t="s">
        <v>236</v>
      </c>
      <c r="G924" t="str">
        <f t="shared" si="110"/>
        <v>Carassius auratus</v>
      </c>
      <c r="H924" t="str">
        <f t="shared" si="111"/>
        <v>Goldfish</v>
      </c>
      <c r="I924" t="str">
        <f t="shared" si="112"/>
        <v>Morihana</v>
      </c>
      <c r="J924" t="str">
        <f t="shared" si="113"/>
        <v>Nonnative</v>
      </c>
      <c r="K924" t="str">
        <f t="shared" si="114"/>
        <v>No</v>
      </c>
      <c r="M924">
        <v>70</v>
      </c>
      <c r="N924">
        <v>6</v>
      </c>
      <c r="O924">
        <v>1</v>
      </c>
      <c r="T924" t="str">
        <f t="shared" si="115"/>
        <v/>
      </c>
    </row>
    <row r="925" spans="1:20" x14ac:dyDescent="0.55000000000000004">
      <c r="A925">
        <v>93</v>
      </c>
      <c r="B925" t="str">
        <f t="shared" si="109"/>
        <v>93_0</v>
      </c>
      <c r="C925" s="2">
        <v>45637.465277777781</v>
      </c>
      <c r="D925" t="s">
        <v>221</v>
      </c>
      <c r="E925">
        <v>2</v>
      </c>
      <c r="F925" t="s">
        <v>236</v>
      </c>
      <c r="G925" t="str">
        <f t="shared" si="110"/>
        <v>Carassius auratus</v>
      </c>
      <c r="H925" t="str">
        <f t="shared" si="111"/>
        <v>Goldfish</v>
      </c>
      <c r="I925" t="str">
        <f t="shared" si="112"/>
        <v>Morihana</v>
      </c>
      <c r="J925" t="str">
        <f t="shared" si="113"/>
        <v>Nonnative</v>
      </c>
      <c r="K925" t="str">
        <f t="shared" si="114"/>
        <v>No</v>
      </c>
      <c r="M925">
        <v>59</v>
      </c>
      <c r="N925">
        <v>6</v>
      </c>
      <c r="O925">
        <v>1</v>
      </c>
      <c r="T925" t="str">
        <f t="shared" si="115"/>
        <v/>
      </c>
    </row>
    <row r="926" spans="1:20" x14ac:dyDescent="0.55000000000000004">
      <c r="A926">
        <v>93</v>
      </c>
      <c r="B926" t="str">
        <f t="shared" si="109"/>
        <v>93_0</v>
      </c>
      <c r="C926" s="2">
        <v>45637.465277777781</v>
      </c>
      <c r="D926" t="s">
        <v>221</v>
      </c>
      <c r="E926">
        <v>2</v>
      </c>
      <c r="F926" t="s">
        <v>242</v>
      </c>
      <c r="G926" t="str">
        <f t="shared" si="110"/>
        <v>Gobiomorphus cotidianus</v>
      </c>
      <c r="H926" t="str">
        <f t="shared" si="111"/>
        <v>Common_bully</v>
      </c>
      <c r="I926" t="str">
        <f t="shared" si="112"/>
        <v>Toitoi</v>
      </c>
      <c r="J926" t="str">
        <f t="shared" si="113"/>
        <v>Native</v>
      </c>
      <c r="K926" t="str">
        <f t="shared" si="114"/>
        <v>No</v>
      </c>
      <c r="N926">
        <f>215-117</f>
        <v>98</v>
      </c>
      <c r="S926">
        <v>0.6</v>
      </c>
      <c r="T926">
        <f t="shared" si="115"/>
        <v>141.9528</v>
      </c>
    </row>
    <row r="927" spans="1:20" x14ac:dyDescent="0.55000000000000004">
      <c r="A927">
        <v>94</v>
      </c>
      <c r="B927" t="str">
        <f t="shared" si="109"/>
        <v>94_0</v>
      </c>
      <c r="C927" s="2">
        <v>45638.5625</v>
      </c>
      <c r="D927" t="s">
        <v>245</v>
      </c>
      <c r="E927">
        <v>2</v>
      </c>
      <c r="F927" t="s">
        <v>242</v>
      </c>
      <c r="G927" t="str">
        <f t="shared" si="110"/>
        <v>Gobiomorphus cotidianus</v>
      </c>
      <c r="H927" t="str">
        <f t="shared" si="111"/>
        <v>Common_bully</v>
      </c>
      <c r="I927" t="str">
        <f t="shared" si="112"/>
        <v>Toitoi</v>
      </c>
      <c r="J927" t="str">
        <f t="shared" si="113"/>
        <v>Native</v>
      </c>
      <c r="K927" t="str">
        <f t="shared" si="114"/>
        <v>No</v>
      </c>
      <c r="N927">
        <v>27</v>
      </c>
      <c r="T927" t="str">
        <f t="shared" si="115"/>
        <v/>
      </c>
    </row>
    <row r="928" spans="1:20" x14ac:dyDescent="0.55000000000000004">
      <c r="A928">
        <v>94</v>
      </c>
      <c r="B928" t="str">
        <f t="shared" si="109"/>
        <v>94_0</v>
      </c>
      <c r="C928" s="2">
        <v>45638.5625</v>
      </c>
      <c r="D928" t="s">
        <v>221</v>
      </c>
      <c r="E928">
        <v>2</v>
      </c>
      <c r="F928" t="s">
        <v>236</v>
      </c>
      <c r="G928" t="str">
        <f t="shared" si="110"/>
        <v>Carassius auratus</v>
      </c>
      <c r="H928" t="str">
        <f t="shared" si="111"/>
        <v>Goldfish</v>
      </c>
      <c r="I928" t="str">
        <f t="shared" si="112"/>
        <v>Morihana</v>
      </c>
      <c r="J928" t="str">
        <f t="shared" si="113"/>
        <v>Nonnative</v>
      </c>
      <c r="K928" t="str">
        <f t="shared" si="114"/>
        <v>No</v>
      </c>
      <c r="M928">
        <v>205</v>
      </c>
      <c r="N928">
        <v>228</v>
      </c>
      <c r="O928">
        <v>1</v>
      </c>
      <c r="T928" t="str">
        <f t="shared" si="115"/>
        <v/>
      </c>
    </row>
    <row r="929" spans="1:20" x14ac:dyDescent="0.55000000000000004">
      <c r="A929">
        <v>94</v>
      </c>
      <c r="B929" t="str">
        <f t="shared" si="109"/>
        <v>94_0</v>
      </c>
      <c r="C929" s="2">
        <v>45638.5625</v>
      </c>
      <c r="D929" t="s">
        <v>221</v>
      </c>
      <c r="E929">
        <v>2</v>
      </c>
      <c r="F929" t="s">
        <v>236</v>
      </c>
      <c r="G929" t="str">
        <f t="shared" si="110"/>
        <v>Carassius auratus</v>
      </c>
      <c r="H929" t="str">
        <f t="shared" si="111"/>
        <v>Goldfish</v>
      </c>
      <c r="I929" t="str">
        <f t="shared" si="112"/>
        <v>Morihana</v>
      </c>
      <c r="J929" t="str">
        <f t="shared" si="113"/>
        <v>Nonnative</v>
      </c>
      <c r="K929" t="str">
        <f t="shared" si="114"/>
        <v>No</v>
      </c>
      <c r="M929">
        <v>169</v>
      </c>
      <c r="N929">
        <v>114</v>
      </c>
      <c r="O929">
        <v>1</v>
      </c>
      <c r="T929" t="str">
        <f t="shared" si="115"/>
        <v/>
      </c>
    </row>
    <row r="930" spans="1:20" x14ac:dyDescent="0.55000000000000004">
      <c r="A930">
        <v>94</v>
      </c>
      <c r="B930" t="str">
        <f t="shared" si="109"/>
        <v>94_0</v>
      </c>
      <c r="C930" s="2">
        <v>45638.5625</v>
      </c>
      <c r="D930" t="s">
        <v>221</v>
      </c>
      <c r="E930">
        <v>2</v>
      </c>
      <c r="F930" t="s">
        <v>236</v>
      </c>
      <c r="G930" t="str">
        <f t="shared" si="110"/>
        <v>Carassius auratus</v>
      </c>
      <c r="H930" t="str">
        <f t="shared" si="111"/>
        <v>Goldfish</v>
      </c>
      <c r="I930" t="str">
        <f t="shared" si="112"/>
        <v>Morihana</v>
      </c>
      <c r="J930" t="str">
        <f t="shared" si="113"/>
        <v>Nonnative</v>
      </c>
      <c r="K930" t="str">
        <f t="shared" si="114"/>
        <v>No</v>
      </c>
      <c r="M930">
        <v>156</v>
      </c>
      <c r="N930">
        <v>100</v>
      </c>
      <c r="O930">
        <v>1</v>
      </c>
      <c r="T930" t="str">
        <f t="shared" si="115"/>
        <v/>
      </c>
    </row>
    <row r="931" spans="1:20" x14ac:dyDescent="0.55000000000000004">
      <c r="A931">
        <v>94</v>
      </c>
      <c r="B931" t="str">
        <f t="shared" si="109"/>
        <v>94_0</v>
      </c>
      <c r="C931" s="2">
        <v>45638.5625</v>
      </c>
      <c r="D931" t="s">
        <v>221</v>
      </c>
      <c r="E931">
        <v>2</v>
      </c>
      <c r="F931" t="s">
        <v>236</v>
      </c>
      <c r="G931" t="str">
        <f t="shared" si="110"/>
        <v>Carassius auratus</v>
      </c>
      <c r="H931" t="str">
        <f t="shared" si="111"/>
        <v>Goldfish</v>
      </c>
      <c r="I931" t="str">
        <f t="shared" si="112"/>
        <v>Morihana</v>
      </c>
      <c r="J931" t="str">
        <f t="shared" si="113"/>
        <v>Nonnative</v>
      </c>
      <c r="K931" t="str">
        <f t="shared" si="114"/>
        <v>No</v>
      </c>
      <c r="M931">
        <v>165</v>
      </c>
      <c r="N931">
        <v>110</v>
      </c>
      <c r="O931">
        <v>1</v>
      </c>
      <c r="T931" t="str">
        <f t="shared" si="115"/>
        <v/>
      </c>
    </row>
    <row r="932" spans="1:20" x14ac:dyDescent="0.55000000000000004">
      <c r="A932">
        <v>94</v>
      </c>
      <c r="B932" t="str">
        <f t="shared" si="109"/>
        <v>94_0</v>
      </c>
      <c r="C932" s="2">
        <v>45638.5625</v>
      </c>
      <c r="D932" t="s">
        <v>221</v>
      </c>
      <c r="E932">
        <v>2</v>
      </c>
      <c r="F932" t="s">
        <v>236</v>
      </c>
      <c r="G932" t="str">
        <f t="shared" si="110"/>
        <v>Carassius auratus</v>
      </c>
      <c r="H932" t="str">
        <f t="shared" si="111"/>
        <v>Goldfish</v>
      </c>
      <c r="I932" t="str">
        <f t="shared" si="112"/>
        <v>Morihana</v>
      </c>
      <c r="J932" t="str">
        <f t="shared" si="113"/>
        <v>Nonnative</v>
      </c>
      <c r="K932" t="str">
        <f t="shared" si="114"/>
        <v>No</v>
      </c>
      <c r="M932">
        <v>137</v>
      </c>
      <c r="N932">
        <v>67</v>
      </c>
      <c r="O932">
        <v>1</v>
      </c>
      <c r="T932" t="str">
        <f t="shared" si="115"/>
        <v/>
      </c>
    </row>
    <row r="933" spans="1:20" x14ac:dyDescent="0.55000000000000004">
      <c r="A933">
        <v>94</v>
      </c>
      <c r="B933" t="str">
        <f t="shared" si="109"/>
        <v>94_0</v>
      </c>
      <c r="C933" s="2">
        <v>45638.5625</v>
      </c>
      <c r="D933" t="s">
        <v>221</v>
      </c>
      <c r="E933">
        <v>2</v>
      </c>
      <c r="F933" t="s">
        <v>236</v>
      </c>
      <c r="G933" t="str">
        <f t="shared" si="110"/>
        <v>Carassius auratus</v>
      </c>
      <c r="H933" t="str">
        <f t="shared" si="111"/>
        <v>Goldfish</v>
      </c>
      <c r="I933" t="str">
        <f t="shared" si="112"/>
        <v>Morihana</v>
      </c>
      <c r="J933" t="str">
        <f t="shared" si="113"/>
        <v>Nonnative</v>
      </c>
      <c r="K933" t="str">
        <f t="shared" si="114"/>
        <v>No</v>
      </c>
      <c r="M933">
        <v>140</v>
      </c>
      <c r="N933">
        <v>46</v>
      </c>
      <c r="O933">
        <v>1</v>
      </c>
      <c r="T933" t="str">
        <f t="shared" si="115"/>
        <v/>
      </c>
    </row>
    <row r="934" spans="1:20" x14ac:dyDescent="0.55000000000000004">
      <c r="A934">
        <v>94</v>
      </c>
      <c r="B934" t="str">
        <f t="shared" si="109"/>
        <v>94_0</v>
      </c>
      <c r="C934" s="2">
        <v>45638.5625</v>
      </c>
      <c r="D934" t="s">
        <v>221</v>
      </c>
      <c r="E934">
        <v>2</v>
      </c>
      <c r="F934" t="s">
        <v>236</v>
      </c>
      <c r="G934" t="str">
        <f t="shared" si="110"/>
        <v>Carassius auratus</v>
      </c>
      <c r="H934" t="str">
        <f t="shared" si="111"/>
        <v>Goldfish</v>
      </c>
      <c r="I934" t="str">
        <f t="shared" si="112"/>
        <v>Morihana</v>
      </c>
      <c r="J934" t="str">
        <f t="shared" si="113"/>
        <v>Nonnative</v>
      </c>
      <c r="K934" t="str">
        <f t="shared" si="114"/>
        <v>No</v>
      </c>
      <c r="M934">
        <v>185</v>
      </c>
      <c r="N934">
        <v>142</v>
      </c>
      <c r="O934">
        <v>1</v>
      </c>
      <c r="T934" t="str">
        <f t="shared" si="115"/>
        <v/>
      </c>
    </row>
    <row r="935" spans="1:20" x14ac:dyDescent="0.55000000000000004">
      <c r="A935">
        <v>94</v>
      </c>
      <c r="B935" t="str">
        <f t="shared" si="109"/>
        <v>94_0</v>
      </c>
      <c r="C935" s="2">
        <v>45638.5625</v>
      </c>
      <c r="D935" t="s">
        <v>221</v>
      </c>
      <c r="E935">
        <v>2</v>
      </c>
      <c r="F935" t="s">
        <v>236</v>
      </c>
      <c r="G935" t="str">
        <f t="shared" si="110"/>
        <v>Carassius auratus</v>
      </c>
      <c r="H935" t="str">
        <f t="shared" si="111"/>
        <v>Goldfish</v>
      </c>
      <c r="I935" t="str">
        <f t="shared" si="112"/>
        <v>Morihana</v>
      </c>
      <c r="J935" t="str">
        <f t="shared" si="113"/>
        <v>Nonnative</v>
      </c>
      <c r="K935" t="str">
        <f t="shared" si="114"/>
        <v>No</v>
      </c>
      <c r="M935">
        <v>125</v>
      </c>
      <c r="N935">
        <v>41</v>
      </c>
      <c r="O935">
        <v>1</v>
      </c>
      <c r="T935" t="str">
        <f t="shared" si="115"/>
        <v/>
      </c>
    </row>
    <row r="936" spans="1:20" x14ac:dyDescent="0.55000000000000004">
      <c r="A936">
        <v>94</v>
      </c>
      <c r="B936" t="str">
        <f t="shared" si="109"/>
        <v>94_0</v>
      </c>
      <c r="C936" s="2">
        <v>45638.5625</v>
      </c>
      <c r="D936" t="s">
        <v>221</v>
      </c>
      <c r="E936">
        <v>2</v>
      </c>
      <c r="F936" t="s">
        <v>236</v>
      </c>
      <c r="G936" t="str">
        <f t="shared" si="110"/>
        <v>Carassius auratus</v>
      </c>
      <c r="H936" t="str">
        <f t="shared" si="111"/>
        <v>Goldfish</v>
      </c>
      <c r="I936" t="str">
        <f t="shared" si="112"/>
        <v>Morihana</v>
      </c>
      <c r="J936" t="str">
        <f t="shared" si="113"/>
        <v>Nonnative</v>
      </c>
      <c r="K936" t="str">
        <f t="shared" si="114"/>
        <v>No</v>
      </c>
      <c r="M936">
        <v>121</v>
      </c>
      <c r="N936">
        <v>42</v>
      </c>
      <c r="O936">
        <v>1</v>
      </c>
      <c r="T936" t="str">
        <f t="shared" si="115"/>
        <v/>
      </c>
    </row>
    <row r="937" spans="1:20" x14ac:dyDescent="0.55000000000000004">
      <c r="A937">
        <v>94</v>
      </c>
      <c r="B937" t="str">
        <f t="shared" si="109"/>
        <v>94_0</v>
      </c>
      <c r="C937" s="2">
        <v>45638.5625</v>
      </c>
      <c r="D937" t="s">
        <v>221</v>
      </c>
      <c r="E937">
        <v>2</v>
      </c>
      <c r="F937" t="s">
        <v>236</v>
      </c>
      <c r="G937" t="str">
        <f t="shared" si="110"/>
        <v>Carassius auratus</v>
      </c>
      <c r="H937" t="str">
        <f t="shared" si="111"/>
        <v>Goldfish</v>
      </c>
      <c r="I937" t="str">
        <f t="shared" si="112"/>
        <v>Morihana</v>
      </c>
      <c r="J937" t="str">
        <f t="shared" si="113"/>
        <v>Nonnative</v>
      </c>
      <c r="K937" t="str">
        <f t="shared" si="114"/>
        <v>No</v>
      </c>
      <c r="M937">
        <v>124</v>
      </c>
      <c r="N937">
        <v>44</v>
      </c>
      <c r="O937">
        <v>1</v>
      </c>
      <c r="T937" t="str">
        <f t="shared" si="115"/>
        <v/>
      </c>
    </row>
    <row r="938" spans="1:20" x14ac:dyDescent="0.55000000000000004">
      <c r="A938">
        <v>94</v>
      </c>
      <c r="B938" t="str">
        <f t="shared" si="109"/>
        <v>94_0</v>
      </c>
      <c r="C938" s="2">
        <v>45638.5625</v>
      </c>
      <c r="D938" t="s">
        <v>221</v>
      </c>
      <c r="E938">
        <v>2</v>
      </c>
      <c r="F938" t="s">
        <v>236</v>
      </c>
      <c r="G938" t="str">
        <f t="shared" si="110"/>
        <v>Carassius auratus</v>
      </c>
      <c r="H938" t="str">
        <f t="shared" si="111"/>
        <v>Goldfish</v>
      </c>
      <c r="I938" t="str">
        <f t="shared" si="112"/>
        <v>Morihana</v>
      </c>
      <c r="J938" t="str">
        <f t="shared" si="113"/>
        <v>Nonnative</v>
      </c>
      <c r="K938" t="str">
        <f t="shared" si="114"/>
        <v>No</v>
      </c>
      <c r="M938">
        <v>55</v>
      </c>
      <c r="N938">
        <v>4</v>
      </c>
      <c r="O938">
        <v>1</v>
      </c>
      <c r="T938" t="str">
        <f t="shared" si="115"/>
        <v/>
      </c>
    </row>
    <row r="939" spans="1:20" x14ac:dyDescent="0.55000000000000004">
      <c r="A939">
        <v>94</v>
      </c>
      <c r="B939" t="str">
        <f t="shared" si="109"/>
        <v>94_0</v>
      </c>
      <c r="C939" s="2">
        <v>45638.5625</v>
      </c>
      <c r="D939" t="s">
        <v>221</v>
      </c>
      <c r="E939">
        <v>2</v>
      </c>
      <c r="F939" t="s">
        <v>236</v>
      </c>
      <c r="G939" t="str">
        <f t="shared" si="110"/>
        <v>Carassius auratus</v>
      </c>
      <c r="H939" t="str">
        <f t="shared" si="111"/>
        <v>Goldfish</v>
      </c>
      <c r="I939" t="str">
        <f t="shared" si="112"/>
        <v>Morihana</v>
      </c>
      <c r="J939" t="str">
        <f t="shared" si="113"/>
        <v>Nonnative</v>
      </c>
      <c r="K939" t="str">
        <f t="shared" si="114"/>
        <v>No</v>
      </c>
      <c r="M939">
        <v>150</v>
      </c>
      <c r="N939">
        <v>33</v>
      </c>
      <c r="O939">
        <v>1</v>
      </c>
      <c r="T939" t="str">
        <f t="shared" si="115"/>
        <v/>
      </c>
    </row>
    <row r="940" spans="1:20" x14ac:dyDescent="0.55000000000000004">
      <c r="A940">
        <v>94</v>
      </c>
      <c r="B940" t="str">
        <f t="shared" si="109"/>
        <v>94_0</v>
      </c>
      <c r="C940" s="2">
        <v>45638.5625</v>
      </c>
      <c r="D940" t="s">
        <v>221</v>
      </c>
      <c r="E940">
        <v>2</v>
      </c>
      <c r="F940" t="s">
        <v>236</v>
      </c>
      <c r="G940" t="str">
        <f t="shared" si="110"/>
        <v>Carassius auratus</v>
      </c>
      <c r="H940" t="str">
        <f t="shared" si="111"/>
        <v>Goldfish</v>
      </c>
      <c r="I940" t="str">
        <f t="shared" si="112"/>
        <v>Morihana</v>
      </c>
      <c r="J940" t="str">
        <f t="shared" si="113"/>
        <v>Nonnative</v>
      </c>
      <c r="K940" t="str">
        <f t="shared" si="114"/>
        <v>No</v>
      </c>
      <c r="M940">
        <v>124</v>
      </c>
      <c r="N940">
        <v>53</v>
      </c>
      <c r="O940">
        <v>1</v>
      </c>
      <c r="T940" t="str">
        <f t="shared" si="115"/>
        <v/>
      </c>
    </row>
    <row r="941" spans="1:20" x14ac:dyDescent="0.55000000000000004">
      <c r="A941">
        <v>94</v>
      </c>
      <c r="B941" t="str">
        <f t="shared" si="109"/>
        <v>94_0</v>
      </c>
      <c r="C941" s="2">
        <v>45638.5625</v>
      </c>
      <c r="D941" t="s">
        <v>221</v>
      </c>
      <c r="E941">
        <v>2</v>
      </c>
      <c r="F941" t="s">
        <v>236</v>
      </c>
      <c r="G941" t="str">
        <f t="shared" si="110"/>
        <v>Carassius auratus</v>
      </c>
      <c r="H941" t="str">
        <f t="shared" si="111"/>
        <v>Goldfish</v>
      </c>
      <c r="I941" t="str">
        <f t="shared" si="112"/>
        <v>Morihana</v>
      </c>
      <c r="J941" t="str">
        <f t="shared" si="113"/>
        <v>Nonnative</v>
      </c>
      <c r="K941" t="str">
        <f t="shared" si="114"/>
        <v>No</v>
      </c>
      <c r="M941">
        <v>69</v>
      </c>
      <c r="N941">
        <v>7</v>
      </c>
      <c r="O941">
        <v>1</v>
      </c>
      <c r="T941" t="str">
        <f t="shared" si="115"/>
        <v/>
      </c>
    </row>
    <row r="942" spans="1:20" x14ac:dyDescent="0.55000000000000004">
      <c r="A942">
        <v>94</v>
      </c>
      <c r="B942" t="str">
        <f t="shared" si="109"/>
        <v>94_0</v>
      </c>
      <c r="C942" s="2">
        <v>45638.5625</v>
      </c>
      <c r="D942" t="s">
        <v>221</v>
      </c>
      <c r="E942">
        <v>2</v>
      </c>
      <c r="F942" t="s">
        <v>236</v>
      </c>
      <c r="G942" t="str">
        <f t="shared" si="110"/>
        <v>Carassius auratus</v>
      </c>
      <c r="H942" t="str">
        <f t="shared" si="111"/>
        <v>Goldfish</v>
      </c>
      <c r="I942" t="str">
        <f t="shared" si="112"/>
        <v>Morihana</v>
      </c>
      <c r="J942" t="str">
        <f t="shared" si="113"/>
        <v>Nonnative</v>
      </c>
      <c r="K942" t="str">
        <f t="shared" si="114"/>
        <v>No</v>
      </c>
      <c r="M942">
        <v>55</v>
      </c>
      <c r="N942">
        <v>4</v>
      </c>
      <c r="O942">
        <v>1</v>
      </c>
      <c r="T942" t="str">
        <f t="shared" si="115"/>
        <v/>
      </c>
    </row>
    <row r="943" spans="1:20" x14ac:dyDescent="0.55000000000000004">
      <c r="A943">
        <v>94</v>
      </c>
      <c r="B943" t="str">
        <f t="shared" si="109"/>
        <v>94_0</v>
      </c>
      <c r="C943" s="2">
        <v>45638.5625</v>
      </c>
      <c r="D943" t="s">
        <v>221</v>
      </c>
      <c r="E943">
        <v>2</v>
      </c>
      <c r="F943" t="s">
        <v>242</v>
      </c>
      <c r="G943" t="str">
        <f t="shared" si="110"/>
        <v>Gobiomorphus cotidianus</v>
      </c>
      <c r="H943" t="str">
        <f t="shared" si="111"/>
        <v>Common_bully</v>
      </c>
      <c r="I943" t="str">
        <f t="shared" si="112"/>
        <v>Toitoi</v>
      </c>
      <c r="J943" t="str">
        <f t="shared" si="113"/>
        <v>Native</v>
      </c>
      <c r="K943" t="str">
        <f t="shared" si="114"/>
        <v>No</v>
      </c>
      <c r="N943">
        <f>187-117</f>
        <v>70</v>
      </c>
      <c r="S943">
        <v>0.5</v>
      </c>
      <c r="T943">
        <f t="shared" si="115"/>
        <v>118.294</v>
      </c>
    </row>
    <row r="944" spans="1:20" x14ac:dyDescent="0.55000000000000004">
      <c r="A944">
        <v>113</v>
      </c>
      <c r="B944" t="str">
        <f t="shared" si="109"/>
        <v>113_0</v>
      </c>
      <c r="C944" s="2">
        <v>45680.387499942131</v>
      </c>
      <c r="D944" t="s">
        <v>245</v>
      </c>
      <c r="E944">
        <v>2</v>
      </c>
      <c r="F944" t="s">
        <v>222</v>
      </c>
      <c r="G944" t="str">
        <f t="shared" si="110"/>
        <v>Paranephrops planifrons</v>
      </c>
      <c r="H944" t="str">
        <f t="shared" si="111"/>
        <v>Freshwater_crayfish</v>
      </c>
      <c r="I944" t="str">
        <f t="shared" si="112"/>
        <v>Kōura</v>
      </c>
      <c r="J944" t="str">
        <f t="shared" si="113"/>
        <v>Native</v>
      </c>
      <c r="K944" t="str">
        <f t="shared" si="114"/>
        <v>Yes</v>
      </c>
      <c r="L944" t="s">
        <v>223</v>
      </c>
      <c r="M944">
        <v>24.07</v>
      </c>
      <c r="N944">
        <v>10</v>
      </c>
      <c r="O944">
        <v>1</v>
      </c>
      <c r="T944" t="str">
        <f t="shared" si="115"/>
        <v/>
      </c>
    </row>
    <row r="945" spans="1:20" x14ac:dyDescent="0.55000000000000004">
      <c r="A945">
        <v>115</v>
      </c>
      <c r="B945" t="str">
        <f t="shared" si="109"/>
        <v>115_0</v>
      </c>
      <c r="C945" s="2">
        <v>45597.590277777781</v>
      </c>
      <c r="D945" t="s">
        <v>245</v>
      </c>
      <c r="E945">
        <v>2</v>
      </c>
      <c r="F945" t="s">
        <v>222</v>
      </c>
      <c r="G945" t="str">
        <f t="shared" si="110"/>
        <v>Paranephrops planifrons</v>
      </c>
      <c r="H945" t="str">
        <f t="shared" si="111"/>
        <v>Freshwater_crayfish</v>
      </c>
      <c r="I945" t="str">
        <f t="shared" si="112"/>
        <v>Kōura</v>
      </c>
      <c r="J945" t="str">
        <f t="shared" si="113"/>
        <v>Native</v>
      </c>
      <c r="K945" t="str">
        <f t="shared" si="114"/>
        <v>Yes</v>
      </c>
      <c r="L945" t="s">
        <v>223</v>
      </c>
      <c r="M945">
        <v>24</v>
      </c>
      <c r="N945">
        <v>12</v>
      </c>
      <c r="O945">
        <v>1</v>
      </c>
      <c r="T945" t="str">
        <f t="shared" si="115"/>
        <v/>
      </c>
    </row>
    <row r="946" spans="1:20" x14ac:dyDescent="0.55000000000000004">
      <c r="A946">
        <v>95</v>
      </c>
      <c r="B946" t="str">
        <f t="shared" si="109"/>
        <v>95_0</v>
      </c>
      <c r="C946" s="2">
        <v>45638.520833333336</v>
      </c>
      <c r="D946" t="s">
        <v>245</v>
      </c>
      <c r="E946">
        <v>2</v>
      </c>
      <c r="F946" t="s">
        <v>242</v>
      </c>
      <c r="G946" t="str">
        <f t="shared" si="110"/>
        <v>Gobiomorphus cotidianus</v>
      </c>
      <c r="H946" t="str">
        <f t="shared" si="111"/>
        <v>Common_bully</v>
      </c>
      <c r="I946" t="str">
        <f t="shared" si="112"/>
        <v>Toitoi</v>
      </c>
      <c r="J946" t="str">
        <f t="shared" si="113"/>
        <v>Native</v>
      </c>
      <c r="K946" t="str">
        <f t="shared" si="114"/>
        <v>No</v>
      </c>
      <c r="N946">
        <v>45</v>
      </c>
      <c r="S946">
        <v>0.25</v>
      </c>
      <c r="T946">
        <f t="shared" si="115"/>
        <v>59.146999999999998</v>
      </c>
    </row>
    <row r="947" spans="1:20" x14ac:dyDescent="0.55000000000000004">
      <c r="A947">
        <v>117</v>
      </c>
      <c r="B947" t="str">
        <f t="shared" si="109"/>
        <v>117_0</v>
      </c>
      <c r="C947" s="2">
        <v>45597.520833333336</v>
      </c>
      <c r="D947" t="s">
        <v>245</v>
      </c>
      <c r="E947">
        <v>2</v>
      </c>
      <c r="F947" t="s">
        <v>222</v>
      </c>
      <c r="G947" t="str">
        <f t="shared" si="110"/>
        <v>Paranephrops planifrons</v>
      </c>
      <c r="H947" t="str">
        <f t="shared" si="111"/>
        <v>Freshwater_crayfish</v>
      </c>
      <c r="I947" t="str">
        <f t="shared" si="112"/>
        <v>Kōura</v>
      </c>
      <c r="J947" t="str">
        <f t="shared" si="113"/>
        <v>Native</v>
      </c>
      <c r="K947" t="str">
        <f t="shared" si="114"/>
        <v>Yes</v>
      </c>
      <c r="L947" t="s">
        <v>223</v>
      </c>
      <c r="M947">
        <v>24</v>
      </c>
      <c r="N947">
        <v>9</v>
      </c>
      <c r="O947">
        <v>1</v>
      </c>
      <c r="R947">
        <v>1</v>
      </c>
      <c r="T947" t="str">
        <f t="shared" si="115"/>
        <v/>
      </c>
    </row>
    <row r="948" spans="1:20" x14ac:dyDescent="0.55000000000000004">
      <c r="A948">
        <v>95</v>
      </c>
      <c r="B948" t="str">
        <f t="shared" si="109"/>
        <v>95_0</v>
      </c>
      <c r="C948" s="2">
        <v>45638.520833333336</v>
      </c>
      <c r="D948" t="s">
        <v>221</v>
      </c>
      <c r="E948">
        <v>2</v>
      </c>
      <c r="F948" t="s">
        <v>242</v>
      </c>
      <c r="G948" t="str">
        <f t="shared" si="110"/>
        <v>Gobiomorphus cotidianus</v>
      </c>
      <c r="H948" t="str">
        <f t="shared" si="111"/>
        <v>Common_bully</v>
      </c>
      <c r="I948" t="str">
        <f t="shared" si="112"/>
        <v>Toitoi</v>
      </c>
      <c r="J948" t="str">
        <f t="shared" si="113"/>
        <v>Native</v>
      </c>
      <c r="K948" t="str">
        <f t="shared" si="114"/>
        <v>No</v>
      </c>
      <c r="N948">
        <f>366-117</f>
        <v>249</v>
      </c>
      <c r="S948">
        <v>1.25</v>
      </c>
      <c r="T948">
        <f t="shared" si="115"/>
        <v>295.73500000000001</v>
      </c>
    </row>
    <row r="949" spans="1:20" x14ac:dyDescent="0.55000000000000004">
      <c r="A949">
        <v>95</v>
      </c>
      <c r="B949" t="str">
        <f t="shared" si="109"/>
        <v>95_0</v>
      </c>
      <c r="C949" s="2">
        <v>45638.520833333336</v>
      </c>
      <c r="D949" t="s">
        <v>221</v>
      </c>
      <c r="E949">
        <v>2</v>
      </c>
      <c r="F949" t="s">
        <v>243</v>
      </c>
      <c r="G949" t="str">
        <f t="shared" si="110"/>
        <v>Retropinna retropinna</v>
      </c>
      <c r="H949" t="str">
        <f t="shared" si="111"/>
        <v>Common_smelt</v>
      </c>
      <c r="I949" t="str">
        <f t="shared" si="112"/>
        <v>Common_smelt</v>
      </c>
      <c r="J949" t="str">
        <f t="shared" si="113"/>
        <v>Native</v>
      </c>
      <c r="K949" t="str">
        <f t="shared" si="114"/>
        <v>No</v>
      </c>
      <c r="O949">
        <v>5</v>
      </c>
      <c r="T949" t="str">
        <f t="shared" si="115"/>
        <v/>
      </c>
    </row>
    <row r="950" spans="1:20" x14ac:dyDescent="0.55000000000000004">
      <c r="A950">
        <v>95</v>
      </c>
      <c r="B950" t="str">
        <f t="shared" si="109"/>
        <v>95_0</v>
      </c>
      <c r="C950" s="2">
        <v>45638.520833333336</v>
      </c>
      <c r="D950" t="s">
        <v>221</v>
      </c>
      <c r="E950">
        <v>2</v>
      </c>
      <c r="F950" t="s">
        <v>236</v>
      </c>
      <c r="G950" t="str">
        <f t="shared" si="110"/>
        <v>Carassius auratus</v>
      </c>
      <c r="H950" t="str">
        <f t="shared" si="111"/>
        <v>Goldfish</v>
      </c>
      <c r="I950" t="str">
        <f t="shared" si="112"/>
        <v>Morihana</v>
      </c>
      <c r="J950" t="str">
        <f t="shared" si="113"/>
        <v>Nonnative</v>
      </c>
      <c r="K950" t="str">
        <f t="shared" si="114"/>
        <v>No</v>
      </c>
      <c r="M950">
        <v>64</v>
      </c>
      <c r="N950">
        <v>8</v>
      </c>
      <c r="O950">
        <v>1</v>
      </c>
      <c r="T950" t="str">
        <f t="shared" si="115"/>
        <v/>
      </c>
    </row>
    <row r="951" spans="1:20" x14ac:dyDescent="0.55000000000000004">
      <c r="A951">
        <v>95</v>
      </c>
      <c r="B951" t="str">
        <f t="shared" si="109"/>
        <v>95_0</v>
      </c>
      <c r="C951" s="2">
        <v>45638.520833333336</v>
      </c>
      <c r="D951" t="s">
        <v>221</v>
      </c>
      <c r="E951">
        <v>2</v>
      </c>
      <c r="F951" t="s">
        <v>236</v>
      </c>
      <c r="G951" t="str">
        <f t="shared" si="110"/>
        <v>Carassius auratus</v>
      </c>
      <c r="H951" t="str">
        <f t="shared" si="111"/>
        <v>Goldfish</v>
      </c>
      <c r="I951" t="str">
        <f t="shared" si="112"/>
        <v>Morihana</v>
      </c>
      <c r="J951" t="str">
        <f t="shared" si="113"/>
        <v>Nonnative</v>
      </c>
      <c r="K951" t="str">
        <f t="shared" si="114"/>
        <v>No</v>
      </c>
      <c r="M951">
        <v>64</v>
      </c>
      <c r="N951">
        <v>8</v>
      </c>
      <c r="O951">
        <v>1</v>
      </c>
      <c r="T951" t="str">
        <f t="shared" si="115"/>
        <v/>
      </c>
    </row>
    <row r="952" spans="1:20" x14ac:dyDescent="0.55000000000000004">
      <c r="A952">
        <v>95</v>
      </c>
      <c r="B952" t="str">
        <f t="shared" si="109"/>
        <v>95_0</v>
      </c>
      <c r="C952" s="2">
        <v>45638.520833333336</v>
      </c>
      <c r="D952" t="s">
        <v>221</v>
      </c>
      <c r="E952">
        <v>2</v>
      </c>
      <c r="F952" t="s">
        <v>236</v>
      </c>
      <c r="G952" t="str">
        <f t="shared" si="110"/>
        <v>Carassius auratus</v>
      </c>
      <c r="H952" t="str">
        <f t="shared" si="111"/>
        <v>Goldfish</v>
      </c>
      <c r="I952" t="str">
        <f t="shared" si="112"/>
        <v>Morihana</v>
      </c>
      <c r="J952" t="str">
        <f t="shared" si="113"/>
        <v>Nonnative</v>
      </c>
      <c r="K952" t="str">
        <f t="shared" si="114"/>
        <v>No</v>
      </c>
      <c r="M952">
        <v>45</v>
      </c>
      <c r="N952">
        <v>1</v>
      </c>
      <c r="O952">
        <v>1</v>
      </c>
      <c r="T952" t="str">
        <f t="shared" si="115"/>
        <v/>
      </c>
    </row>
    <row r="953" spans="1:20" x14ac:dyDescent="0.55000000000000004">
      <c r="A953">
        <v>95</v>
      </c>
      <c r="B953" t="str">
        <f t="shared" si="109"/>
        <v>95_0</v>
      </c>
      <c r="C953" s="2">
        <v>45638.520833333336</v>
      </c>
      <c r="D953" t="s">
        <v>221</v>
      </c>
      <c r="E953">
        <v>2</v>
      </c>
      <c r="F953" t="s">
        <v>242</v>
      </c>
      <c r="G953" t="str">
        <f t="shared" si="110"/>
        <v>Gobiomorphus cotidianus</v>
      </c>
      <c r="H953" t="str">
        <f t="shared" si="111"/>
        <v>Common_bully</v>
      </c>
      <c r="I953" t="str">
        <f t="shared" si="112"/>
        <v>Toitoi</v>
      </c>
      <c r="J953" t="str">
        <f t="shared" si="113"/>
        <v>Native</v>
      </c>
      <c r="K953" t="str">
        <f t="shared" si="114"/>
        <v>No</v>
      </c>
      <c r="N953">
        <f>450-117</f>
        <v>333</v>
      </c>
      <c r="S953">
        <v>1.75</v>
      </c>
      <c r="T953">
        <f t="shared" si="115"/>
        <v>414.029</v>
      </c>
    </row>
    <row r="954" spans="1:20" x14ac:dyDescent="0.55000000000000004">
      <c r="A954">
        <v>117</v>
      </c>
      <c r="B954" t="str">
        <f t="shared" si="109"/>
        <v>117_0</v>
      </c>
      <c r="C954" s="2">
        <v>45597.520833333336</v>
      </c>
      <c r="D954" t="s">
        <v>221</v>
      </c>
      <c r="E954">
        <v>2</v>
      </c>
      <c r="F954" t="s">
        <v>222</v>
      </c>
      <c r="G954" t="str">
        <f t="shared" si="110"/>
        <v>Paranephrops planifrons</v>
      </c>
      <c r="H954" t="str">
        <f t="shared" si="111"/>
        <v>Freshwater_crayfish</v>
      </c>
      <c r="I954" t="str">
        <f t="shared" si="112"/>
        <v>Kōura</v>
      </c>
      <c r="J954" t="str">
        <f t="shared" si="113"/>
        <v>Native</v>
      </c>
      <c r="K954" t="str">
        <f t="shared" si="114"/>
        <v>Yes</v>
      </c>
      <c r="L954" t="s">
        <v>228</v>
      </c>
      <c r="M954">
        <v>24</v>
      </c>
      <c r="N954">
        <v>8</v>
      </c>
      <c r="O954">
        <v>1</v>
      </c>
      <c r="T954" t="str">
        <f t="shared" si="115"/>
        <v/>
      </c>
    </row>
    <row r="955" spans="1:20" x14ac:dyDescent="0.55000000000000004">
      <c r="A955">
        <v>96</v>
      </c>
      <c r="B955" t="str">
        <f t="shared" si="109"/>
        <v>96_0</v>
      </c>
      <c r="C955" s="2">
        <v>45638.489583333336</v>
      </c>
      <c r="D955" t="s">
        <v>245</v>
      </c>
      <c r="E955">
        <v>1</v>
      </c>
      <c r="F955" t="s">
        <v>242</v>
      </c>
      <c r="G955" t="str">
        <f t="shared" si="110"/>
        <v>Gobiomorphus cotidianus</v>
      </c>
      <c r="H955" t="str">
        <f t="shared" si="111"/>
        <v>Common_bully</v>
      </c>
      <c r="I955" t="str">
        <f t="shared" si="112"/>
        <v>Toitoi</v>
      </c>
      <c r="J955" t="str">
        <f t="shared" si="113"/>
        <v>Native</v>
      </c>
      <c r="K955" t="str">
        <f t="shared" si="114"/>
        <v>No</v>
      </c>
      <c r="N955">
        <f>186-117</f>
        <v>69</v>
      </c>
      <c r="S955">
        <v>0.33</v>
      </c>
      <c r="T955">
        <f t="shared" si="115"/>
        <v>78.074039999999997</v>
      </c>
    </row>
    <row r="956" spans="1:20" x14ac:dyDescent="0.55000000000000004">
      <c r="A956">
        <v>97</v>
      </c>
      <c r="B956" t="str">
        <f t="shared" si="109"/>
        <v>97_0</v>
      </c>
      <c r="C956" s="2">
        <v>45603.524305439816</v>
      </c>
      <c r="D956" t="s">
        <v>221</v>
      </c>
      <c r="E956">
        <v>2</v>
      </c>
      <c r="F956" t="s">
        <v>222</v>
      </c>
      <c r="G956" t="str">
        <f t="shared" si="110"/>
        <v>Paranephrops planifrons</v>
      </c>
      <c r="H956" t="str">
        <f t="shared" si="111"/>
        <v>Freshwater_crayfish</v>
      </c>
      <c r="I956" t="str">
        <f t="shared" si="112"/>
        <v>Kōura</v>
      </c>
      <c r="J956" t="str">
        <f t="shared" si="113"/>
        <v>Native</v>
      </c>
      <c r="K956" t="str">
        <f t="shared" si="114"/>
        <v>Yes</v>
      </c>
      <c r="L956" t="s">
        <v>228</v>
      </c>
      <c r="M956">
        <v>24</v>
      </c>
      <c r="O956">
        <v>1</v>
      </c>
      <c r="T956" t="str">
        <f t="shared" si="115"/>
        <v/>
      </c>
    </row>
    <row r="957" spans="1:20" x14ac:dyDescent="0.55000000000000004">
      <c r="A957">
        <v>97</v>
      </c>
      <c r="B957" t="str">
        <f t="shared" si="109"/>
        <v>97_0</v>
      </c>
      <c r="C957" s="2">
        <v>45603.524305439816</v>
      </c>
      <c r="D957" t="s">
        <v>221</v>
      </c>
      <c r="E957">
        <v>2</v>
      </c>
      <c r="F957" t="s">
        <v>222</v>
      </c>
      <c r="G957" t="str">
        <f t="shared" si="110"/>
        <v>Paranephrops planifrons</v>
      </c>
      <c r="H957" t="str">
        <f t="shared" si="111"/>
        <v>Freshwater_crayfish</v>
      </c>
      <c r="I957" t="str">
        <f t="shared" si="112"/>
        <v>Kōura</v>
      </c>
      <c r="J957" t="str">
        <f t="shared" si="113"/>
        <v>Native</v>
      </c>
      <c r="K957" t="str">
        <f t="shared" si="114"/>
        <v>Yes</v>
      </c>
      <c r="L957" t="s">
        <v>228</v>
      </c>
      <c r="M957">
        <v>24</v>
      </c>
      <c r="O957">
        <v>1</v>
      </c>
      <c r="T957" t="str">
        <f t="shared" si="115"/>
        <v/>
      </c>
    </row>
    <row r="958" spans="1:20" x14ac:dyDescent="0.55000000000000004">
      <c r="A958">
        <v>97</v>
      </c>
      <c r="B958" t="str">
        <f t="shared" si="109"/>
        <v>97_0</v>
      </c>
      <c r="C958" s="2">
        <v>45603.524305497682</v>
      </c>
      <c r="D958" t="s">
        <v>245</v>
      </c>
      <c r="E958">
        <v>2</v>
      </c>
      <c r="F958" t="s">
        <v>222</v>
      </c>
      <c r="G958" t="str">
        <f t="shared" si="110"/>
        <v>Paranephrops planifrons</v>
      </c>
      <c r="H958" t="str">
        <f t="shared" si="111"/>
        <v>Freshwater_crayfish</v>
      </c>
      <c r="I958" t="str">
        <f t="shared" si="112"/>
        <v>Kōura</v>
      </c>
      <c r="J958" t="str">
        <f t="shared" si="113"/>
        <v>Native</v>
      </c>
      <c r="K958" t="str">
        <f t="shared" si="114"/>
        <v>Yes</v>
      </c>
      <c r="L958" t="s">
        <v>228</v>
      </c>
      <c r="M958">
        <v>24</v>
      </c>
      <c r="O958">
        <v>1</v>
      </c>
      <c r="T958" t="str">
        <f t="shared" si="115"/>
        <v/>
      </c>
    </row>
    <row r="959" spans="1:20" x14ac:dyDescent="0.55000000000000004">
      <c r="A959">
        <v>77</v>
      </c>
      <c r="B959" t="str">
        <f t="shared" si="109"/>
        <v>77_0</v>
      </c>
      <c r="C959" s="2">
        <v>45674.520833333336</v>
      </c>
      <c r="D959" t="s">
        <v>245</v>
      </c>
      <c r="E959">
        <v>2</v>
      </c>
      <c r="F959" t="s">
        <v>222</v>
      </c>
      <c r="G959" t="str">
        <f t="shared" si="110"/>
        <v>Paranephrops planifrons</v>
      </c>
      <c r="H959" t="str">
        <f t="shared" si="111"/>
        <v>Freshwater_crayfish</v>
      </c>
      <c r="I959" t="str">
        <f t="shared" si="112"/>
        <v>Kōura</v>
      </c>
      <c r="J959" t="str">
        <f t="shared" si="113"/>
        <v>Native</v>
      </c>
      <c r="K959" t="str">
        <f t="shared" si="114"/>
        <v>Yes</v>
      </c>
      <c r="L959" t="s">
        <v>228</v>
      </c>
      <c r="M959">
        <v>23.93</v>
      </c>
      <c r="N959">
        <v>4</v>
      </c>
      <c r="O959">
        <v>1</v>
      </c>
      <c r="P959">
        <v>1</v>
      </c>
      <c r="T959" t="str">
        <f t="shared" si="115"/>
        <v/>
      </c>
    </row>
    <row r="960" spans="1:20" x14ac:dyDescent="0.55000000000000004">
      <c r="A960">
        <v>73</v>
      </c>
      <c r="B960" t="str">
        <f t="shared" si="109"/>
        <v>73_0</v>
      </c>
      <c r="C960" s="2">
        <v>45674.479166608799</v>
      </c>
      <c r="D960" t="s">
        <v>221</v>
      </c>
      <c r="E960">
        <v>2</v>
      </c>
      <c r="F960" t="s">
        <v>222</v>
      </c>
      <c r="G960" t="str">
        <f t="shared" si="110"/>
        <v>Paranephrops planifrons</v>
      </c>
      <c r="H960" t="str">
        <f t="shared" si="111"/>
        <v>Freshwater_crayfish</v>
      </c>
      <c r="I960" t="str">
        <f t="shared" si="112"/>
        <v>Kōura</v>
      </c>
      <c r="J960" t="str">
        <f t="shared" si="113"/>
        <v>Native</v>
      </c>
      <c r="K960" t="str">
        <f t="shared" si="114"/>
        <v>Yes</v>
      </c>
      <c r="L960" t="s">
        <v>228</v>
      </c>
      <c r="M960">
        <v>23.86</v>
      </c>
      <c r="N960">
        <v>8</v>
      </c>
      <c r="O960">
        <v>1</v>
      </c>
      <c r="T960" t="str">
        <f t="shared" si="115"/>
        <v/>
      </c>
    </row>
    <row r="961" spans="1:20" x14ac:dyDescent="0.55000000000000004">
      <c r="A961">
        <v>75</v>
      </c>
      <c r="B961" t="str">
        <f t="shared" si="109"/>
        <v>75_0</v>
      </c>
      <c r="C961" s="2">
        <v>45673.434027777781</v>
      </c>
      <c r="D961" t="s">
        <v>221</v>
      </c>
      <c r="E961">
        <v>2</v>
      </c>
      <c r="F961" t="s">
        <v>222</v>
      </c>
      <c r="G961" t="str">
        <f t="shared" si="110"/>
        <v>Paranephrops planifrons</v>
      </c>
      <c r="H961" t="str">
        <f t="shared" si="111"/>
        <v>Freshwater_crayfish</v>
      </c>
      <c r="I961" t="str">
        <f t="shared" si="112"/>
        <v>Kōura</v>
      </c>
      <c r="J961" t="str">
        <f t="shared" si="113"/>
        <v>Native</v>
      </c>
      <c r="K961" t="str">
        <f t="shared" si="114"/>
        <v>Yes</v>
      </c>
      <c r="L961" t="s">
        <v>228</v>
      </c>
      <c r="M961">
        <v>23.8</v>
      </c>
      <c r="N961">
        <v>11</v>
      </c>
      <c r="O961">
        <v>1</v>
      </c>
      <c r="T961" t="str">
        <f t="shared" si="115"/>
        <v/>
      </c>
    </row>
    <row r="962" spans="1:20" x14ac:dyDescent="0.55000000000000004">
      <c r="A962">
        <v>113</v>
      </c>
      <c r="B962" t="str">
        <f t="shared" ref="B962:B1022" si="116">A962 &amp; "_0"</f>
        <v>113_0</v>
      </c>
      <c r="C962" s="2">
        <v>45680.387499942131</v>
      </c>
      <c r="D962" t="s">
        <v>245</v>
      </c>
      <c r="E962">
        <v>2</v>
      </c>
      <c r="F962" t="s">
        <v>222</v>
      </c>
      <c r="G962" t="str">
        <f t="shared" ref="G962:G1025" si="117">VLOOKUP($F962, $W$1:$AB$10, 2, FALSE)</f>
        <v>Paranephrops planifrons</v>
      </c>
      <c r="H962" t="str">
        <f t="shared" ref="H962:H1025" si="118">VLOOKUP($F962, $W$1:$AB$10, 3, FALSE)</f>
        <v>Freshwater_crayfish</v>
      </c>
      <c r="I962" t="str">
        <f t="shared" ref="I962:I1025" si="119">VLOOKUP($F962, $W$1:$AB$10, 4, FALSE)</f>
        <v>Kōura</v>
      </c>
      <c r="J962" t="str">
        <f t="shared" ref="J962:J1025" si="120">VLOOKUP($F962, $W$1:$AC$10, 5, FALSE)</f>
        <v>Native</v>
      </c>
      <c r="K962" t="str">
        <f t="shared" ref="K962:K1025" si="121">VLOOKUP($F962, $W$1:$AB$10, 6, FALSE)</f>
        <v>Yes</v>
      </c>
      <c r="L962" t="s">
        <v>228</v>
      </c>
      <c r="M962">
        <v>23.74</v>
      </c>
      <c r="N962">
        <v>8</v>
      </c>
      <c r="O962">
        <v>1</v>
      </c>
      <c r="T962" t="str">
        <f t="shared" si="115"/>
        <v/>
      </c>
    </row>
    <row r="963" spans="1:20" x14ac:dyDescent="0.55000000000000004">
      <c r="A963">
        <v>73</v>
      </c>
      <c r="B963" t="str">
        <f t="shared" si="116"/>
        <v>73_0</v>
      </c>
      <c r="C963" s="2">
        <v>45674.479166608799</v>
      </c>
      <c r="D963" t="s">
        <v>221</v>
      </c>
      <c r="E963">
        <v>2</v>
      </c>
      <c r="F963" t="s">
        <v>222</v>
      </c>
      <c r="G963" t="str">
        <f t="shared" si="117"/>
        <v>Paranephrops planifrons</v>
      </c>
      <c r="H963" t="str">
        <f t="shared" si="118"/>
        <v>Freshwater_crayfish</v>
      </c>
      <c r="I963" t="str">
        <f t="shared" si="119"/>
        <v>Kōura</v>
      </c>
      <c r="J963" t="str">
        <f t="shared" si="120"/>
        <v>Native</v>
      </c>
      <c r="K963" t="str">
        <f t="shared" si="121"/>
        <v>Yes</v>
      </c>
      <c r="L963" t="s">
        <v>223</v>
      </c>
      <c r="M963">
        <v>23.65</v>
      </c>
      <c r="N963">
        <v>7</v>
      </c>
      <c r="O963">
        <v>1</v>
      </c>
      <c r="T963" t="str">
        <f t="shared" si="115"/>
        <v/>
      </c>
    </row>
    <row r="964" spans="1:20" x14ac:dyDescent="0.55000000000000004">
      <c r="A964">
        <v>77</v>
      </c>
      <c r="B964" t="str">
        <f t="shared" si="116"/>
        <v>77_0</v>
      </c>
      <c r="C964" s="2">
        <v>45674.520833333336</v>
      </c>
      <c r="D964" t="s">
        <v>221</v>
      </c>
      <c r="E964">
        <v>2</v>
      </c>
      <c r="F964" t="s">
        <v>222</v>
      </c>
      <c r="G964" t="str">
        <f t="shared" si="117"/>
        <v>Paranephrops planifrons</v>
      </c>
      <c r="H964" t="str">
        <f t="shared" si="118"/>
        <v>Freshwater_crayfish</v>
      </c>
      <c r="I964" t="str">
        <f t="shared" si="119"/>
        <v>Kōura</v>
      </c>
      <c r="J964" t="str">
        <f t="shared" si="120"/>
        <v>Native</v>
      </c>
      <c r="K964" t="str">
        <f t="shared" si="121"/>
        <v>Yes</v>
      </c>
      <c r="L964" t="s">
        <v>223</v>
      </c>
      <c r="M964">
        <v>23.6</v>
      </c>
      <c r="N964">
        <v>9</v>
      </c>
      <c r="O964">
        <v>1</v>
      </c>
      <c r="T964" t="str">
        <f t="shared" si="115"/>
        <v/>
      </c>
    </row>
    <row r="965" spans="1:20" x14ac:dyDescent="0.55000000000000004">
      <c r="A965">
        <v>98</v>
      </c>
      <c r="B965" t="str">
        <f t="shared" si="116"/>
        <v>98_0</v>
      </c>
      <c r="C965" s="2">
        <v>45603.5625</v>
      </c>
      <c r="D965" t="s">
        <v>221</v>
      </c>
      <c r="E965">
        <v>2</v>
      </c>
      <c r="F965" t="s">
        <v>222</v>
      </c>
      <c r="G965" t="str">
        <f t="shared" si="117"/>
        <v>Paranephrops planifrons</v>
      </c>
      <c r="H965" t="str">
        <f t="shared" si="118"/>
        <v>Freshwater_crayfish</v>
      </c>
      <c r="I965" t="str">
        <f t="shared" si="119"/>
        <v>Kōura</v>
      </c>
      <c r="J965" t="str">
        <f t="shared" si="120"/>
        <v>Native</v>
      </c>
      <c r="K965" t="str">
        <f t="shared" si="121"/>
        <v>Yes</v>
      </c>
      <c r="L965" t="s">
        <v>223</v>
      </c>
      <c r="M965">
        <v>23.53</v>
      </c>
      <c r="O965">
        <v>1</v>
      </c>
      <c r="Q965">
        <v>1</v>
      </c>
      <c r="T965" t="str">
        <f t="shared" si="115"/>
        <v/>
      </c>
    </row>
    <row r="966" spans="1:20" x14ac:dyDescent="0.55000000000000004">
      <c r="A966">
        <v>103</v>
      </c>
      <c r="B966" t="str">
        <f t="shared" si="116"/>
        <v>103_0</v>
      </c>
      <c r="C966" s="2">
        <v>45604.486111053244</v>
      </c>
      <c r="D966" t="s">
        <v>221</v>
      </c>
      <c r="E966">
        <v>2</v>
      </c>
      <c r="F966" t="s">
        <v>222</v>
      </c>
      <c r="G966" t="str">
        <f t="shared" si="117"/>
        <v>Paranephrops planifrons</v>
      </c>
      <c r="H966" t="str">
        <f t="shared" si="118"/>
        <v>Freshwater_crayfish</v>
      </c>
      <c r="I966" t="str">
        <f t="shared" si="119"/>
        <v>Kōura</v>
      </c>
      <c r="J966" t="str">
        <f t="shared" si="120"/>
        <v>Native</v>
      </c>
      <c r="K966" t="str">
        <f t="shared" si="121"/>
        <v>Yes</v>
      </c>
      <c r="L966" t="s">
        <v>228</v>
      </c>
      <c r="M966">
        <v>23.49</v>
      </c>
      <c r="N966">
        <v>9</v>
      </c>
      <c r="O966">
        <v>1</v>
      </c>
      <c r="T966" t="str">
        <f t="shared" si="115"/>
        <v/>
      </c>
    </row>
    <row r="967" spans="1:20" x14ac:dyDescent="0.55000000000000004">
      <c r="A967">
        <v>77</v>
      </c>
      <c r="B967" t="str">
        <f t="shared" si="116"/>
        <v>77_0</v>
      </c>
      <c r="C967" s="2">
        <v>45674.520833333336</v>
      </c>
      <c r="D967" t="s">
        <v>245</v>
      </c>
      <c r="E967">
        <v>2</v>
      </c>
      <c r="F967" t="s">
        <v>222</v>
      </c>
      <c r="G967" t="str">
        <f t="shared" si="117"/>
        <v>Paranephrops planifrons</v>
      </c>
      <c r="H967" t="str">
        <f t="shared" si="118"/>
        <v>Freshwater_crayfish</v>
      </c>
      <c r="I967" t="str">
        <f t="shared" si="119"/>
        <v>Kōura</v>
      </c>
      <c r="J967" t="str">
        <f t="shared" si="120"/>
        <v>Native</v>
      </c>
      <c r="K967" t="str">
        <f t="shared" si="121"/>
        <v>Yes</v>
      </c>
      <c r="L967" t="s">
        <v>223</v>
      </c>
      <c r="M967">
        <v>23.39</v>
      </c>
      <c r="N967">
        <v>11</v>
      </c>
      <c r="O967">
        <v>1</v>
      </c>
      <c r="T967" t="str">
        <f t="shared" si="115"/>
        <v/>
      </c>
    </row>
    <row r="968" spans="1:20" x14ac:dyDescent="0.55000000000000004">
      <c r="A968">
        <v>108</v>
      </c>
      <c r="B968" t="str">
        <f t="shared" si="116"/>
        <v>108_0</v>
      </c>
      <c r="C968" s="2">
        <v>45604.458333333336</v>
      </c>
      <c r="D968" t="s">
        <v>221</v>
      </c>
      <c r="E968">
        <v>2</v>
      </c>
      <c r="F968" t="s">
        <v>222</v>
      </c>
      <c r="G968" t="str">
        <f t="shared" si="117"/>
        <v>Paranephrops planifrons</v>
      </c>
      <c r="H968" t="str">
        <f t="shared" si="118"/>
        <v>Freshwater_crayfish</v>
      </c>
      <c r="I968" t="str">
        <f t="shared" si="119"/>
        <v>Kōura</v>
      </c>
      <c r="J968" t="str">
        <f t="shared" si="120"/>
        <v>Native</v>
      </c>
      <c r="K968" t="str">
        <f t="shared" si="121"/>
        <v>Yes</v>
      </c>
      <c r="M968">
        <v>22.85</v>
      </c>
      <c r="N968">
        <v>9</v>
      </c>
      <c r="O968">
        <v>1</v>
      </c>
      <c r="T968" t="str">
        <f t="shared" si="115"/>
        <v/>
      </c>
    </row>
    <row r="969" spans="1:20" x14ac:dyDescent="0.55000000000000004">
      <c r="A969">
        <v>76</v>
      </c>
      <c r="B969" t="str">
        <f t="shared" si="116"/>
        <v>76_0</v>
      </c>
      <c r="C969" s="2">
        <v>45673.348611111112</v>
      </c>
      <c r="D969" t="s">
        <v>245</v>
      </c>
      <c r="E969">
        <v>2</v>
      </c>
      <c r="F969" t="s">
        <v>222</v>
      </c>
      <c r="G969" t="str">
        <f t="shared" si="117"/>
        <v>Paranephrops planifrons</v>
      </c>
      <c r="H969" t="str">
        <f t="shared" si="118"/>
        <v>Freshwater_crayfish</v>
      </c>
      <c r="I969" t="str">
        <f t="shared" si="119"/>
        <v>Kōura</v>
      </c>
      <c r="J969" t="str">
        <f t="shared" si="120"/>
        <v>Native</v>
      </c>
      <c r="K969" t="str">
        <f t="shared" si="121"/>
        <v>Yes</v>
      </c>
      <c r="L969" t="s">
        <v>228</v>
      </c>
      <c r="M969">
        <v>22.78</v>
      </c>
      <c r="N969">
        <v>11</v>
      </c>
      <c r="O969">
        <v>1</v>
      </c>
      <c r="T969" t="str">
        <f t="shared" ref="T969:T1032" si="122">IF(S969&lt;&gt;"", S969*236.588, "")</f>
        <v/>
      </c>
    </row>
    <row r="970" spans="1:20" x14ac:dyDescent="0.55000000000000004">
      <c r="A970">
        <v>96</v>
      </c>
      <c r="B970" t="str">
        <f t="shared" si="116"/>
        <v>96_0</v>
      </c>
      <c r="C970" s="2">
        <v>45638.489583333336</v>
      </c>
      <c r="D970" t="s">
        <v>221</v>
      </c>
      <c r="E970">
        <v>2</v>
      </c>
      <c r="F970" t="s">
        <v>236</v>
      </c>
      <c r="G970" t="str">
        <f t="shared" si="117"/>
        <v>Carassius auratus</v>
      </c>
      <c r="H970" t="str">
        <f t="shared" si="118"/>
        <v>Goldfish</v>
      </c>
      <c r="I970" t="str">
        <f t="shared" si="119"/>
        <v>Morihana</v>
      </c>
      <c r="J970" t="str">
        <f t="shared" si="120"/>
        <v>Nonnative</v>
      </c>
      <c r="K970" t="str">
        <f t="shared" si="121"/>
        <v>No</v>
      </c>
      <c r="M970">
        <v>142</v>
      </c>
      <c r="N970">
        <v>66</v>
      </c>
      <c r="O970">
        <v>1</v>
      </c>
      <c r="T970" t="str">
        <f t="shared" si="122"/>
        <v/>
      </c>
    </row>
    <row r="971" spans="1:20" x14ac:dyDescent="0.55000000000000004">
      <c r="A971">
        <v>96</v>
      </c>
      <c r="B971" t="str">
        <f t="shared" si="116"/>
        <v>96_0</v>
      </c>
      <c r="C971" s="2">
        <v>45638.489583333336</v>
      </c>
      <c r="D971" t="s">
        <v>221</v>
      </c>
      <c r="E971">
        <v>2</v>
      </c>
      <c r="F971" t="s">
        <v>236</v>
      </c>
      <c r="G971" t="str">
        <f t="shared" si="117"/>
        <v>Carassius auratus</v>
      </c>
      <c r="H971" t="str">
        <f t="shared" si="118"/>
        <v>Goldfish</v>
      </c>
      <c r="I971" t="str">
        <f t="shared" si="119"/>
        <v>Morihana</v>
      </c>
      <c r="J971" t="str">
        <f t="shared" si="120"/>
        <v>Nonnative</v>
      </c>
      <c r="K971" t="str">
        <f t="shared" si="121"/>
        <v>No</v>
      </c>
      <c r="M971">
        <v>208</v>
      </c>
      <c r="N971">
        <v>232</v>
      </c>
      <c r="O971">
        <v>1</v>
      </c>
      <c r="T971" t="str">
        <f t="shared" si="122"/>
        <v/>
      </c>
    </row>
    <row r="972" spans="1:20" x14ac:dyDescent="0.55000000000000004">
      <c r="A972">
        <v>96</v>
      </c>
      <c r="B972" t="str">
        <f t="shared" si="116"/>
        <v>96_0</v>
      </c>
      <c r="C972" s="2">
        <v>45638.489583333336</v>
      </c>
      <c r="D972" t="s">
        <v>221</v>
      </c>
      <c r="E972">
        <v>2</v>
      </c>
      <c r="F972" t="s">
        <v>236</v>
      </c>
      <c r="G972" t="str">
        <f t="shared" si="117"/>
        <v>Carassius auratus</v>
      </c>
      <c r="H972" t="str">
        <f t="shared" si="118"/>
        <v>Goldfish</v>
      </c>
      <c r="I972" t="str">
        <f t="shared" si="119"/>
        <v>Morihana</v>
      </c>
      <c r="J972" t="str">
        <f t="shared" si="120"/>
        <v>Nonnative</v>
      </c>
      <c r="K972" t="str">
        <f t="shared" si="121"/>
        <v>No</v>
      </c>
      <c r="M972">
        <v>191</v>
      </c>
      <c r="N972">
        <v>192</v>
      </c>
      <c r="O972">
        <v>1</v>
      </c>
      <c r="T972" t="str">
        <f t="shared" si="122"/>
        <v/>
      </c>
    </row>
    <row r="973" spans="1:20" x14ac:dyDescent="0.55000000000000004">
      <c r="A973">
        <v>96</v>
      </c>
      <c r="B973" t="str">
        <f t="shared" si="116"/>
        <v>96_0</v>
      </c>
      <c r="C973" s="2">
        <v>45638.489583333336</v>
      </c>
      <c r="D973" t="s">
        <v>221</v>
      </c>
      <c r="E973">
        <v>2</v>
      </c>
      <c r="F973" t="s">
        <v>236</v>
      </c>
      <c r="G973" t="str">
        <f t="shared" si="117"/>
        <v>Carassius auratus</v>
      </c>
      <c r="H973" t="str">
        <f t="shared" si="118"/>
        <v>Goldfish</v>
      </c>
      <c r="I973" t="str">
        <f t="shared" si="119"/>
        <v>Morihana</v>
      </c>
      <c r="J973" t="str">
        <f t="shared" si="120"/>
        <v>Nonnative</v>
      </c>
      <c r="K973" t="str">
        <f t="shared" si="121"/>
        <v>No</v>
      </c>
      <c r="M973">
        <v>179</v>
      </c>
      <c r="N973">
        <v>141</v>
      </c>
      <c r="O973">
        <v>1</v>
      </c>
      <c r="T973" t="str">
        <f t="shared" si="122"/>
        <v/>
      </c>
    </row>
    <row r="974" spans="1:20" x14ac:dyDescent="0.55000000000000004">
      <c r="A974">
        <v>96</v>
      </c>
      <c r="B974" t="str">
        <f t="shared" si="116"/>
        <v>96_0</v>
      </c>
      <c r="C974" s="2">
        <v>45638.489583333336</v>
      </c>
      <c r="D974" t="s">
        <v>221</v>
      </c>
      <c r="E974">
        <v>2</v>
      </c>
      <c r="F974" t="s">
        <v>236</v>
      </c>
      <c r="G974" t="str">
        <f t="shared" si="117"/>
        <v>Carassius auratus</v>
      </c>
      <c r="H974" t="str">
        <f t="shared" si="118"/>
        <v>Goldfish</v>
      </c>
      <c r="I974" t="str">
        <f t="shared" si="119"/>
        <v>Morihana</v>
      </c>
      <c r="J974" t="str">
        <f t="shared" si="120"/>
        <v>Nonnative</v>
      </c>
      <c r="K974" t="str">
        <f t="shared" si="121"/>
        <v>No</v>
      </c>
      <c r="M974">
        <v>195</v>
      </c>
      <c r="N974">
        <v>216</v>
      </c>
      <c r="O974">
        <v>1</v>
      </c>
      <c r="T974" t="str">
        <f t="shared" si="122"/>
        <v/>
      </c>
    </row>
    <row r="975" spans="1:20" x14ac:dyDescent="0.55000000000000004">
      <c r="A975">
        <v>96</v>
      </c>
      <c r="B975" t="str">
        <f t="shared" si="116"/>
        <v>96_0</v>
      </c>
      <c r="C975" s="2">
        <v>45638.489583333336</v>
      </c>
      <c r="D975" t="s">
        <v>221</v>
      </c>
      <c r="E975">
        <v>2</v>
      </c>
      <c r="F975" t="s">
        <v>236</v>
      </c>
      <c r="G975" t="str">
        <f t="shared" si="117"/>
        <v>Carassius auratus</v>
      </c>
      <c r="H975" t="str">
        <f t="shared" si="118"/>
        <v>Goldfish</v>
      </c>
      <c r="I975" t="str">
        <f t="shared" si="119"/>
        <v>Morihana</v>
      </c>
      <c r="J975" t="str">
        <f t="shared" si="120"/>
        <v>Nonnative</v>
      </c>
      <c r="K975" t="str">
        <f t="shared" si="121"/>
        <v>No</v>
      </c>
      <c r="M975">
        <v>194</v>
      </c>
      <c r="N975">
        <v>207</v>
      </c>
      <c r="O975">
        <v>1</v>
      </c>
      <c r="T975" t="str">
        <f t="shared" si="122"/>
        <v/>
      </c>
    </row>
    <row r="976" spans="1:20" x14ac:dyDescent="0.55000000000000004">
      <c r="A976">
        <v>96</v>
      </c>
      <c r="B976" t="str">
        <f t="shared" si="116"/>
        <v>96_0</v>
      </c>
      <c r="C976" s="2">
        <v>45638.489583333336</v>
      </c>
      <c r="D976" t="s">
        <v>221</v>
      </c>
      <c r="E976">
        <v>2</v>
      </c>
      <c r="F976" t="s">
        <v>236</v>
      </c>
      <c r="G976" t="str">
        <f t="shared" si="117"/>
        <v>Carassius auratus</v>
      </c>
      <c r="H976" t="str">
        <f t="shared" si="118"/>
        <v>Goldfish</v>
      </c>
      <c r="I976" t="str">
        <f t="shared" si="119"/>
        <v>Morihana</v>
      </c>
      <c r="J976" t="str">
        <f t="shared" si="120"/>
        <v>Nonnative</v>
      </c>
      <c r="K976" t="str">
        <f t="shared" si="121"/>
        <v>No</v>
      </c>
      <c r="M976">
        <v>195</v>
      </c>
      <c r="N976">
        <v>209</v>
      </c>
      <c r="O976">
        <v>1</v>
      </c>
      <c r="T976" t="str">
        <f t="shared" si="122"/>
        <v/>
      </c>
    </row>
    <row r="977" spans="1:20" x14ac:dyDescent="0.55000000000000004">
      <c r="A977">
        <v>96</v>
      </c>
      <c r="B977" t="str">
        <f t="shared" si="116"/>
        <v>96_0</v>
      </c>
      <c r="C977" s="2">
        <v>45638.489583333336</v>
      </c>
      <c r="D977" t="s">
        <v>221</v>
      </c>
      <c r="E977">
        <v>2</v>
      </c>
      <c r="F977" t="s">
        <v>236</v>
      </c>
      <c r="G977" t="str">
        <f t="shared" si="117"/>
        <v>Carassius auratus</v>
      </c>
      <c r="H977" t="str">
        <f t="shared" si="118"/>
        <v>Goldfish</v>
      </c>
      <c r="I977" t="str">
        <f t="shared" si="119"/>
        <v>Morihana</v>
      </c>
      <c r="J977" t="str">
        <f t="shared" si="120"/>
        <v>Nonnative</v>
      </c>
      <c r="K977" t="str">
        <f t="shared" si="121"/>
        <v>No</v>
      </c>
      <c r="M977">
        <v>197</v>
      </c>
      <c r="N977">
        <v>200</v>
      </c>
      <c r="O977">
        <v>1</v>
      </c>
      <c r="T977" t="str">
        <f t="shared" si="122"/>
        <v/>
      </c>
    </row>
    <row r="978" spans="1:20" x14ac:dyDescent="0.55000000000000004">
      <c r="A978">
        <v>96</v>
      </c>
      <c r="B978" t="str">
        <f t="shared" si="116"/>
        <v>96_0</v>
      </c>
      <c r="C978" s="2">
        <v>45638.489583333336</v>
      </c>
      <c r="D978" t="s">
        <v>221</v>
      </c>
      <c r="E978">
        <v>2</v>
      </c>
      <c r="F978" t="s">
        <v>236</v>
      </c>
      <c r="G978" t="str">
        <f t="shared" si="117"/>
        <v>Carassius auratus</v>
      </c>
      <c r="H978" t="str">
        <f t="shared" si="118"/>
        <v>Goldfish</v>
      </c>
      <c r="I978" t="str">
        <f t="shared" si="119"/>
        <v>Morihana</v>
      </c>
      <c r="J978" t="str">
        <f t="shared" si="120"/>
        <v>Nonnative</v>
      </c>
      <c r="K978" t="str">
        <f t="shared" si="121"/>
        <v>No</v>
      </c>
      <c r="M978">
        <v>145</v>
      </c>
      <c r="N978">
        <v>71</v>
      </c>
      <c r="O978">
        <v>1</v>
      </c>
      <c r="T978" t="str">
        <f t="shared" si="122"/>
        <v/>
      </c>
    </row>
    <row r="979" spans="1:20" x14ac:dyDescent="0.55000000000000004">
      <c r="A979">
        <v>96</v>
      </c>
      <c r="B979" t="str">
        <f t="shared" si="116"/>
        <v>96_0</v>
      </c>
      <c r="C979" s="2">
        <v>45638.489583333336</v>
      </c>
      <c r="D979" t="s">
        <v>221</v>
      </c>
      <c r="E979">
        <v>2</v>
      </c>
      <c r="F979" t="s">
        <v>236</v>
      </c>
      <c r="G979" t="str">
        <f t="shared" si="117"/>
        <v>Carassius auratus</v>
      </c>
      <c r="H979" t="str">
        <f t="shared" si="118"/>
        <v>Goldfish</v>
      </c>
      <c r="I979" t="str">
        <f t="shared" si="119"/>
        <v>Morihana</v>
      </c>
      <c r="J979" t="str">
        <f t="shared" si="120"/>
        <v>Nonnative</v>
      </c>
      <c r="K979" t="str">
        <f t="shared" si="121"/>
        <v>No</v>
      </c>
      <c r="M979">
        <v>177</v>
      </c>
      <c r="N979">
        <v>128</v>
      </c>
      <c r="O979">
        <v>1</v>
      </c>
      <c r="T979" t="str">
        <f t="shared" si="122"/>
        <v/>
      </c>
    </row>
    <row r="980" spans="1:20" x14ac:dyDescent="0.55000000000000004">
      <c r="A980">
        <v>96</v>
      </c>
      <c r="B980" t="str">
        <f t="shared" si="116"/>
        <v>96_0</v>
      </c>
      <c r="C980" s="2">
        <v>45638.489583333336</v>
      </c>
      <c r="D980" t="s">
        <v>221</v>
      </c>
      <c r="E980">
        <v>2</v>
      </c>
      <c r="F980" t="s">
        <v>236</v>
      </c>
      <c r="G980" t="str">
        <f t="shared" si="117"/>
        <v>Carassius auratus</v>
      </c>
      <c r="H980" t="str">
        <f t="shared" si="118"/>
        <v>Goldfish</v>
      </c>
      <c r="I980" t="str">
        <f t="shared" si="119"/>
        <v>Morihana</v>
      </c>
      <c r="J980" t="str">
        <f t="shared" si="120"/>
        <v>Nonnative</v>
      </c>
      <c r="K980" t="str">
        <f t="shared" si="121"/>
        <v>No</v>
      </c>
      <c r="M980">
        <v>164</v>
      </c>
      <c r="N980">
        <v>108</v>
      </c>
      <c r="O980">
        <v>1</v>
      </c>
      <c r="T980" t="str">
        <f t="shared" si="122"/>
        <v/>
      </c>
    </row>
    <row r="981" spans="1:20" x14ac:dyDescent="0.55000000000000004">
      <c r="A981">
        <v>96</v>
      </c>
      <c r="B981" t="str">
        <f t="shared" si="116"/>
        <v>96_0</v>
      </c>
      <c r="C981" s="2">
        <v>45638.489583333336</v>
      </c>
      <c r="D981" t="s">
        <v>221</v>
      </c>
      <c r="E981">
        <v>2</v>
      </c>
      <c r="F981" t="s">
        <v>236</v>
      </c>
      <c r="G981" t="str">
        <f t="shared" si="117"/>
        <v>Carassius auratus</v>
      </c>
      <c r="H981" t="str">
        <f t="shared" si="118"/>
        <v>Goldfish</v>
      </c>
      <c r="I981" t="str">
        <f t="shared" si="119"/>
        <v>Morihana</v>
      </c>
      <c r="J981" t="str">
        <f t="shared" si="120"/>
        <v>Nonnative</v>
      </c>
      <c r="K981" t="str">
        <f t="shared" si="121"/>
        <v>No</v>
      </c>
      <c r="M981">
        <v>164</v>
      </c>
      <c r="N981">
        <v>130</v>
      </c>
      <c r="O981">
        <v>1</v>
      </c>
      <c r="T981" t="str">
        <f t="shared" si="122"/>
        <v/>
      </c>
    </row>
    <row r="982" spans="1:20" x14ac:dyDescent="0.55000000000000004">
      <c r="A982">
        <v>96</v>
      </c>
      <c r="B982" t="str">
        <f t="shared" si="116"/>
        <v>96_0</v>
      </c>
      <c r="C982" s="2">
        <v>45638.489583333336</v>
      </c>
      <c r="D982" t="s">
        <v>221</v>
      </c>
      <c r="E982">
        <v>2</v>
      </c>
      <c r="F982" t="s">
        <v>236</v>
      </c>
      <c r="G982" t="str">
        <f t="shared" si="117"/>
        <v>Carassius auratus</v>
      </c>
      <c r="H982" t="str">
        <f t="shared" si="118"/>
        <v>Goldfish</v>
      </c>
      <c r="I982" t="str">
        <f t="shared" si="119"/>
        <v>Morihana</v>
      </c>
      <c r="J982" t="str">
        <f t="shared" si="120"/>
        <v>Nonnative</v>
      </c>
      <c r="K982" t="str">
        <f t="shared" si="121"/>
        <v>No</v>
      </c>
      <c r="M982">
        <v>165</v>
      </c>
      <c r="N982">
        <v>119</v>
      </c>
      <c r="O982">
        <v>1</v>
      </c>
      <c r="T982" t="str">
        <f t="shared" si="122"/>
        <v/>
      </c>
    </row>
    <row r="983" spans="1:20" x14ac:dyDescent="0.55000000000000004">
      <c r="A983">
        <v>96</v>
      </c>
      <c r="B983" t="str">
        <f t="shared" si="116"/>
        <v>96_0</v>
      </c>
      <c r="C983" s="2">
        <v>45638.489583333336</v>
      </c>
      <c r="D983" t="s">
        <v>221</v>
      </c>
      <c r="E983">
        <v>2</v>
      </c>
      <c r="F983" t="s">
        <v>236</v>
      </c>
      <c r="G983" t="str">
        <f t="shared" si="117"/>
        <v>Carassius auratus</v>
      </c>
      <c r="H983" t="str">
        <f t="shared" si="118"/>
        <v>Goldfish</v>
      </c>
      <c r="I983" t="str">
        <f t="shared" si="119"/>
        <v>Morihana</v>
      </c>
      <c r="J983" t="str">
        <f t="shared" si="120"/>
        <v>Nonnative</v>
      </c>
      <c r="K983" t="str">
        <f t="shared" si="121"/>
        <v>No</v>
      </c>
      <c r="M983">
        <v>154</v>
      </c>
      <c r="N983">
        <v>99</v>
      </c>
      <c r="O983">
        <v>1</v>
      </c>
      <c r="T983" t="str">
        <f t="shared" si="122"/>
        <v/>
      </c>
    </row>
    <row r="984" spans="1:20" x14ac:dyDescent="0.55000000000000004">
      <c r="A984">
        <v>96</v>
      </c>
      <c r="B984" t="str">
        <f t="shared" si="116"/>
        <v>96_0</v>
      </c>
      <c r="C984" s="2">
        <v>45638.489583333336</v>
      </c>
      <c r="D984" t="s">
        <v>221</v>
      </c>
      <c r="E984">
        <v>2</v>
      </c>
      <c r="F984" t="s">
        <v>236</v>
      </c>
      <c r="G984" t="str">
        <f t="shared" si="117"/>
        <v>Carassius auratus</v>
      </c>
      <c r="H984" t="str">
        <f t="shared" si="118"/>
        <v>Goldfish</v>
      </c>
      <c r="I984" t="str">
        <f t="shared" si="119"/>
        <v>Morihana</v>
      </c>
      <c r="J984" t="str">
        <f t="shared" si="120"/>
        <v>Nonnative</v>
      </c>
      <c r="K984" t="str">
        <f t="shared" si="121"/>
        <v>No</v>
      </c>
      <c r="M984">
        <v>180</v>
      </c>
      <c r="N984">
        <v>160</v>
      </c>
      <c r="O984">
        <v>1</v>
      </c>
      <c r="T984" t="str">
        <f t="shared" si="122"/>
        <v/>
      </c>
    </row>
    <row r="985" spans="1:20" x14ac:dyDescent="0.55000000000000004">
      <c r="A985">
        <v>96</v>
      </c>
      <c r="B985" t="str">
        <f t="shared" si="116"/>
        <v>96_0</v>
      </c>
      <c r="C985" s="2">
        <v>45638.489583333336</v>
      </c>
      <c r="D985" t="s">
        <v>221</v>
      </c>
      <c r="E985">
        <v>2</v>
      </c>
      <c r="F985" t="s">
        <v>236</v>
      </c>
      <c r="G985" t="str">
        <f t="shared" si="117"/>
        <v>Carassius auratus</v>
      </c>
      <c r="H985" t="str">
        <f t="shared" si="118"/>
        <v>Goldfish</v>
      </c>
      <c r="I985" t="str">
        <f t="shared" si="119"/>
        <v>Morihana</v>
      </c>
      <c r="J985" t="str">
        <f t="shared" si="120"/>
        <v>Nonnative</v>
      </c>
      <c r="K985" t="str">
        <f t="shared" si="121"/>
        <v>No</v>
      </c>
      <c r="M985">
        <v>169</v>
      </c>
      <c r="N985">
        <v>113</v>
      </c>
      <c r="O985">
        <v>1</v>
      </c>
      <c r="T985" t="str">
        <f t="shared" si="122"/>
        <v/>
      </c>
    </row>
    <row r="986" spans="1:20" x14ac:dyDescent="0.55000000000000004">
      <c r="A986">
        <v>96</v>
      </c>
      <c r="B986" t="str">
        <f t="shared" si="116"/>
        <v>96_0</v>
      </c>
      <c r="C986" s="2">
        <v>45638.489583333336</v>
      </c>
      <c r="D986" t="s">
        <v>221</v>
      </c>
      <c r="E986">
        <v>2</v>
      </c>
      <c r="F986" t="s">
        <v>236</v>
      </c>
      <c r="G986" t="str">
        <f t="shared" si="117"/>
        <v>Carassius auratus</v>
      </c>
      <c r="H986" t="str">
        <f t="shared" si="118"/>
        <v>Goldfish</v>
      </c>
      <c r="I986" t="str">
        <f t="shared" si="119"/>
        <v>Morihana</v>
      </c>
      <c r="J986" t="str">
        <f t="shared" si="120"/>
        <v>Nonnative</v>
      </c>
      <c r="K986" t="str">
        <f t="shared" si="121"/>
        <v>No</v>
      </c>
      <c r="M986">
        <v>172</v>
      </c>
      <c r="N986">
        <v>141</v>
      </c>
      <c r="O986">
        <v>1</v>
      </c>
      <c r="T986" t="str">
        <f t="shared" si="122"/>
        <v/>
      </c>
    </row>
    <row r="987" spans="1:20" x14ac:dyDescent="0.55000000000000004">
      <c r="A987">
        <v>96</v>
      </c>
      <c r="B987" t="str">
        <f t="shared" si="116"/>
        <v>96_0</v>
      </c>
      <c r="C987" s="2">
        <v>45638.489583333336</v>
      </c>
      <c r="D987" t="s">
        <v>221</v>
      </c>
      <c r="E987">
        <v>2</v>
      </c>
      <c r="F987" t="s">
        <v>236</v>
      </c>
      <c r="G987" t="str">
        <f t="shared" si="117"/>
        <v>Carassius auratus</v>
      </c>
      <c r="H987" t="str">
        <f t="shared" si="118"/>
        <v>Goldfish</v>
      </c>
      <c r="I987" t="str">
        <f t="shared" si="119"/>
        <v>Morihana</v>
      </c>
      <c r="J987" t="str">
        <f t="shared" si="120"/>
        <v>Nonnative</v>
      </c>
      <c r="K987" t="str">
        <f t="shared" si="121"/>
        <v>No</v>
      </c>
      <c r="M987">
        <v>159</v>
      </c>
      <c r="N987">
        <v>87</v>
      </c>
      <c r="O987">
        <v>1</v>
      </c>
      <c r="T987" t="str">
        <f t="shared" si="122"/>
        <v/>
      </c>
    </row>
    <row r="988" spans="1:20" x14ac:dyDescent="0.55000000000000004">
      <c r="A988">
        <v>96</v>
      </c>
      <c r="B988" t="str">
        <f t="shared" si="116"/>
        <v>96_0</v>
      </c>
      <c r="C988" s="2">
        <v>45638.489583333336</v>
      </c>
      <c r="D988" t="s">
        <v>221</v>
      </c>
      <c r="E988">
        <v>2</v>
      </c>
      <c r="F988" t="s">
        <v>236</v>
      </c>
      <c r="G988" t="str">
        <f t="shared" si="117"/>
        <v>Carassius auratus</v>
      </c>
      <c r="H988" t="str">
        <f t="shared" si="118"/>
        <v>Goldfish</v>
      </c>
      <c r="I988" t="str">
        <f t="shared" si="119"/>
        <v>Morihana</v>
      </c>
      <c r="J988" t="str">
        <f t="shared" si="120"/>
        <v>Nonnative</v>
      </c>
      <c r="K988" t="str">
        <f t="shared" si="121"/>
        <v>No</v>
      </c>
      <c r="M988">
        <v>65</v>
      </c>
      <c r="N988">
        <v>3</v>
      </c>
      <c r="O988">
        <v>1</v>
      </c>
      <c r="T988" t="str">
        <f t="shared" si="122"/>
        <v/>
      </c>
    </row>
    <row r="989" spans="1:20" x14ac:dyDescent="0.55000000000000004">
      <c r="A989">
        <v>96</v>
      </c>
      <c r="B989" t="str">
        <f t="shared" si="116"/>
        <v>96_0</v>
      </c>
      <c r="C989" s="2">
        <v>45638.489583333336</v>
      </c>
      <c r="D989" t="s">
        <v>221</v>
      </c>
      <c r="E989">
        <v>2</v>
      </c>
      <c r="F989" t="s">
        <v>236</v>
      </c>
      <c r="G989" t="str">
        <f t="shared" si="117"/>
        <v>Carassius auratus</v>
      </c>
      <c r="H989" t="str">
        <f t="shared" si="118"/>
        <v>Goldfish</v>
      </c>
      <c r="I989" t="str">
        <f t="shared" si="119"/>
        <v>Morihana</v>
      </c>
      <c r="J989" t="str">
        <f t="shared" si="120"/>
        <v>Nonnative</v>
      </c>
      <c r="K989" t="str">
        <f t="shared" si="121"/>
        <v>No</v>
      </c>
      <c r="M989">
        <v>132</v>
      </c>
      <c r="N989">
        <v>56</v>
      </c>
      <c r="O989">
        <v>1</v>
      </c>
      <c r="T989" t="str">
        <f t="shared" si="122"/>
        <v/>
      </c>
    </row>
    <row r="990" spans="1:20" x14ac:dyDescent="0.55000000000000004">
      <c r="A990">
        <v>96</v>
      </c>
      <c r="B990" t="str">
        <f t="shared" si="116"/>
        <v>96_0</v>
      </c>
      <c r="C990" s="2">
        <v>45638.489583333336</v>
      </c>
      <c r="D990" t="s">
        <v>221</v>
      </c>
      <c r="E990">
        <v>2</v>
      </c>
      <c r="F990" t="s">
        <v>236</v>
      </c>
      <c r="G990" t="str">
        <f t="shared" si="117"/>
        <v>Carassius auratus</v>
      </c>
      <c r="H990" t="str">
        <f t="shared" si="118"/>
        <v>Goldfish</v>
      </c>
      <c r="I990" t="str">
        <f t="shared" si="119"/>
        <v>Morihana</v>
      </c>
      <c r="J990" t="str">
        <f t="shared" si="120"/>
        <v>Nonnative</v>
      </c>
      <c r="K990" t="str">
        <f t="shared" si="121"/>
        <v>No</v>
      </c>
      <c r="M990">
        <v>132</v>
      </c>
      <c r="N990">
        <v>57</v>
      </c>
      <c r="O990">
        <v>1</v>
      </c>
      <c r="T990" t="str">
        <f t="shared" si="122"/>
        <v/>
      </c>
    </row>
    <row r="991" spans="1:20" x14ac:dyDescent="0.55000000000000004">
      <c r="A991">
        <v>96</v>
      </c>
      <c r="B991" t="str">
        <f t="shared" si="116"/>
        <v>96_0</v>
      </c>
      <c r="C991" s="2">
        <v>45638.489583333336</v>
      </c>
      <c r="D991" t="s">
        <v>221</v>
      </c>
      <c r="E991">
        <v>2</v>
      </c>
      <c r="F991" t="s">
        <v>236</v>
      </c>
      <c r="G991" t="str">
        <f t="shared" si="117"/>
        <v>Carassius auratus</v>
      </c>
      <c r="H991" t="str">
        <f t="shared" si="118"/>
        <v>Goldfish</v>
      </c>
      <c r="I991" t="str">
        <f t="shared" si="119"/>
        <v>Morihana</v>
      </c>
      <c r="J991" t="str">
        <f t="shared" si="120"/>
        <v>Nonnative</v>
      </c>
      <c r="K991" t="str">
        <f t="shared" si="121"/>
        <v>No</v>
      </c>
      <c r="M991">
        <v>149</v>
      </c>
      <c r="N991">
        <v>77</v>
      </c>
      <c r="O991">
        <v>1</v>
      </c>
      <c r="T991" t="str">
        <f t="shared" si="122"/>
        <v/>
      </c>
    </row>
    <row r="992" spans="1:20" x14ac:dyDescent="0.55000000000000004">
      <c r="A992">
        <v>96</v>
      </c>
      <c r="B992" t="str">
        <f t="shared" si="116"/>
        <v>96_0</v>
      </c>
      <c r="C992" s="2">
        <v>45638.489583333336</v>
      </c>
      <c r="D992" t="s">
        <v>221</v>
      </c>
      <c r="E992">
        <v>2</v>
      </c>
      <c r="F992" t="s">
        <v>236</v>
      </c>
      <c r="G992" t="str">
        <f t="shared" si="117"/>
        <v>Carassius auratus</v>
      </c>
      <c r="H992" t="str">
        <f t="shared" si="118"/>
        <v>Goldfish</v>
      </c>
      <c r="I992" t="str">
        <f t="shared" si="119"/>
        <v>Morihana</v>
      </c>
      <c r="J992" t="str">
        <f t="shared" si="120"/>
        <v>Nonnative</v>
      </c>
      <c r="K992" t="str">
        <f t="shared" si="121"/>
        <v>No</v>
      </c>
      <c r="M992">
        <v>84</v>
      </c>
      <c r="N992">
        <v>17</v>
      </c>
      <c r="O992">
        <v>1</v>
      </c>
      <c r="T992" t="str">
        <f t="shared" si="122"/>
        <v/>
      </c>
    </row>
    <row r="993" spans="1:20" x14ac:dyDescent="0.55000000000000004">
      <c r="A993">
        <v>96</v>
      </c>
      <c r="B993" t="str">
        <f t="shared" si="116"/>
        <v>96_0</v>
      </c>
      <c r="C993" s="2">
        <v>45638.489583333336</v>
      </c>
      <c r="D993" t="s">
        <v>221</v>
      </c>
      <c r="E993">
        <v>2</v>
      </c>
      <c r="F993" t="s">
        <v>236</v>
      </c>
      <c r="G993" t="str">
        <f t="shared" si="117"/>
        <v>Carassius auratus</v>
      </c>
      <c r="H993" t="str">
        <f t="shared" si="118"/>
        <v>Goldfish</v>
      </c>
      <c r="I993" t="str">
        <f t="shared" si="119"/>
        <v>Morihana</v>
      </c>
      <c r="J993" t="str">
        <f t="shared" si="120"/>
        <v>Nonnative</v>
      </c>
      <c r="K993" t="str">
        <f t="shared" si="121"/>
        <v>No</v>
      </c>
      <c r="M993">
        <v>82</v>
      </c>
      <c r="N993">
        <v>12</v>
      </c>
      <c r="O993">
        <v>1</v>
      </c>
      <c r="T993" t="str">
        <f t="shared" si="122"/>
        <v/>
      </c>
    </row>
    <row r="994" spans="1:20" x14ac:dyDescent="0.55000000000000004">
      <c r="A994">
        <v>96</v>
      </c>
      <c r="B994" t="str">
        <f t="shared" si="116"/>
        <v>96_0</v>
      </c>
      <c r="C994" s="2">
        <v>45638.489583333336</v>
      </c>
      <c r="D994" t="s">
        <v>221</v>
      </c>
      <c r="E994">
        <v>2</v>
      </c>
      <c r="F994" t="s">
        <v>236</v>
      </c>
      <c r="G994" t="str">
        <f t="shared" si="117"/>
        <v>Carassius auratus</v>
      </c>
      <c r="H994" t="str">
        <f t="shared" si="118"/>
        <v>Goldfish</v>
      </c>
      <c r="I994" t="str">
        <f t="shared" si="119"/>
        <v>Morihana</v>
      </c>
      <c r="J994" t="str">
        <f t="shared" si="120"/>
        <v>Nonnative</v>
      </c>
      <c r="K994" t="str">
        <f t="shared" si="121"/>
        <v>No</v>
      </c>
      <c r="M994">
        <v>82</v>
      </c>
      <c r="N994">
        <v>8</v>
      </c>
      <c r="O994">
        <v>1</v>
      </c>
      <c r="T994" t="str">
        <f t="shared" si="122"/>
        <v/>
      </c>
    </row>
    <row r="995" spans="1:20" x14ac:dyDescent="0.55000000000000004">
      <c r="A995">
        <v>96</v>
      </c>
      <c r="B995" t="str">
        <f t="shared" si="116"/>
        <v>96_0</v>
      </c>
      <c r="C995" s="2">
        <v>45638.489583333336</v>
      </c>
      <c r="D995" t="s">
        <v>221</v>
      </c>
      <c r="E995">
        <v>2</v>
      </c>
      <c r="F995" t="s">
        <v>242</v>
      </c>
      <c r="G995" t="str">
        <f t="shared" si="117"/>
        <v>Gobiomorphus cotidianus</v>
      </c>
      <c r="H995" t="str">
        <f t="shared" si="118"/>
        <v>Common_bully</v>
      </c>
      <c r="I995" t="str">
        <f t="shared" si="119"/>
        <v>Toitoi</v>
      </c>
      <c r="J995" t="str">
        <f t="shared" si="120"/>
        <v>Native</v>
      </c>
      <c r="K995" t="str">
        <f t="shared" si="121"/>
        <v>No</v>
      </c>
      <c r="N995">
        <v>517</v>
      </c>
      <c r="S995">
        <v>2.5</v>
      </c>
      <c r="T995">
        <f t="shared" si="122"/>
        <v>591.47</v>
      </c>
    </row>
    <row r="996" spans="1:20" x14ac:dyDescent="0.55000000000000004">
      <c r="A996">
        <v>96</v>
      </c>
      <c r="B996" t="str">
        <f t="shared" si="116"/>
        <v>96_0</v>
      </c>
      <c r="C996" s="2">
        <v>45638.489583333336</v>
      </c>
      <c r="D996" t="s">
        <v>221</v>
      </c>
      <c r="E996">
        <v>2</v>
      </c>
      <c r="F996" t="s">
        <v>242</v>
      </c>
      <c r="G996" t="str">
        <f t="shared" si="117"/>
        <v>Gobiomorphus cotidianus</v>
      </c>
      <c r="H996" t="str">
        <f t="shared" si="118"/>
        <v>Common_bully</v>
      </c>
      <c r="I996" t="str">
        <f t="shared" si="119"/>
        <v>Toitoi</v>
      </c>
      <c r="J996" t="str">
        <f t="shared" si="120"/>
        <v>Native</v>
      </c>
      <c r="K996" t="str">
        <f t="shared" si="121"/>
        <v>No</v>
      </c>
      <c r="N996">
        <v>577</v>
      </c>
      <c r="S996">
        <v>2.5</v>
      </c>
      <c r="T996">
        <f t="shared" si="122"/>
        <v>591.47</v>
      </c>
    </row>
    <row r="997" spans="1:20" x14ac:dyDescent="0.55000000000000004">
      <c r="A997">
        <v>96</v>
      </c>
      <c r="B997" t="str">
        <f t="shared" si="116"/>
        <v>96_0</v>
      </c>
      <c r="C997" s="2">
        <v>45638.489583333336</v>
      </c>
      <c r="D997" t="s">
        <v>221</v>
      </c>
      <c r="E997">
        <v>2</v>
      </c>
      <c r="F997" t="s">
        <v>242</v>
      </c>
      <c r="G997" t="str">
        <f t="shared" si="117"/>
        <v>Gobiomorphus cotidianus</v>
      </c>
      <c r="H997" t="str">
        <f t="shared" si="118"/>
        <v>Common_bully</v>
      </c>
      <c r="I997" t="str">
        <f t="shared" si="119"/>
        <v>Toitoi</v>
      </c>
      <c r="J997" t="str">
        <f t="shared" si="120"/>
        <v>Native</v>
      </c>
      <c r="K997" t="str">
        <f t="shared" si="121"/>
        <v>No</v>
      </c>
      <c r="N997">
        <v>544</v>
      </c>
      <c r="S997">
        <v>2.5</v>
      </c>
      <c r="T997">
        <f t="shared" si="122"/>
        <v>591.47</v>
      </c>
    </row>
    <row r="998" spans="1:20" x14ac:dyDescent="0.55000000000000004">
      <c r="A998">
        <v>96</v>
      </c>
      <c r="B998" t="str">
        <f t="shared" si="116"/>
        <v>96_0</v>
      </c>
      <c r="C998" s="2">
        <v>45638.489583333336</v>
      </c>
      <c r="D998" t="s">
        <v>221</v>
      </c>
      <c r="E998">
        <v>2</v>
      </c>
      <c r="F998" t="s">
        <v>242</v>
      </c>
      <c r="G998" t="str">
        <f t="shared" si="117"/>
        <v>Gobiomorphus cotidianus</v>
      </c>
      <c r="H998" t="str">
        <f t="shared" si="118"/>
        <v>Common_bully</v>
      </c>
      <c r="I998" t="str">
        <f t="shared" si="119"/>
        <v>Toitoi</v>
      </c>
      <c r="J998" t="str">
        <f t="shared" si="120"/>
        <v>Native</v>
      </c>
      <c r="K998" t="str">
        <f t="shared" si="121"/>
        <v>No</v>
      </c>
      <c r="N998">
        <v>567</v>
      </c>
      <c r="S998">
        <v>2.5</v>
      </c>
      <c r="T998">
        <f t="shared" si="122"/>
        <v>591.47</v>
      </c>
    </row>
    <row r="999" spans="1:20" x14ac:dyDescent="0.55000000000000004">
      <c r="A999">
        <v>96</v>
      </c>
      <c r="B999" t="str">
        <f t="shared" si="116"/>
        <v>96_0</v>
      </c>
      <c r="C999" s="2">
        <v>45638.489583333336</v>
      </c>
      <c r="D999" t="s">
        <v>221</v>
      </c>
      <c r="E999">
        <v>2</v>
      </c>
      <c r="F999" t="s">
        <v>242</v>
      </c>
      <c r="G999" t="str">
        <f t="shared" si="117"/>
        <v>Gobiomorphus cotidianus</v>
      </c>
      <c r="H999" t="str">
        <f t="shared" si="118"/>
        <v>Common_bully</v>
      </c>
      <c r="I999" t="str">
        <f t="shared" si="119"/>
        <v>Toitoi</v>
      </c>
      <c r="J999" t="str">
        <f t="shared" si="120"/>
        <v>Native</v>
      </c>
      <c r="K999" t="str">
        <f t="shared" si="121"/>
        <v>No</v>
      </c>
      <c r="N999">
        <v>602</v>
      </c>
      <c r="S999">
        <v>2.5</v>
      </c>
      <c r="T999">
        <f t="shared" si="122"/>
        <v>591.47</v>
      </c>
    </row>
    <row r="1000" spans="1:20" x14ac:dyDescent="0.55000000000000004">
      <c r="A1000">
        <v>96</v>
      </c>
      <c r="B1000" t="str">
        <f t="shared" si="116"/>
        <v>96_0</v>
      </c>
      <c r="C1000" s="2">
        <v>45638.489583333336</v>
      </c>
      <c r="D1000" t="s">
        <v>221</v>
      </c>
      <c r="E1000">
        <v>2</v>
      </c>
      <c r="F1000" t="s">
        <v>242</v>
      </c>
      <c r="G1000" t="str">
        <f t="shared" si="117"/>
        <v>Gobiomorphus cotidianus</v>
      </c>
      <c r="H1000" t="str">
        <f t="shared" si="118"/>
        <v>Common_bully</v>
      </c>
      <c r="I1000" t="str">
        <f t="shared" si="119"/>
        <v>Toitoi</v>
      </c>
      <c r="J1000" t="str">
        <f t="shared" si="120"/>
        <v>Native</v>
      </c>
      <c r="K1000" t="str">
        <f t="shared" si="121"/>
        <v>No</v>
      </c>
      <c r="N1000">
        <v>467</v>
      </c>
      <c r="S1000">
        <v>2</v>
      </c>
      <c r="T1000">
        <f t="shared" si="122"/>
        <v>473.17599999999999</v>
      </c>
    </row>
    <row r="1001" spans="1:20" x14ac:dyDescent="0.55000000000000004">
      <c r="A1001">
        <v>96</v>
      </c>
      <c r="B1001" t="str">
        <f t="shared" si="116"/>
        <v>96_0</v>
      </c>
      <c r="C1001" s="2">
        <v>45638.489583333336</v>
      </c>
      <c r="D1001" t="s">
        <v>221</v>
      </c>
      <c r="E1001">
        <v>2</v>
      </c>
      <c r="F1001" t="s">
        <v>236</v>
      </c>
      <c r="G1001" t="str">
        <f t="shared" si="117"/>
        <v>Carassius auratus</v>
      </c>
      <c r="H1001" t="str">
        <f t="shared" si="118"/>
        <v>Goldfish</v>
      </c>
      <c r="I1001" t="str">
        <f t="shared" si="119"/>
        <v>Morihana</v>
      </c>
      <c r="J1001" t="str">
        <f t="shared" si="120"/>
        <v>Nonnative</v>
      </c>
      <c r="K1001" t="str">
        <f t="shared" si="121"/>
        <v>No</v>
      </c>
      <c r="M1001">
        <v>169</v>
      </c>
      <c r="N1001">
        <v>141</v>
      </c>
      <c r="O1001">
        <v>1</v>
      </c>
      <c r="T1001" t="str">
        <f t="shared" si="122"/>
        <v/>
      </c>
    </row>
    <row r="1002" spans="1:20" x14ac:dyDescent="0.55000000000000004">
      <c r="A1002">
        <v>96</v>
      </c>
      <c r="B1002" t="str">
        <f t="shared" si="116"/>
        <v>96_0</v>
      </c>
      <c r="C1002" s="2">
        <v>45638.489583333336</v>
      </c>
      <c r="D1002" t="s">
        <v>221</v>
      </c>
      <c r="E1002">
        <v>2</v>
      </c>
      <c r="F1002" t="s">
        <v>236</v>
      </c>
      <c r="G1002" t="str">
        <f t="shared" si="117"/>
        <v>Carassius auratus</v>
      </c>
      <c r="H1002" t="str">
        <f t="shared" si="118"/>
        <v>Goldfish</v>
      </c>
      <c r="I1002" t="str">
        <f t="shared" si="119"/>
        <v>Morihana</v>
      </c>
      <c r="J1002" t="str">
        <f t="shared" si="120"/>
        <v>Nonnative</v>
      </c>
      <c r="K1002" t="str">
        <f t="shared" si="121"/>
        <v>No</v>
      </c>
      <c r="M1002">
        <v>173</v>
      </c>
      <c r="N1002">
        <v>142</v>
      </c>
      <c r="O1002">
        <v>1</v>
      </c>
      <c r="T1002" t="str">
        <f t="shared" si="122"/>
        <v/>
      </c>
    </row>
    <row r="1003" spans="1:20" x14ac:dyDescent="0.55000000000000004">
      <c r="A1003">
        <v>96</v>
      </c>
      <c r="B1003" t="str">
        <f t="shared" si="116"/>
        <v>96_0</v>
      </c>
      <c r="C1003" s="2">
        <v>45638.489583333336</v>
      </c>
      <c r="D1003" t="s">
        <v>221</v>
      </c>
      <c r="E1003">
        <v>2</v>
      </c>
      <c r="F1003" t="s">
        <v>236</v>
      </c>
      <c r="G1003" t="str">
        <f t="shared" si="117"/>
        <v>Carassius auratus</v>
      </c>
      <c r="H1003" t="str">
        <f t="shared" si="118"/>
        <v>Goldfish</v>
      </c>
      <c r="I1003" t="str">
        <f t="shared" si="119"/>
        <v>Morihana</v>
      </c>
      <c r="J1003" t="str">
        <f t="shared" si="120"/>
        <v>Nonnative</v>
      </c>
      <c r="K1003" t="str">
        <f t="shared" si="121"/>
        <v>No</v>
      </c>
      <c r="M1003">
        <v>177</v>
      </c>
      <c r="N1003">
        <v>133</v>
      </c>
      <c r="O1003">
        <v>1</v>
      </c>
      <c r="T1003" t="str">
        <f t="shared" si="122"/>
        <v/>
      </c>
    </row>
    <row r="1004" spans="1:20" x14ac:dyDescent="0.55000000000000004">
      <c r="A1004">
        <v>96</v>
      </c>
      <c r="B1004" t="str">
        <f t="shared" si="116"/>
        <v>96_0</v>
      </c>
      <c r="C1004" s="2">
        <v>45638.489583333336</v>
      </c>
      <c r="D1004" t="s">
        <v>221</v>
      </c>
      <c r="E1004">
        <v>2</v>
      </c>
      <c r="F1004" t="s">
        <v>236</v>
      </c>
      <c r="G1004" t="str">
        <f t="shared" si="117"/>
        <v>Carassius auratus</v>
      </c>
      <c r="H1004" t="str">
        <f t="shared" si="118"/>
        <v>Goldfish</v>
      </c>
      <c r="I1004" t="str">
        <f t="shared" si="119"/>
        <v>Morihana</v>
      </c>
      <c r="J1004" t="str">
        <f t="shared" si="120"/>
        <v>Nonnative</v>
      </c>
      <c r="K1004" t="str">
        <f t="shared" si="121"/>
        <v>No</v>
      </c>
      <c r="M1004">
        <v>174</v>
      </c>
      <c r="N1004">
        <v>121</v>
      </c>
      <c r="O1004">
        <v>1</v>
      </c>
      <c r="T1004" t="str">
        <f t="shared" si="122"/>
        <v/>
      </c>
    </row>
    <row r="1005" spans="1:20" x14ac:dyDescent="0.55000000000000004">
      <c r="A1005">
        <v>96</v>
      </c>
      <c r="B1005" t="str">
        <f t="shared" si="116"/>
        <v>96_0</v>
      </c>
      <c r="C1005" s="2">
        <v>45638.489583333336</v>
      </c>
      <c r="D1005" t="s">
        <v>221</v>
      </c>
      <c r="E1005">
        <v>2</v>
      </c>
      <c r="F1005" t="s">
        <v>236</v>
      </c>
      <c r="G1005" t="str">
        <f t="shared" si="117"/>
        <v>Carassius auratus</v>
      </c>
      <c r="H1005" t="str">
        <f t="shared" si="118"/>
        <v>Goldfish</v>
      </c>
      <c r="I1005" t="str">
        <f t="shared" si="119"/>
        <v>Morihana</v>
      </c>
      <c r="J1005" t="str">
        <f t="shared" si="120"/>
        <v>Nonnative</v>
      </c>
      <c r="K1005" t="str">
        <f t="shared" si="121"/>
        <v>No</v>
      </c>
      <c r="M1005">
        <v>200</v>
      </c>
      <c r="N1005">
        <v>185</v>
      </c>
      <c r="O1005">
        <v>1</v>
      </c>
      <c r="T1005" t="str">
        <f t="shared" si="122"/>
        <v/>
      </c>
    </row>
    <row r="1006" spans="1:20" x14ac:dyDescent="0.55000000000000004">
      <c r="A1006">
        <v>96</v>
      </c>
      <c r="B1006" t="str">
        <f t="shared" si="116"/>
        <v>96_0</v>
      </c>
      <c r="C1006" s="2">
        <v>45638.489583333336</v>
      </c>
      <c r="D1006" t="s">
        <v>221</v>
      </c>
      <c r="E1006">
        <v>2</v>
      </c>
      <c r="F1006" t="s">
        <v>236</v>
      </c>
      <c r="G1006" t="str">
        <f t="shared" si="117"/>
        <v>Carassius auratus</v>
      </c>
      <c r="H1006" t="str">
        <f t="shared" si="118"/>
        <v>Goldfish</v>
      </c>
      <c r="I1006" t="str">
        <f t="shared" si="119"/>
        <v>Morihana</v>
      </c>
      <c r="J1006" t="str">
        <f t="shared" si="120"/>
        <v>Nonnative</v>
      </c>
      <c r="K1006" t="str">
        <f t="shared" si="121"/>
        <v>No</v>
      </c>
      <c r="M1006">
        <v>65</v>
      </c>
      <c r="N1006">
        <v>7</v>
      </c>
      <c r="O1006">
        <v>1</v>
      </c>
      <c r="T1006" t="str">
        <f t="shared" si="122"/>
        <v/>
      </c>
    </row>
    <row r="1007" spans="1:20" x14ac:dyDescent="0.55000000000000004">
      <c r="A1007">
        <v>96</v>
      </c>
      <c r="B1007" t="str">
        <f t="shared" si="116"/>
        <v>96_0</v>
      </c>
      <c r="C1007" s="2">
        <v>45638.489583333336</v>
      </c>
      <c r="D1007" t="s">
        <v>221</v>
      </c>
      <c r="E1007">
        <v>2</v>
      </c>
      <c r="F1007" t="s">
        <v>236</v>
      </c>
      <c r="G1007" t="str">
        <f t="shared" si="117"/>
        <v>Carassius auratus</v>
      </c>
      <c r="H1007" t="str">
        <f t="shared" si="118"/>
        <v>Goldfish</v>
      </c>
      <c r="I1007" t="str">
        <f t="shared" si="119"/>
        <v>Morihana</v>
      </c>
      <c r="J1007" t="str">
        <f t="shared" si="120"/>
        <v>Nonnative</v>
      </c>
      <c r="K1007" t="str">
        <f t="shared" si="121"/>
        <v>No</v>
      </c>
      <c r="M1007">
        <v>55</v>
      </c>
      <c r="N1007">
        <v>4</v>
      </c>
      <c r="O1007">
        <v>1</v>
      </c>
      <c r="T1007" t="str">
        <f t="shared" si="122"/>
        <v/>
      </c>
    </row>
    <row r="1008" spans="1:20" x14ac:dyDescent="0.55000000000000004">
      <c r="A1008">
        <v>96</v>
      </c>
      <c r="B1008" t="str">
        <f t="shared" si="116"/>
        <v>96_0</v>
      </c>
      <c r="C1008" s="2">
        <v>45638.489583333336</v>
      </c>
      <c r="D1008" t="s">
        <v>221</v>
      </c>
      <c r="E1008">
        <v>2</v>
      </c>
      <c r="F1008" t="s">
        <v>236</v>
      </c>
      <c r="G1008" t="str">
        <f t="shared" si="117"/>
        <v>Carassius auratus</v>
      </c>
      <c r="H1008" t="str">
        <f t="shared" si="118"/>
        <v>Goldfish</v>
      </c>
      <c r="I1008" t="str">
        <f t="shared" si="119"/>
        <v>Morihana</v>
      </c>
      <c r="J1008" t="str">
        <f t="shared" si="120"/>
        <v>Nonnative</v>
      </c>
      <c r="K1008" t="str">
        <f t="shared" si="121"/>
        <v>No</v>
      </c>
      <c r="M1008">
        <v>130</v>
      </c>
      <c r="N1008">
        <v>57</v>
      </c>
      <c r="O1008">
        <v>1</v>
      </c>
      <c r="T1008" t="str">
        <f t="shared" si="122"/>
        <v/>
      </c>
    </row>
    <row r="1009" spans="1:21" x14ac:dyDescent="0.55000000000000004">
      <c r="A1009">
        <v>77</v>
      </c>
      <c r="B1009" t="str">
        <f t="shared" si="116"/>
        <v>77_0</v>
      </c>
      <c r="C1009" s="2">
        <v>45674.520833333336</v>
      </c>
      <c r="D1009" t="s">
        <v>221</v>
      </c>
      <c r="E1009">
        <v>2</v>
      </c>
      <c r="F1009" t="s">
        <v>222</v>
      </c>
      <c r="G1009" t="str">
        <f t="shared" si="117"/>
        <v>Paranephrops planifrons</v>
      </c>
      <c r="H1009" t="str">
        <f t="shared" si="118"/>
        <v>Freshwater_crayfish</v>
      </c>
      <c r="I1009" t="str">
        <f t="shared" si="119"/>
        <v>Kōura</v>
      </c>
      <c r="J1009" t="str">
        <f t="shared" si="120"/>
        <v>Native</v>
      </c>
      <c r="K1009" t="str">
        <f t="shared" si="121"/>
        <v>Yes</v>
      </c>
      <c r="L1009" t="s">
        <v>223</v>
      </c>
      <c r="M1009">
        <v>22.61</v>
      </c>
      <c r="N1009">
        <v>8</v>
      </c>
      <c r="O1009">
        <v>1</v>
      </c>
      <c r="T1009" t="str">
        <f t="shared" si="122"/>
        <v/>
      </c>
    </row>
    <row r="1010" spans="1:21" x14ac:dyDescent="0.55000000000000004">
      <c r="A1010">
        <v>98</v>
      </c>
      <c r="B1010" t="str">
        <f t="shared" si="116"/>
        <v>98_0</v>
      </c>
      <c r="C1010" s="2">
        <v>45603.5625</v>
      </c>
      <c r="D1010" t="s">
        <v>245</v>
      </c>
      <c r="E1010">
        <v>2</v>
      </c>
      <c r="F1010" t="s">
        <v>222</v>
      </c>
      <c r="G1010" t="str">
        <f t="shared" si="117"/>
        <v>Paranephrops planifrons</v>
      </c>
      <c r="H1010" t="str">
        <f t="shared" si="118"/>
        <v>Freshwater_crayfish</v>
      </c>
      <c r="I1010" t="str">
        <f t="shared" si="119"/>
        <v>Kōura</v>
      </c>
      <c r="J1010" t="str">
        <f t="shared" si="120"/>
        <v>Native</v>
      </c>
      <c r="K1010" t="str">
        <f t="shared" si="121"/>
        <v>Yes</v>
      </c>
      <c r="L1010" t="s">
        <v>228</v>
      </c>
      <c r="M1010">
        <v>22.44</v>
      </c>
      <c r="O1010">
        <v>1</v>
      </c>
      <c r="T1010" t="str">
        <f t="shared" si="122"/>
        <v/>
      </c>
    </row>
    <row r="1011" spans="1:21" x14ac:dyDescent="0.55000000000000004">
      <c r="A1011">
        <v>98</v>
      </c>
      <c r="B1011" t="str">
        <f t="shared" si="116"/>
        <v>98_0</v>
      </c>
      <c r="C1011" s="2">
        <v>45603.5625</v>
      </c>
      <c r="D1011" t="s">
        <v>245</v>
      </c>
      <c r="E1011">
        <v>2</v>
      </c>
      <c r="F1011" t="s">
        <v>222</v>
      </c>
      <c r="G1011" t="str">
        <f t="shared" si="117"/>
        <v>Paranephrops planifrons</v>
      </c>
      <c r="H1011" t="str">
        <f t="shared" si="118"/>
        <v>Freshwater_crayfish</v>
      </c>
      <c r="I1011" t="str">
        <f t="shared" si="119"/>
        <v>Kōura</v>
      </c>
      <c r="J1011" t="str">
        <f t="shared" si="120"/>
        <v>Native</v>
      </c>
      <c r="K1011" t="str">
        <f t="shared" si="121"/>
        <v>Yes</v>
      </c>
      <c r="L1011" t="s">
        <v>228</v>
      </c>
      <c r="M1011">
        <v>22.23</v>
      </c>
      <c r="O1011">
        <v>1</v>
      </c>
      <c r="T1011" t="str">
        <f t="shared" si="122"/>
        <v/>
      </c>
    </row>
    <row r="1012" spans="1:21" x14ac:dyDescent="0.55000000000000004">
      <c r="A1012">
        <v>92</v>
      </c>
      <c r="B1012" t="str">
        <f t="shared" si="116"/>
        <v>92_0</v>
      </c>
      <c r="C1012" s="2">
        <v>45638.456944444442</v>
      </c>
      <c r="D1012" t="s">
        <v>245</v>
      </c>
      <c r="E1012">
        <v>2</v>
      </c>
      <c r="F1012" t="s">
        <v>222</v>
      </c>
      <c r="G1012" t="str">
        <f t="shared" si="117"/>
        <v>Paranephrops planifrons</v>
      </c>
      <c r="H1012" t="str">
        <f t="shared" si="118"/>
        <v>Freshwater_crayfish</v>
      </c>
      <c r="I1012" t="str">
        <f t="shared" si="119"/>
        <v>Kōura</v>
      </c>
      <c r="J1012" t="str">
        <f t="shared" si="120"/>
        <v>Native</v>
      </c>
      <c r="K1012" t="str">
        <f t="shared" si="121"/>
        <v>Yes</v>
      </c>
      <c r="L1012" t="s">
        <v>223</v>
      </c>
      <c r="M1012">
        <v>22.09</v>
      </c>
      <c r="N1012">
        <v>26</v>
      </c>
      <c r="O1012">
        <v>1</v>
      </c>
      <c r="P1012">
        <v>1</v>
      </c>
      <c r="T1012" t="str">
        <f t="shared" si="122"/>
        <v/>
      </c>
    </row>
    <row r="1013" spans="1:21" x14ac:dyDescent="0.55000000000000004">
      <c r="A1013">
        <v>77</v>
      </c>
      <c r="B1013" t="str">
        <f t="shared" si="116"/>
        <v>77_0</v>
      </c>
      <c r="C1013" s="2">
        <v>45674.520833333336</v>
      </c>
      <c r="D1013" t="s">
        <v>245</v>
      </c>
      <c r="E1013">
        <v>2</v>
      </c>
      <c r="F1013" t="s">
        <v>222</v>
      </c>
      <c r="G1013" t="str">
        <f t="shared" si="117"/>
        <v>Paranephrops planifrons</v>
      </c>
      <c r="H1013" t="str">
        <f t="shared" si="118"/>
        <v>Freshwater_crayfish</v>
      </c>
      <c r="I1013" t="str">
        <f t="shared" si="119"/>
        <v>Kōura</v>
      </c>
      <c r="J1013" t="str">
        <f t="shared" si="120"/>
        <v>Native</v>
      </c>
      <c r="K1013" t="str">
        <f t="shared" si="121"/>
        <v>Yes</v>
      </c>
      <c r="L1013" t="s">
        <v>223</v>
      </c>
      <c r="M1013">
        <v>22.02</v>
      </c>
      <c r="N1013">
        <v>7</v>
      </c>
      <c r="O1013">
        <v>1</v>
      </c>
      <c r="T1013" t="str">
        <f t="shared" si="122"/>
        <v/>
      </c>
    </row>
    <row r="1014" spans="1:21" x14ac:dyDescent="0.55000000000000004">
      <c r="A1014">
        <v>73</v>
      </c>
      <c r="B1014" t="str">
        <f t="shared" si="116"/>
        <v>73_0</v>
      </c>
      <c r="C1014" s="2">
        <v>45674.479166608799</v>
      </c>
      <c r="D1014" t="s">
        <v>221</v>
      </c>
      <c r="E1014">
        <v>2</v>
      </c>
      <c r="F1014" t="s">
        <v>222</v>
      </c>
      <c r="G1014" t="str">
        <f t="shared" si="117"/>
        <v>Paranephrops planifrons</v>
      </c>
      <c r="H1014" t="str">
        <f t="shared" si="118"/>
        <v>Freshwater_crayfish</v>
      </c>
      <c r="I1014" t="str">
        <f t="shared" si="119"/>
        <v>Kōura</v>
      </c>
      <c r="J1014" t="str">
        <f t="shared" si="120"/>
        <v>Native</v>
      </c>
      <c r="K1014" t="str">
        <f t="shared" si="121"/>
        <v>Yes</v>
      </c>
      <c r="L1014" t="s">
        <v>223</v>
      </c>
      <c r="M1014">
        <v>22.02</v>
      </c>
      <c r="N1014">
        <v>6</v>
      </c>
      <c r="O1014">
        <v>1</v>
      </c>
      <c r="T1014" t="str">
        <f t="shared" si="122"/>
        <v/>
      </c>
    </row>
    <row r="1015" spans="1:21" x14ac:dyDescent="0.55000000000000004">
      <c r="A1015">
        <v>120</v>
      </c>
      <c r="B1015" t="str">
        <f t="shared" si="116"/>
        <v>120_0</v>
      </c>
      <c r="C1015" s="2">
        <v>45597.429166666669</v>
      </c>
      <c r="D1015" t="s">
        <v>221</v>
      </c>
      <c r="E1015">
        <v>2</v>
      </c>
      <c r="F1015" t="s">
        <v>222</v>
      </c>
      <c r="G1015" t="str">
        <f t="shared" si="117"/>
        <v>Paranephrops planifrons</v>
      </c>
      <c r="H1015" t="str">
        <f t="shared" si="118"/>
        <v>Freshwater_crayfish</v>
      </c>
      <c r="I1015" t="str">
        <f t="shared" si="119"/>
        <v>Kōura</v>
      </c>
      <c r="J1015" t="str">
        <f t="shared" si="120"/>
        <v>Native</v>
      </c>
      <c r="K1015" t="str">
        <f t="shared" si="121"/>
        <v>Yes</v>
      </c>
      <c r="L1015" t="s">
        <v>223</v>
      </c>
      <c r="M1015">
        <v>22</v>
      </c>
      <c r="N1015">
        <v>15</v>
      </c>
      <c r="O1015">
        <v>1</v>
      </c>
      <c r="T1015" t="str">
        <f t="shared" si="122"/>
        <v/>
      </c>
    </row>
    <row r="1016" spans="1:21" x14ac:dyDescent="0.55000000000000004">
      <c r="A1016">
        <v>109</v>
      </c>
      <c r="B1016" t="str">
        <f t="shared" si="116"/>
        <v>109_0</v>
      </c>
      <c r="C1016" s="2">
        <v>45597.541666608799</v>
      </c>
      <c r="D1016" t="s">
        <v>245</v>
      </c>
      <c r="E1016">
        <v>2</v>
      </c>
      <c r="F1016" t="s">
        <v>222</v>
      </c>
      <c r="G1016" t="str">
        <f t="shared" si="117"/>
        <v>Paranephrops planifrons</v>
      </c>
      <c r="H1016" t="str">
        <f t="shared" si="118"/>
        <v>Freshwater_crayfish</v>
      </c>
      <c r="I1016" t="str">
        <f t="shared" si="119"/>
        <v>Kōura</v>
      </c>
      <c r="J1016" t="str">
        <f t="shared" si="120"/>
        <v>Native</v>
      </c>
      <c r="K1016" t="str">
        <f t="shared" si="121"/>
        <v>Yes</v>
      </c>
      <c r="L1016" t="s">
        <v>223</v>
      </c>
      <c r="M1016">
        <v>22</v>
      </c>
      <c r="N1016">
        <v>9</v>
      </c>
      <c r="O1016">
        <v>1</v>
      </c>
      <c r="R1016">
        <v>1</v>
      </c>
      <c r="T1016" t="str">
        <f t="shared" si="122"/>
        <v/>
      </c>
      <c r="U1016" s="1"/>
    </row>
    <row r="1017" spans="1:21" x14ac:dyDescent="0.55000000000000004">
      <c r="A1017">
        <v>109</v>
      </c>
      <c r="B1017" t="str">
        <f t="shared" si="116"/>
        <v>109_0</v>
      </c>
      <c r="C1017" s="2">
        <v>45597.541666666664</v>
      </c>
      <c r="D1017" t="s">
        <v>221</v>
      </c>
      <c r="E1017">
        <v>2</v>
      </c>
      <c r="F1017" t="s">
        <v>222</v>
      </c>
      <c r="G1017" t="str">
        <f t="shared" si="117"/>
        <v>Paranephrops planifrons</v>
      </c>
      <c r="H1017" t="str">
        <f t="shared" si="118"/>
        <v>Freshwater_crayfish</v>
      </c>
      <c r="I1017" t="str">
        <f t="shared" si="119"/>
        <v>Kōura</v>
      </c>
      <c r="J1017" t="str">
        <f t="shared" si="120"/>
        <v>Native</v>
      </c>
      <c r="K1017" t="str">
        <f t="shared" si="121"/>
        <v>Yes</v>
      </c>
      <c r="L1017" t="s">
        <v>223</v>
      </c>
      <c r="M1017">
        <v>22</v>
      </c>
      <c r="N1017">
        <v>9</v>
      </c>
      <c r="O1017">
        <v>1</v>
      </c>
      <c r="T1017" t="str">
        <f t="shared" si="122"/>
        <v/>
      </c>
    </row>
    <row r="1018" spans="1:21" x14ac:dyDescent="0.55000000000000004">
      <c r="A1018">
        <v>96</v>
      </c>
      <c r="B1018" t="str">
        <f t="shared" si="116"/>
        <v>96_0</v>
      </c>
      <c r="C1018" s="2">
        <v>45638.489583333336</v>
      </c>
      <c r="D1018" t="s">
        <v>221</v>
      </c>
      <c r="E1018">
        <v>2</v>
      </c>
      <c r="F1018" t="s">
        <v>242</v>
      </c>
      <c r="G1018" t="str">
        <f t="shared" si="117"/>
        <v>Gobiomorphus cotidianus</v>
      </c>
      <c r="H1018" t="str">
        <f t="shared" si="118"/>
        <v>Common_bully</v>
      </c>
      <c r="I1018" t="str">
        <f t="shared" si="119"/>
        <v>Toitoi</v>
      </c>
      <c r="J1018" t="str">
        <f t="shared" si="120"/>
        <v>Native</v>
      </c>
      <c r="K1018" t="str">
        <f t="shared" si="121"/>
        <v>No</v>
      </c>
      <c r="N1018">
        <f>611-117</f>
        <v>494</v>
      </c>
      <c r="S1018">
        <v>2.5</v>
      </c>
      <c r="T1018">
        <f t="shared" si="122"/>
        <v>591.47</v>
      </c>
    </row>
    <row r="1019" spans="1:21" x14ac:dyDescent="0.55000000000000004">
      <c r="A1019">
        <v>96</v>
      </c>
      <c r="B1019" t="str">
        <f t="shared" si="116"/>
        <v>96_0</v>
      </c>
      <c r="C1019" s="2">
        <v>45638.489583333336</v>
      </c>
      <c r="D1019" t="s">
        <v>221</v>
      </c>
      <c r="E1019">
        <v>2</v>
      </c>
      <c r="F1019" t="s">
        <v>242</v>
      </c>
      <c r="G1019" t="str">
        <f t="shared" si="117"/>
        <v>Gobiomorphus cotidianus</v>
      </c>
      <c r="H1019" t="str">
        <f t="shared" si="118"/>
        <v>Common_bully</v>
      </c>
      <c r="I1019" t="str">
        <f t="shared" si="119"/>
        <v>Toitoi</v>
      </c>
      <c r="J1019" t="str">
        <f t="shared" si="120"/>
        <v>Native</v>
      </c>
      <c r="K1019" t="str">
        <f t="shared" si="121"/>
        <v>No</v>
      </c>
      <c r="N1019">
        <v>476</v>
      </c>
      <c r="S1019">
        <v>2.5</v>
      </c>
      <c r="T1019">
        <f t="shared" si="122"/>
        <v>591.47</v>
      </c>
    </row>
    <row r="1020" spans="1:21" x14ac:dyDescent="0.55000000000000004">
      <c r="A1020">
        <v>96</v>
      </c>
      <c r="B1020" t="str">
        <f t="shared" si="116"/>
        <v>96_0</v>
      </c>
      <c r="C1020" s="2">
        <v>45638.489583333336</v>
      </c>
      <c r="D1020" t="s">
        <v>221</v>
      </c>
      <c r="E1020">
        <v>2</v>
      </c>
      <c r="F1020" t="s">
        <v>242</v>
      </c>
      <c r="G1020" t="str">
        <f t="shared" si="117"/>
        <v>Gobiomorphus cotidianus</v>
      </c>
      <c r="H1020" t="str">
        <f t="shared" si="118"/>
        <v>Common_bully</v>
      </c>
      <c r="I1020" t="str">
        <f t="shared" si="119"/>
        <v>Toitoi</v>
      </c>
      <c r="J1020" t="str">
        <f t="shared" si="120"/>
        <v>Native</v>
      </c>
      <c r="K1020" t="str">
        <f t="shared" si="121"/>
        <v>No</v>
      </c>
      <c r="N1020">
        <f>578-117</f>
        <v>461</v>
      </c>
      <c r="S1020">
        <v>2.5</v>
      </c>
      <c r="T1020">
        <f t="shared" si="122"/>
        <v>591.47</v>
      </c>
    </row>
    <row r="1021" spans="1:21" x14ac:dyDescent="0.55000000000000004">
      <c r="A1021">
        <v>96</v>
      </c>
      <c r="B1021" t="str">
        <f t="shared" si="116"/>
        <v>96_0</v>
      </c>
      <c r="C1021" s="2">
        <v>45638.489583333336</v>
      </c>
      <c r="D1021" t="s">
        <v>221</v>
      </c>
      <c r="E1021">
        <v>2</v>
      </c>
      <c r="F1021" t="s">
        <v>242</v>
      </c>
      <c r="G1021" t="str">
        <f t="shared" si="117"/>
        <v>Gobiomorphus cotidianus</v>
      </c>
      <c r="H1021" t="str">
        <f t="shared" si="118"/>
        <v>Common_bully</v>
      </c>
      <c r="I1021" t="str">
        <f t="shared" si="119"/>
        <v>Toitoi</v>
      </c>
      <c r="J1021" t="str">
        <f t="shared" si="120"/>
        <v>Native</v>
      </c>
      <c r="K1021" t="str">
        <f t="shared" si="121"/>
        <v>No</v>
      </c>
      <c r="N1021">
        <f>201-117</f>
        <v>84</v>
      </c>
      <c r="S1021">
        <v>0.5</v>
      </c>
      <c r="T1021">
        <f t="shared" si="122"/>
        <v>118.294</v>
      </c>
    </row>
    <row r="1022" spans="1:21" x14ac:dyDescent="0.55000000000000004">
      <c r="A1022">
        <v>110</v>
      </c>
      <c r="B1022" t="str">
        <f t="shared" si="116"/>
        <v>110_0</v>
      </c>
      <c r="C1022" s="2">
        <v>45597.493055497682</v>
      </c>
      <c r="D1022" t="s">
        <v>221</v>
      </c>
      <c r="E1022">
        <v>2</v>
      </c>
      <c r="F1022" t="s">
        <v>222</v>
      </c>
      <c r="G1022" t="str">
        <f t="shared" si="117"/>
        <v>Paranephrops planifrons</v>
      </c>
      <c r="H1022" t="str">
        <f t="shared" si="118"/>
        <v>Freshwater_crayfish</v>
      </c>
      <c r="I1022" t="str">
        <f t="shared" si="119"/>
        <v>Kōura</v>
      </c>
      <c r="J1022" t="str">
        <f t="shared" si="120"/>
        <v>Native</v>
      </c>
      <c r="K1022" t="str">
        <f t="shared" si="121"/>
        <v>Yes</v>
      </c>
      <c r="L1022" t="s">
        <v>228</v>
      </c>
      <c r="M1022">
        <v>22</v>
      </c>
      <c r="N1022">
        <v>6</v>
      </c>
      <c r="O1022">
        <v>1</v>
      </c>
      <c r="T1022" t="str">
        <f t="shared" si="122"/>
        <v/>
      </c>
    </row>
    <row r="1023" spans="1:21" x14ac:dyDescent="0.55000000000000004">
      <c r="A1023">
        <v>109</v>
      </c>
      <c r="B1023" t="str">
        <f>A1023 &amp; "_1"</f>
        <v>109_1</v>
      </c>
      <c r="C1023" s="2">
        <v>45680.416666608799</v>
      </c>
      <c r="D1023" t="s">
        <v>245</v>
      </c>
      <c r="E1023">
        <v>2</v>
      </c>
      <c r="F1023" t="s">
        <v>222</v>
      </c>
      <c r="G1023" t="str">
        <f t="shared" si="117"/>
        <v>Paranephrops planifrons</v>
      </c>
      <c r="H1023" t="str">
        <f t="shared" si="118"/>
        <v>Freshwater_crayfish</v>
      </c>
      <c r="I1023" t="str">
        <f t="shared" si="119"/>
        <v>Kōura</v>
      </c>
      <c r="J1023" t="str">
        <f t="shared" si="120"/>
        <v>Native</v>
      </c>
      <c r="K1023" t="str">
        <f t="shared" si="121"/>
        <v>Yes</v>
      </c>
      <c r="L1023" t="s">
        <v>223</v>
      </c>
      <c r="M1023">
        <v>17.809999999999999</v>
      </c>
      <c r="N1023">
        <v>3</v>
      </c>
      <c r="O1023">
        <v>1</v>
      </c>
      <c r="T1023" t="str">
        <f t="shared" si="122"/>
        <v/>
      </c>
    </row>
    <row r="1024" spans="1:21" x14ac:dyDescent="0.55000000000000004">
      <c r="A1024">
        <v>109</v>
      </c>
      <c r="B1024" t="str">
        <f>A1024 &amp; "_1"</f>
        <v>109_1</v>
      </c>
      <c r="C1024" s="2">
        <v>45680.416666608799</v>
      </c>
      <c r="D1024" t="s">
        <v>221</v>
      </c>
      <c r="E1024">
        <v>2</v>
      </c>
      <c r="F1024" t="s">
        <v>222</v>
      </c>
      <c r="G1024" t="str">
        <f t="shared" si="117"/>
        <v>Paranephrops planifrons</v>
      </c>
      <c r="H1024" t="str">
        <f t="shared" si="118"/>
        <v>Freshwater_crayfish</v>
      </c>
      <c r="I1024" t="str">
        <f t="shared" si="119"/>
        <v>Kōura</v>
      </c>
      <c r="J1024" t="str">
        <f t="shared" si="120"/>
        <v>Native</v>
      </c>
      <c r="K1024" t="str">
        <f t="shared" si="121"/>
        <v>Yes</v>
      </c>
      <c r="L1024" t="s">
        <v>223</v>
      </c>
      <c r="M1024">
        <v>19.260000000000002</v>
      </c>
      <c r="N1024">
        <v>6</v>
      </c>
      <c r="O1024">
        <v>1</v>
      </c>
      <c r="T1024" t="str">
        <f t="shared" si="122"/>
        <v/>
      </c>
    </row>
    <row r="1025" spans="1:20" x14ac:dyDescent="0.55000000000000004">
      <c r="A1025">
        <v>73</v>
      </c>
      <c r="B1025" t="str">
        <f>A1025 &amp; "_0"</f>
        <v>73_0</v>
      </c>
      <c r="C1025" s="2">
        <v>45674.479166666664</v>
      </c>
      <c r="D1025" t="s">
        <v>245</v>
      </c>
      <c r="E1025">
        <v>2</v>
      </c>
      <c r="F1025" t="s">
        <v>242</v>
      </c>
      <c r="G1025" t="str">
        <f t="shared" si="117"/>
        <v>Gobiomorphus cotidianus</v>
      </c>
      <c r="H1025" t="str">
        <f t="shared" si="118"/>
        <v>Common_bully</v>
      </c>
      <c r="I1025" t="str">
        <f t="shared" si="119"/>
        <v>Toitoi</v>
      </c>
      <c r="J1025" t="str">
        <f t="shared" si="120"/>
        <v>Native</v>
      </c>
      <c r="K1025" t="str">
        <f t="shared" si="121"/>
        <v>No</v>
      </c>
      <c r="N1025">
        <f>127-117</f>
        <v>10</v>
      </c>
      <c r="O1025">
        <v>27</v>
      </c>
      <c r="T1025" t="str">
        <f t="shared" si="122"/>
        <v/>
      </c>
    </row>
    <row r="1026" spans="1:20" x14ac:dyDescent="0.55000000000000004">
      <c r="A1026">
        <v>109</v>
      </c>
      <c r="B1026" t="str">
        <f>A1026 &amp; "_1"</f>
        <v>109_1</v>
      </c>
      <c r="C1026" s="2">
        <v>45680.416666608799</v>
      </c>
      <c r="D1026" t="s">
        <v>221</v>
      </c>
      <c r="E1026">
        <v>2</v>
      </c>
      <c r="F1026" t="s">
        <v>222</v>
      </c>
      <c r="G1026" t="str">
        <f t="shared" ref="G1026:G1089" si="123">VLOOKUP($F1026, $W$1:$AB$10, 2, FALSE)</f>
        <v>Paranephrops planifrons</v>
      </c>
      <c r="H1026" t="str">
        <f t="shared" ref="H1026:H1089" si="124">VLOOKUP($F1026, $W$1:$AB$10, 3, FALSE)</f>
        <v>Freshwater_crayfish</v>
      </c>
      <c r="I1026" t="str">
        <f t="shared" ref="I1026:I1089" si="125">VLOOKUP($F1026, $W$1:$AB$10, 4, FALSE)</f>
        <v>Kōura</v>
      </c>
      <c r="J1026" t="str">
        <f t="shared" ref="J1026:J1089" si="126">VLOOKUP($F1026, $W$1:$AC$10, 5, FALSE)</f>
        <v>Native</v>
      </c>
      <c r="K1026" t="str">
        <f t="shared" ref="K1026:K1089" si="127">VLOOKUP($F1026, $W$1:$AB$10, 6, FALSE)</f>
        <v>Yes</v>
      </c>
      <c r="L1026" t="s">
        <v>228</v>
      </c>
      <c r="M1026">
        <v>20.78</v>
      </c>
      <c r="N1026">
        <v>4</v>
      </c>
      <c r="O1026">
        <v>1</v>
      </c>
      <c r="T1026" t="str">
        <f t="shared" si="122"/>
        <v/>
      </c>
    </row>
    <row r="1027" spans="1:20" x14ac:dyDescent="0.55000000000000004">
      <c r="A1027">
        <v>109</v>
      </c>
      <c r="B1027" t="str">
        <f>A1027 &amp; "_1"</f>
        <v>109_1</v>
      </c>
      <c r="C1027" s="2">
        <v>45680.416666608799</v>
      </c>
      <c r="D1027" t="s">
        <v>245</v>
      </c>
      <c r="E1027">
        <v>2</v>
      </c>
      <c r="F1027" t="s">
        <v>222</v>
      </c>
      <c r="G1027" t="str">
        <f t="shared" si="123"/>
        <v>Paranephrops planifrons</v>
      </c>
      <c r="H1027" t="str">
        <f t="shared" si="124"/>
        <v>Freshwater_crayfish</v>
      </c>
      <c r="I1027" t="str">
        <f t="shared" si="125"/>
        <v>Kōura</v>
      </c>
      <c r="J1027" t="str">
        <f t="shared" si="126"/>
        <v>Native</v>
      </c>
      <c r="K1027" t="str">
        <f t="shared" si="127"/>
        <v>Yes</v>
      </c>
      <c r="L1027" t="s">
        <v>228</v>
      </c>
      <c r="M1027">
        <v>20.84</v>
      </c>
      <c r="N1027">
        <v>3</v>
      </c>
      <c r="O1027">
        <v>1</v>
      </c>
      <c r="T1027" t="str">
        <f t="shared" si="122"/>
        <v/>
      </c>
    </row>
    <row r="1028" spans="1:20" x14ac:dyDescent="0.55000000000000004">
      <c r="A1028">
        <v>109</v>
      </c>
      <c r="B1028" t="str">
        <f>A1028 &amp; "_1"</f>
        <v>109_1</v>
      </c>
      <c r="C1028" s="2">
        <v>45680.416666608799</v>
      </c>
      <c r="D1028" t="s">
        <v>245</v>
      </c>
      <c r="E1028">
        <v>2</v>
      </c>
      <c r="F1028" t="s">
        <v>222</v>
      </c>
      <c r="G1028" t="str">
        <f t="shared" si="123"/>
        <v>Paranephrops planifrons</v>
      </c>
      <c r="H1028" t="str">
        <f t="shared" si="124"/>
        <v>Freshwater_crayfish</v>
      </c>
      <c r="I1028" t="str">
        <f t="shared" si="125"/>
        <v>Kōura</v>
      </c>
      <c r="J1028" t="str">
        <f t="shared" si="126"/>
        <v>Native</v>
      </c>
      <c r="K1028" t="str">
        <f t="shared" si="127"/>
        <v>Yes</v>
      </c>
      <c r="L1028" t="s">
        <v>223</v>
      </c>
      <c r="M1028">
        <v>20.97</v>
      </c>
      <c r="N1028">
        <v>6</v>
      </c>
      <c r="O1028">
        <v>1</v>
      </c>
      <c r="T1028" t="str">
        <f t="shared" si="122"/>
        <v/>
      </c>
    </row>
    <row r="1029" spans="1:20" x14ac:dyDescent="0.55000000000000004">
      <c r="A1029">
        <v>109</v>
      </c>
      <c r="B1029" t="str">
        <f>A1029 &amp; "_1"</f>
        <v>109_1</v>
      </c>
      <c r="C1029" s="2">
        <v>45680.416666608799</v>
      </c>
      <c r="D1029" t="s">
        <v>245</v>
      </c>
      <c r="E1029">
        <v>2</v>
      </c>
      <c r="F1029" t="s">
        <v>222</v>
      </c>
      <c r="G1029" t="str">
        <f t="shared" si="123"/>
        <v>Paranephrops planifrons</v>
      </c>
      <c r="H1029" t="str">
        <f t="shared" si="124"/>
        <v>Freshwater_crayfish</v>
      </c>
      <c r="I1029" t="str">
        <f t="shared" si="125"/>
        <v>Kōura</v>
      </c>
      <c r="J1029" t="str">
        <f t="shared" si="126"/>
        <v>Native</v>
      </c>
      <c r="K1029" t="str">
        <f t="shared" si="127"/>
        <v>Yes</v>
      </c>
      <c r="L1029" t="s">
        <v>228</v>
      </c>
      <c r="M1029">
        <v>21.27</v>
      </c>
      <c r="N1029">
        <v>5</v>
      </c>
      <c r="O1029">
        <v>1</v>
      </c>
      <c r="P1029">
        <v>1</v>
      </c>
      <c r="T1029" t="str">
        <f t="shared" si="122"/>
        <v/>
      </c>
    </row>
    <row r="1030" spans="1:20" x14ac:dyDescent="0.55000000000000004">
      <c r="A1030">
        <v>109</v>
      </c>
      <c r="B1030" t="str">
        <f>A1030 &amp; "_1"</f>
        <v>109_1</v>
      </c>
      <c r="C1030" s="2">
        <v>45680.416666608799</v>
      </c>
      <c r="D1030" t="s">
        <v>245</v>
      </c>
      <c r="E1030">
        <v>2</v>
      </c>
      <c r="F1030" t="s">
        <v>222</v>
      </c>
      <c r="G1030" t="str">
        <f t="shared" si="123"/>
        <v>Paranephrops planifrons</v>
      </c>
      <c r="H1030" t="str">
        <f t="shared" si="124"/>
        <v>Freshwater_crayfish</v>
      </c>
      <c r="I1030" t="str">
        <f t="shared" si="125"/>
        <v>Kōura</v>
      </c>
      <c r="J1030" t="str">
        <f t="shared" si="126"/>
        <v>Native</v>
      </c>
      <c r="K1030" t="str">
        <f t="shared" si="127"/>
        <v>Yes</v>
      </c>
      <c r="L1030" t="s">
        <v>223</v>
      </c>
      <c r="M1030">
        <v>22.21</v>
      </c>
      <c r="N1030">
        <v>8</v>
      </c>
      <c r="O1030">
        <v>1</v>
      </c>
      <c r="T1030" t="str">
        <f t="shared" si="122"/>
        <v/>
      </c>
    </row>
    <row r="1031" spans="1:20" x14ac:dyDescent="0.55000000000000004">
      <c r="A1031">
        <v>73</v>
      </c>
      <c r="B1031" t="str">
        <f>A1031 &amp; "_0"</f>
        <v>73_0</v>
      </c>
      <c r="C1031" s="2">
        <v>45674.479166608799</v>
      </c>
      <c r="D1031" t="s">
        <v>221</v>
      </c>
      <c r="E1031">
        <v>2</v>
      </c>
      <c r="F1031" t="s">
        <v>243</v>
      </c>
      <c r="G1031" t="str">
        <f t="shared" si="123"/>
        <v>Retropinna retropinna</v>
      </c>
      <c r="H1031" t="str">
        <f t="shared" si="124"/>
        <v>Common_smelt</v>
      </c>
      <c r="I1031" t="str">
        <f t="shared" si="125"/>
        <v>Common_smelt</v>
      </c>
      <c r="J1031" t="str">
        <f t="shared" si="126"/>
        <v>Native</v>
      </c>
      <c r="K1031" t="str">
        <f t="shared" si="127"/>
        <v>No</v>
      </c>
      <c r="N1031">
        <v>30</v>
      </c>
      <c r="O1031">
        <v>40</v>
      </c>
      <c r="T1031" t="str">
        <f t="shared" si="122"/>
        <v/>
      </c>
    </row>
    <row r="1032" spans="1:20" x14ac:dyDescent="0.55000000000000004">
      <c r="A1032">
        <v>73</v>
      </c>
      <c r="B1032" t="str">
        <f>A1032 &amp; "_0"</f>
        <v>73_0</v>
      </c>
      <c r="C1032" s="2">
        <v>45674.479166608799</v>
      </c>
      <c r="D1032" t="s">
        <v>221</v>
      </c>
      <c r="E1032">
        <v>2</v>
      </c>
      <c r="F1032" t="s">
        <v>242</v>
      </c>
      <c r="G1032" t="str">
        <f t="shared" si="123"/>
        <v>Gobiomorphus cotidianus</v>
      </c>
      <c r="H1032" t="str">
        <f t="shared" si="124"/>
        <v>Common_bully</v>
      </c>
      <c r="I1032" t="str">
        <f t="shared" si="125"/>
        <v>Toitoi</v>
      </c>
      <c r="J1032" t="str">
        <f t="shared" si="126"/>
        <v>Native</v>
      </c>
      <c r="K1032" t="str">
        <f t="shared" si="127"/>
        <v>No</v>
      </c>
      <c r="N1032">
        <v>526</v>
      </c>
      <c r="S1032">
        <v>2.5</v>
      </c>
      <c r="T1032">
        <f t="shared" si="122"/>
        <v>591.47</v>
      </c>
    </row>
    <row r="1033" spans="1:20" x14ac:dyDescent="0.55000000000000004">
      <c r="A1033">
        <v>73</v>
      </c>
      <c r="B1033" t="str">
        <f>A1033 &amp; "_0"</f>
        <v>73_0</v>
      </c>
      <c r="C1033" s="2">
        <v>45674.479166608799</v>
      </c>
      <c r="D1033" t="s">
        <v>221</v>
      </c>
      <c r="E1033">
        <v>2</v>
      </c>
      <c r="F1033" t="s">
        <v>242</v>
      </c>
      <c r="G1033" t="str">
        <f t="shared" si="123"/>
        <v>Gobiomorphus cotidianus</v>
      </c>
      <c r="H1033" t="str">
        <f t="shared" si="124"/>
        <v>Common_bully</v>
      </c>
      <c r="I1033" t="str">
        <f t="shared" si="125"/>
        <v>Toitoi</v>
      </c>
      <c r="J1033" t="str">
        <f t="shared" si="126"/>
        <v>Native</v>
      </c>
      <c r="K1033" t="str">
        <f t="shared" si="127"/>
        <v>No</v>
      </c>
      <c r="N1033">
        <f>499-117</f>
        <v>382</v>
      </c>
      <c r="S1033">
        <v>1.75</v>
      </c>
      <c r="T1033">
        <f t="shared" ref="T1033:T1096" si="128">IF(S1033&lt;&gt;"", S1033*236.588, "")</f>
        <v>414.029</v>
      </c>
    </row>
    <row r="1034" spans="1:20" x14ac:dyDescent="0.55000000000000004">
      <c r="A1034">
        <v>109</v>
      </c>
      <c r="B1034" t="str">
        <f t="shared" ref="B1034:B1049" si="129">A1034 &amp; "_1"</f>
        <v>109_1</v>
      </c>
      <c r="C1034" s="2">
        <v>45680.416666608799</v>
      </c>
      <c r="D1034" t="s">
        <v>245</v>
      </c>
      <c r="E1034">
        <v>2</v>
      </c>
      <c r="F1034" t="s">
        <v>222</v>
      </c>
      <c r="G1034" t="str">
        <f t="shared" si="123"/>
        <v>Paranephrops planifrons</v>
      </c>
      <c r="H1034" t="str">
        <f t="shared" si="124"/>
        <v>Freshwater_crayfish</v>
      </c>
      <c r="I1034" t="str">
        <f t="shared" si="125"/>
        <v>Kōura</v>
      </c>
      <c r="J1034" t="str">
        <f t="shared" si="126"/>
        <v>Native</v>
      </c>
      <c r="K1034" t="str">
        <f t="shared" si="127"/>
        <v>Yes</v>
      </c>
      <c r="L1034" t="s">
        <v>228</v>
      </c>
      <c r="M1034">
        <v>22.64</v>
      </c>
      <c r="N1034">
        <v>7</v>
      </c>
      <c r="O1034">
        <v>1</v>
      </c>
      <c r="T1034" t="str">
        <f t="shared" si="128"/>
        <v/>
      </c>
    </row>
    <row r="1035" spans="1:20" x14ac:dyDescent="0.55000000000000004">
      <c r="A1035">
        <v>109</v>
      </c>
      <c r="B1035" t="str">
        <f t="shared" si="129"/>
        <v>109_1</v>
      </c>
      <c r="C1035" s="2">
        <v>45680.416666608799</v>
      </c>
      <c r="D1035" t="s">
        <v>245</v>
      </c>
      <c r="E1035">
        <v>2</v>
      </c>
      <c r="F1035" t="s">
        <v>222</v>
      </c>
      <c r="G1035" t="str">
        <f t="shared" si="123"/>
        <v>Paranephrops planifrons</v>
      </c>
      <c r="H1035" t="str">
        <f t="shared" si="124"/>
        <v>Freshwater_crayfish</v>
      </c>
      <c r="I1035" t="str">
        <f t="shared" si="125"/>
        <v>Kōura</v>
      </c>
      <c r="J1035" t="str">
        <f t="shared" si="126"/>
        <v>Native</v>
      </c>
      <c r="K1035" t="str">
        <f t="shared" si="127"/>
        <v>Yes</v>
      </c>
      <c r="L1035" t="s">
        <v>223</v>
      </c>
      <c r="M1035">
        <v>23.03</v>
      </c>
      <c r="N1035">
        <v>10</v>
      </c>
      <c r="O1035">
        <v>1</v>
      </c>
      <c r="T1035" t="str">
        <f t="shared" si="128"/>
        <v/>
      </c>
    </row>
    <row r="1036" spans="1:20" x14ac:dyDescent="0.55000000000000004">
      <c r="A1036">
        <v>109</v>
      </c>
      <c r="B1036" t="str">
        <f t="shared" si="129"/>
        <v>109_1</v>
      </c>
      <c r="C1036" s="2">
        <v>45680.416666608799</v>
      </c>
      <c r="D1036" t="s">
        <v>245</v>
      </c>
      <c r="E1036">
        <v>2</v>
      </c>
      <c r="F1036" t="s">
        <v>222</v>
      </c>
      <c r="G1036" t="str">
        <f t="shared" si="123"/>
        <v>Paranephrops planifrons</v>
      </c>
      <c r="H1036" t="str">
        <f t="shared" si="124"/>
        <v>Freshwater_crayfish</v>
      </c>
      <c r="I1036" t="str">
        <f t="shared" si="125"/>
        <v>Kōura</v>
      </c>
      <c r="J1036" t="str">
        <f t="shared" si="126"/>
        <v>Native</v>
      </c>
      <c r="K1036" t="str">
        <f t="shared" si="127"/>
        <v>Yes</v>
      </c>
      <c r="L1036" t="s">
        <v>223</v>
      </c>
      <c r="M1036">
        <v>25.85</v>
      </c>
      <c r="N1036">
        <v>10</v>
      </c>
      <c r="O1036">
        <v>1</v>
      </c>
      <c r="T1036" t="str">
        <f t="shared" si="128"/>
        <v/>
      </c>
    </row>
    <row r="1037" spans="1:20" x14ac:dyDescent="0.55000000000000004">
      <c r="A1037">
        <v>109</v>
      </c>
      <c r="B1037" t="str">
        <f t="shared" si="129"/>
        <v>109_1</v>
      </c>
      <c r="C1037" s="2">
        <v>45680.416666608799</v>
      </c>
      <c r="D1037" t="s">
        <v>221</v>
      </c>
      <c r="E1037">
        <v>2</v>
      </c>
      <c r="F1037" t="s">
        <v>222</v>
      </c>
      <c r="G1037" t="str">
        <f t="shared" si="123"/>
        <v>Paranephrops planifrons</v>
      </c>
      <c r="H1037" t="str">
        <f t="shared" si="124"/>
        <v>Freshwater_crayfish</v>
      </c>
      <c r="I1037" t="str">
        <f t="shared" si="125"/>
        <v>Kōura</v>
      </c>
      <c r="J1037" t="str">
        <f t="shared" si="126"/>
        <v>Native</v>
      </c>
      <c r="K1037" t="str">
        <f t="shared" si="127"/>
        <v>Yes</v>
      </c>
      <c r="L1037" t="s">
        <v>223</v>
      </c>
      <c r="M1037">
        <v>25.9</v>
      </c>
      <c r="N1037">
        <v>15</v>
      </c>
      <c r="O1037">
        <v>1</v>
      </c>
      <c r="T1037" t="str">
        <f t="shared" si="128"/>
        <v/>
      </c>
    </row>
    <row r="1038" spans="1:20" x14ac:dyDescent="0.55000000000000004">
      <c r="A1038">
        <v>109</v>
      </c>
      <c r="B1038" t="str">
        <f t="shared" si="129"/>
        <v>109_1</v>
      </c>
      <c r="C1038" s="2">
        <v>45680.416666608799</v>
      </c>
      <c r="D1038" t="s">
        <v>221</v>
      </c>
      <c r="E1038">
        <v>2</v>
      </c>
      <c r="F1038" t="s">
        <v>222</v>
      </c>
      <c r="G1038" t="str">
        <f t="shared" si="123"/>
        <v>Paranephrops planifrons</v>
      </c>
      <c r="H1038" t="str">
        <f t="shared" si="124"/>
        <v>Freshwater_crayfish</v>
      </c>
      <c r="I1038" t="str">
        <f t="shared" si="125"/>
        <v>Kōura</v>
      </c>
      <c r="J1038" t="str">
        <f t="shared" si="126"/>
        <v>Native</v>
      </c>
      <c r="K1038" t="str">
        <f t="shared" si="127"/>
        <v>Yes</v>
      </c>
      <c r="L1038" t="s">
        <v>223</v>
      </c>
      <c r="M1038">
        <v>26.15</v>
      </c>
      <c r="N1038">
        <v>16</v>
      </c>
      <c r="O1038">
        <v>1</v>
      </c>
      <c r="T1038" t="str">
        <f t="shared" si="128"/>
        <v/>
      </c>
    </row>
    <row r="1039" spans="1:20" x14ac:dyDescent="0.55000000000000004">
      <c r="A1039">
        <v>109</v>
      </c>
      <c r="B1039" t="str">
        <f t="shared" si="129"/>
        <v>109_1</v>
      </c>
      <c r="C1039" s="2">
        <v>45680.416666608799</v>
      </c>
      <c r="D1039" t="s">
        <v>245</v>
      </c>
      <c r="E1039">
        <v>2</v>
      </c>
      <c r="F1039" t="s">
        <v>222</v>
      </c>
      <c r="G1039" t="str">
        <f t="shared" si="123"/>
        <v>Paranephrops planifrons</v>
      </c>
      <c r="H1039" t="str">
        <f t="shared" si="124"/>
        <v>Freshwater_crayfish</v>
      </c>
      <c r="I1039" t="str">
        <f t="shared" si="125"/>
        <v>Kōura</v>
      </c>
      <c r="J1039" t="str">
        <f t="shared" si="126"/>
        <v>Native</v>
      </c>
      <c r="K1039" t="str">
        <f t="shared" si="127"/>
        <v>Yes</v>
      </c>
      <c r="L1039" t="s">
        <v>228</v>
      </c>
      <c r="M1039">
        <v>26.86</v>
      </c>
      <c r="N1039">
        <v>12</v>
      </c>
      <c r="O1039">
        <v>1</v>
      </c>
      <c r="T1039" t="str">
        <f t="shared" si="128"/>
        <v/>
      </c>
    </row>
    <row r="1040" spans="1:20" x14ac:dyDescent="0.55000000000000004">
      <c r="A1040">
        <v>109</v>
      </c>
      <c r="B1040" t="str">
        <f t="shared" si="129"/>
        <v>109_1</v>
      </c>
      <c r="C1040" s="2">
        <v>45680.416666608799</v>
      </c>
      <c r="D1040" t="s">
        <v>221</v>
      </c>
      <c r="E1040">
        <v>2</v>
      </c>
      <c r="F1040" t="s">
        <v>222</v>
      </c>
      <c r="G1040" t="str">
        <f t="shared" si="123"/>
        <v>Paranephrops planifrons</v>
      </c>
      <c r="H1040" t="str">
        <f t="shared" si="124"/>
        <v>Freshwater_crayfish</v>
      </c>
      <c r="I1040" t="str">
        <f t="shared" si="125"/>
        <v>Kōura</v>
      </c>
      <c r="J1040" t="str">
        <f t="shared" si="126"/>
        <v>Native</v>
      </c>
      <c r="K1040" t="str">
        <f t="shared" si="127"/>
        <v>Yes</v>
      </c>
      <c r="L1040" t="s">
        <v>223</v>
      </c>
      <c r="M1040">
        <v>27.01</v>
      </c>
      <c r="N1040">
        <v>16</v>
      </c>
      <c r="O1040">
        <v>1</v>
      </c>
      <c r="T1040" t="str">
        <f t="shared" si="128"/>
        <v/>
      </c>
    </row>
    <row r="1041" spans="1:20" x14ac:dyDescent="0.55000000000000004">
      <c r="A1041">
        <v>109</v>
      </c>
      <c r="B1041" t="str">
        <f t="shared" si="129"/>
        <v>109_1</v>
      </c>
      <c r="C1041" s="2">
        <v>45680.416666608799</v>
      </c>
      <c r="D1041" t="s">
        <v>221</v>
      </c>
      <c r="E1041">
        <v>2</v>
      </c>
      <c r="F1041" t="s">
        <v>222</v>
      </c>
      <c r="G1041" t="str">
        <f t="shared" si="123"/>
        <v>Paranephrops planifrons</v>
      </c>
      <c r="H1041" t="str">
        <f t="shared" si="124"/>
        <v>Freshwater_crayfish</v>
      </c>
      <c r="I1041" t="str">
        <f t="shared" si="125"/>
        <v>Kōura</v>
      </c>
      <c r="J1041" t="str">
        <f t="shared" si="126"/>
        <v>Native</v>
      </c>
      <c r="K1041" t="str">
        <f t="shared" si="127"/>
        <v>Yes</v>
      </c>
      <c r="L1041" t="s">
        <v>228</v>
      </c>
      <c r="M1041">
        <v>27.36</v>
      </c>
      <c r="N1041">
        <v>14</v>
      </c>
      <c r="O1041">
        <v>1</v>
      </c>
      <c r="T1041" t="str">
        <f t="shared" si="128"/>
        <v/>
      </c>
    </row>
    <row r="1042" spans="1:20" x14ac:dyDescent="0.55000000000000004">
      <c r="A1042">
        <v>109</v>
      </c>
      <c r="B1042" t="str">
        <f t="shared" si="129"/>
        <v>109_1</v>
      </c>
      <c r="C1042" s="2">
        <v>45680.416666608799</v>
      </c>
      <c r="D1042" t="s">
        <v>221</v>
      </c>
      <c r="E1042">
        <v>2</v>
      </c>
      <c r="F1042" t="s">
        <v>222</v>
      </c>
      <c r="G1042" t="str">
        <f t="shared" si="123"/>
        <v>Paranephrops planifrons</v>
      </c>
      <c r="H1042" t="str">
        <f t="shared" si="124"/>
        <v>Freshwater_crayfish</v>
      </c>
      <c r="I1042" t="str">
        <f t="shared" si="125"/>
        <v>Kōura</v>
      </c>
      <c r="J1042" t="str">
        <f t="shared" si="126"/>
        <v>Native</v>
      </c>
      <c r="K1042" t="str">
        <f t="shared" si="127"/>
        <v>Yes</v>
      </c>
      <c r="L1042" t="s">
        <v>223</v>
      </c>
      <c r="M1042">
        <v>27.51</v>
      </c>
      <c r="N1042">
        <v>13</v>
      </c>
      <c r="O1042">
        <v>1</v>
      </c>
      <c r="T1042" t="str">
        <f t="shared" si="128"/>
        <v/>
      </c>
    </row>
    <row r="1043" spans="1:20" x14ac:dyDescent="0.55000000000000004">
      <c r="A1043">
        <v>109</v>
      </c>
      <c r="B1043" t="str">
        <f t="shared" si="129"/>
        <v>109_1</v>
      </c>
      <c r="C1043" s="2">
        <v>45680.416666608799</v>
      </c>
      <c r="D1043" t="s">
        <v>245</v>
      </c>
      <c r="E1043">
        <v>2</v>
      </c>
      <c r="F1043" t="s">
        <v>222</v>
      </c>
      <c r="G1043" t="str">
        <f t="shared" si="123"/>
        <v>Paranephrops planifrons</v>
      </c>
      <c r="H1043" t="str">
        <f t="shared" si="124"/>
        <v>Freshwater_crayfish</v>
      </c>
      <c r="I1043" t="str">
        <f t="shared" si="125"/>
        <v>Kōura</v>
      </c>
      <c r="J1043" t="str">
        <f t="shared" si="126"/>
        <v>Native</v>
      </c>
      <c r="K1043" t="str">
        <f t="shared" si="127"/>
        <v>Yes</v>
      </c>
      <c r="L1043" t="s">
        <v>223</v>
      </c>
      <c r="M1043">
        <v>27.66</v>
      </c>
      <c r="N1043">
        <v>12</v>
      </c>
      <c r="O1043">
        <v>1</v>
      </c>
      <c r="T1043" t="str">
        <f t="shared" si="128"/>
        <v/>
      </c>
    </row>
    <row r="1044" spans="1:20" x14ac:dyDescent="0.55000000000000004">
      <c r="A1044">
        <v>109</v>
      </c>
      <c r="B1044" t="str">
        <f t="shared" si="129"/>
        <v>109_1</v>
      </c>
      <c r="C1044" s="2">
        <v>45680.416666608799</v>
      </c>
      <c r="D1044" t="s">
        <v>245</v>
      </c>
      <c r="E1044">
        <v>2</v>
      </c>
      <c r="F1044" t="s">
        <v>222</v>
      </c>
      <c r="G1044" t="str">
        <f t="shared" si="123"/>
        <v>Paranephrops planifrons</v>
      </c>
      <c r="H1044" t="str">
        <f t="shared" si="124"/>
        <v>Freshwater_crayfish</v>
      </c>
      <c r="I1044" t="str">
        <f t="shared" si="125"/>
        <v>Kōura</v>
      </c>
      <c r="J1044" t="str">
        <f t="shared" si="126"/>
        <v>Native</v>
      </c>
      <c r="K1044" t="str">
        <f t="shared" si="127"/>
        <v>Yes</v>
      </c>
      <c r="L1044" t="s">
        <v>223</v>
      </c>
      <c r="M1044">
        <v>28.24</v>
      </c>
      <c r="N1044">
        <v>12</v>
      </c>
      <c r="O1044">
        <v>1</v>
      </c>
      <c r="T1044" t="str">
        <f t="shared" si="128"/>
        <v/>
      </c>
    </row>
    <row r="1045" spans="1:20" x14ac:dyDescent="0.55000000000000004">
      <c r="A1045">
        <v>109</v>
      </c>
      <c r="B1045" t="str">
        <f t="shared" si="129"/>
        <v>109_1</v>
      </c>
      <c r="C1045" s="2">
        <v>45680.416666608799</v>
      </c>
      <c r="D1045" t="s">
        <v>245</v>
      </c>
      <c r="E1045">
        <v>2</v>
      </c>
      <c r="F1045" t="s">
        <v>222</v>
      </c>
      <c r="G1045" t="str">
        <f t="shared" si="123"/>
        <v>Paranephrops planifrons</v>
      </c>
      <c r="H1045" t="str">
        <f t="shared" si="124"/>
        <v>Freshwater_crayfish</v>
      </c>
      <c r="I1045" t="str">
        <f t="shared" si="125"/>
        <v>Kōura</v>
      </c>
      <c r="J1045" t="str">
        <f t="shared" si="126"/>
        <v>Native</v>
      </c>
      <c r="K1045" t="str">
        <f t="shared" si="127"/>
        <v>Yes</v>
      </c>
      <c r="L1045" t="s">
        <v>223</v>
      </c>
      <c r="M1045">
        <v>28.33</v>
      </c>
      <c r="N1045">
        <v>18</v>
      </c>
      <c r="O1045">
        <v>1</v>
      </c>
      <c r="T1045" t="str">
        <f t="shared" si="128"/>
        <v/>
      </c>
    </row>
    <row r="1046" spans="1:20" x14ac:dyDescent="0.55000000000000004">
      <c r="A1046">
        <v>109</v>
      </c>
      <c r="B1046" t="str">
        <f t="shared" si="129"/>
        <v>109_1</v>
      </c>
      <c r="C1046" s="2">
        <v>45680.416666608799</v>
      </c>
      <c r="D1046" t="s">
        <v>221</v>
      </c>
      <c r="E1046">
        <v>2</v>
      </c>
      <c r="F1046" t="s">
        <v>222</v>
      </c>
      <c r="G1046" t="str">
        <f t="shared" si="123"/>
        <v>Paranephrops planifrons</v>
      </c>
      <c r="H1046" t="str">
        <f t="shared" si="124"/>
        <v>Freshwater_crayfish</v>
      </c>
      <c r="I1046" t="str">
        <f t="shared" si="125"/>
        <v>Kōura</v>
      </c>
      <c r="J1046" t="str">
        <f t="shared" si="126"/>
        <v>Native</v>
      </c>
      <c r="K1046" t="str">
        <f t="shared" si="127"/>
        <v>Yes</v>
      </c>
      <c r="L1046" t="s">
        <v>223</v>
      </c>
      <c r="M1046">
        <v>28.58</v>
      </c>
      <c r="N1046">
        <v>17</v>
      </c>
      <c r="O1046">
        <v>1</v>
      </c>
      <c r="T1046" t="str">
        <f t="shared" si="128"/>
        <v/>
      </c>
    </row>
    <row r="1047" spans="1:20" x14ac:dyDescent="0.55000000000000004">
      <c r="A1047">
        <v>109</v>
      </c>
      <c r="B1047" t="str">
        <f t="shared" si="129"/>
        <v>109_1</v>
      </c>
      <c r="C1047" s="2">
        <v>45680.416666608799</v>
      </c>
      <c r="D1047" t="s">
        <v>245</v>
      </c>
      <c r="E1047">
        <v>2</v>
      </c>
      <c r="F1047" t="s">
        <v>222</v>
      </c>
      <c r="G1047" t="str">
        <f t="shared" si="123"/>
        <v>Paranephrops planifrons</v>
      </c>
      <c r="H1047" t="str">
        <f t="shared" si="124"/>
        <v>Freshwater_crayfish</v>
      </c>
      <c r="I1047" t="str">
        <f t="shared" si="125"/>
        <v>Kōura</v>
      </c>
      <c r="J1047" t="str">
        <f t="shared" si="126"/>
        <v>Native</v>
      </c>
      <c r="K1047" t="str">
        <f t="shared" si="127"/>
        <v>Yes</v>
      </c>
      <c r="L1047" t="s">
        <v>228</v>
      </c>
      <c r="M1047">
        <v>29.13</v>
      </c>
      <c r="N1047">
        <v>17</v>
      </c>
      <c r="O1047">
        <v>1</v>
      </c>
      <c r="T1047" t="str">
        <f t="shared" si="128"/>
        <v/>
      </c>
    </row>
    <row r="1048" spans="1:20" x14ac:dyDescent="0.55000000000000004">
      <c r="A1048">
        <v>109</v>
      </c>
      <c r="B1048" t="str">
        <f t="shared" si="129"/>
        <v>109_1</v>
      </c>
      <c r="C1048" s="2">
        <v>45680.416666608799</v>
      </c>
      <c r="D1048" t="s">
        <v>221</v>
      </c>
      <c r="E1048">
        <v>2</v>
      </c>
      <c r="F1048" t="s">
        <v>222</v>
      </c>
      <c r="G1048" t="str">
        <f t="shared" si="123"/>
        <v>Paranephrops planifrons</v>
      </c>
      <c r="H1048" t="str">
        <f t="shared" si="124"/>
        <v>Freshwater_crayfish</v>
      </c>
      <c r="I1048" t="str">
        <f t="shared" si="125"/>
        <v>Kōura</v>
      </c>
      <c r="J1048" t="str">
        <f t="shared" si="126"/>
        <v>Native</v>
      </c>
      <c r="K1048" t="str">
        <f t="shared" si="127"/>
        <v>Yes</v>
      </c>
      <c r="L1048" t="s">
        <v>228</v>
      </c>
      <c r="M1048">
        <v>29.48</v>
      </c>
      <c r="N1048">
        <v>22</v>
      </c>
      <c r="O1048">
        <v>1</v>
      </c>
      <c r="T1048" t="str">
        <f t="shared" si="128"/>
        <v/>
      </c>
    </row>
    <row r="1049" spans="1:20" x14ac:dyDescent="0.55000000000000004">
      <c r="A1049">
        <v>109</v>
      </c>
      <c r="B1049" t="str">
        <f t="shared" si="129"/>
        <v>109_1</v>
      </c>
      <c r="C1049" s="2">
        <v>45680.416666608799</v>
      </c>
      <c r="D1049" t="s">
        <v>245</v>
      </c>
      <c r="E1049">
        <v>2</v>
      </c>
      <c r="F1049" t="s">
        <v>222</v>
      </c>
      <c r="G1049" t="str">
        <f t="shared" si="123"/>
        <v>Paranephrops planifrons</v>
      </c>
      <c r="H1049" t="str">
        <f t="shared" si="124"/>
        <v>Freshwater_crayfish</v>
      </c>
      <c r="I1049" t="str">
        <f t="shared" si="125"/>
        <v>Kōura</v>
      </c>
      <c r="J1049" t="str">
        <f t="shared" si="126"/>
        <v>Native</v>
      </c>
      <c r="K1049" t="str">
        <f t="shared" si="127"/>
        <v>Yes</v>
      </c>
      <c r="L1049" t="s">
        <v>223</v>
      </c>
      <c r="M1049">
        <v>29.51</v>
      </c>
      <c r="N1049">
        <v>18</v>
      </c>
      <c r="O1049">
        <v>1</v>
      </c>
      <c r="T1049" t="str">
        <f t="shared" si="128"/>
        <v/>
      </c>
    </row>
    <row r="1050" spans="1:20" x14ac:dyDescent="0.55000000000000004">
      <c r="A1050">
        <v>73</v>
      </c>
      <c r="B1050" t="str">
        <f t="shared" ref="B1050:B1061" si="130">A1050 &amp; "_0"</f>
        <v>73_0</v>
      </c>
      <c r="C1050" s="2">
        <v>45674.479166608799</v>
      </c>
      <c r="D1050" t="s">
        <v>221</v>
      </c>
      <c r="E1050">
        <v>2</v>
      </c>
      <c r="F1050" t="s">
        <v>243</v>
      </c>
      <c r="G1050" t="str">
        <f t="shared" si="123"/>
        <v>Retropinna retropinna</v>
      </c>
      <c r="H1050" t="str">
        <f t="shared" si="124"/>
        <v>Common_smelt</v>
      </c>
      <c r="I1050" t="str">
        <f t="shared" si="125"/>
        <v>Common_smelt</v>
      </c>
      <c r="J1050" t="str">
        <f t="shared" si="126"/>
        <v>Native</v>
      </c>
      <c r="K1050" t="str">
        <f t="shared" si="127"/>
        <v>No</v>
      </c>
      <c r="N1050">
        <v>19</v>
      </c>
      <c r="O1050">
        <v>26</v>
      </c>
      <c r="T1050" t="str">
        <f t="shared" si="128"/>
        <v/>
      </c>
    </row>
    <row r="1051" spans="1:20" x14ac:dyDescent="0.55000000000000004">
      <c r="A1051">
        <v>73</v>
      </c>
      <c r="B1051" t="str">
        <f t="shared" si="130"/>
        <v>73_0</v>
      </c>
      <c r="C1051" s="2">
        <v>45674.479166608799</v>
      </c>
      <c r="D1051" t="s">
        <v>221</v>
      </c>
      <c r="E1051">
        <v>2</v>
      </c>
      <c r="F1051" t="s">
        <v>242</v>
      </c>
      <c r="G1051" t="str">
        <f t="shared" si="123"/>
        <v>Gobiomorphus cotidianus</v>
      </c>
      <c r="H1051" t="str">
        <f t="shared" si="124"/>
        <v>Common_bully</v>
      </c>
      <c r="I1051" t="str">
        <f t="shared" si="125"/>
        <v>Toitoi</v>
      </c>
      <c r="J1051" t="str">
        <f t="shared" si="126"/>
        <v>Native</v>
      </c>
      <c r="K1051" t="str">
        <f t="shared" si="127"/>
        <v>No</v>
      </c>
      <c r="N1051">
        <v>555</v>
      </c>
      <c r="S1051">
        <v>2.5</v>
      </c>
      <c r="T1051">
        <f t="shared" si="128"/>
        <v>591.47</v>
      </c>
    </row>
    <row r="1052" spans="1:20" x14ac:dyDescent="0.55000000000000004">
      <c r="A1052">
        <v>73</v>
      </c>
      <c r="B1052" t="str">
        <f t="shared" si="130"/>
        <v>73_0</v>
      </c>
      <c r="C1052" s="2">
        <v>45674.479166666664</v>
      </c>
      <c r="D1052" t="s">
        <v>221</v>
      </c>
      <c r="E1052">
        <v>2</v>
      </c>
      <c r="F1052" t="s">
        <v>242</v>
      </c>
      <c r="G1052" t="str">
        <f t="shared" si="123"/>
        <v>Gobiomorphus cotidianus</v>
      </c>
      <c r="H1052" t="str">
        <f t="shared" si="124"/>
        <v>Common_bully</v>
      </c>
      <c r="I1052" t="str">
        <f t="shared" si="125"/>
        <v>Toitoi</v>
      </c>
      <c r="J1052" t="str">
        <f t="shared" si="126"/>
        <v>Native</v>
      </c>
      <c r="K1052" t="str">
        <f t="shared" si="127"/>
        <v>No</v>
      </c>
      <c r="N1052">
        <f>327-117</f>
        <v>210</v>
      </c>
      <c r="S1052">
        <v>1</v>
      </c>
      <c r="T1052">
        <f t="shared" si="128"/>
        <v>236.58799999999999</v>
      </c>
    </row>
    <row r="1053" spans="1:20" x14ac:dyDescent="0.55000000000000004">
      <c r="A1053">
        <v>74</v>
      </c>
      <c r="B1053" t="str">
        <f t="shared" si="130"/>
        <v>74_0</v>
      </c>
      <c r="C1053" s="2">
        <v>45674.552083333336</v>
      </c>
      <c r="D1053" t="s">
        <v>245</v>
      </c>
      <c r="E1053">
        <v>2</v>
      </c>
      <c r="F1053" t="s">
        <v>242</v>
      </c>
      <c r="G1053" t="str">
        <f t="shared" si="123"/>
        <v>Gobiomorphus cotidianus</v>
      </c>
      <c r="H1053" t="str">
        <f t="shared" si="124"/>
        <v>Common_bully</v>
      </c>
      <c r="I1053" t="str">
        <f t="shared" si="125"/>
        <v>Toitoi</v>
      </c>
      <c r="J1053" t="str">
        <f t="shared" si="126"/>
        <v>Native</v>
      </c>
      <c r="K1053" t="str">
        <f t="shared" si="127"/>
        <v>No</v>
      </c>
      <c r="N1053">
        <f>125-117</f>
        <v>8</v>
      </c>
      <c r="O1053">
        <v>9</v>
      </c>
      <c r="T1053" t="str">
        <f t="shared" si="128"/>
        <v/>
      </c>
    </row>
    <row r="1054" spans="1:20" x14ac:dyDescent="0.55000000000000004">
      <c r="A1054">
        <v>74</v>
      </c>
      <c r="B1054" t="str">
        <f t="shared" si="130"/>
        <v>74_0</v>
      </c>
      <c r="C1054" s="2">
        <v>45674.552083333336</v>
      </c>
      <c r="D1054" t="s">
        <v>221</v>
      </c>
      <c r="E1054">
        <v>2</v>
      </c>
      <c r="F1054" t="s">
        <v>236</v>
      </c>
      <c r="G1054" t="str">
        <f t="shared" si="123"/>
        <v>Carassius auratus</v>
      </c>
      <c r="H1054" t="str">
        <f t="shared" si="124"/>
        <v>Goldfish</v>
      </c>
      <c r="I1054" t="str">
        <f t="shared" si="125"/>
        <v>Morihana</v>
      </c>
      <c r="J1054" t="str">
        <f t="shared" si="126"/>
        <v>Nonnative</v>
      </c>
      <c r="K1054" t="str">
        <f t="shared" si="127"/>
        <v>No</v>
      </c>
      <c r="M1054">
        <v>82</v>
      </c>
      <c r="O1054">
        <v>1</v>
      </c>
      <c r="T1054" t="str">
        <f t="shared" si="128"/>
        <v/>
      </c>
    </row>
    <row r="1055" spans="1:20" x14ac:dyDescent="0.55000000000000004">
      <c r="A1055">
        <v>74</v>
      </c>
      <c r="B1055" t="str">
        <f t="shared" si="130"/>
        <v>74_0</v>
      </c>
      <c r="C1055" s="2">
        <v>45674.552083333336</v>
      </c>
      <c r="D1055" t="s">
        <v>221</v>
      </c>
      <c r="E1055">
        <v>2</v>
      </c>
      <c r="F1055" t="s">
        <v>236</v>
      </c>
      <c r="G1055" t="str">
        <f t="shared" si="123"/>
        <v>Carassius auratus</v>
      </c>
      <c r="H1055" t="str">
        <f t="shared" si="124"/>
        <v>Goldfish</v>
      </c>
      <c r="I1055" t="str">
        <f t="shared" si="125"/>
        <v>Morihana</v>
      </c>
      <c r="J1055" t="str">
        <f t="shared" si="126"/>
        <v>Nonnative</v>
      </c>
      <c r="K1055" t="str">
        <f t="shared" si="127"/>
        <v>No</v>
      </c>
      <c r="M1055">
        <v>76</v>
      </c>
      <c r="N1055">
        <v>10</v>
      </c>
      <c r="O1055">
        <v>1</v>
      </c>
      <c r="T1055" t="str">
        <f t="shared" si="128"/>
        <v/>
      </c>
    </row>
    <row r="1056" spans="1:20" x14ac:dyDescent="0.55000000000000004">
      <c r="A1056">
        <v>74</v>
      </c>
      <c r="B1056" t="str">
        <f t="shared" si="130"/>
        <v>74_0</v>
      </c>
      <c r="C1056" s="2">
        <v>45674.552083333336</v>
      </c>
      <c r="D1056" t="s">
        <v>221</v>
      </c>
      <c r="E1056">
        <v>2</v>
      </c>
      <c r="F1056" t="s">
        <v>239</v>
      </c>
      <c r="G1056" t="str">
        <f t="shared" si="123"/>
        <v>Oncorhynchus mykiss</v>
      </c>
      <c r="H1056" t="str">
        <f t="shared" si="124"/>
        <v>Rainbow_trout</v>
      </c>
      <c r="I1056" t="str">
        <f t="shared" si="125"/>
        <v>Rainbow_trout</v>
      </c>
      <c r="J1056" t="str">
        <f t="shared" si="126"/>
        <v>Nonnative</v>
      </c>
      <c r="K1056" t="str">
        <f t="shared" si="127"/>
        <v>No</v>
      </c>
      <c r="M1056">
        <v>94</v>
      </c>
      <c r="N1056">
        <v>12</v>
      </c>
      <c r="O1056">
        <v>1</v>
      </c>
      <c r="T1056" t="str">
        <f t="shared" si="128"/>
        <v/>
      </c>
    </row>
    <row r="1057" spans="1:20" x14ac:dyDescent="0.55000000000000004">
      <c r="A1057">
        <v>74</v>
      </c>
      <c r="B1057" t="str">
        <f t="shared" si="130"/>
        <v>74_0</v>
      </c>
      <c r="C1057" s="2">
        <v>45674.552083333336</v>
      </c>
      <c r="D1057" t="s">
        <v>221</v>
      </c>
      <c r="E1057">
        <v>2</v>
      </c>
      <c r="F1057" t="s">
        <v>243</v>
      </c>
      <c r="G1057" t="str">
        <f t="shared" si="123"/>
        <v>Retropinna retropinna</v>
      </c>
      <c r="H1057" t="str">
        <f t="shared" si="124"/>
        <v>Common_smelt</v>
      </c>
      <c r="I1057" t="str">
        <f t="shared" si="125"/>
        <v>Common_smelt</v>
      </c>
      <c r="J1057" t="str">
        <f t="shared" si="126"/>
        <v>Native</v>
      </c>
      <c r="K1057" t="str">
        <f t="shared" si="127"/>
        <v>No</v>
      </c>
      <c r="N1057">
        <v>6</v>
      </c>
      <c r="O1057">
        <v>7</v>
      </c>
      <c r="T1057" t="str">
        <f t="shared" si="128"/>
        <v/>
      </c>
    </row>
    <row r="1058" spans="1:20" x14ac:dyDescent="0.55000000000000004">
      <c r="A1058">
        <v>74</v>
      </c>
      <c r="B1058" t="str">
        <f t="shared" si="130"/>
        <v>74_0</v>
      </c>
      <c r="C1058" s="2">
        <v>45674.552083333336</v>
      </c>
      <c r="D1058" t="s">
        <v>221</v>
      </c>
      <c r="E1058">
        <v>2</v>
      </c>
      <c r="F1058" t="s">
        <v>242</v>
      </c>
      <c r="G1058" t="str">
        <f t="shared" si="123"/>
        <v>Gobiomorphus cotidianus</v>
      </c>
      <c r="H1058" t="str">
        <f t="shared" si="124"/>
        <v>Common_bully</v>
      </c>
      <c r="I1058" t="str">
        <f t="shared" si="125"/>
        <v>Toitoi</v>
      </c>
      <c r="J1058" t="str">
        <f t="shared" si="126"/>
        <v>Native</v>
      </c>
      <c r="K1058" t="str">
        <f t="shared" si="127"/>
        <v>No</v>
      </c>
      <c r="N1058">
        <f>594-117</f>
        <v>477</v>
      </c>
      <c r="S1058">
        <v>2.5</v>
      </c>
      <c r="T1058">
        <f t="shared" si="128"/>
        <v>591.47</v>
      </c>
    </row>
    <row r="1059" spans="1:20" x14ac:dyDescent="0.55000000000000004">
      <c r="A1059">
        <v>74</v>
      </c>
      <c r="B1059" t="str">
        <f t="shared" si="130"/>
        <v>74_0</v>
      </c>
      <c r="C1059" s="2">
        <v>45674.552083333336</v>
      </c>
      <c r="D1059" t="s">
        <v>221</v>
      </c>
      <c r="E1059">
        <v>2</v>
      </c>
      <c r="F1059" t="s">
        <v>242</v>
      </c>
      <c r="G1059" t="str">
        <f t="shared" si="123"/>
        <v>Gobiomorphus cotidianus</v>
      </c>
      <c r="H1059" t="str">
        <f t="shared" si="124"/>
        <v>Common_bully</v>
      </c>
      <c r="I1059" t="str">
        <f t="shared" si="125"/>
        <v>Toitoi</v>
      </c>
      <c r="J1059" t="str">
        <f t="shared" si="126"/>
        <v>Native</v>
      </c>
      <c r="K1059" t="str">
        <f t="shared" si="127"/>
        <v>No</v>
      </c>
      <c r="N1059">
        <f>185-117</f>
        <v>68</v>
      </c>
      <c r="S1059">
        <v>0.25</v>
      </c>
      <c r="T1059">
        <f t="shared" si="128"/>
        <v>59.146999999999998</v>
      </c>
    </row>
    <row r="1060" spans="1:20" x14ac:dyDescent="0.55000000000000004">
      <c r="A1060">
        <v>75</v>
      </c>
      <c r="B1060" t="str">
        <f t="shared" si="130"/>
        <v>75_0</v>
      </c>
      <c r="C1060" s="2">
        <v>45673.434027777781</v>
      </c>
      <c r="D1060" t="s">
        <v>245</v>
      </c>
      <c r="E1060">
        <v>2</v>
      </c>
      <c r="F1060" t="s">
        <v>242</v>
      </c>
      <c r="G1060" t="str">
        <f t="shared" si="123"/>
        <v>Gobiomorphus cotidianus</v>
      </c>
      <c r="H1060" t="str">
        <f t="shared" si="124"/>
        <v>Common_bully</v>
      </c>
      <c r="I1060" t="str">
        <f t="shared" si="125"/>
        <v>Toitoi</v>
      </c>
      <c r="J1060" t="str">
        <f t="shared" si="126"/>
        <v>Native</v>
      </c>
      <c r="K1060" t="str">
        <f t="shared" si="127"/>
        <v>No</v>
      </c>
      <c r="N1060">
        <v>4</v>
      </c>
      <c r="O1060">
        <v>12</v>
      </c>
      <c r="T1060" t="str">
        <f t="shared" si="128"/>
        <v/>
      </c>
    </row>
    <row r="1061" spans="1:20" x14ac:dyDescent="0.55000000000000004">
      <c r="A1061">
        <v>75</v>
      </c>
      <c r="B1061" t="str">
        <f t="shared" si="130"/>
        <v>75_0</v>
      </c>
      <c r="C1061" s="2">
        <v>45673.434027777781</v>
      </c>
      <c r="D1061" t="s">
        <v>221</v>
      </c>
      <c r="E1061">
        <v>2</v>
      </c>
      <c r="F1061" t="s">
        <v>242</v>
      </c>
      <c r="G1061" t="str">
        <f t="shared" si="123"/>
        <v>Gobiomorphus cotidianus</v>
      </c>
      <c r="H1061" t="str">
        <f t="shared" si="124"/>
        <v>Common_bully</v>
      </c>
      <c r="I1061" t="str">
        <f t="shared" si="125"/>
        <v>Toitoi</v>
      </c>
      <c r="J1061" t="str">
        <f t="shared" si="126"/>
        <v>Native</v>
      </c>
      <c r="K1061" t="str">
        <f t="shared" si="127"/>
        <v>No</v>
      </c>
      <c r="N1061">
        <v>81</v>
      </c>
      <c r="O1061">
        <v>81</v>
      </c>
      <c r="T1061" t="str">
        <f t="shared" si="128"/>
        <v/>
      </c>
    </row>
    <row r="1062" spans="1:20" x14ac:dyDescent="0.55000000000000004">
      <c r="A1062">
        <v>109</v>
      </c>
      <c r="B1062" t="str">
        <f t="shared" ref="B1062:B1068" si="131">A1062 &amp; "_1"</f>
        <v>109_1</v>
      </c>
      <c r="C1062" s="2">
        <v>45680.416666608799</v>
      </c>
      <c r="D1062" t="s">
        <v>221</v>
      </c>
      <c r="E1062">
        <v>2</v>
      </c>
      <c r="F1062" t="s">
        <v>222</v>
      </c>
      <c r="G1062" t="str">
        <f t="shared" si="123"/>
        <v>Paranephrops planifrons</v>
      </c>
      <c r="H1062" t="str">
        <f t="shared" si="124"/>
        <v>Freshwater_crayfish</v>
      </c>
      <c r="I1062" t="str">
        <f t="shared" si="125"/>
        <v>Kōura</v>
      </c>
      <c r="J1062" t="str">
        <f t="shared" si="126"/>
        <v>Native</v>
      </c>
      <c r="K1062" t="str">
        <f t="shared" si="127"/>
        <v>Yes</v>
      </c>
      <c r="L1062" t="s">
        <v>223</v>
      </c>
      <c r="M1062">
        <v>29.57</v>
      </c>
      <c r="N1062">
        <v>22</v>
      </c>
      <c r="O1062">
        <v>1</v>
      </c>
      <c r="T1062" t="str">
        <f t="shared" si="128"/>
        <v/>
      </c>
    </row>
    <row r="1063" spans="1:20" x14ac:dyDescent="0.55000000000000004">
      <c r="A1063">
        <v>109</v>
      </c>
      <c r="B1063" t="str">
        <f t="shared" si="131"/>
        <v>109_1</v>
      </c>
      <c r="C1063" s="2">
        <v>45680.416666608799</v>
      </c>
      <c r="D1063" t="s">
        <v>245</v>
      </c>
      <c r="E1063">
        <v>2</v>
      </c>
      <c r="F1063" t="s">
        <v>222</v>
      </c>
      <c r="G1063" t="str">
        <f t="shared" si="123"/>
        <v>Paranephrops planifrons</v>
      </c>
      <c r="H1063" t="str">
        <f t="shared" si="124"/>
        <v>Freshwater_crayfish</v>
      </c>
      <c r="I1063" t="str">
        <f t="shared" si="125"/>
        <v>Kōura</v>
      </c>
      <c r="J1063" t="str">
        <f t="shared" si="126"/>
        <v>Native</v>
      </c>
      <c r="K1063" t="str">
        <f t="shared" si="127"/>
        <v>Yes</v>
      </c>
      <c r="L1063" t="s">
        <v>228</v>
      </c>
      <c r="M1063">
        <v>29.9</v>
      </c>
      <c r="N1063">
        <v>20</v>
      </c>
      <c r="O1063">
        <v>1</v>
      </c>
      <c r="T1063" t="str">
        <f t="shared" si="128"/>
        <v/>
      </c>
    </row>
    <row r="1064" spans="1:20" x14ac:dyDescent="0.55000000000000004">
      <c r="A1064">
        <v>109</v>
      </c>
      <c r="B1064" t="str">
        <f t="shared" si="131"/>
        <v>109_1</v>
      </c>
      <c r="C1064" s="2">
        <v>45680.416666608799</v>
      </c>
      <c r="D1064" t="s">
        <v>245</v>
      </c>
      <c r="E1064">
        <v>2</v>
      </c>
      <c r="F1064" t="s">
        <v>222</v>
      </c>
      <c r="G1064" t="str">
        <f t="shared" si="123"/>
        <v>Paranephrops planifrons</v>
      </c>
      <c r="H1064" t="str">
        <f t="shared" si="124"/>
        <v>Freshwater_crayfish</v>
      </c>
      <c r="I1064" t="str">
        <f t="shared" si="125"/>
        <v>Kōura</v>
      </c>
      <c r="J1064" t="str">
        <f t="shared" si="126"/>
        <v>Native</v>
      </c>
      <c r="K1064" t="str">
        <f t="shared" si="127"/>
        <v>Yes</v>
      </c>
      <c r="L1064" t="s">
        <v>223</v>
      </c>
      <c r="M1064">
        <v>29.92</v>
      </c>
      <c r="N1064">
        <v>18</v>
      </c>
      <c r="O1064">
        <v>1</v>
      </c>
      <c r="T1064" t="str">
        <f t="shared" si="128"/>
        <v/>
      </c>
    </row>
    <row r="1065" spans="1:20" x14ac:dyDescent="0.55000000000000004">
      <c r="A1065">
        <v>109</v>
      </c>
      <c r="B1065" t="str">
        <f t="shared" si="131"/>
        <v>109_1</v>
      </c>
      <c r="C1065" s="2">
        <v>45680.416666608799</v>
      </c>
      <c r="D1065" t="s">
        <v>245</v>
      </c>
      <c r="E1065">
        <v>2</v>
      </c>
      <c r="F1065" t="s">
        <v>222</v>
      </c>
      <c r="G1065" t="str">
        <f t="shared" si="123"/>
        <v>Paranephrops planifrons</v>
      </c>
      <c r="H1065" t="str">
        <f t="shared" si="124"/>
        <v>Freshwater_crayfish</v>
      </c>
      <c r="I1065" t="str">
        <f t="shared" si="125"/>
        <v>Kōura</v>
      </c>
      <c r="J1065" t="str">
        <f t="shared" si="126"/>
        <v>Native</v>
      </c>
      <c r="K1065" t="str">
        <f t="shared" si="127"/>
        <v>Yes</v>
      </c>
      <c r="L1065" t="s">
        <v>223</v>
      </c>
      <c r="M1065">
        <v>30.1</v>
      </c>
      <c r="N1065">
        <v>17</v>
      </c>
      <c r="O1065">
        <v>1</v>
      </c>
      <c r="T1065" t="str">
        <f t="shared" si="128"/>
        <v/>
      </c>
    </row>
    <row r="1066" spans="1:20" x14ac:dyDescent="0.55000000000000004">
      <c r="A1066">
        <v>109</v>
      </c>
      <c r="B1066" t="str">
        <f t="shared" si="131"/>
        <v>109_1</v>
      </c>
      <c r="C1066" s="2">
        <v>45680.416666608799</v>
      </c>
      <c r="D1066" t="s">
        <v>245</v>
      </c>
      <c r="E1066">
        <v>2</v>
      </c>
      <c r="F1066" t="s">
        <v>222</v>
      </c>
      <c r="G1066" t="str">
        <f t="shared" si="123"/>
        <v>Paranephrops planifrons</v>
      </c>
      <c r="H1066" t="str">
        <f t="shared" si="124"/>
        <v>Freshwater_crayfish</v>
      </c>
      <c r="I1066" t="str">
        <f t="shared" si="125"/>
        <v>Kōura</v>
      </c>
      <c r="J1066" t="str">
        <f t="shared" si="126"/>
        <v>Native</v>
      </c>
      <c r="K1066" t="str">
        <f t="shared" si="127"/>
        <v>Yes</v>
      </c>
      <c r="L1066" t="s">
        <v>223</v>
      </c>
      <c r="M1066">
        <v>30.67</v>
      </c>
      <c r="N1066">
        <v>18</v>
      </c>
      <c r="O1066">
        <v>1</v>
      </c>
      <c r="T1066" t="str">
        <f t="shared" si="128"/>
        <v/>
      </c>
    </row>
    <row r="1067" spans="1:20" x14ac:dyDescent="0.55000000000000004">
      <c r="A1067">
        <v>109</v>
      </c>
      <c r="B1067" t="str">
        <f t="shared" si="131"/>
        <v>109_1</v>
      </c>
      <c r="C1067" s="2">
        <v>45680.416666608799</v>
      </c>
      <c r="D1067" t="s">
        <v>245</v>
      </c>
      <c r="E1067">
        <v>2</v>
      </c>
      <c r="F1067" t="s">
        <v>222</v>
      </c>
      <c r="G1067" t="str">
        <f t="shared" si="123"/>
        <v>Paranephrops planifrons</v>
      </c>
      <c r="H1067" t="str">
        <f t="shared" si="124"/>
        <v>Freshwater_crayfish</v>
      </c>
      <c r="I1067" t="str">
        <f t="shared" si="125"/>
        <v>Kōura</v>
      </c>
      <c r="J1067" t="str">
        <f t="shared" si="126"/>
        <v>Native</v>
      </c>
      <c r="K1067" t="str">
        <f t="shared" si="127"/>
        <v>Yes</v>
      </c>
      <c r="L1067" t="s">
        <v>223</v>
      </c>
      <c r="M1067">
        <v>30.86</v>
      </c>
      <c r="N1067">
        <v>18</v>
      </c>
      <c r="O1067">
        <v>1</v>
      </c>
      <c r="T1067" t="str">
        <f t="shared" si="128"/>
        <v/>
      </c>
    </row>
    <row r="1068" spans="1:20" x14ac:dyDescent="0.55000000000000004">
      <c r="A1068">
        <v>109</v>
      </c>
      <c r="B1068" t="str">
        <f t="shared" si="131"/>
        <v>109_1</v>
      </c>
      <c r="C1068" s="2">
        <v>45680.416666608799</v>
      </c>
      <c r="D1068" t="s">
        <v>245</v>
      </c>
      <c r="E1068">
        <v>2</v>
      </c>
      <c r="F1068" t="s">
        <v>222</v>
      </c>
      <c r="G1068" t="str">
        <f t="shared" si="123"/>
        <v>Paranephrops planifrons</v>
      </c>
      <c r="H1068" t="str">
        <f t="shared" si="124"/>
        <v>Freshwater_crayfish</v>
      </c>
      <c r="I1068" t="str">
        <f t="shared" si="125"/>
        <v>Kōura</v>
      </c>
      <c r="J1068" t="str">
        <f t="shared" si="126"/>
        <v>Native</v>
      </c>
      <c r="K1068" t="str">
        <f t="shared" si="127"/>
        <v>Yes</v>
      </c>
      <c r="L1068" t="s">
        <v>228</v>
      </c>
      <c r="M1068">
        <v>30.87</v>
      </c>
      <c r="N1068">
        <v>17</v>
      </c>
      <c r="O1068">
        <v>1</v>
      </c>
      <c r="T1068" t="str">
        <f t="shared" si="128"/>
        <v/>
      </c>
    </row>
    <row r="1069" spans="1:20" x14ac:dyDescent="0.55000000000000004">
      <c r="A1069">
        <v>76</v>
      </c>
      <c r="B1069" t="str">
        <f>A1069 &amp; "_0"</f>
        <v>76_0</v>
      </c>
      <c r="C1069" s="2">
        <v>45673.348611111112</v>
      </c>
      <c r="D1069" t="s">
        <v>221</v>
      </c>
      <c r="E1069">
        <v>2</v>
      </c>
      <c r="F1069" t="s">
        <v>242</v>
      </c>
      <c r="G1069" t="str">
        <f t="shared" si="123"/>
        <v>Gobiomorphus cotidianus</v>
      </c>
      <c r="H1069" t="str">
        <f t="shared" si="124"/>
        <v>Common_bully</v>
      </c>
      <c r="I1069" t="str">
        <f t="shared" si="125"/>
        <v>Toitoi</v>
      </c>
      <c r="J1069" t="str">
        <f t="shared" si="126"/>
        <v>Native</v>
      </c>
      <c r="K1069" t="str">
        <f t="shared" si="127"/>
        <v>No</v>
      </c>
      <c r="N1069">
        <v>19</v>
      </c>
      <c r="O1069">
        <v>11</v>
      </c>
      <c r="T1069" t="str">
        <f t="shared" si="128"/>
        <v/>
      </c>
    </row>
    <row r="1070" spans="1:20" x14ac:dyDescent="0.55000000000000004">
      <c r="A1070">
        <v>109</v>
      </c>
      <c r="B1070" t="str">
        <f>A1070 &amp; "_1"</f>
        <v>109_1</v>
      </c>
      <c r="C1070" s="2">
        <v>45680.416666608799</v>
      </c>
      <c r="D1070" t="s">
        <v>245</v>
      </c>
      <c r="E1070">
        <v>2</v>
      </c>
      <c r="F1070" t="s">
        <v>222</v>
      </c>
      <c r="G1070" t="str">
        <f t="shared" si="123"/>
        <v>Paranephrops planifrons</v>
      </c>
      <c r="H1070" t="str">
        <f t="shared" si="124"/>
        <v>Freshwater_crayfish</v>
      </c>
      <c r="I1070" t="str">
        <f t="shared" si="125"/>
        <v>Kōura</v>
      </c>
      <c r="J1070" t="str">
        <f t="shared" si="126"/>
        <v>Native</v>
      </c>
      <c r="K1070" t="str">
        <f t="shared" si="127"/>
        <v>Yes</v>
      </c>
      <c r="L1070" t="s">
        <v>228</v>
      </c>
      <c r="M1070">
        <v>31.33</v>
      </c>
      <c r="N1070">
        <v>19</v>
      </c>
      <c r="O1070">
        <v>1</v>
      </c>
      <c r="P1070">
        <v>1</v>
      </c>
      <c r="T1070" t="str">
        <f t="shared" si="128"/>
        <v/>
      </c>
    </row>
    <row r="1071" spans="1:20" x14ac:dyDescent="0.55000000000000004">
      <c r="A1071">
        <v>109</v>
      </c>
      <c r="B1071" t="str">
        <f>A1071 &amp; "_1"</f>
        <v>109_1</v>
      </c>
      <c r="C1071" s="2">
        <v>45680.416666608799</v>
      </c>
      <c r="D1071" t="s">
        <v>221</v>
      </c>
      <c r="E1071">
        <v>2</v>
      </c>
      <c r="F1071" t="s">
        <v>222</v>
      </c>
      <c r="G1071" t="str">
        <f t="shared" si="123"/>
        <v>Paranephrops planifrons</v>
      </c>
      <c r="H1071" t="str">
        <f t="shared" si="124"/>
        <v>Freshwater_crayfish</v>
      </c>
      <c r="I1071" t="str">
        <f t="shared" si="125"/>
        <v>Kōura</v>
      </c>
      <c r="J1071" t="str">
        <f t="shared" si="126"/>
        <v>Native</v>
      </c>
      <c r="K1071" t="str">
        <f t="shared" si="127"/>
        <v>Yes</v>
      </c>
      <c r="L1071" t="s">
        <v>223</v>
      </c>
      <c r="M1071">
        <v>33.15</v>
      </c>
      <c r="N1071">
        <v>24</v>
      </c>
      <c r="O1071">
        <v>1</v>
      </c>
      <c r="T1071" t="str">
        <f t="shared" si="128"/>
        <v/>
      </c>
    </row>
    <row r="1072" spans="1:20" x14ac:dyDescent="0.55000000000000004">
      <c r="A1072">
        <v>76</v>
      </c>
      <c r="B1072" t="str">
        <f>A1072 &amp; "_0"</f>
        <v>76_0</v>
      </c>
      <c r="C1072" s="2">
        <v>45673.348611111112</v>
      </c>
      <c r="D1072" t="s">
        <v>221</v>
      </c>
      <c r="E1072">
        <v>2</v>
      </c>
      <c r="F1072" t="s">
        <v>242</v>
      </c>
      <c r="G1072" t="str">
        <f t="shared" si="123"/>
        <v>Gobiomorphus cotidianus</v>
      </c>
      <c r="H1072" t="str">
        <f t="shared" si="124"/>
        <v>Common_bully</v>
      </c>
      <c r="I1072" t="str">
        <f t="shared" si="125"/>
        <v>Toitoi</v>
      </c>
      <c r="J1072" t="str">
        <f t="shared" si="126"/>
        <v>Native</v>
      </c>
      <c r="K1072" t="str">
        <f t="shared" si="127"/>
        <v>No</v>
      </c>
      <c r="N1072">
        <v>141</v>
      </c>
      <c r="O1072">
        <v>100</v>
      </c>
      <c r="T1072" t="str">
        <f t="shared" si="128"/>
        <v/>
      </c>
    </row>
    <row r="1073" spans="1:20" x14ac:dyDescent="0.55000000000000004">
      <c r="A1073">
        <v>76</v>
      </c>
      <c r="B1073" t="str">
        <f>A1073 &amp; "_0"</f>
        <v>76_0</v>
      </c>
      <c r="C1073" s="2">
        <v>45673.348611111112</v>
      </c>
      <c r="D1073" t="s">
        <v>221</v>
      </c>
      <c r="E1073">
        <v>2</v>
      </c>
      <c r="F1073" t="s">
        <v>242</v>
      </c>
      <c r="G1073" t="str">
        <f t="shared" si="123"/>
        <v>Gobiomorphus cotidianus</v>
      </c>
      <c r="H1073" t="str">
        <f t="shared" si="124"/>
        <v>Common_bully</v>
      </c>
      <c r="I1073" t="str">
        <f t="shared" si="125"/>
        <v>Toitoi</v>
      </c>
      <c r="J1073" t="str">
        <f t="shared" si="126"/>
        <v>Native</v>
      </c>
      <c r="K1073" t="str">
        <f t="shared" si="127"/>
        <v>No</v>
      </c>
      <c r="N1073">
        <v>100</v>
      </c>
      <c r="O1073">
        <v>100</v>
      </c>
      <c r="T1073" t="str">
        <f t="shared" si="128"/>
        <v/>
      </c>
    </row>
    <row r="1074" spans="1:20" x14ac:dyDescent="0.55000000000000004">
      <c r="A1074">
        <v>76</v>
      </c>
      <c r="B1074" t="str">
        <f>A1074 &amp; "_0"</f>
        <v>76_0</v>
      </c>
      <c r="C1074" s="2">
        <v>45673.348611111112</v>
      </c>
      <c r="D1074" t="s">
        <v>221</v>
      </c>
      <c r="E1074">
        <v>2</v>
      </c>
      <c r="F1074" t="s">
        <v>242</v>
      </c>
      <c r="G1074" t="str">
        <f t="shared" si="123"/>
        <v>Gobiomorphus cotidianus</v>
      </c>
      <c r="H1074" t="str">
        <f t="shared" si="124"/>
        <v>Common_bully</v>
      </c>
      <c r="I1074" t="str">
        <f t="shared" si="125"/>
        <v>Toitoi</v>
      </c>
      <c r="J1074" t="str">
        <f t="shared" si="126"/>
        <v>Native</v>
      </c>
      <c r="K1074" t="str">
        <f t="shared" si="127"/>
        <v>No</v>
      </c>
      <c r="N1074">
        <v>49</v>
      </c>
      <c r="O1074">
        <v>56</v>
      </c>
      <c r="T1074" t="str">
        <f t="shared" si="128"/>
        <v/>
      </c>
    </row>
    <row r="1075" spans="1:20" x14ac:dyDescent="0.55000000000000004">
      <c r="A1075">
        <v>76</v>
      </c>
      <c r="B1075" t="str">
        <f>A1075 &amp; "_0"</f>
        <v>76_0</v>
      </c>
      <c r="C1075" s="2">
        <v>45673.348611111112</v>
      </c>
      <c r="D1075" t="s">
        <v>221</v>
      </c>
      <c r="E1075">
        <v>2</v>
      </c>
      <c r="F1075" t="s">
        <v>229</v>
      </c>
      <c r="G1075" t="str">
        <f t="shared" si="123"/>
        <v>Ameiurus nebulosus</v>
      </c>
      <c r="H1075" t="str">
        <f t="shared" si="124"/>
        <v>Catfish</v>
      </c>
      <c r="I1075" t="str">
        <f t="shared" si="125"/>
        <v>Catfish</v>
      </c>
      <c r="J1075" t="str">
        <f t="shared" si="126"/>
        <v>Nonnative</v>
      </c>
      <c r="K1075" t="str">
        <f t="shared" si="127"/>
        <v>No</v>
      </c>
      <c r="M1075">
        <v>385</v>
      </c>
      <c r="O1075">
        <v>1</v>
      </c>
      <c r="T1075" t="str">
        <f t="shared" si="128"/>
        <v/>
      </c>
    </row>
    <row r="1076" spans="1:20" x14ac:dyDescent="0.55000000000000004">
      <c r="A1076">
        <v>76</v>
      </c>
      <c r="B1076" t="str">
        <f>A1076 &amp; "_0"</f>
        <v>76_0</v>
      </c>
      <c r="C1076" s="2">
        <v>45673.348611111112</v>
      </c>
      <c r="D1076" t="s">
        <v>221</v>
      </c>
      <c r="E1076">
        <v>2</v>
      </c>
      <c r="F1076" t="s">
        <v>229</v>
      </c>
      <c r="G1076" t="str">
        <f t="shared" si="123"/>
        <v>Ameiurus nebulosus</v>
      </c>
      <c r="H1076" t="str">
        <f t="shared" si="124"/>
        <v>Catfish</v>
      </c>
      <c r="I1076" t="str">
        <f t="shared" si="125"/>
        <v>Catfish</v>
      </c>
      <c r="J1076" t="str">
        <f t="shared" si="126"/>
        <v>Nonnative</v>
      </c>
      <c r="K1076" t="str">
        <f t="shared" si="127"/>
        <v>No</v>
      </c>
      <c r="M1076">
        <v>385</v>
      </c>
      <c r="O1076">
        <v>1</v>
      </c>
      <c r="T1076" t="str">
        <f t="shared" si="128"/>
        <v/>
      </c>
    </row>
    <row r="1077" spans="1:20" x14ac:dyDescent="0.55000000000000004">
      <c r="A1077">
        <v>109</v>
      </c>
      <c r="B1077" t="str">
        <f>A1077 &amp; "_1"</f>
        <v>109_1</v>
      </c>
      <c r="C1077" s="2">
        <v>45680.416666666664</v>
      </c>
      <c r="D1077" t="s">
        <v>245</v>
      </c>
      <c r="E1077">
        <v>2</v>
      </c>
      <c r="F1077" t="s">
        <v>222</v>
      </c>
      <c r="G1077" t="str">
        <f t="shared" si="123"/>
        <v>Paranephrops planifrons</v>
      </c>
      <c r="H1077" t="str">
        <f t="shared" si="124"/>
        <v>Freshwater_crayfish</v>
      </c>
      <c r="I1077" t="str">
        <f t="shared" si="125"/>
        <v>Kōura</v>
      </c>
      <c r="J1077" t="str">
        <f t="shared" si="126"/>
        <v>Native</v>
      </c>
      <c r="K1077" t="str">
        <f t="shared" si="127"/>
        <v>Yes</v>
      </c>
      <c r="L1077" t="s">
        <v>223</v>
      </c>
      <c r="M1077">
        <v>33.58</v>
      </c>
      <c r="N1077">
        <v>30</v>
      </c>
      <c r="O1077">
        <v>1</v>
      </c>
      <c r="T1077" t="str">
        <f t="shared" si="128"/>
        <v/>
      </c>
    </row>
    <row r="1078" spans="1:20" x14ac:dyDescent="0.55000000000000004">
      <c r="A1078">
        <v>109</v>
      </c>
      <c r="B1078" t="str">
        <f>A1078 &amp; "_1"</f>
        <v>109_1</v>
      </c>
      <c r="C1078" s="2">
        <v>45680.416666666664</v>
      </c>
      <c r="D1078" t="s">
        <v>245</v>
      </c>
      <c r="E1078">
        <v>2</v>
      </c>
      <c r="F1078" t="s">
        <v>222</v>
      </c>
      <c r="G1078" t="str">
        <f t="shared" si="123"/>
        <v>Paranephrops planifrons</v>
      </c>
      <c r="H1078" t="str">
        <f t="shared" si="124"/>
        <v>Freshwater_crayfish</v>
      </c>
      <c r="I1078" t="str">
        <f t="shared" si="125"/>
        <v>Kōura</v>
      </c>
      <c r="J1078" t="str">
        <f t="shared" si="126"/>
        <v>Native</v>
      </c>
      <c r="K1078" t="str">
        <f t="shared" si="127"/>
        <v>Yes</v>
      </c>
      <c r="L1078" t="s">
        <v>223</v>
      </c>
      <c r="M1078">
        <v>34.619999999999997</v>
      </c>
      <c r="N1078">
        <v>26</v>
      </c>
      <c r="O1078">
        <v>1</v>
      </c>
      <c r="T1078" t="str">
        <f t="shared" si="128"/>
        <v/>
      </c>
    </row>
    <row r="1079" spans="1:20" x14ac:dyDescent="0.55000000000000004">
      <c r="A1079">
        <v>76</v>
      </c>
      <c r="B1079" t="str">
        <f t="shared" ref="B1079:B1091" si="132">A1079 &amp; "_0"</f>
        <v>76_0</v>
      </c>
      <c r="C1079" s="2">
        <v>45673.348611111112</v>
      </c>
      <c r="D1079" t="s">
        <v>221</v>
      </c>
      <c r="E1079">
        <v>2</v>
      </c>
      <c r="F1079" t="s">
        <v>242</v>
      </c>
      <c r="G1079" t="str">
        <f t="shared" si="123"/>
        <v>Gobiomorphus cotidianus</v>
      </c>
      <c r="H1079" t="str">
        <f t="shared" si="124"/>
        <v>Common_bully</v>
      </c>
      <c r="I1079" t="str">
        <f t="shared" si="125"/>
        <v>Toitoi</v>
      </c>
      <c r="J1079" t="str">
        <f t="shared" si="126"/>
        <v>Native</v>
      </c>
      <c r="K1079" t="str">
        <f t="shared" si="127"/>
        <v>No</v>
      </c>
      <c r="N1079">
        <v>386</v>
      </c>
      <c r="S1079">
        <v>2</v>
      </c>
      <c r="T1079">
        <f t="shared" si="128"/>
        <v>473.17599999999999</v>
      </c>
    </row>
    <row r="1080" spans="1:20" x14ac:dyDescent="0.55000000000000004">
      <c r="A1080">
        <v>117</v>
      </c>
      <c r="B1080" t="str">
        <f t="shared" si="132"/>
        <v>117_0</v>
      </c>
      <c r="C1080" s="2">
        <v>45597.520833333336</v>
      </c>
      <c r="D1080" t="s">
        <v>221</v>
      </c>
      <c r="E1080">
        <v>2</v>
      </c>
      <c r="F1080" t="s">
        <v>222</v>
      </c>
      <c r="G1080" t="str">
        <f t="shared" si="123"/>
        <v>Paranephrops planifrons</v>
      </c>
      <c r="H1080" t="str">
        <f t="shared" si="124"/>
        <v>Freshwater_crayfish</v>
      </c>
      <c r="I1080" t="str">
        <f t="shared" si="125"/>
        <v>Kōura</v>
      </c>
      <c r="J1080" t="str">
        <f t="shared" si="126"/>
        <v>Native</v>
      </c>
      <c r="K1080" t="str">
        <f t="shared" si="127"/>
        <v>Yes</v>
      </c>
      <c r="L1080" t="s">
        <v>228</v>
      </c>
      <c r="M1080">
        <v>22</v>
      </c>
      <c r="N1080">
        <v>4</v>
      </c>
      <c r="O1080">
        <v>1</v>
      </c>
      <c r="T1080" t="str">
        <f t="shared" si="128"/>
        <v/>
      </c>
    </row>
    <row r="1081" spans="1:20" x14ac:dyDescent="0.55000000000000004">
      <c r="A1081">
        <v>117</v>
      </c>
      <c r="B1081" t="str">
        <f t="shared" si="132"/>
        <v>117_0</v>
      </c>
      <c r="C1081" s="2">
        <v>45597.520833333336</v>
      </c>
      <c r="D1081" t="s">
        <v>245</v>
      </c>
      <c r="E1081">
        <v>2</v>
      </c>
      <c r="F1081" t="s">
        <v>222</v>
      </c>
      <c r="G1081" t="str">
        <f t="shared" si="123"/>
        <v>Paranephrops planifrons</v>
      </c>
      <c r="H1081" t="str">
        <f t="shared" si="124"/>
        <v>Freshwater_crayfish</v>
      </c>
      <c r="I1081" t="str">
        <f t="shared" si="125"/>
        <v>Kōura</v>
      </c>
      <c r="J1081" t="str">
        <f t="shared" si="126"/>
        <v>Native</v>
      </c>
      <c r="K1081" t="str">
        <f t="shared" si="127"/>
        <v>Yes</v>
      </c>
      <c r="L1081" t="s">
        <v>223</v>
      </c>
      <c r="M1081">
        <v>22</v>
      </c>
      <c r="N1081">
        <v>4</v>
      </c>
      <c r="O1081">
        <v>1</v>
      </c>
      <c r="T1081" t="str">
        <f t="shared" si="128"/>
        <v/>
      </c>
    </row>
    <row r="1082" spans="1:20" x14ac:dyDescent="0.55000000000000004">
      <c r="A1082">
        <v>97</v>
      </c>
      <c r="B1082" t="str">
        <f t="shared" si="132"/>
        <v>97_0</v>
      </c>
      <c r="C1082" s="2">
        <v>45603.524305439816</v>
      </c>
      <c r="D1082" t="s">
        <v>221</v>
      </c>
      <c r="E1082">
        <v>2</v>
      </c>
      <c r="F1082" t="s">
        <v>222</v>
      </c>
      <c r="G1082" t="str">
        <f t="shared" si="123"/>
        <v>Paranephrops planifrons</v>
      </c>
      <c r="H1082" t="str">
        <f t="shared" si="124"/>
        <v>Freshwater_crayfish</v>
      </c>
      <c r="I1082" t="str">
        <f t="shared" si="125"/>
        <v>Kōura</v>
      </c>
      <c r="J1082" t="str">
        <f t="shared" si="126"/>
        <v>Native</v>
      </c>
      <c r="K1082" t="str">
        <f t="shared" si="127"/>
        <v>Yes</v>
      </c>
      <c r="L1082" t="s">
        <v>223</v>
      </c>
      <c r="M1082">
        <v>22</v>
      </c>
      <c r="O1082">
        <v>1</v>
      </c>
      <c r="T1082" t="str">
        <f t="shared" si="128"/>
        <v/>
      </c>
    </row>
    <row r="1083" spans="1:20" x14ac:dyDescent="0.55000000000000004">
      <c r="A1083">
        <v>97</v>
      </c>
      <c r="B1083" t="str">
        <f t="shared" si="132"/>
        <v>97_0</v>
      </c>
      <c r="C1083" s="2">
        <v>45603.524305497682</v>
      </c>
      <c r="D1083" t="s">
        <v>221</v>
      </c>
      <c r="E1083">
        <v>2</v>
      </c>
      <c r="F1083" t="s">
        <v>222</v>
      </c>
      <c r="G1083" t="str">
        <f t="shared" si="123"/>
        <v>Paranephrops planifrons</v>
      </c>
      <c r="H1083" t="str">
        <f t="shared" si="124"/>
        <v>Freshwater_crayfish</v>
      </c>
      <c r="I1083" t="str">
        <f t="shared" si="125"/>
        <v>Kōura</v>
      </c>
      <c r="J1083" t="str">
        <f t="shared" si="126"/>
        <v>Native</v>
      </c>
      <c r="K1083" t="str">
        <f t="shared" si="127"/>
        <v>Yes</v>
      </c>
      <c r="L1083" t="s">
        <v>228</v>
      </c>
      <c r="M1083">
        <v>22</v>
      </c>
      <c r="O1083">
        <v>1</v>
      </c>
      <c r="T1083" t="str">
        <f t="shared" si="128"/>
        <v/>
      </c>
    </row>
    <row r="1084" spans="1:20" x14ac:dyDescent="0.55000000000000004">
      <c r="A1084">
        <v>101</v>
      </c>
      <c r="B1084" t="str">
        <f t="shared" si="132"/>
        <v>101_0</v>
      </c>
      <c r="C1084" s="2">
        <v>45603.5</v>
      </c>
      <c r="D1084" t="s">
        <v>245</v>
      </c>
      <c r="E1084">
        <v>2</v>
      </c>
      <c r="F1084" t="s">
        <v>222</v>
      </c>
      <c r="G1084" t="str">
        <f t="shared" si="123"/>
        <v>Paranephrops planifrons</v>
      </c>
      <c r="H1084" t="str">
        <f t="shared" si="124"/>
        <v>Freshwater_crayfish</v>
      </c>
      <c r="I1084" t="str">
        <f t="shared" si="125"/>
        <v>Kōura</v>
      </c>
      <c r="J1084" t="str">
        <f t="shared" si="126"/>
        <v>Native</v>
      </c>
      <c r="K1084" t="str">
        <f t="shared" si="127"/>
        <v>Yes</v>
      </c>
      <c r="L1084" t="s">
        <v>223</v>
      </c>
      <c r="M1084">
        <v>22</v>
      </c>
      <c r="O1084">
        <v>1</v>
      </c>
      <c r="T1084" t="str">
        <f t="shared" si="128"/>
        <v/>
      </c>
    </row>
    <row r="1085" spans="1:20" x14ac:dyDescent="0.55000000000000004">
      <c r="A1085">
        <v>106</v>
      </c>
      <c r="B1085" t="str">
        <f t="shared" si="132"/>
        <v>106_0</v>
      </c>
      <c r="C1085" s="2">
        <v>45603.4375</v>
      </c>
      <c r="D1085" t="s">
        <v>221</v>
      </c>
      <c r="E1085">
        <v>2</v>
      </c>
      <c r="F1085" t="s">
        <v>222</v>
      </c>
      <c r="G1085" t="str">
        <f t="shared" si="123"/>
        <v>Paranephrops planifrons</v>
      </c>
      <c r="H1085" t="str">
        <f t="shared" si="124"/>
        <v>Freshwater_crayfish</v>
      </c>
      <c r="I1085" t="str">
        <f t="shared" si="125"/>
        <v>Kōura</v>
      </c>
      <c r="J1085" t="str">
        <f t="shared" si="126"/>
        <v>Native</v>
      </c>
      <c r="K1085" t="str">
        <f t="shared" si="127"/>
        <v>Yes</v>
      </c>
      <c r="L1085" t="s">
        <v>223</v>
      </c>
      <c r="M1085">
        <v>22</v>
      </c>
      <c r="O1085">
        <v>1</v>
      </c>
      <c r="T1085" t="str">
        <f t="shared" si="128"/>
        <v/>
      </c>
    </row>
    <row r="1086" spans="1:20" x14ac:dyDescent="0.55000000000000004">
      <c r="A1086">
        <v>98</v>
      </c>
      <c r="B1086" t="str">
        <f t="shared" si="132"/>
        <v>98_0</v>
      </c>
      <c r="C1086" s="2">
        <v>45603.5625</v>
      </c>
      <c r="D1086" t="s">
        <v>245</v>
      </c>
      <c r="E1086">
        <v>2</v>
      </c>
      <c r="F1086" t="s">
        <v>222</v>
      </c>
      <c r="G1086" t="str">
        <f t="shared" si="123"/>
        <v>Paranephrops planifrons</v>
      </c>
      <c r="H1086" t="str">
        <f t="shared" si="124"/>
        <v>Freshwater_crayfish</v>
      </c>
      <c r="I1086" t="str">
        <f t="shared" si="125"/>
        <v>Kōura</v>
      </c>
      <c r="J1086" t="str">
        <f t="shared" si="126"/>
        <v>Native</v>
      </c>
      <c r="K1086" t="str">
        <f t="shared" si="127"/>
        <v>Yes</v>
      </c>
      <c r="L1086" t="s">
        <v>228</v>
      </c>
      <c r="M1086">
        <v>21.88</v>
      </c>
      <c r="O1086">
        <v>1</v>
      </c>
      <c r="T1086" t="str">
        <f t="shared" si="128"/>
        <v/>
      </c>
    </row>
    <row r="1087" spans="1:20" x14ac:dyDescent="0.55000000000000004">
      <c r="A1087">
        <v>98</v>
      </c>
      <c r="B1087" t="str">
        <f t="shared" si="132"/>
        <v>98_0</v>
      </c>
      <c r="C1087" s="2">
        <v>45603.5625</v>
      </c>
      <c r="D1087" t="s">
        <v>245</v>
      </c>
      <c r="E1087">
        <v>2</v>
      </c>
      <c r="F1087" t="s">
        <v>222</v>
      </c>
      <c r="G1087" t="str">
        <f t="shared" si="123"/>
        <v>Paranephrops planifrons</v>
      </c>
      <c r="H1087" t="str">
        <f t="shared" si="124"/>
        <v>Freshwater_crayfish</v>
      </c>
      <c r="I1087" t="str">
        <f t="shared" si="125"/>
        <v>Kōura</v>
      </c>
      <c r="J1087" t="str">
        <f t="shared" si="126"/>
        <v>Native</v>
      </c>
      <c r="K1087" t="str">
        <f t="shared" si="127"/>
        <v>Yes</v>
      </c>
      <c r="L1087" t="s">
        <v>223</v>
      </c>
      <c r="M1087">
        <v>21.71</v>
      </c>
      <c r="O1087">
        <v>1</v>
      </c>
      <c r="Q1087">
        <v>1</v>
      </c>
      <c r="T1087" t="str">
        <f t="shared" si="128"/>
        <v/>
      </c>
    </row>
    <row r="1088" spans="1:20" x14ac:dyDescent="0.55000000000000004">
      <c r="A1088">
        <v>77</v>
      </c>
      <c r="B1088" t="str">
        <f t="shared" si="132"/>
        <v>77_0</v>
      </c>
      <c r="C1088" s="2">
        <v>45674.520833333336</v>
      </c>
      <c r="D1088" t="s">
        <v>245</v>
      </c>
      <c r="E1088">
        <v>2</v>
      </c>
      <c r="F1088" t="s">
        <v>242</v>
      </c>
      <c r="G1088" t="str">
        <f t="shared" si="123"/>
        <v>Gobiomorphus cotidianus</v>
      </c>
      <c r="H1088" t="str">
        <f t="shared" si="124"/>
        <v>Common_bully</v>
      </c>
      <c r="I1088" t="str">
        <f t="shared" si="125"/>
        <v>Toitoi</v>
      </c>
      <c r="J1088" t="str">
        <f t="shared" si="126"/>
        <v>Native</v>
      </c>
      <c r="K1088" t="str">
        <f t="shared" si="127"/>
        <v>No</v>
      </c>
      <c r="N1088">
        <v>22</v>
      </c>
      <c r="O1088">
        <v>18</v>
      </c>
      <c r="T1088" t="str">
        <f t="shared" si="128"/>
        <v/>
      </c>
    </row>
    <row r="1089" spans="1:20" x14ac:dyDescent="0.55000000000000004">
      <c r="A1089">
        <v>77</v>
      </c>
      <c r="B1089" t="str">
        <f t="shared" si="132"/>
        <v>77_0</v>
      </c>
      <c r="C1089" s="2">
        <v>45674.520833333336</v>
      </c>
      <c r="D1089" t="s">
        <v>221</v>
      </c>
      <c r="E1089">
        <v>2</v>
      </c>
      <c r="F1089" t="s">
        <v>236</v>
      </c>
      <c r="G1089" t="str">
        <f t="shared" si="123"/>
        <v>Carassius auratus</v>
      </c>
      <c r="H1089" t="str">
        <f t="shared" si="124"/>
        <v>Goldfish</v>
      </c>
      <c r="I1089" t="str">
        <f t="shared" si="125"/>
        <v>Morihana</v>
      </c>
      <c r="J1089" t="str">
        <f t="shared" si="126"/>
        <v>Nonnative</v>
      </c>
      <c r="K1089" t="str">
        <f t="shared" si="127"/>
        <v>No</v>
      </c>
      <c r="M1089">
        <v>153</v>
      </c>
      <c r="N1089">
        <v>99</v>
      </c>
      <c r="O1089">
        <v>1</v>
      </c>
      <c r="T1089" t="str">
        <f t="shared" si="128"/>
        <v/>
      </c>
    </row>
    <row r="1090" spans="1:20" x14ac:dyDescent="0.55000000000000004">
      <c r="A1090">
        <v>98</v>
      </c>
      <c r="B1090" t="str">
        <f t="shared" si="132"/>
        <v>98_0</v>
      </c>
      <c r="C1090" s="2">
        <v>45603.5625</v>
      </c>
      <c r="D1090" t="s">
        <v>221</v>
      </c>
      <c r="E1090">
        <v>2</v>
      </c>
      <c r="F1090" t="s">
        <v>222</v>
      </c>
      <c r="G1090" t="str">
        <f t="shared" ref="G1090:G1153" si="133">VLOOKUP($F1090, $W$1:$AB$10, 2, FALSE)</f>
        <v>Paranephrops planifrons</v>
      </c>
      <c r="H1090" t="str">
        <f t="shared" ref="H1090:H1153" si="134">VLOOKUP($F1090, $W$1:$AB$10, 3, FALSE)</f>
        <v>Freshwater_crayfish</v>
      </c>
      <c r="I1090" t="str">
        <f t="shared" ref="I1090:I1153" si="135">VLOOKUP($F1090, $W$1:$AB$10, 4, FALSE)</f>
        <v>Kōura</v>
      </c>
      <c r="J1090" t="str">
        <f t="shared" ref="J1090:J1153" si="136">VLOOKUP($F1090, $W$1:$AC$10, 5, FALSE)</f>
        <v>Native</v>
      </c>
      <c r="K1090" t="str">
        <f t="shared" ref="K1090:K1153" si="137">VLOOKUP($F1090, $W$1:$AB$10, 6, FALSE)</f>
        <v>Yes</v>
      </c>
      <c r="L1090" t="s">
        <v>228</v>
      </c>
      <c r="M1090">
        <v>21.52</v>
      </c>
      <c r="O1090">
        <v>1</v>
      </c>
      <c r="T1090" t="str">
        <f t="shared" si="128"/>
        <v/>
      </c>
    </row>
    <row r="1091" spans="1:20" x14ac:dyDescent="0.55000000000000004">
      <c r="A1091">
        <v>68</v>
      </c>
      <c r="B1091" t="str">
        <f t="shared" si="132"/>
        <v>68_0</v>
      </c>
      <c r="C1091" s="2">
        <v>45709.493055497682</v>
      </c>
      <c r="D1091" t="s">
        <v>221</v>
      </c>
      <c r="E1091">
        <v>2</v>
      </c>
      <c r="F1091" t="s">
        <v>222</v>
      </c>
      <c r="G1091" t="str">
        <f t="shared" si="133"/>
        <v>Paranephrops planifrons</v>
      </c>
      <c r="H1091" t="str">
        <f t="shared" si="134"/>
        <v>Freshwater_crayfish</v>
      </c>
      <c r="I1091" t="str">
        <f t="shared" si="135"/>
        <v>Kōura</v>
      </c>
      <c r="J1091" t="str">
        <f t="shared" si="136"/>
        <v>Native</v>
      </c>
      <c r="K1091" t="str">
        <f t="shared" si="137"/>
        <v>Yes</v>
      </c>
      <c r="L1091" t="s">
        <v>228</v>
      </c>
      <c r="M1091">
        <v>21.47</v>
      </c>
      <c r="N1091">
        <v>10</v>
      </c>
      <c r="O1091">
        <v>1</v>
      </c>
      <c r="T1091" t="str">
        <f t="shared" si="128"/>
        <v/>
      </c>
    </row>
    <row r="1092" spans="1:20" x14ac:dyDescent="0.55000000000000004">
      <c r="A1092">
        <v>111</v>
      </c>
      <c r="B1092" t="str">
        <f t="shared" ref="B1092:B1099" si="138">A1092 &amp; "_1"</f>
        <v>111_1</v>
      </c>
      <c r="C1092" s="2">
        <v>45680.589583333334</v>
      </c>
      <c r="D1092" t="s">
        <v>221</v>
      </c>
      <c r="E1092">
        <v>2</v>
      </c>
      <c r="F1092" t="s">
        <v>222</v>
      </c>
      <c r="G1092" t="str">
        <f t="shared" si="133"/>
        <v>Paranephrops planifrons</v>
      </c>
      <c r="H1092" t="str">
        <f t="shared" si="134"/>
        <v>Freshwater_crayfish</v>
      </c>
      <c r="I1092" t="str">
        <f t="shared" si="135"/>
        <v>Kōura</v>
      </c>
      <c r="J1092" t="str">
        <f t="shared" si="136"/>
        <v>Native</v>
      </c>
      <c r="K1092" t="str">
        <f t="shared" si="137"/>
        <v>Yes</v>
      </c>
      <c r="M1092">
        <v>34.82</v>
      </c>
      <c r="N1092">
        <f>147-117</f>
        <v>30</v>
      </c>
      <c r="O1092">
        <v>1</v>
      </c>
      <c r="T1092" t="str">
        <f t="shared" si="128"/>
        <v/>
      </c>
    </row>
    <row r="1093" spans="1:20" x14ac:dyDescent="0.55000000000000004">
      <c r="A1093">
        <v>111</v>
      </c>
      <c r="B1093" t="str">
        <f t="shared" si="138"/>
        <v>111_1</v>
      </c>
      <c r="C1093" s="2">
        <v>45680.589583333334</v>
      </c>
      <c r="D1093" t="s">
        <v>221</v>
      </c>
      <c r="E1093">
        <v>2</v>
      </c>
      <c r="F1093" t="s">
        <v>222</v>
      </c>
      <c r="G1093" t="str">
        <f t="shared" si="133"/>
        <v>Paranephrops planifrons</v>
      </c>
      <c r="H1093" t="str">
        <f t="shared" si="134"/>
        <v>Freshwater_crayfish</v>
      </c>
      <c r="I1093" t="str">
        <f t="shared" si="135"/>
        <v>Kōura</v>
      </c>
      <c r="J1093" t="str">
        <f t="shared" si="136"/>
        <v>Native</v>
      </c>
      <c r="K1093" t="str">
        <f t="shared" si="137"/>
        <v>Yes</v>
      </c>
      <c r="M1093">
        <v>33.99</v>
      </c>
      <c r="N1093">
        <v>26</v>
      </c>
      <c r="O1093">
        <v>1</v>
      </c>
      <c r="T1093" t="str">
        <f t="shared" si="128"/>
        <v/>
      </c>
    </row>
    <row r="1094" spans="1:20" x14ac:dyDescent="0.55000000000000004">
      <c r="A1094">
        <v>111</v>
      </c>
      <c r="B1094" t="str">
        <f t="shared" si="138"/>
        <v>111_1</v>
      </c>
      <c r="C1094" s="2">
        <v>45680.589583333334</v>
      </c>
      <c r="D1094" t="s">
        <v>245</v>
      </c>
      <c r="E1094">
        <v>2</v>
      </c>
      <c r="F1094" t="s">
        <v>222</v>
      </c>
      <c r="G1094" t="str">
        <f t="shared" si="133"/>
        <v>Paranephrops planifrons</v>
      </c>
      <c r="H1094" t="str">
        <f t="shared" si="134"/>
        <v>Freshwater_crayfish</v>
      </c>
      <c r="I1094" t="str">
        <f t="shared" si="135"/>
        <v>Kōura</v>
      </c>
      <c r="J1094" t="str">
        <f t="shared" si="136"/>
        <v>Native</v>
      </c>
      <c r="K1094" t="str">
        <f t="shared" si="137"/>
        <v>Yes</v>
      </c>
      <c r="L1094" t="s">
        <v>223</v>
      </c>
      <c r="M1094">
        <v>32.619999999999997</v>
      </c>
      <c r="N1094">
        <v>21</v>
      </c>
      <c r="O1094">
        <v>1</v>
      </c>
      <c r="T1094" t="str">
        <f t="shared" si="128"/>
        <v/>
      </c>
    </row>
    <row r="1095" spans="1:20" x14ac:dyDescent="0.55000000000000004">
      <c r="A1095">
        <v>111</v>
      </c>
      <c r="B1095" t="str">
        <f t="shared" si="138"/>
        <v>111_1</v>
      </c>
      <c r="C1095" s="2">
        <v>45680.589583333334</v>
      </c>
      <c r="D1095" t="s">
        <v>245</v>
      </c>
      <c r="E1095">
        <v>2</v>
      </c>
      <c r="F1095" t="s">
        <v>222</v>
      </c>
      <c r="G1095" t="str">
        <f t="shared" si="133"/>
        <v>Paranephrops planifrons</v>
      </c>
      <c r="H1095" t="str">
        <f t="shared" si="134"/>
        <v>Freshwater_crayfish</v>
      </c>
      <c r="I1095" t="str">
        <f t="shared" si="135"/>
        <v>Kōura</v>
      </c>
      <c r="J1095" t="str">
        <f t="shared" si="136"/>
        <v>Native</v>
      </c>
      <c r="K1095" t="str">
        <f t="shared" si="137"/>
        <v>Yes</v>
      </c>
      <c r="L1095" t="s">
        <v>223</v>
      </c>
      <c r="M1095">
        <v>32.89</v>
      </c>
      <c r="N1095">
        <v>36</v>
      </c>
      <c r="O1095">
        <v>1</v>
      </c>
      <c r="T1095" t="str">
        <f t="shared" si="128"/>
        <v/>
      </c>
    </row>
    <row r="1096" spans="1:20" x14ac:dyDescent="0.55000000000000004">
      <c r="A1096">
        <v>111</v>
      </c>
      <c r="B1096" t="str">
        <f t="shared" si="138"/>
        <v>111_1</v>
      </c>
      <c r="C1096" s="2">
        <v>45680.589583333334</v>
      </c>
      <c r="D1096" t="s">
        <v>245</v>
      </c>
      <c r="E1096">
        <v>2</v>
      </c>
      <c r="F1096" t="s">
        <v>222</v>
      </c>
      <c r="G1096" t="str">
        <f t="shared" si="133"/>
        <v>Paranephrops planifrons</v>
      </c>
      <c r="H1096" t="str">
        <f t="shared" si="134"/>
        <v>Freshwater_crayfish</v>
      </c>
      <c r="I1096" t="str">
        <f t="shared" si="135"/>
        <v>Kōura</v>
      </c>
      <c r="J1096" t="str">
        <f t="shared" si="136"/>
        <v>Native</v>
      </c>
      <c r="K1096" t="str">
        <f t="shared" si="137"/>
        <v>Yes</v>
      </c>
      <c r="L1096" t="s">
        <v>228</v>
      </c>
      <c r="M1096">
        <v>36.82</v>
      </c>
      <c r="N1096">
        <v>38</v>
      </c>
      <c r="O1096">
        <v>1</v>
      </c>
      <c r="T1096" t="str">
        <f t="shared" si="128"/>
        <v/>
      </c>
    </row>
    <row r="1097" spans="1:20" x14ac:dyDescent="0.55000000000000004">
      <c r="A1097">
        <v>111</v>
      </c>
      <c r="B1097" t="str">
        <f t="shared" si="138"/>
        <v>111_1</v>
      </c>
      <c r="C1097" s="2">
        <v>45680.589583333334</v>
      </c>
      <c r="D1097" t="s">
        <v>245</v>
      </c>
      <c r="E1097">
        <v>2</v>
      </c>
      <c r="F1097" t="s">
        <v>222</v>
      </c>
      <c r="G1097" t="str">
        <f t="shared" si="133"/>
        <v>Paranephrops planifrons</v>
      </c>
      <c r="H1097" t="str">
        <f t="shared" si="134"/>
        <v>Freshwater_crayfish</v>
      </c>
      <c r="I1097" t="str">
        <f t="shared" si="135"/>
        <v>Kōura</v>
      </c>
      <c r="J1097" t="str">
        <f t="shared" si="136"/>
        <v>Native</v>
      </c>
      <c r="K1097" t="str">
        <f t="shared" si="137"/>
        <v>Yes</v>
      </c>
      <c r="L1097" t="s">
        <v>223</v>
      </c>
      <c r="M1097">
        <v>39.299999999999997</v>
      </c>
      <c r="N1097">
        <v>42</v>
      </c>
      <c r="O1097">
        <v>1</v>
      </c>
      <c r="T1097" t="str">
        <f t="shared" ref="T1097:T1160" si="139">IF(S1097&lt;&gt;"", S1097*236.588, "")</f>
        <v/>
      </c>
    </row>
    <row r="1098" spans="1:20" x14ac:dyDescent="0.55000000000000004">
      <c r="A1098">
        <v>111</v>
      </c>
      <c r="B1098" t="str">
        <f t="shared" si="138"/>
        <v>111_1</v>
      </c>
      <c r="C1098" s="2">
        <v>45680.589583333334</v>
      </c>
      <c r="D1098" t="s">
        <v>245</v>
      </c>
      <c r="E1098">
        <v>2</v>
      </c>
      <c r="F1098" t="s">
        <v>222</v>
      </c>
      <c r="G1098" t="str">
        <f t="shared" si="133"/>
        <v>Paranephrops planifrons</v>
      </c>
      <c r="H1098" t="str">
        <f t="shared" si="134"/>
        <v>Freshwater_crayfish</v>
      </c>
      <c r="I1098" t="str">
        <f t="shared" si="135"/>
        <v>Kōura</v>
      </c>
      <c r="J1098" t="str">
        <f t="shared" si="136"/>
        <v>Native</v>
      </c>
      <c r="K1098" t="str">
        <f t="shared" si="137"/>
        <v>Yes</v>
      </c>
      <c r="L1098" t="s">
        <v>223</v>
      </c>
      <c r="M1098">
        <v>45.68</v>
      </c>
      <c r="N1098">
        <v>61</v>
      </c>
      <c r="O1098">
        <v>1</v>
      </c>
      <c r="P1098">
        <v>1</v>
      </c>
      <c r="T1098" t="str">
        <f t="shared" si="139"/>
        <v/>
      </c>
    </row>
    <row r="1099" spans="1:20" x14ac:dyDescent="0.55000000000000004">
      <c r="A1099">
        <v>111</v>
      </c>
      <c r="B1099" t="str">
        <f t="shared" si="138"/>
        <v>111_1</v>
      </c>
      <c r="C1099" s="2">
        <v>45680.589583333334</v>
      </c>
      <c r="D1099" t="s">
        <v>245</v>
      </c>
      <c r="E1099">
        <v>2</v>
      </c>
      <c r="F1099" t="s">
        <v>222</v>
      </c>
      <c r="G1099" t="str">
        <f t="shared" si="133"/>
        <v>Paranephrops planifrons</v>
      </c>
      <c r="H1099" t="str">
        <f t="shared" si="134"/>
        <v>Freshwater_crayfish</v>
      </c>
      <c r="I1099" t="str">
        <f t="shared" si="135"/>
        <v>Kōura</v>
      </c>
      <c r="J1099" t="str">
        <f t="shared" si="136"/>
        <v>Native</v>
      </c>
      <c r="K1099" t="str">
        <f t="shared" si="137"/>
        <v>Yes</v>
      </c>
      <c r="L1099" t="s">
        <v>223</v>
      </c>
      <c r="M1099">
        <v>46.2</v>
      </c>
      <c r="N1099">
        <v>73</v>
      </c>
      <c r="O1099">
        <v>1</v>
      </c>
      <c r="T1099" t="str">
        <f t="shared" si="139"/>
        <v/>
      </c>
    </row>
    <row r="1100" spans="1:20" x14ac:dyDescent="0.55000000000000004">
      <c r="A1100">
        <v>76</v>
      </c>
      <c r="B1100" t="str">
        <f t="shared" ref="B1100:B1131" si="140">A1100 &amp; "_0"</f>
        <v>76_0</v>
      </c>
      <c r="C1100" s="2">
        <v>45673.348611111112</v>
      </c>
      <c r="D1100" t="s">
        <v>221</v>
      </c>
      <c r="E1100">
        <v>2</v>
      </c>
      <c r="F1100" t="s">
        <v>222</v>
      </c>
      <c r="G1100" t="str">
        <f t="shared" si="133"/>
        <v>Paranephrops planifrons</v>
      </c>
      <c r="H1100" t="str">
        <f t="shared" si="134"/>
        <v>Freshwater_crayfish</v>
      </c>
      <c r="I1100" t="str">
        <f t="shared" si="135"/>
        <v>Kōura</v>
      </c>
      <c r="J1100" t="str">
        <f t="shared" si="136"/>
        <v>Native</v>
      </c>
      <c r="K1100" t="str">
        <f t="shared" si="137"/>
        <v>Yes</v>
      </c>
      <c r="L1100" t="s">
        <v>223</v>
      </c>
      <c r="M1100">
        <v>21.38</v>
      </c>
      <c r="N1100">
        <v>6</v>
      </c>
      <c r="O1100">
        <v>1</v>
      </c>
      <c r="T1100" t="str">
        <f t="shared" si="139"/>
        <v/>
      </c>
    </row>
    <row r="1101" spans="1:20" x14ac:dyDescent="0.55000000000000004">
      <c r="A1101">
        <v>73</v>
      </c>
      <c r="B1101" t="str">
        <f t="shared" si="140"/>
        <v>73_0</v>
      </c>
      <c r="C1101" s="2">
        <v>45674.479166666664</v>
      </c>
      <c r="D1101" t="s">
        <v>245</v>
      </c>
      <c r="E1101">
        <v>2</v>
      </c>
      <c r="F1101" t="s">
        <v>222</v>
      </c>
      <c r="G1101" t="str">
        <f t="shared" si="133"/>
        <v>Paranephrops planifrons</v>
      </c>
      <c r="H1101" t="str">
        <f t="shared" si="134"/>
        <v>Freshwater_crayfish</v>
      </c>
      <c r="I1101" t="str">
        <f t="shared" si="135"/>
        <v>Kōura</v>
      </c>
      <c r="J1101" t="str">
        <f t="shared" si="136"/>
        <v>Native</v>
      </c>
      <c r="K1101" t="str">
        <f t="shared" si="137"/>
        <v>Yes</v>
      </c>
      <c r="L1101" t="s">
        <v>223</v>
      </c>
      <c r="M1101">
        <v>21.26</v>
      </c>
      <c r="N1101">
        <v>9</v>
      </c>
      <c r="O1101">
        <v>1</v>
      </c>
      <c r="P1101">
        <v>1</v>
      </c>
      <c r="T1101" t="str">
        <f t="shared" si="139"/>
        <v/>
      </c>
    </row>
    <row r="1102" spans="1:20" x14ac:dyDescent="0.55000000000000004">
      <c r="A1102">
        <v>75</v>
      </c>
      <c r="B1102" t="str">
        <f t="shared" si="140"/>
        <v>75_0</v>
      </c>
      <c r="C1102" s="2">
        <v>45673.434027777781</v>
      </c>
      <c r="D1102" t="s">
        <v>221</v>
      </c>
      <c r="E1102">
        <v>2</v>
      </c>
      <c r="F1102" t="s">
        <v>222</v>
      </c>
      <c r="G1102" t="str">
        <f t="shared" si="133"/>
        <v>Paranephrops planifrons</v>
      </c>
      <c r="H1102" t="str">
        <f t="shared" si="134"/>
        <v>Freshwater_crayfish</v>
      </c>
      <c r="I1102" t="str">
        <f t="shared" si="135"/>
        <v>Kōura</v>
      </c>
      <c r="J1102" t="str">
        <f t="shared" si="136"/>
        <v>Native</v>
      </c>
      <c r="K1102" t="str">
        <f t="shared" si="137"/>
        <v>Yes</v>
      </c>
      <c r="L1102" t="s">
        <v>228</v>
      </c>
      <c r="M1102">
        <v>21.25</v>
      </c>
      <c r="N1102">
        <v>8</v>
      </c>
      <c r="O1102">
        <v>1</v>
      </c>
      <c r="T1102" t="str">
        <f t="shared" si="139"/>
        <v/>
      </c>
    </row>
    <row r="1103" spans="1:20" x14ac:dyDescent="0.55000000000000004">
      <c r="A1103">
        <v>113</v>
      </c>
      <c r="B1103" t="str">
        <f t="shared" si="140"/>
        <v>113_0</v>
      </c>
      <c r="C1103" s="2">
        <v>45680.387499942131</v>
      </c>
      <c r="D1103" t="s">
        <v>221</v>
      </c>
      <c r="E1103">
        <v>2</v>
      </c>
      <c r="F1103" t="s">
        <v>222</v>
      </c>
      <c r="G1103" t="str">
        <f t="shared" si="133"/>
        <v>Paranephrops planifrons</v>
      </c>
      <c r="H1103" t="str">
        <f t="shared" si="134"/>
        <v>Freshwater_crayfish</v>
      </c>
      <c r="I1103" t="str">
        <f t="shared" si="135"/>
        <v>Kōura</v>
      </c>
      <c r="J1103" t="str">
        <f t="shared" si="136"/>
        <v>Native</v>
      </c>
      <c r="K1103" t="str">
        <f t="shared" si="137"/>
        <v>Yes</v>
      </c>
      <c r="L1103" t="s">
        <v>228</v>
      </c>
      <c r="M1103">
        <v>21.24</v>
      </c>
      <c r="N1103">
        <v>10</v>
      </c>
      <c r="O1103">
        <v>1</v>
      </c>
      <c r="T1103" t="str">
        <f t="shared" si="139"/>
        <v/>
      </c>
    </row>
    <row r="1104" spans="1:20" x14ac:dyDescent="0.55000000000000004">
      <c r="A1104">
        <v>77</v>
      </c>
      <c r="B1104" t="str">
        <f t="shared" si="140"/>
        <v>77_0</v>
      </c>
      <c r="C1104" s="2">
        <v>45674.520833333336</v>
      </c>
      <c r="D1104" t="s">
        <v>221</v>
      </c>
      <c r="E1104">
        <v>2</v>
      </c>
      <c r="F1104" t="s">
        <v>222</v>
      </c>
      <c r="G1104" t="str">
        <f t="shared" si="133"/>
        <v>Paranephrops planifrons</v>
      </c>
      <c r="H1104" t="str">
        <f t="shared" si="134"/>
        <v>Freshwater_crayfish</v>
      </c>
      <c r="I1104" t="str">
        <f t="shared" si="135"/>
        <v>Kōura</v>
      </c>
      <c r="J1104" t="str">
        <f t="shared" si="136"/>
        <v>Native</v>
      </c>
      <c r="K1104" t="str">
        <f t="shared" si="137"/>
        <v>Yes</v>
      </c>
      <c r="L1104" t="s">
        <v>228</v>
      </c>
      <c r="M1104">
        <v>21.17</v>
      </c>
      <c r="N1104">
        <v>7</v>
      </c>
      <c r="O1104">
        <v>1</v>
      </c>
      <c r="T1104" t="str">
        <f t="shared" si="139"/>
        <v/>
      </c>
    </row>
    <row r="1105" spans="1:20" x14ac:dyDescent="0.55000000000000004">
      <c r="A1105">
        <v>77</v>
      </c>
      <c r="B1105" t="str">
        <f t="shared" si="140"/>
        <v>77_0</v>
      </c>
      <c r="C1105" s="2">
        <v>45674.520833333336</v>
      </c>
      <c r="D1105" t="s">
        <v>221</v>
      </c>
      <c r="E1105">
        <v>2</v>
      </c>
      <c r="F1105" t="s">
        <v>243</v>
      </c>
      <c r="G1105" t="str">
        <f t="shared" si="133"/>
        <v>Retropinna retropinna</v>
      </c>
      <c r="H1105" t="str">
        <f t="shared" si="134"/>
        <v>Common_smelt</v>
      </c>
      <c r="I1105" t="str">
        <f t="shared" si="135"/>
        <v>Common_smelt</v>
      </c>
      <c r="J1105" t="str">
        <f t="shared" si="136"/>
        <v>Native</v>
      </c>
      <c r="K1105" t="str">
        <f t="shared" si="137"/>
        <v>No</v>
      </c>
      <c r="N1105">
        <f>179-117</f>
        <v>62</v>
      </c>
      <c r="O1105">
        <v>100</v>
      </c>
      <c r="T1105" t="str">
        <f t="shared" si="139"/>
        <v/>
      </c>
    </row>
    <row r="1106" spans="1:20" x14ac:dyDescent="0.55000000000000004">
      <c r="A1106">
        <v>77</v>
      </c>
      <c r="B1106" t="str">
        <f t="shared" si="140"/>
        <v>77_0</v>
      </c>
      <c r="C1106" s="2">
        <v>45674.520833333336</v>
      </c>
      <c r="D1106" t="s">
        <v>221</v>
      </c>
      <c r="E1106">
        <v>2</v>
      </c>
      <c r="F1106" t="s">
        <v>243</v>
      </c>
      <c r="G1106" t="str">
        <f t="shared" si="133"/>
        <v>Retropinna retropinna</v>
      </c>
      <c r="H1106" t="str">
        <f t="shared" si="134"/>
        <v>Common_smelt</v>
      </c>
      <c r="I1106" t="str">
        <f t="shared" si="135"/>
        <v>Common_smelt</v>
      </c>
      <c r="J1106" t="str">
        <f t="shared" si="136"/>
        <v>Native</v>
      </c>
      <c r="K1106" t="str">
        <f t="shared" si="137"/>
        <v>No</v>
      </c>
      <c r="N1106">
        <f>165-117</f>
        <v>48</v>
      </c>
      <c r="O1106">
        <v>95</v>
      </c>
      <c r="T1106" t="str">
        <f t="shared" si="139"/>
        <v/>
      </c>
    </row>
    <row r="1107" spans="1:20" x14ac:dyDescent="0.55000000000000004">
      <c r="A1107">
        <v>77</v>
      </c>
      <c r="B1107" t="str">
        <f t="shared" si="140"/>
        <v>77_0</v>
      </c>
      <c r="C1107" s="2">
        <v>45674.520833333336</v>
      </c>
      <c r="D1107" t="s">
        <v>221</v>
      </c>
      <c r="E1107">
        <v>2</v>
      </c>
      <c r="F1107" t="s">
        <v>242</v>
      </c>
      <c r="G1107" t="str">
        <f t="shared" si="133"/>
        <v>Gobiomorphus cotidianus</v>
      </c>
      <c r="H1107" t="str">
        <f t="shared" si="134"/>
        <v>Common_bully</v>
      </c>
      <c r="I1107" t="str">
        <f t="shared" si="135"/>
        <v>Toitoi</v>
      </c>
      <c r="J1107" t="str">
        <f t="shared" si="136"/>
        <v>Native</v>
      </c>
      <c r="K1107" t="str">
        <f t="shared" si="137"/>
        <v>No</v>
      </c>
      <c r="N1107">
        <f>308-117</f>
        <v>191</v>
      </c>
      <c r="S1107">
        <v>0.75</v>
      </c>
      <c r="T1107">
        <f t="shared" si="139"/>
        <v>177.441</v>
      </c>
    </row>
    <row r="1108" spans="1:20" x14ac:dyDescent="0.55000000000000004">
      <c r="A1108">
        <v>77</v>
      </c>
      <c r="B1108" t="str">
        <f t="shared" si="140"/>
        <v>77_0</v>
      </c>
      <c r="C1108" s="2">
        <v>45674.520833333336</v>
      </c>
      <c r="D1108" t="s">
        <v>221</v>
      </c>
      <c r="E1108">
        <v>2</v>
      </c>
      <c r="F1108" t="s">
        <v>242</v>
      </c>
      <c r="G1108" t="str">
        <f t="shared" si="133"/>
        <v>Gobiomorphus cotidianus</v>
      </c>
      <c r="H1108" t="str">
        <f t="shared" si="134"/>
        <v>Common_bully</v>
      </c>
      <c r="I1108" t="str">
        <f t="shared" si="135"/>
        <v>Toitoi</v>
      </c>
      <c r="J1108" t="str">
        <f t="shared" si="136"/>
        <v>Native</v>
      </c>
      <c r="K1108" t="str">
        <f t="shared" si="137"/>
        <v>No</v>
      </c>
      <c r="N1108">
        <f>389-117</f>
        <v>272</v>
      </c>
      <c r="S1108">
        <v>1.25</v>
      </c>
      <c r="T1108">
        <f t="shared" si="139"/>
        <v>295.73500000000001</v>
      </c>
    </row>
    <row r="1109" spans="1:20" x14ac:dyDescent="0.55000000000000004">
      <c r="A1109">
        <v>78</v>
      </c>
      <c r="B1109" t="str">
        <f t="shared" si="140"/>
        <v>78_0</v>
      </c>
      <c r="C1109" s="2">
        <v>45673.451388888891</v>
      </c>
      <c r="D1109" t="s">
        <v>245</v>
      </c>
      <c r="E1109">
        <v>1</v>
      </c>
      <c r="F1109" t="s">
        <v>242</v>
      </c>
      <c r="G1109" t="str">
        <f t="shared" si="133"/>
        <v>Gobiomorphus cotidianus</v>
      </c>
      <c r="H1109" t="str">
        <f t="shared" si="134"/>
        <v>Common_bully</v>
      </c>
      <c r="I1109" t="str">
        <f t="shared" si="135"/>
        <v>Toitoi</v>
      </c>
      <c r="J1109" t="str">
        <f t="shared" si="136"/>
        <v>Native</v>
      </c>
      <c r="K1109" t="str">
        <f t="shared" si="137"/>
        <v>No</v>
      </c>
      <c r="O1109">
        <v>1</v>
      </c>
      <c r="T1109" t="str">
        <f t="shared" si="139"/>
        <v/>
      </c>
    </row>
    <row r="1110" spans="1:20" x14ac:dyDescent="0.55000000000000004">
      <c r="A1110">
        <v>78</v>
      </c>
      <c r="B1110" t="str">
        <f t="shared" si="140"/>
        <v>78_0</v>
      </c>
      <c r="C1110" s="2">
        <v>45673.451388888891</v>
      </c>
      <c r="D1110" t="s">
        <v>221</v>
      </c>
      <c r="E1110">
        <v>2</v>
      </c>
      <c r="F1110" t="s">
        <v>243</v>
      </c>
      <c r="G1110" t="str">
        <f t="shared" si="133"/>
        <v>Retropinna retropinna</v>
      </c>
      <c r="H1110" t="str">
        <f t="shared" si="134"/>
        <v>Common_smelt</v>
      </c>
      <c r="I1110" t="str">
        <f t="shared" si="135"/>
        <v>Common_smelt</v>
      </c>
      <c r="J1110" t="str">
        <f t="shared" si="136"/>
        <v>Native</v>
      </c>
      <c r="K1110" t="str">
        <f t="shared" si="137"/>
        <v>No</v>
      </c>
      <c r="N1110">
        <f>172-117</f>
        <v>55</v>
      </c>
      <c r="O1110">
        <v>44</v>
      </c>
      <c r="T1110" t="str">
        <f t="shared" si="139"/>
        <v/>
      </c>
    </row>
    <row r="1111" spans="1:20" x14ac:dyDescent="0.55000000000000004">
      <c r="A1111">
        <v>78</v>
      </c>
      <c r="B1111" t="str">
        <f t="shared" si="140"/>
        <v>78_0</v>
      </c>
      <c r="C1111" s="2">
        <v>45673.451388888891</v>
      </c>
      <c r="D1111" t="s">
        <v>221</v>
      </c>
      <c r="E1111">
        <v>2</v>
      </c>
      <c r="F1111" t="s">
        <v>242</v>
      </c>
      <c r="G1111" t="str">
        <f t="shared" si="133"/>
        <v>Gobiomorphus cotidianus</v>
      </c>
      <c r="H1111" t="str">
        <f t="shared" si="134"/>
        <v>Common_bully</v>
      </c>
      <c r="I1111" t="str">
        <f t="shared" si="135"/>
        <v>Toitoi</v>
      </c>
      <c r="J1111" t="str">
        <f t="shared" si="136"/>
        <v>Native</v>
      </c>
      <c r="K1111" t="str">
        <f t="shared" si="137"/>
        <v>No</v>
      </c>
      <c r="N1111">
        <v>535</v>
      </c>
      <c r="S1111">
        <v>2.5</v>
      </c>
      <c r="T1111">
        <f t="shared" si="139"/>
        <v>591.47</v>
      </c>
    </row>
    <row r="1112" spans="1:20" x14ac:dyDescent="0.55000000000000004">
      <c r="A1112">
        <v>78</v>
      </c>
      <c r="B1112" t="str">
        <f t="shared" si="140"/>
        <v>78_0</v>
      </c>
      <c r="C1112" s="2">
        <v>45673.451388888891</v>
      </c>
      <c r="D1112" t="s">
        <v>221</v>
      </c>
      <c r="E1112">
        <v>2</v>
      </c>
      <c r="F1112" t="s">
        <v>242</v>
      </c>
      <c r="G1112" t="str">
        <f t="shared" si="133"/>
        <v>Gobiomorphus cotidianus</v>
      </c>
      <c r="H1112" t="str">
        <f t="shared" si="134"/>
        <v>Common_bully</v>
      </c>
      <c r="I1112" t="str">
        <f t="shared" si="135"/>
        <v>Toitoi</v>
      </c>
      <c r="J1112" t="str">
        <f t="shared" si="136"/>
        <v>Native</v>
      </c>
      <c r="K1112" t="str">
        <f t="shared" si="137"/>
        <v>No</v>
      </c>
      <c r="N1112">
        <v>456</v>
      </c>
      <c r="S1112">
        <v>2</v>
      </c>
      <c r="T1112">
        <f t="shared" si="139"/>
        <v>473.17599999999999</v>
      </c>
    </row>
    <row r="1113" spans="1:20" x14ac:dyDescent="0.55000000000000004">
      <c r="A1113">
        <v>78</v>
      </c>
      <c r="B1113" t="str">
        <f t="shared" si="140"/>
        <v>78_0</v>
      </c>
      <c r="C1113" s="2">
        <v>45673.451388888891</v>
      </c>
      <c r="D1113" t="s">
        <v>221</v>
      </c>
      <c r="E1113">
        <v>2</v>
      </c>
      <c r="F1113" t="s">
        <v>229</v>
      </c>
      <c r="G1113" t="str">
        <f t="shared" si="133"/>
        <v>Ameiurus nebulosus</v>
      </c>
      <c r="H1113" t="str">
        <f t="shared" si="134"/>
        <v>Catfish</v>
      </c>
      <c r="I1113" t="str">
        <f t="shared" si="135"/>
        <v>Catfish</v>
      </c>
      <c r="J1113" t="str">
        <f t="shared" si="136"/>
        <v>Nonnative</v>
      </c>
      <c r="K1113" t="str">
        <f t="shared" si="137"/>
        <v>No</v>
      </c>
      <c r="M1113">
        <v>189</v>
      </c>
      <c r="N1113">
        <v>99</v>
      </c>
      <c r="O1113">
        <v>1</v>
      </c>
      <c r="T1113" t="str">
        <f t="shared" si="139"/>
        <v/>
      </c>
    </row>
    <row r="1114" spans="1:20" x14ac:dyDescent="0.55000000000000004">
      <c r="A1114">
        <v>78</v>
      </c>
      <c r="B1114" t="str">
        <f t="shared" si="140"/>
        <v>78_0</v>
      </c>
      <c r="C1114" s="2">
        <v>45673.451388888891</v>
      </c>
      <c r="D1114" t="s">
        <v>221</v>
      </c>
      <c r="E1114">
        <v>2</v>
      </c>
      <c r="F1114" t="s">
        <v>236</v>
      </c>
      <c r="G1114" t="str">
        <f t="shared" si="133"/>
        <v>Carassius auratus</v>
      </c>
      <c r="H1114" t="str">
        <f t="shared" si="134"/>
        <v>Goldfish</v>
      </c>
      <c r="I1114" t="str">
        <f t="shared" si="135"/>
        <v>Morihana</v>
      </c>
      <c r="J1114" t="str">
        <f t="shared" si="136"/>
        <v>Nonnative</v>
      </c>
      <c r="K1114" t="str">
        <f t="shared" si="137"/>
        <v>No</v>
      </c>
      <c r="M1114">
        <v>126</v>
      </c>
      <c r="N1114">
        <v>42</v>
      </c>
      <c r="T1114" t="str">
        <f t="shared" si="139"/>
        <v/>
      </c>
    </row>
    <row r="1115" spans="1:20" x14ac:dyDescent="0.55000000000000004">
      <c r="A1115">
        <v>78</v>
      </c>
      <c r="B1115" t="str">
        <f t="shared" si="140"/>
        <v>78_0</v>
      </c>
      <c r="C1115" s="2">
        <v>45673.451388888891</v>
      </c>
      <c r="D1115" t="s">
        <v>221</v>
      </c>
      <c r="E1115">
        <v>2</v>
      </c>
      <c r="F1115" t="s">
        <v>236</v>
      </c>
      <c r="G1115" t="str">
        <f t="shared" si="133"/>
        <v>Carassius auratus</v>
      </c>
      <c r="H1115" t="str">
        <f t="shared" si="134"/>
        <v>Goldfish</v>
      </c>
      <c r="I1115" t="str">
        <f t="shared" si="135"/>
        <v>Morihana</v>
      </c>
      <c r="J1115" t="str">
        <f t="shared" si="136"/>
        <v>Nonnative</v>
      </c>
      <c r="K1115" t="str">
        <f t="shared" si="137"/>
        <v>No</v>
      </c>
      <c r="M1115">
        <v>70</v>
      </c>
      <c r="N1115">
        <v>9</v>
      </c>
      <c r="T1115" t="str">
        <f t="shared" si="139"/>
        <v/>
      </c>
    </row>
    <row r="1116" spans="1:20" x14ac:dyDescent="0.55000000000000004">
      <c r="A1116">
        <v>79</v>
      </c>
      <c r="B1116" t="str">
        <f t="shared" si="140"/>
        <v>79_0</v>
      </c>
      <c r="C1116" s="2">
        <v>45674.427777777775</v>
      </c>
      <c r="D1116" t="s">
        <v>245</v>
      </c>
      <c r="E1116">
        <v>2</v>
      </c>
      <c r="F1116" t="s">
        <v>242</v>
      </c>
      <c r="G1116" t="str">
        <f t="shared" si="133"/>
        <v>Gobiomorphus cotidianus</v>
      </c>
      <c r="H1116" t="str">
        <f t="shared" si="134"/>
        <v>Common_bully</v>
      </c>
      <c r="I1116" t="str">
        <f t="shared" si="135"/>
        <v>Toitoi</v>
      </c>
      <c r="J1116" t="str">
        <f t="shared" si="136"/>
        <v>Native</v>
      </c>
      <c r="K1116" t="str">
        <f t="shared" si="137"/>
        <v>No</v>
      </c>
      <c r="N1116">
        <f>135-117</f>
        <v>18</v>
      </c>
      <c r="O1116">
        <v>27</v>
      </c>
      <c r="T1116" t="str">
        <f t="shared" si="139"/>
        <v/>
      </c>
    </row>
    <row r="1117" spans="1:20" x14ac:dyDescent="0.55000000000000004">
      <c r="A1117">
        <v>79</v>
      </c>
      <c r="B1117" t="str">
        <f t="shared" si="140"/>
        <v>79_0</v>
      </c>
      <c r="C1117" s="2">
        <v>45674.427777777775</v>
      </c>
      <c r="D1117" t="s">
        <v>221</v>
      </c>
      <c r="E1117">
        <v>2</v>
      </c>
      <c r="F1117" t="s">
        <v>242</v>
      </c>
      <c r="G1117" t="str">
        <f t="shared" si="133"/>
        <v>Gobiomorphus cotidianus</v>
      </c>
      <c r="H1117" t="str">
        <f t="shared" si="134"/>
        <v>Common_bully</v>
      </c>
      <c r="I1117" t="str">
        <f t="shared" si="135"/>
        <v>Toitoi</v>
      </c>
      <c r="J1117" t="str">
        <f t="shared" si="136"/>
        <v>Native</v>
      </c>
      <c r="K1117" t="str">
        <f t="shared" si="137"/>
        <v>No</v>
      </c>
      <c r="N1117">
        <f>294-117</f>
        <v>177</v>
      </c>
      <c r="O1117">
        <v>200</v>
      </c>
      <c r="S1117">
        <v>1</v>
      </c>
      <c r="T1117">
        <f t="shared" si="139"/>
        <v>236.58799999999999</v>
      </c>
    </row>
    <row r="1118" spans="1:20" x14ac:dyDescent="0.55000000000000004">
      <c r="A1118">
        <v>79</v>
      </c>
      <c r="B1118" t="str">
        <f t="shared" si="140"/>
        <v>79_0</v>
      </c>
      <c r="C1118" s="2">
        <v>45674.427777719909</v>
      </c>
      <c r="D1118" t="s">
        <v>221</v>
      </c>
      <c r="E1118">
        <v>2</v>
      </c>
      <c r="F1118" t="s">
        <v>242</v>
      </c>
      <c r="G1118" t="str">
        <f t="shared" si="133"/>
        <v>Gobiomorphus cotidianus</v>
      </c>
      <c r="H1118" t="str">
        <f t="shared" si="134"/>
        <v>Common_bully</v>
      </c>
      <c r="I1118" t="str">
        <f t="shared" si="135"/>
        <v>Toitoi</v>
      </c>
      <c r="J1118" t="str">
        <f t="shared" si="136"/>
        <v>Native</v>
      </c>
      <c r="K1118" t="str">
        <f t="shared" si="137"/>
        <v>No</v>
      </c>
      <c r="N1118">
        <f>249-117</f>
        <v>132</v>
      </c>
      <c r="S1118">
        <f>2/3</f>
        <v>0.66666666666666663</v>
      </c>
      <c r="T1118">
        <f t="shared" si="139"/>
        <v>157.72533333333331</v>
      </c>
    </row>
    <row r="1119" spans="1:20" x14ac:dyDescent="0.55000000000000004">
      <c r="A1119">
        <v>79</v>
      </c>
      <c r="B1119" t="str">
        <f t="shared" si="140"/>
        <v>79_0</v>
      </c>
      <c r="C1119" s="2">
        <v>45674.427777719909</v>
      </c>
      <c r="D1119" t="s">
        <v>221</v>
      </c>
      <c r="E1119">
        <v>2</v>
      </c>
      <c r="F1119" t="s">
        <v>229</v>
      </c>
      <c r="G1119" t="str">
        <f t="shared" si="133"/>
        <v>Ameiurus nebulosus</v>
      </c>
      <c r="H1119" t="str">
        <f t="shared" si="134"/>
        <v>Catfish</v>
      </c>
      <c r="I1119" t="str">
        <f t="shared" si="135"/>
        <v>Catfish</v>
      </c>
      <c r="J1119" t="str">
        <f t="shared" si="136"/>
        <v>Nonnative</v>
      </c>
      <c r="K1119" t="str">
        <f t="shared" si="137"/>
        <v>No</v>
      </c>
      <c r="M1119">
        <v>405</v>
      </c>
      <c r="O1119">
        <v>1</v>
      </c>
      <c r="T1119" t="str">
        <f t="shared" si="139"/>
        <v/>
      </c>
    </row>
    <row r="1120" spans="1:20" x14ac:dyDescent="0.55000000000000004">
      <c r="A1120">
        <v>79</v>
      </c>
      <c r="B1120" t="str">
        <f t="shared" si="140"/>
        <v>79_0</v>
      </c>
      <c r="C1120" s="2">
        <v>45674.427777719909</v>
      </c>
      <c r="D1120" t="s">
        <v>221</v>
      </c>
      <c r="E1120">
        <v>2</v>
      </c>
      <c r="F1120" t="s">
        <v>229</v>
      </c>
      <c r="G1120" t="str">
        <f t="shared" si="133"/>
        <v>Ameiurus nebulosus</v>
      </c>
      <c r="H1120" t="str">
        <f t="shared" si="134"/>
        <v>Catfish</v>
      </c>
      <c r="I1120" t="str">
        <f t="shared" si="135"/>
        <v>Catfish</v>
      </c>
      <c r="J1120" t="str">
        <f t="shared" si="136"/>
        <v>Nonnative</v>
      </c>
      <c r="K1120" t="str">
        <f t="shared" si="137"/>
        <v>No</v>
      </c>
      <c r="M1120">
        <v>377</v>
      </c>
      <c r="O1120">
        <v>1</v>
      </c>
      <c r="T1120" t="str">
        <f t="shared" si="139"/>
        <v/>
      </c>
    </row>
    <row r="1121" spans="1:20" x14ac:dyDescent="0.55000000000000004">
      <c r="A1121">
        <v>79</v>
      </c>
      <c r="B1121" t="str">
        <f t="shared" si="140"/>
        <v>79_0</v>
      </c>
      <c r="C1121" s="2">
        <v>45674.427777719909</v>
      </c>
      <c r="D1121" t="s">
        <v>221</v>
      </c>
      <c r="E1121">
        <v>2</v>
      </c>
      <c r="F1121" t="s">
        <v>229</v>
      </c>
      <c r="G1121" t="str">
        <f t="shared" si="133"/>
        <v>Ameiurus nebulosus</v>
      </c>
      <c r="H1121" t="str">
        <f t="shared" si="134"/>
        <v>Catfish</v>
      </c>
      <c r="I1121" t="str">
        <f t="shared" si="135"/>
        <v>Catfish</v>
      </c>
      <c r="J1121" t="str">
        <f t="shared" si="136"/>
        <v>Nonnative</v>
      </c>
      <c r="K1121" t="str">
        <f t="shared" si="137"/>
        <v>No</v>
      </c>
      <c r="M1121">
        <v>290</v>
      </c>
      <c r="O1121">
        <v>1</v>
      </c>
      <c r="T1121" t="str">
        <f t="shared" si="139"/>
        <v/>
      </c>
    </row>
    <row r="1122" spans="1:20" x14ac:dyDescent="0.55000000000000004">
      <c r="A1122">
        <v>79</v>
      </c>
      <c r="B1122" t="str">
        <f t="shared" si="140"/>
        <v>79_0</v>
      </c>
      <c r="C1122" s="2">
        <v>45674.427777719909</v>
      </c>
      <c r="D1122" t="s">
        <v>221</v>
      </c>
      <c r="E1122">
        <v>2</v>
      </c>
      <c r="F1122" t="s">
        <v>236</v>
      </c>
      <c r="G1122" t="str">
        <f t="shared" si="133"/>
        <v>Carassius auratus</v>
      </c>
      <c r="H1122" t="str">
        <f t="shared" si="134"/>
        <v>Goldfish</v>
      </c>
      <c r="I1122" t="str">
        <f t="shared" si="135"/>
        <v>Morihana</v>
      </c>
      <c r="J1122" t="str">
        <f t="shared" si="136"/>
        <v>Nonnative</v>
      </c>
      <c r="K1122" t="str">
        <f t="shared" si="137"/>
        <v>No</v>
      </c>
      <c r="M1122">
        <v>130</v>
      </c>
      <c r="N1122">
        <v>54</v>
      </c>
      <c r="O1122">
        <v>1</v>
      </c>
      <c r="T1122" t="str">
        <f t="shared" si="139"/>
        <v/>
      </c>
    </row>
    <row r="1123" spans="1:20" x14ac:dyDescent="0.55000000000000004">
      <c r="A1123">
        <v>79</v>
      </c>
      <c r="B1123" t="str">
        <f t="shared" si="140"/>
        <v>79_0</v>
      </c>
      <c r="C1123" s="2">
        <v>45674.427777719909</v>
      </c>
      <c r="D1123" t="s">
        <v>221</v>
      </c>
      <c r="E1123">
        <v>2</v>
      </c>
      <c r="F1123" t="s">
        <v>236</v>
      </c>
      <c r="G1123" t="str">
        <f t="shared" si="133"/>
        <v>Carassius auratus</v>
      </c>
      <c r="H1123" t="str">
        <f t="shared" si="134"/>
        <v>Goldfish</v>
      </c>
      <c r="I1123" t="str">
        <f t="shared" si="135"/>
        <v>Morihana</v>
      </c>
      <c r="J1123" t="str">
        <f t="shared" si="136"/>
        <v>Nonnative</v>
      </c>
      <c r="K1123" t="str">
        <f t="shared" si="137"/>
        <v>No</v>
      </c>
      <c r="M1123">
        <v>191</v>
      </c>
      <c r="N1123">
        <v>203</v>
      </c>
      <c r="O1123">
        <v>1</v>
      </c>
      <c r="T1123" t="str">
        <f t="shared" si="139"/>
        <v/>
      </c>
    </row>
    <row r="1124" spans="1:20" x14ac:dyDescent="0.55000000000000004">
      <c r="A1124">
        <v>79</v>
      </c>
      <c r="B1124" t="str">
        <f t="shared" si="140"/>
        <v>79_0</v>
      </c>
      <c r="C1124" s="2">
        <v>45674.427777719909</v>
      </c>
      <c r="D1124" t="s">
        <v>221</v>
      </c>
      <c r="E1124">
        <v>2</v>
      </c>
      <c r="F1124" t="s">
        <v>236</v>
      </c>
      <c r="G1124" t="str">
        <f t="shared" si="133"/>
        <v>Carassius auratus</v>
      </c>
      <c r="H1124" t="str">
        <f t="shared" si="134"/>
        <v>Goldfish</v>
      </c>
      <c r="I1124" t="str">
        <f t="shared" si="135"/>
        <v>Morihana</v>
      </c>
      <c r="J1124" t="str">
        <f t="shared" si="136"/>
        <v>Nonnative</v>
      </c>
      <c r="K1124" t="str">
        <f t="shared" si="137"/>
        <v>No</v>
      </c>
      <c r="M1124">
        <v>155</v>
      </c>
      <c r="N1124">
        <v>83</v>
      </c>
      <c r="O1124">
        <v>1</v>
      </c>
      <c r="T1124" t="str">
        <f t="shared" si="139"/>
        <v/>
      </c>
    </row>
    <row r="1125" spans="1:20" x14ac:dyDescent="0.55000000000000004">
      <c r="A1125">
        <v>79</v>
      </c>
      <c r="B1125" t="str">
        <f t="shared" si="140"/>
        <v>79_0</v>
      </c>
      <c r="C1125" s="2">
        <v>45674.427777719909</v>
      </c>
      <c r="D1125" t="s">
        <v>221</v>
      </c>
      <c r="E1125">
        <v>2</v>
      </c>
      <c r="F1125" t="s">
        <v>236</v>
      </c>
      <c r="G1125" t="str">
        <f t="shared" si="133"/>
        <v>Carassius auratus</v>
      </c>
      <c r="H1125" t="str">
        <f t="shared" si="134"/>
        <v>Goldfish</v>
      </c>
      <c r="I1125" t="str">
        <f t="shared" si="135"/>
        <v>Morihana</v>
      </c>
      <c r="J1125" t="str">
        <f t="shared" si="136"/>
        <v>Nonnative</v>
      </c>
      <c r="K1125" t="str">
        <f t="shared" si="137"/>
        <v>No</v>
      </c>
      <c r="M1125">
        <v>145</v>
      </c>
      <c r="N1125">
        <v>90</v>
      </c>
      <c r="O1125">
        <v>1</v>
      </c>
      <c r="T1125" t="str">
        <f t="shared" si="139"/>
        <v/>
      </c>
    </row>
    <row r="1126" spans="1:20" x14ac:dyDescent="0.55000000000000004">
      <c r="A1126">
        <v>79</v>
      </c>
      <c r="B1126" t="str">
        <f t="shared" si="140"/>
        <v>79_0</v>
      </c>
      <c r="C1126" s="2">
        <v>45674.427777719909</v>
      </c>
      <c r="D1126" t="s">
        <v>221</v>
      </c>
      <c r="E1126">
        <v>2</v>
      </c>
      <c r="F1126" t="s">
        <v>236</v>
      </c>
      <c r="G1126" t="str">
        <f t="shared" si="133"/>
        <v>Carassius auratus</v>
      </c>
      <c r="H1126" t="str">
        <f t="shared" si="134"/>
        <v>Goldfish</v>
      </c>
      <c r="I1126" t="str">
        <f t="shared" si="135"/>
        <v>Morihana</v>
      </c>
      <c r="J1126" t="str">
        <f t="shared" si="136"/>
        <v>Nonnative</v>
      </c>
      <c r="K1126" t="str">
        <f t="shared" si="137"/>
        <v>No</v>
      </c>
      <c r="M1126">
        <v>55</v>
      </c>
      <c r="N1126">
        <v>4</v>
      </c>
      <c r="O1126">
        <v>1</v>
      </c>
      <c r="T1126" t="str">
        <f t="shared" si="139"/>
        <v/>
      </c>
    </row>
    <row r="1127" spans="1:20" x14ac:dyDescent="0.55000000000000004">
      <c r="A1127">
        <v>79</v>
      </c>
      <c r="B1127" t="str">
        <f t="shared" si="140"/>
        <v>79_0</v>
      </c>
      <c r="C1127" s="2">
        <v>45674.427777719909</v>
      </c>
      <c r="D1127" t="s">
        <v>221</v>
      </c>
      <c r="E1127">
        <v>2</v>
      </c>
      <c r="F1127" t="s">
        <v>242</v>
      </c>
      <c r="G1127" t="str">
        <f t="shared" si="133"/>
        <v>Gobiomorphus cotidianus</v>
      </c>
      <c r="H1127" t="str">
        <f t="shared" si="134"/>
        <v>Common_bully</v>
      </c>
      <c r="I1127" t="str">
        <f t="shared" si="135"/>
        <v>Toitoi</v>
      </c>
      <c r="J1127" t="str">
        <f t="shared" si="136"/>
        <v>Native</v>
      </c>
      <c r="K1127" t="str">
        <f t="shared" si="137"/>
        <v>No</v>
      </c>
      <c r="N1127">
        <f>624-117</f>
        <v>507</v>
      </c>
      <c r="S1127">
        <v>2.25</v>
      </c>
      <c r="T1127">
        <f t="shared" si="139"/>
        <v>532.32299999999998</v>
      </c>
    </row>
    <row r="1128" spans="1:20" x14ac:dyDescent="0.55000000000000004">
      <c r="A1128">
        <v>80</v>
      </c>
      <c r="B1128" t="str">
        <f t="shared" si="140"/>
        <v>80_0</v>
      </c>
      <c r="C1128" s="2">
        <v>45673.412499999999</v>
      </c>
      <c r="D1128" t="s">
        <v>245</v>
      </c>
      <c r="E1128">
        <v>2</v>
      </c>
      <c r="F1128" t="s">
        <v>242</v>
      </c>
      <c r="G1128" t="str">
        <f t="shared" si="133"/>
        <v>Gobiomorphus cotidianus</v>
      </c>
      <c r="H1128" t="str">
        <f t="shared" si="134"/>
        <v>Common_bully</v>
      </c>
      <c r="I1128" t="str">
        <f t="shared" si="135"/>
        <v>Toitoi</v>
      </c>
      <c r="J1128" t="str">
        <f t="shared" si="136"/>
        <v>Native</v>
      </c>
      <c r="K1128" t="str">
        <f t="shared" si="137"/>
        <v>No</v>
      </c>
      <c r="N1128">
        <f>184-117</f>
        <v>67</v>
      </c>
      <c r="O1128">
        <v>68</v>
      </c>
      <c r="T1128" t="str">
        <f t="shared" si="139"/>
        <v/>
      </c>
    </row>
    <row r="1129" spans="1:20" x14ac:dyDescent="0.55000000000000004">
      <c r="A1129">
        <v>80</v>
      </c>
      <c r="B1129" t="str">
        <f t="shared" si="140"/>
        <v>80_0</v>
      </c>
      <c r="C1129" s="2">
        <v>45673.412499999999</v>
      </c>
      <c r="D1129" t="s">
        <v>221</v>
      </c>
      <c r="E1129">
        <v>2</v>
      </c>
      <c r="F1129" t="s">
        <v>242</v>
      </c>
      <c r="G1129" t="str">
        <f t="shared" si="133"/>
        <v>Gobiomorphus cotidianus</v>
      </c>
      <c r="H1129" t="str">
        <f t="shared" si="134"/>
        <v>Common_bully</v>
      </c>
      <c r="I1129" t="str">
        <f t="shared" si="135"/>
        <v>Toitoi</v>
      </c>
      <c r="J1129" t="str">
        <f t="shared" si="136"/>
        <v>Native</v>
      </c>
      <c r="K1129" t="str">
        <f t="shared" si="137"/>
        <v>No</v>
      </c>
      <c r="N1129">
        <v>66</v>
      </c>
      <c r="S1129">
        <v>0.25</v>
      </c>
      <c r="T1129">
        <f t="shared" si="139"/>
        <v>59.146999999999998</v>
      </c>
    </row>
    <row r="1130" spans="1:20" x14ac:dyDescent="0.55000000000000004">
      <c r="A1130">
        <v>80</v>
      </c>
      <c r="B1130" t="str">
        <f t="shared" si="140"/>
        <v>80_0</v>
      </c>
      <c r="C1130" s="2">
        <v>45673.412499999999</v>
      </c>
      <c r="D1130" t="s">
        <v>221</v>
      </c>
      <c r="E1130">
        <v>2</v>
      </c>
      <c r="F1130" t="s">
        <v>236</v>
      </c>
      <c r="G1130" t="str">
        <f t="shared" si="133"/>
        <v>Carassius auratus</v>
      </c>
      <c r="H1130" t="str">
        <f t="shared" si="134"/>
        <v>Goldfish</v>
      </c>
      <c r="I1130" t="str">
        <f t="shared" si="135"/>
        <v>Morihana</v>
      </c>
      <c r="J1130" t="str">
        <f t="shared" si="136"/>
        <v>Nonnative</v>
      </c>
      <c r="K1130" t="str">
        <f t="shared" si="137"/>
        <v>No</v>
      </c>
      <c r="M1130">
        <v>114</v>
      </c>
      <c r="N1130">
        <v>35</v>
      </c>
      <c r="O1130">
        <v>1</v>
      </c>
      <c r="T1130" t="str">
        <f t="shared" si="139"/>
        <v/>
      </c>
    </row>
    <row r="1131" spans="1:20" x14ac:dyDescent="0.55000000000000004">
      <c r="A1131">
        <v>80</v>
      </c>
      <c r="B1131" t="str">
        <f t="shared" si="140"/>
        <v>80_0</v>
      </c>
      <c r="C1131" s="2">
        <v>45673.412499942133</v>
      </c>
      <c r="D1131" t="s">
        <v>221</v>
      </c>
      <c r="E1131">
        <v>2</v>
      </c>
      <c r="F1131" t="s">
        <v>236</v>
      </c>
      <c r="G1131" t="str">
        <f t="shared" si="133"/>
        <v>Carassius auratus</v>
      </c>
      <c r="H1131" t="str">
        <f t="shared" si="134"/>
        <v>Goldfish</v>
      </c>
      <c r="I1131" t="str">
        <f t="shared" si="135"/>
        <v>Morihana</v>
      </c>
      <c r="J1131" t="str">
        <f t="shared" si="136"/>
        <v>Nonnative</v>
      </c>
      <c r="K1131" t="str">
        <f t="shared" si="137"/>
        <v>No</v>
      </c>
      <c r="M1131">
        <v>155</v>
      </c>
      <c r="N1131">
        <v>88</v>
      </c>
      <c r="O1131">
        <v>1</v>
      </c>
      <c r="T1131" t="str">
        <f t="shared" si="139"/>
        <v/>
      </c>
    </row>
    <row r="1132" spans="1:20" x14ac:dyDescent="0.55000000000000004">
      <c r="A1132">
        <v>80</v>
      </c>
      <c r="B1132" t="str">
        <f t="shared" ref="B1132:B1163" si="141">A1132 &amp; "_0"</f>
        <v>80_0</v>
      </c>
      <c r="C1132" s="2">
        <v>45673.412499942133</v>
      </c>
      <c r="D1132" t="s">
        <v>221</v>
      </c>
      <c r="E1132">
        <v>2</v>
      </c>
      <c r="F1132" t="s">
        <v>229</v>
      </c>
      <c r="G1132" t="str">
        <f t="shared" si="133"/>
        <v>Ameiurus nebulosus</v>
      </c>
      <c r="H1132" t="str">
        <f t="shared" si="134"/>
        <v>Catfish</v>
      </c>
      <c r="I1132" t="str">
        <f t="shared" si="135"/>
        <v>Catfish</v>
      </c>
      <c r="J1132" t="str">
        <f t="shared" si="136"/>
        <v>Nonnative</v>
      </c>
      <c r="K1132" t="str">
        <f t="shared" si="137"/>
        <v>No</v>
      </c>
      <c r="M1132">
        <v>48</v>
      </c>
      <c r="O1132">
        <v>1</v>
      </c>
      <c r="T1132" t="str">
        <f t="shared" si="139"/>
        <v/>
      </c>
    </row>
    <row r="1133" spans="1:20" x14ac:dyDescent="0.55000000000000004">
      <c r="A1133">
        <v>117</v>
      </c>
      <c r="B1133" t="str">
        <f t="shared" si="141"/>
        <v>117_0</v>
      </c>
      <c r="C1133" s="2">
        <v>45597.520833333336</v>
      </c>
      <c r="D1133" t="s">
        <v>245</v>
      </c>
      <c r="E1133">
        <v>2</v>
      </c>
      <c r="F1133" t="s">
        <v>222</v>
      </c>
      <c r="G1133" t="str">
        <f t="shared" si="133"/>
        <v>Paranephrops planifrons</v>
      </c>
      <c r="H1133" t="str">
        <f t="shared" si="134"/>
        <v>Freshwater_crayfish</v>
      </c>
      <c r="I1133" t="str">
        <f t="shared" si="135"/>
        <v>Kōura</v>
      </c>
      <c r="J1133" t="str">
        <f t="shared" si="136"/>
        <v>Native</v>
      </c>
      <c r="K1133" t="str">
        <f t="shared" si="137"/>
        <v>Yes</v>
      </c>
      <c r="L1133" t="s">
        <v>228</v>
      </c>
      <c r="M1133">
        <v>21</v>
      </c>
      <c r="N1133">
        <v>9</v>
      </c>
      <c r="O1133">
        <v>1</v>
      </c>
      <c r="T1133" t="str">
        <f t="shared" si="139"/>
        <v/>
      </c>
    </row>
    <row r="1134" spans="1:20" x14ac:dyDescent="0.55000000000000004">
      <c r="A1134">
        <v>80</v>
      </c>
      <c r="B1134" t="str">
        <f t="shared" si="141"/>
        <v>80_0</v>
      </c>
      <c r="C1134" s="2">
        <v>45673.412499942133</v>
      </c>
      <c r="D1134" t="s">
        <v>221</v>
      </c>
      <c r="E1134">
        <v>2</v>
      </c>
      <c r="F1134" t="s">
        <v>242</v>
      </c>
      <c r="G1134" t="str">
        <f t="shared" si="133"/>
        <v>Gobiomorphus cotidianus</v>
      </c>
      <c r="H1134" t="str">
        <f t="shared" si="134"/>
        <v>Common_bully</v>
      </c>
      <c r="I1134" t="str">
        <f t="shared" si="135"/>
        <v>Toitoi</v>
      </c>
      <c r="J1134" t="str">
        <f t="shared" si="136"/>
        <v>Native</v>
      </c>
      <c r="K1134" t="str">
        <f t="shared" si="137"/>
        <v>No</v>
      </c>
      <c r="N1134">
        <v>77</v>
      </c>
      <c r="S1134">
        <f>1/3</f>
        <v>0.33333333333333331</v>
      </c>
      <c r="T1134">
        <f t="shared" si="139"/>
        <v>78.862666666666655</v>
      </c>
    </row>
    <row r="1135" spans="1:20" x14ac:dyDescent="0.55000000000000004">
      <c r="A1135">
        <v>81</v>
      </c>
      <c r="B1135" t="str">
        <f t="shared" si="141"/>
        <v>81_0</v>
      </c>
      <c r="C1135" s="2">
        <v>45674.395833333336</v>
      </c>
      <c r="D1135" t="s">
        <v>245</v>
      </c>
      <c r="E1135">
        <v>1</v>
      </c>
      <c r="F1135" t="s">
        <v>242</v>
      </c>
      <c r="G1135" t="str">
        <f t="shared" si="133"/>
        <v>Gobiomorphus cotidianus</v>
      </c>
      <c r="H1135" t="str">
        <f t="shared" si="134"/>
        <v>Common_bully</v>
      </c>
      <c r="I1135" t="str">
        <f t="shared" si="135"/>
        <v>Toitoi</v>
      </c>
      <c r="J1135" t="str">
        <f t="shared" si="136"/>
        <v>Native</v>
      </c>
      <c r="K1135" t="str">
        <f t="shared" si="137"/>
        <v>No</v>
      </c>
      <c r="O1135">
        <v>7</v>
      </c>
      <c r="T1135" t="str">
        <f t="shared" si="139"/>
        <v/>
      </c>
    </row>
    <row r="1136" spans="1:20" x14ac:dyDescent="0.55000000000000004">
      <c r="A1136">
        <v>81</v>
      </c>
      <c r="B1136" t="str">
        <f t="shared" si="141"/>
        <v>81_0</v>
      </c>
      <c r="C1136" s="2">
        <v>45674.395833333336</v>
      </c>
      <c r="D1136" t="s">
        <v>221</v>
      </c>
      <c r="E1136">
        <v>2</v>
      </c>
      <c r="F1136" t="s">
        <v>249</v>
      </c>
      <c r="G1136" t="str">
        <f t="shared" si="133"/>
        <v>Anguilla dieffenbachii</v>
      </c>
      <c r="H1136" t="str">
        <f t="shared" si="134"/>
        <v>Long_fin_eel</v>
      </c>
      <c r="I1136" t="str">
        <f t="shared" si="135"/>
        <v>Tuna</v>
      </c>
      <c r="J1136" t="str">
        <f t="shared" si="136"/>
        <v>Native</v>
      </c>
      <c r="K1136" t="str">
        <f t="shared" si="137"/>
        <v>Yes</v>
      </c>
      <c r="M1136">
        <v>700</v>
      </c>
      <c r="O1136">
        <v>1</v>
      </c>
      <c r="T1136" t="str">
        <f t="shared" si="139"/>
        <v/>
      </c>
    </row>
    <row r="1137" spans="1:20" x14ac:dyDescent="0.55000000000000004">
      <c r="A1137">
        <v>81</v>
      </c>
      <c r="B1137" t="str">
        <f t="shared" si="141"/>
        <v>81_0</v>
      </c>
      <c r="C1137" s="2">
        <v>45674.395833333336</v>
      </c>
      <c r="D1137" t="s">
        <v>221</v>
      </c>
      <c r="E1137">
        <v>2</v>
      </c>
      <c r="F1137" t="s">
        <v>239</v>
      </c>
      <c r="G1137" t="str">
        <f t="shared" si="133"/>
        <v>Oncorhynchus mykiss</v>
      </c>
      <c r="H1137" t="str">
        <f t="shared" si="134"/>
        <v>Rainbow_trout</v>
      </c>
      <c r="I1137" t="str">
        <f t="shared" si="135"/>
        <v>Rainbow_trout</v>
      </c>
      <c r="J1137" t="str">
        <f t="shared" si="136"/>
        <v>Nonnative</v>
      </c>
      <c r="K1137" t="str">
        <f t="shared" si="137"/>
        <v>No</v>
      </c>
      <c r="M1137">
        <v>104</v>
      </c>
      <c r="N1137">
        <v>13</v>
      </c>
      <c r="O1137">
        <v>1</v>
      </c>
      <c r="T1137" t="str">
        <f t="shared" si="139"/>
        <v/>
      </c>
    </row>
    <row r="1138" spans="1:20" x14ac:dyDescent="0.55000000000000004">
      <c r="A1138">
        <v>81</v>
      </c>
      <c r="B1138" t="str">
        <f t="shared" si="141"/>
        <v>81_0</v>
      </c>
      <c r="C1138" s="2">
        <v>45674.395833333336</v>
      </c>
      <c r="D1138" t="s">
        <v>221</v>
      </c>
      <c r="E1138">
        <v>2</v>
      </c>
      <c r="F1138" t="s">
        <v>243</v>
      </c>
      <c r="G1138" t="str">
        <f t="shared" si="133"/>
        <v>Retropinna retropinna</v>
      </c>
      <c r="H1138" t="str">
        <f t="shared" si="134"/>
        <v>Common_smelt</v>
      </c>
      <c r="I1138" t="str">
        <f t="shared" si="135"/>
        <v>Common_smelt</v>
      </c>
      <c r="J1138" t="str">
        <f t="shared" si="136"/>
        <v>Native</v>
      </c>
      <c r="K1138" t="str">
        <f t="shared" si="137"/>
        <v>No</v>
      </c>
      <c r="O1138">
        <v>4</v>
      </c>
      <c r="T1138" t="str">
        <f t="shared" si="139"/>
        <v/>
      </c>
    </row>
    <row r="1139" spans="1:20" x14ac:dyDescent="0.55000000000000004">
      <c r="A1139">
        <v>81</v>
      </c>
      <c r="B1139" t="str">
        <f t="shared" si="141"/>
        <v>81_0</v>
      </c>
      <c r="C1139" s="2">
        <v>45674.395833333336</v>
      </c>
      <c r="D1139" t="s">
        <v>221</v>
      </c>
      <c r="E1139">
        <v>2</v>
      </c>
      <c r="F1139" t="s">
        <v>242</v>
      </c>
      <c r="G1139" t="str">
        <f t="shared" si="133"/>
        <v>Gobiomorphus cotidianus</v>
      </c>
      <c r="H1139" t="str">
        <f t="shared" si="134"/>
        <v>Common_bully</v>
      </c>
      <c r="I1139" t="str">
        <f t="shared" si="135"/>
        <v>Toitoi</v>
      </c>
      <c r="J1139" t="str">
        <f t="shared" si="136"/>
        <v>Native</v>
      </c>
      <c r="K1139" t="str">
        <f t="shared" si="137"/>
        <v>No</v>
      </c>
      <c r="N1139">
        <f>427-117</f>
        <v>310</v>
      </c>
      <c r="O1139">
        <v>200</v>
      </c>
      <c r="S1139">
        <v>1.333</v>
      </c>
      <c r="T1139">
        <f t="shared" si="139"/>
        <v>315.371804</v>
      </c>
    </row>
    <row r="1140" spans="1:20" x14ac:dyDescent="0.55000000000000004">
      <c r="A1140">
        <v>81</v>
      </c>
      <c r="B1140" t="str">
        <f t="shared" si="141"/>
        <v>81_0</v>
      </c>
      <c r="C1140" s="2">
        <v>45674.395833333336</v>
      </c>
      <c r="D1140" t="s">
        <v>221</v>
      </c>
      <c r="E1140">
        <v>2</v>
      </c>
      <c r="F1140" t="s">
        <v>242</v>
      </c>
      <c r="G1140" t="str">
        <f t="shared" si="133"/>
        <v>Gobiomorphus cotidianus</v>
      </c>
      <c r="H1140" t="str">
        <f t="shared" si="134"/>
        <v>Common_bully</v>
      </c>
      <c r="I1140" t="str">
        <f t="shared" si="135"/>
        <v>Toitoi</v>
      </c>
      <c r="J1140" t="str">
        <f t="shared" si="136"/>
        <v>Native</v>
      </c>
      <c r="K1140" t="str">
        <f t="shared" si="137"/>
        <v>No</v>
      </c>
      <c r="N1140">
        <f>188-117</f>
        <v>71</v>
      </c>
      <c r="S1140">
        <v>0.5</v>
      </c>
      <c r="T1140">
        <f t="shared" si="139"/>
        <v>118.294</v>
      </c>
    </row>
    <row r="1141" spans="1:20" x14ac:dyDescent="0.55000000000000004">
      <c r="A1141">
        <v>81</v>
      </c>
      <c r="B1141" t="str">
        <f t="shared" si="141"/>
        <v>81_0</v>
      </c>
      <c r="C1141" s="2">
        <v>45674.395833333336</v>
      </c>
      <c r="D1141" t="s">
        <v>221</v>
      </c>
      <c r="E1141">
        <v>2</v>
      </c>
      <c r="F1141" t="s">
        <v>243</v>
      </c>
      <c r="G1141" t="str">
        <f t="shared" si="133"/>
        <v>Retropinna retropinna</v>
      </c>
      <c r="H1141" t="str">
        <f t="shared" si="134"/>
        <v>Common_smelt</v>
      </c>
      <c r="I1141" t="str">
        <f t="shared" si="135"/>
        <v>Common_smelt</v>
      </c>
      <c r="J1141" t="str">
        <f t="shared" si="136"/>
        <v>Native</v>
      </c>
      <c r="K1141" t="str">
        <f t="shared" si="137"/>
        <v>No</v>
      </c>
      <c r="O1141">
        <v>2</v>
      </c>
      <c r="T1141" t="str">
        <f t="shared" si="139"/>
        <v/>
      </c>
    </row>
    <row r="1142" spans="1:20" x14ac:dyDescent="0.55000000000000004">
      <c r="A1142">
        <v>81</v>
      </c>
      <c r="B1142" t="str">
        <f t="shared" si="141"/>
        <v>81_0</v>
      </c>
      <c r="C1142" s="2">
        <v>45674.395833333336</v>
      </c>
      <c r="D1142" t="s">
        <v>221</v>
      </c>
      <c r="E1142">
        <v>2</v>
      </c>
      <c r="F1142" t="s">
        <v>242</v>
      </c>
      <c r="G1142" t="str">
        <f t="shared" si="133"/>
        <v>Gobiomorphus cotidianus</v>
      </c>
      <c r="H1142" t="str">
        <f t="shared" si="134"/>
        <v>Common_bully</v>
      </c>
      <c r="I1142" t="str">
        <f t="shared" si="135"/>
        <v>Toitoi</v>
      </c>
      <c r="J1142" t="str">
        <f t="shared" si="136"/>
        <v>Native</v>
      </c>
      <c r="K1142" t="str">
        <f t="shared" si="137"/>
        <v>No</v>
      </c>
      <c r="N1142">
        <v>173</v>
      </c>
      <c r="S1142">
        <v>1</v>
      </c>
      <c r="T1142">
        <f t="shared" si="139"/>
        <v>236.58799999999999</v>
      </c>
    </row>
    <row r="1143" spans="1:20" x14ac:dyDescent="0.55000000000000004">
      <c r="A1143">
        <v>82</v>
      </c>
      <c r="B1143" t="str">
        <f t="shared" si="141"/>
        <v>82_0</v>
      </c>
      <c r="C1143" s="2">
        <v>45673.380555555559</v>
      </c>
      <c r="D1143" t="s">
        <v>245</v>
      </c>
      <c r="E1143">
        <v>2</v>
      </c>
      <c r="F1143" t="s">
        <v>242</v>
      </c>
      <c r="G1143" t="str">
        <f t="shared" si="133"/>
        <v>Gobiomorphus cotidianus</v>
      </c>
      <c r="H1143" t="str">
        <f t="shared" si="134"/>
        <v>Common_bully</v>
      </c>
      <c r="I1143" t="str">
        <f t="shared" si="135"/>
        <v>Toitoi</v>
      </c>
      <c r="J1143" t="str">
        <f t="shared" si="136"/>
        <v>Native</v>
      </c>
      <c r="K1143" t="str">
        <f t="shared" si="137"/>
        <v>No</v>
      </c>
      <c r="N1143">
        <v>30</v>
      </c>
      <c r="T1143" t="str">
        <f t="shared" si="139"/>
        <v/>
      </c>
    </row>
    <row r="1144" spans="1:20" x14ac:dyDescent="0.55000000000000004">
      <c r="A1144">
        <v>82</v>
      </c>
      <c r="B1144" t="str">
        <f t="shared" si="141"/>
        <v>82_0</v>
      </c>
      <c r="C1144" s="2">
        <v>45673.380555555559</v>
      </c>
      <c r="D1144" t="s">
        <v>221</v>
      </c>
      <c r="E1144">
        <v>2</v>
      </c>
      <c r="F1144" t="s">
        <v>243</v>
      </c>
      <c r="G1144" t="str">
        <f t="shared" si="133"/>
        <v>Retropinna retropinna</v>
      </c>
      <c r="H1144" t="str">
        <f t="shared" si="134"/>
        <v>Common_smelt</v>
      </c>
      <c r="I1144" t="str">
        <f t="shared" si="135"/>
        <v>Common_smelt</v>
      </c>
      <c r="J1144" t="str">
        <f t="shared" si="136"/>
        <v>Native</v>
      </c>
      <c r="K1144" t="str">
        <f t="shared" si="137"/>
        <v>No</v>
      </c>
      <c r="O1144">
        <v>9</v>
      </c>
      <c r="T1144" t="str">
        <f t="shared" si="139"/>
        <v/>
      </c>
    </row>
    <row r="1145" spans="1:20" x14ac:dyDescent="0.55000000000000004">
      <c r="A1145">
        <v>82</v>
      </c>
      <c r="B1145" t="str">
        <f t="shared" si="141"/>
        <v>82_0</v>
      </c>
      <c r="C1145" s="2">
        <v>45673.380555555559</v>
      </c>
      <c r="D1145" t="s">
        <v>221</v>
      </c>
      <c r="E1145">
        <v>2</v>
      </c>
      <c r="F1145" t="s">
        <v>242</v>
      </c>
      <c r="G1145" t="str">
        <f t="shared" si="133"/>
        <v>Gobiomorphus cotidianus</v>
      </c>
      <c r="H1145" t="str">
        <f t="shared" si="134"/>
        <v>Common_bully</v>
      </c>
      <c r="I1145" t="str">
        <f t="shared" si="135"/>
        <v>Toitoi</v>
      </c>
      <c r="J1145" t="str">
        <f t="shared" si="136"/>
        <v>Native</v>
      </c>
      <c r="K1145" t="str">
        <f t="shared" si="137"/>
        <v>No</v>
      </c>
      <c r="N1145">
        <v>524</v>
      </c>
      <c r="S1145">
        <v>2.5</v>
      </c>
      <c r="T1145">
        <f t="shared" si="139"/>
        <v>591.47</v>
      </c>
    </row>
    <row r="1146" spans="1:20" x14ac:dyDescent="0.55000000000000004">
      <c r="A1146">
        <v>82</v>
      </c>
      <c r="B1146" t="str">
        <f t="shared" si="141"/>
        <v>82_0</v>
      </c>
      <c r="C1146" s="2">
        <v>45673.380555555559</v>
      </c>
      <c r="D1146" t="s">
        <v>221</v>
      </c>
      <c r="E1146">
        <v>2</v>
      </c>
      <c r="F1146" t="s">
        <v>242</v>
      </c>
      <c r="G1146" t="str">
        <f t="shared" si="133"/>
        <v>Gobiomorphus cotidianus</v>
      </c>
      <c r="H1146" t="str">
        <f t="shared" si="134"/>
        <v>Common_bully</v>
      </c>
      <c r="I1146" t="str">
        <f t="shared" si="135"/>
        <v>Toitoi</v>
      </c>
      <c r="J1146" t="str">
        <f t="shared" si="136"/>
        <v>Native</v>
      </c>
      <c r="K1146" t="str">
        <f t="shared" si="137"/>
        <v>No</v>
      </c>
      <c r="N1146">
        <v>590</v>
      </c>
      <c r="S1146">
        <v>2.5</v>
      </c>
      <c r="T1146">
        <f t="shared" si="139"/>
        <v>591.47</v>
      </c>
    </row>
    <row r="1147" spans="1:20" x14ac:dyDescent="0.55000000000000004">
      <c r="A1147">
        <v>82</v>
      </c>
      <c r="B1147" t="str">
        <f t="shared" si="141"/>
        <v>82_0</v>
      </c>
      <c r="C1147" s="2">
        <v>45673.380555555559</v>
      </c>
      <c r="D1147" t="s">
        <v>221</v>
      </c>
      <c r="E1147">
        <v>2</v>
      </c>
      <c r="F1147" t="s">
        <v>242</v>
      </c>
      <c r="G1147" t="str">
        <f t="shared" si="133"/>
        <v>Gobiomorphus cotidianus</v>
      </c>
      <c r="H1147" t="str">
        <f t="shared" si="134"/>
        <v>Common_bully</v>
      </c>
      <c r="I1147" t="str">
        <f t="shared" si="135"/>
        <v>Toitoi</v>
      </c>
      <c r="J1147" t="str">
        <f t="shared" si="136"/>
        <v>Native</v>
      </c>
      <c r="K1147" t="str">
        <f t="shared" si="137"/>
        <v>No</v>
      </c>
      <c r="N1147">
        <v>557</v>
      </c>
      <c r="S1147">
        <v>2.5</v>
      </c>
      <c r="T1147">
        <f t="shared" si="139"/>
        <v>591.47</v>
      </c>
    </row>
    <row r="1148" spans="1:20" x14ac:dyDescent="0.55000000000000004">
      <c r="A1148">
        <v>82</v>
      </c>
      <c r="B1148" t="str">
        <f t="shared" si="141"/>
        <v>82_0</v>
      </c>
      <c r="C1148" s="2">
        <v>45673.380555555559</v>
      </c>
      <c r="D1148" t="s">
        <v>221</v>
      </c>
      <c r="E1148">
        <v>2</v>
      </c>
      <c r="F1148" t="s">
        <v>242</v>
      </c>
      <c r="G1148" t="str">
        <f t="shared" si="133"/>
        <v>Gobiomorphus cotidianus</v>
      </c>
      <c r="H1148" t="str">
        <f t="shared" si="134"/>
        <v>Common_bully</v>
      </c>
      <c r="I1148" t="str">
        <f t="shared" si="135"/>
        <v>Toitoi</v>
      </c>
      <c r="J1148" t="str">
        <f t="shared" si="136"/>
        <v>Native</v>
      </c>
      <c r="K1148" t="str">
        <f t="shared" si="137"/>
        <v>No</v>
      </c>
      <c r="N1148">
        <v>551</v>
      </c>
      <c r="S1148">
        <v>2.5</v>
      </c>
      <c r="T1148">
        <f t="shared" si="139"/>
        <v>591.47</v>
      </c>
    </row>
    <row r="1149" spans="1:20" x14ac:dyDescent="0.55000000000000004">
      <c r="A1149">
        <v>82</v>
      </c>
      <c r="B1149" t="str">
        <f t="shared" si="141"/>
        <v>82_0</v>
      </c>
      <c r="C1149" s="2">
        <v>45673.380555555559</v>
      </c>
      <c r="D1149" t="s">
        <v>221</v>
      </c>
      <c r="E1149">
        <v>2</v>
      </c>
      <c r="F1149" t="s">
        <v>242</v>
      </c>
      <c r="G1149" t="str">
        <f t="shared" si="133"/>
        <v>Gobiomorphus cotidianus</v>
      </c>
      <c r="H1149" t="str">
        <f t="shared" si="134"/>
        <v>Common_bully</v>
      </c>
      <c r="I1149" t="str">
        <f t="shared" si="135"/>
        <v>Toitoi</v>
      </c>
      <c r="J1149" t="str">
        <f t="shared" si="136"/>
        <v>Native</v>
      </c>
      <c r="K1149" t="str">
        <f t="shared" si="137"/>
        <v>No</v>
      </c>
      <c r="N1149">
        <v>436</v>
      </c>
      <c r="S1149">
        <v>2</v>
      </c>
      <c r="T1149">
        <f t="shared" si="139"/>
        <v>473.17599999999999</v>
      </c>
    </row>
    <row r="1150" spans="1:20" x14ac:dyDescent="0.55000000000000004">
      <c r="A1150">
        <v>82</v>
      </c>
      <c r="B1150" t="str">
        <f t="shared" si="141"/>
        <v>82_0</v>
      </c>
      <c r="C1150" s="2">
        <v>45673.380555555559</v>
      </c>
      <c r="D1150" t="s">
        <v>221</v>
      </c>
      <c r="E1150">
        <v>2</v>
      </c>
      <c r="F1150" t="s">
        <v>243</v>
      </c>
      <c r="G1150" t="str">
        <f t="shared" si="133"/>
        <v>Retropinna retropinna</v>
      </c>
      <c r="H1150" t="str">
        <f t="shared" si="134"/>
        <v>Common_smelt</v>
      </c>
      <c r="I1150" t="str">
        <f t="shared" si="135"/>
        <v>Common_smelt</v>
      </c>
      <c r="J1150" t="str">
        <f t="shared" si="136"/>
        <v>Native</v>
      </c>
      <c r="K1150" t="str">
        <f t="shared" si="137"/>
        <v>No</v>
      </c>
      <c r="N1150">
        <v>220</v>
      </c>
      <c r="O1150">
        <v>213</v>
      </c>
      <c r="T1150" t="str">
        <f t="shared" si="139"/>
        <v/>
      </c>
    </row>
    <row r="1151" spans="1:20" x14ac:dyDescent="0.55000000000000004">
      <c r="A1151">
        <v>82</v>
      </c>
      <c r="B1151" t="str">
        <f t="shared" si="141"/>
        <v>82_0</v>
      </c>
      <c r="C1151" s="2">
        <v>45673.380555555559</v>
      </c>
      <c r="D1151" t="s">
        <v>221</v>
      </c>
      <c r="E1151">
        <v>2</v>
      </c>
      <c r="F1151" t="s">
        <v>242</v>
      </c>
      <c r="G1151" t="str">
        <f t="shared" si="133"/>
        <v>Gobiomorphus cotidianus</v>
      </c>
      <c r="H1151" t="str">
        <f t="shared" si="134"/>
        <v>Common_bully</v>
      </c>
      <c r="I1151" t="str">
        <f t="shared" si="135"/>
        <v>Toitoi</v>
      </c>
      <c r="J1151" t="str">
        <f t="shared" si="136"/>
        <v>Native</v>
      </c>
      <c r="K1151" t="str">
        <f t="shared" si="137"/>
        <v>No</v>
      </c>
      <c r="N1151">
        <v>451</v>
      </c>
      <c r="S1151">
        <v>2</v>
      </c>
      <c r="T1151">
        <f t="shared" si="139"/>
        <v>473.17599999999999</v>
      </c>
    </row>
    <row r="1152" spans="1:20" x14ac:dyDescent="0.55000000000000004">
      <c r="A1152">
        <v>82</v>
      </c>
      <c r="B1152" t="str">
        <f t="shared" si="141"/>
        <v>82_0</v>
      </c>
      <c r="C1152" s="2">
        <v>45673.380555555559</v>
      </c>
      <c r="D1152" t="s">
        <v>221</v>
      </c>
      <c r="E1152">
        <v>2</v>
      </c>
      <c r="F1152" t="s">
        <v>242</v>
      </c>
      <c r="G1152" t="str">
        <f t="shared" si="133"/>
        <v>Gobiomorphus cotidianus</v>
      </c>
      <c r="H1152" t="str">
        <f t="shared" si="134"/>
        <v>Common_bully</v>
      </c>
      <c r="I1152" t="str">
        <f t="shared" si="135"/>
        <v>Toitoi</v>
      </c>
      <c r="J1152" t="str">
        <f t="shared" si="136"/>
        <v>Native</v>
      </c>
      <c r="K1152" t="str">
        <f t="shared" si="137"/>
        <v>No</v>
      </c>
      <c r="N1152">
        <v>529</v>
      </c>
      <c r="S1152">
        <v>2.5</v>
      </c>
      <c r="T1152">
        <f t="shared" si="139"/>
        <v>591.47</v>
      </c>
    </row>
    <row r="1153" spans="1:20" x14ac:dyDescent="0.55000000000000004">
      <c r="A1153">
        <v>82</v>
      </c>
      <c r="B1153" t="str">
        <f t="shared" si="141"/>
        <v>82_0</v>
      </c>
      <c r="C1153" s="2">
        <v>45673.380555555559</v>
      </c>
      <c r="D1153" t="s">
        <v>221</v>
      </c>
      <c r="E1153">
        <v>2</v>
      </c>
      <c r="F1153" t="s">
        <v>242</v>
      </c>
      <c r="G1153" t="str">
        <f t="shared" si="133"/>
        <v>Gobiomorphus cotidianus</v>
      </c>
      <c r="H1153" t="str">
        <f t="shared" si="134"/>
        <v>Common_bully</v>
      </c>
      <c r="I1153" t="str">
        <f t="shared" si="135"/>
        <v>Toitoi</v>
      </c>
      <c r="J1153" t="str">
        <f t="shared" si="136"/>
        <v>Native</v>
      </c>
      <c r="K1153" t="str">
        <f t="shared" si="137"/>
        <v>No</v>
      </c>
      <c r="N1153">
        <v>521</v>
      </c>
      <c r="S1153">
        <v>2.5</v>
      </c>
      <c r="T1153">
        <f t="shared" si="139"/>
        <v>591.47</v>
      </c>
    </row>
    <row r="1154" spans="1:20" x14ac:dyDescent="0.55000000000000004">
      <c r="A1154">
        <v>82</v>
      </c>
      <c r="B1154" t="str">
        <f t="shared" si="141"/>
        <v>82_0</v>
      </c>
      <c r="C1154" s="2">
        <v>45673.380555555559</v>
      </c>
      <c r="D1154" t="s">
        <v>221</v>
      </c>
      <c r="E1154">
        <v>2</v>
      </c>
      <c r="F1154" t="s">
        <v>242</v>
      </c>
      <c r="G1154" t="str">
        <f t="shared" ref="G1154:G1217" si="142">VLOOKUP($F1154, $W$1:$AB$10, 2, FALSE)</f>
        <v>Gobiomorphus cotidianus</v>
      </c>
      <c r="H1154" t="str">
        <f t="shared" ref="H1154:H1217" si="143">VLOOKUP($F1154, $W$1:$AB$10, 3, FALSE)</f>
        <v>Common_bully</v>
      </c>
      <c r="I1154" t="str">
        <f t="shared" ref="I1154:I1217" si="144">VLOOKUP($F1154, $W$1:$AB$10, 4, FALSE)</f>
        <v>Toitoi</v>
      </c>
      <c r="J1154" t="str">
        <f t="shared" ref="J1154:J1217" si="145">VLOOKUP($F1154, $W$1:$AC$10, 5, FALSE)</f>
        <v>Native</v>
      </c>
      <c r="K1154" t="str">
        <f t="shared" ref="K1154:K1217" si="146">VLOOKUP($F1154, $W$1:$AB$10, 6, FALSE)</f>
        <v>No</v>
      </c>
      <c r="N1154">
        <v>553</v>
      </c>
      <c r="S1154">
        <v>2.5</v>
      </c>
      <c r="T1154">
        <f t="shared" si="139"/>
        <v>591.47</v>
      </c>
    </row>
    <row r="1155" spans="1:20" x14ac:dyDescent="0.55000000000000004">
      <c r="A1155">
        <v>82</v>
      </c>
      <c r="B1155" t="str">
        <f t="shared" si="141"/>
        <v>82_0</v>
      </c>
      <c r="C1155" s="2">
        <v>45673.380555555559</v>
      </c>
      <c r="D1155" t="s">
        <v>221</v>
      </c>
      <c r="E1155">
        <v>2</v>
      </c>
      <c r="F1155" t="s">
        <v>242</v>
      </c>
      <c r="G1155" t="str">
        <f t="shared" si="142"/>
        <v>Gobiomorphus cotidianus</v>
      </c>
      <c r="H1155" t="str">
        <f t="shared" si="143"/>
        <v>Common_bully</v>
      </c>
      <c r="I1155" t="str">
        <f t="shared" si="144"/>
        <v>Toitoi</v>
      </c>
      <c r="J1155" t="str">
        <f t="shared" si="145"/>
        <v>Native</v>
      </c>
      <c r="K1155" t="str">
        <f t="shared" si="146"/>
        <v>No</v>
      </c>
      <c r="N1155">
        <v>206</v>
      </c>
      <c r="S1155">
        <v>1</v>
      </c>
      <c r="T1155">
        <f t="shared" si="139"/>
        <v>236.58799999999999</v>
      </c>
    </row>
    <row r="1156" spans="1:20" x14ac:dyDescent="0.55000000000000004">
      <c r="A1156">
        <v>82</v>
      </c>
      <c r="B1156" t="str">
        <f t="shared" si="141"/>
        <v>82_0</v>
      </c>
      <c r="C1156" s="2">
        <v>45673.380555555559</v>
      </c>
      <c r="D1156" t="s">
        <v>221</v>
      </c>
      <c r="E1156">
        <v>2</v>
      </c>
      <c r="F1156" t="s">
        <v>236</v>
      </c>
      <c r="G1156" t="str">
        <f t="shared" si="142"/>
        <v>Carassius auratus</v>
      </c>
      <c r="H1156" t="str">
        <f t="shared" si="143"/>
        <v>Goldfish</v>
      </c>
      <c r="I1156" t="str">
        <f t="shared" si="144"/>
        <v>Morihana</v>
      </c>
      <c r="J1156" t="str">
        <f t="shared" si="145"/>
        <v>Nonnative</v>
      </c>
      <c r="K1156" t="str">
        <f t="shared" si="146"/>
        <v>No</v>
      </c>
      <c r="M1156">
        <v>194</v>
      </c>
      <c r="N1156">
        <v>172</v>
      </c>
      <c r="O1156">
        <v>1</v>
      </c>
      <c r="T1156" t="str">
        <f t="shared" si="139"/>
        <v/>
      </c>
    </row>
    <row r="1157" spans="1:20" x14ac:dyDescent="0.55000000000000004">
      <c r="A1157">
        <v>82</v>
      </c>
      <c r="B1157" t="str">
        <f t="shared" si="141"/>
        <v>82_0</v>
      </c>
      <c r="C1157" s="2">
        <v>45673.380555555559</v>
      </c>
      <c r="D1157" t="s">
        <v>221</v>
      </c>
      <c r="E1157">
        <v>2</v>
      </c>
      <c r="F1157" t="s">
        <v>236</v>
      </c>
      <c r="G1157" t="str">
        <f t="shared" si="142"/>
        <v>Carassius auratus</v>
      </c>
      <c r="H1157" t="str">
        <f t="shared" si="143"/>
        <v>Goldfish</v>
      </c>
      <c r="I1157" t="str">
        <f t="shared" si="144"/>
        <v>Morihana</v>
      </c>
      <c r="J1157" t="str">
        <f t="shared" si="145"/>
        <v>Nonnative</v>
      </c>
      <c r="K1157" t="str">
        <f t="shared" si="146"/>
        <v>No</v>
      </c>
      <c r="M1157">
        <v>201</v>
      </c>
      <c r="N1157">
        <v>186</v>
      </c>
      <c r="O1157">
        <v>1</v>
      </c>
      <c r="T1157" t="str">
        <f t="shared" si="139"/>
        <v/>
      </c>
    </row>
    <row r="1158" spans="1:20" x14ac:dyDescent="0.55000000000000004">
      <c r="A1158">
        <v>82</v>
      </c>
      <c r="B1158" t="str">
        <f t="shared" si="141"/>
        <v>82_0</v>
      </c>
      <c r="C1158" s="2">
        <v>45673.380555555559</v>
      </c>
      <c r="D1158" t="s">
        <v>221</v>
      </c>
      <c r="E1158">
        <v>2</v>
      </c>
      <c r="F1158" t="s">
        <v>236</v>
      </c>
      <c r="G1158" t="str">
        <f t="shared" si="142"/>
        <v>Carassius auratus</v>
      </c>
      <c r="H1158" t="str">
        <f t="shared" si="143"/>
        <v>Goldfish</v>
      </c>
      <c r="I1158" t="str">
        <f t="shared" si="144"/>
        <v>Morihana</v>
      </c>
      <c r="J1158" t="str">
        <f t="shared" si="145"/>
        <v>Nonnative</v>
      </c>
      <c r="K1158" t="str">
        <f t="shared" si="146"/>
        <v>No</v>
      </c>
      <c r="M1158">
        <v>94</v>
      </c>
      <c r="N1158">
        <v>70</v>
      </c>
      <c r="O1158">
        <v>1</v>
      </c>
      <c r="T1158" t="str">
        <f t="shared" si="139"/>
        <v/>
      </c>
    </row>
    <row r="1159" spans="1:20" x14ac:dyDescent="0.55000000000000004">
      <c r="A1159">
        <v>82</v>
      </c>
      <c r="B1159" t="str">
        <f t="shared" si="141"/>
        <v>82_0</v>
      </c>
      <c r="C1159" s="2">
        <v>45673.380555555559</v>
      </c>
      <c r="D1159" t="s">
        <v>221</v>
      </c>
      <c r="E1159">
        <v>2</v>
      </c>
      <c r="F1159" t="s">
        <v>236</v>
      </c>
      <c r="G1159" t="str">
        <f t="shared" si="142"/>
        <v>Carassius auratus</v>
      </c>
      <c r="H1159" t="str">
        <f t="shared" si="143"/>
        <v>Goldfish</v>
      </c>
      <c r="I1159" t="str">
        <f t="shared" si="144"/>
        <v>Morihana</v>
      </c>
      <c r="J1159" t="str">
        <f t="shared" si="145"/>
        <v>Nonnative</v>
      </c>
      <c r="K1159" t="str">
        <f t="shared" si="146"/>
        <v>No</v>
      </c>
      <c r="M1159">
        <v>144</v>
      </c>
      <c r="N1159">
        <v>77</v>
      </c>
      <c r="O1159">
        <v>1</v>
      </c>
      <c r="T1159" t="str">
        <f t="shared" si="139"/>
        <v/>
      </c>
    </row>
    <row r="1160" spans="1:20" x14ac:dyDescent="0.55000000000000004">
      <c r="A1160">
        <v>82</v>
      </c>
      <c r="B1160" t="str">
        <f t="shared" si="141"/>
        <v>82_0</v>
      </c>
      <c r="C1160" s="2">
        <v>45673.380555555559</v>
      </c>
      <c r="D1160" t="s">
        <v>221</v>
      </c>
      <c r="E1160">
        <v>2</v>
      </c>
      <c r="F1160" t="s">
        <v>236</v>
      </c>
      <c r="G1160" t="str">
        <f t="shared" si="142"/>
        <v>Carassius auratus</v>
      </c>
      <c r="H1160" t="str">
        <f t="shared" si="143"/>
        <v>Goldfish</v>
      </c>
      <c r="I1160" t="str">
        <f t="shared" si="144"/>
        <v>Morihana</v>
      </c>
      <c r="J1160" t="str">
        <f t="shared" si="145"/>
        <v>Nonnative</v>
      </c>
      <c r="K1160" t="str">
        <f t="shared" si="146"/>
        <v>No</v>
      </c>
      <c r="M1160">
        <v>84</v>
      </c>
      <c r="N1160">
        <v>12</v>
      </c>
      <c r="O1160">
        <v>1</v>
      </c>
      <c r="T1160" t="str">
        <f t="shared" si="139"/>
        <v/>
      </c>
    </row>
    <row r="1161" spans="1:20" x14ac:dyDescent="0.55000000000000004">
      <c r="A1161">
        <v>82</v>
      </c>
      <c r="B1161" t="str">
        <f t="shared" si="141"/>
        <v>82_0</v>
      </c>
      <c r="C1161" s="2">
        <v>45673.380555555559</v>
      </c>
      <c r="D1161" t="s">
        <v>221</v>
      </c>
      <c r="E1161">
        <v>2</v>
      </c>
      <c r="F1161" t="s">
        <v>236</v>
      </c>
      <c r="G1161" t="str">
        <f t="shared" si="142"/>
        <v>Carassius auratus</v>
      </c>
      <c r="H1161" t="str">
        <f t="shared" si="143"/>
        <v>Goldfish</v>
      </c>
      <c r="I1161" t="str">
        <f t="shared" si="144"/>
        <v>Morihana</v>
      </c>
      <c r="J1161" t="str">
        <f t="shared" si="145"/>
        <v>Nonnative</v>
      </c>
      <c r="K1161" t="str">
        <f t="shared" si="146"/>
        <v>No</v>
      </c>
      <c r="M1161">
        <v>100</v>
      </c>
      <c r="N1161">
        <v>26</v>
      </c>
      <c r="O1161">
        <v>1</v>
      </c>
      <c r="T1161" t="str">
        <f t="shared" ref="T1161:T1224" si="147">IF(S1161&lt;&gt;"", S1161*236.588, "")</f>
        <v/>
      </c>
    </row>
    <row r="1162" spans="1:20" x14ac:dyDescent="0.55000000000000004">
      <c r="A1162">
        <v>82</v>
      </c>
      <c r="B1162" t="str">
        <f t="shared" si="141"/>
        <v>82_0</v>
      </c>
      <c r="C1162" s="2">
        <v>45673.380555555559</v>
      </c>
      <c r="D1162" t="s">
        <v>221</v>
      </c>
      <c r="E1162">
        <v>2</v>
      </c>
      <c r="F1162" t="s">
        <v>236</v>
      </c>
      <c r="G1162" t="str">
        <f t="shared" si="142"/>
        <v>Carassius auratus</v>
      </c>
      <c r="H1162" t="str">
        <f t="shared" si="143"/>
        <v>Goldfish</v>
      </c>
      <c r="I1162" t="str">
        <f t="shared" si="144"/>
        <v>Morihana</v>
      </c>
      <c r="J1162" t="str">
        <f t="shared" si="145"/>
        <v>Nonnative</v>
      </c>
      <c r="K1162" t="str">
        <f t="shared" si="146"/>
        <v>No</v>
      </c>
      <c r="M1162">
        <v>103</v>
      </c>
      <c r="N1162">
        <v>25</v>
      </c>
      <c r="O1162">
        <v>1</v>
      </c>
      <c r="T1162" t="str">
        <f t="shared" si="147"/>
        <v/>
      </c>
    </row>
    <row r="1163" spans="1:20" x14ac:dyDescent="0.55000000000000004">
      <c r="A1163">
        <v>82</v>
      </c>
      <c r="B1163" t="str">
        <f t="shared" si="141"/>
        <v>82_0</v>
      </c>
      <c r="C1163" s="2">
        <v>45673.380555555559</v>
      </c>
      <c r="D1163" t="s">
        <v>221</v>
      </c>
      <c r="E1163">
        <v>2</v>
      </c>
      <c r="F1163" t="s">
        <v>236</v>
      </c>
      <c r="G1163" t="str">
        <f t="shared" si="142"/>
        <v>Carassius auratus</v>
      </c>
      <c r="H1163" t="str">
        <f t="shared" si="143"/>
        <v>Goldfish</v>
      </c>
      <c r="I1163" t="str">
        <f t="shared" si="144"/>
        <v>Morihana</v>
      </c>
      <c r="J1163" t="str">
        <f t="shared" si="145"/>
        <v>Nonnative</v>
      </c>
      <c r="K1163" t="str">
        <f t="shared" si="146"/>
        <v>No</v>
      </c>
      <c r="M1163">
        <v>112</v>
      </c>
      <c r="N1163">
        <v>37</v>
      </c>
      <c r="O1163">
        <v>1</v>
      </c>
      <c r="T1163" t="str">
        <f t="shared" si="147"/>
        <v/>
      </c>
    </row>
    <row r="1164" spans="1:20" x14ac:dyDescent="0.55000000000000004">
      <c r="A1164">
        <v>83</v>
      </c>
      <c r="B1164" t="str">
        <f t="shared" ref="B1164:B1195" si="148">A1164 &amp; "_0"</f>
        <v>83_0</v>
      </c>
      <c r="C1164" s="2">
        <v>45674.451388888891</v>
      </c>
      <c r="D1164" t="s">
        <v>245</v>
      </c>
      <c r="E1164">
        <v>2</v>
      </c>
      <c r="F1164" t="s">
        <v>242</v>
      </c>
      <c r="G1164" t="str">
        <f t="shared" si="142"/>
        <v>Gobiomorphus cotidianus</v>
      </c>
      <c r="H1164" t="str">
        <f t="shared" si="143"/>
        <v>Common_bully</v>
      </c>
      <c r="I1164" t="str">
        <f t="shared" si="144"/>
        <v>Toitoi</v>
      </c>
      <c r="J1164" t="str">
        <f t="shared" si="145"/>
        <v>Native</v>
      </c>
      <c r="K1164" t="str">
        <f t="shared" si="146"/>
        <v>No</v>
      </c>
      <c r="O1164">
        <v>8</v>
      </c>
      <c r="T1164" t="str">
        <f t="shared" si="147"/>
        <v/>
      </c>
    </row>
    <row r="1165" spans="1:20" x14ac:dyDescent="0.55000000000000004">
      <c r="A1165">
        <v>83</v>
      </c>
      <c r="B1165" t="str">
        <f t="shared" si="148"/>
        <v>83_0</v>
      </c>
      <c r="C1165" s="2">
        <v>45674.451388888891</v>
      </c>
      <c r="D1165" t="s">
        <v>221</v>
      </c>
      <c r="E1165">
        <v>2</v>
      </c>
      <c r="F1165" t="s">
        <v>229</v>
      </c>
      <c r="G1165" t="str">
        <f t="shared" si="142"/>
        <v>Ameiurus nebulosus</v>
      </c>
      <c r="H1165" t="str">
        <f t="shared" si="143"/>
        <v>Catfish</v>
      </c>
      <c r="I1165" t="str">
        <f t="shared" si="144"/>
        <v>Catfish</v>
      </c>
      <c r="J1165" t="str">
        <f t="shared" si="145"/>
        <v>Nonnative</v>
      </c>
      <c r="K1165" t="str">
        <f t="shared" si="146"/>
        <v>No</v>
      </c>
      <c r="M1165">
        <v>209</v>
      </c>
      <c r="O1165">
        <v>1</v>
      </c>
      <c r="T1165" t="str">
        <f t="shared" si="147"/>
        <v/>
      </c>
    </row>
    <row r="1166" spans="1:20" x14ac:dyDescent="0.55000000000000004">
      <c r="A1166">
        <v>83</v>
      </c>
      <c r="B1166" t="str">
        <f t="shared" si="148"/>
        <v>83_0</v>
      </c>
      <c r="C1166" s="2">
        <v>45674.451388888891</v>
      </c>
      <c r="D1166" t="s">
        <v>221</v>
      </c>
      <c r="E1166">
        <v>2</v>
      </c>
      <c r="F1166" t="s">
        <v>229</v>
      </c>
      <c r="G1166" t="str">
        <f t="shared" si="142"/>
        <v>Ameiurus nebulosus</v>
      </c>
      <c r="H1166" t="str">
        <f t="shared" si="143"/>
        <v>Catfish</v>
      </c>
      <c r="I1166" t="str">
        <f t="shared" si="144"/>
        <v>Catfish</v>
      </c>
      <c r="J1166" t="str">
        <f t="shared" si="145"/>
        <v>Nonnative</v>
      </c>
      <c r="K1166" t="str">
        <f t="shared" si="146"/>
        <v>No</v>
      </c>
      <c r="M1166">
        <v>329</v>
      </c>
      <c r="O1166">
        <v>1</v>
      </c>
      <c r="T1166" t="str">
        <f t="shared" si="147"/>
        <v/>
      </c>
    </row>
    <row r="1167" spans="1:20" x14ac:dyDescent="0.55000000000000004">
      <c r="A1167">
        <v>83</v>
      </c>
      <c r="B1167" t="str">
        <f t="shared" si="148"/>
        <v>83_0</v>
      </c>
      <c r="C1167" s="2">
        <v>45674.451388888891</v>
      </c>
      <c r="D1167" t="s">
        <v>221</v>
      </c>
      <c r="E1167">
        <v>2</v>
      </c>
      <c r="F1167" t="s">
        <v>229</v>
      </c>
      <c r="G1167" t="str">
        <f t="shared" si="142"/>
        <v>Ameiurus nebulosus</v>
      </c>
      <c r="H1167" t="str">
        <f t="shared" si="143"/>
        <v>Catfish</v>
      </c>
      <c r="I1167" t="str">
        <f t="shared" si="144"/>
        <v>Catfish</v>
      </c>
      <c r="J1167" t="str">
        <f t="shared" si="145"/>
        <v>Nonnative</v>
      </c>
      <c r="K1167" t="str">
        <f t="shared" si="146"/>
        <v>No</v>
      </c>
      <c r="M1167">
        <v>337</v>
      </c>
      <c r="O1167">
        <v>1</v>
      </c>
      <c r="T1167" t="str">
        <f t="shared" si="147"/>
        <v/>
      </c>
    </row>
    <row r="1168" spans="1:20" x14ac:dyDescent="0.55000000000000004">
      <c r="A1168">
        <v>83</v>
      </c>
      <c r="B1168" t="str">
        <f t="shared" si="148"/>
        <v>83_0</v>
      </c>
      <c r="C1168" s="2">
        <v>45674.451388888891</v>
      </c>
      <c r="D1168" t="s">
        <v>221</v>
      </c>
      <c r="E1168">
        <v>2</v>
      </c>
      <c r="F1168" t="s">
        <v>229</v>
      </c>
      <c r="G1168" t="str">
        <f t="shared" si="142"/>
        <v>Ameiurus nebulosus</v>
      </c>
      <c r="H1168" t="str">
        <f t="shared" si="143"/>
        <v>Catfish</v>
      </c>
      <c r="I1168" t="str">
        <f t="shared" si="144"/>
        <v>Catfish</v>
      </c>
      <c r="J1168" t="str">
        <f t="shared" si="145"/>
        <v>Nonnative</v>
      </c>
      <c r="K1168" t="str">
        <f t="shared" si="146"/>
        <v>No</v>
      </c>
      <c r="M1168">
        <v>305</v>
      </c>
      <c r="O1168">
        <v>1</v>
      </c>
      <c r="T1168" t="str">
        <f t="shared" si="147"/>
        <v/>
      </c>
    </row>
    <row r="1169" spans="1:20" x14ac:dyDescent="0.55000000000000004">
      <c r="A1169">
        <v>83</v>
      </c>
      <c r="B1169" t="str">
        <f t="shared" si="148"/>
        <v>83_0</v>
      </c>
      <c r="C1169" s="2">
        <v>45674.451388888891</v>
      </c>
      <c r="D1169" t="s">
        <v>221</v>
      </c>
      <c r="E1169">
        <v>2</v>
      </c>
      <c r="F1169" t="s">
        <v>236</v>
      </c>
      <c r="G1169" t="str">
        <f t="shared" si="142"/>
        <v>Carassius auratus</v>
      </c>
      <c r="H1169" t="str">
        <f t="shared" si="143"/>
        <v>Goldfish</v>
      </c>
      <c r="I1169" t="str">
        <f t="shared" si="144"/>
        <v>Morihana</v>
      </c>
      <c r="J1169" t="str">
        <f t="shared" si="145"/>
        <v>Nonnative</v>
      </c>
      <c r="K1169" t="str">
        <f t="shared" si="146"/>
        <v>No</v>
      </c>
      <c r="M1169">
        <v>125</v>
      </c>
      <c r="N1169">
        <v>45</v>
      </c>
      <c r="O1169">
        <v>1</v>
      </c>
      <c r="T1169" t="str">
        <f t="shared" si="147"/>
        <v/>
      </c>
    </row>
    <row r="1170" spans="1:20" x14ac:dyDescent="0.55000000000000004">
      <c r="A1170">
        <v>83</v>
      </c>
      <c r="B1170" t="str">
        <f t="shared" si="148"/>
        <v>83_0</v>
      </c>
      <c r="C1170" s="2">
        <v>45674.451388888891</v>
      </c>
      <c r="D1170" t="s">
        <v>221</v>
      </c>
      <c r="E1170">
        <v>2</v>
      </c>
      <c r="F1170" t="s">
        <v>243</v>
      </c>
      <c r="G1170" t="str">
        <f t="shared" si="142"/>
        <v>Retropinna retropinna</v>
      </c>
      <c r="H1170" t="str">
        <f t="shared" si="143"/>
        <v>Common_smelt</v>
      </c>
      <c r="I1170" t="str">
        <f t="shared" si="144"/>
        <v>Common_smelt</v>
      </c>
      <c r="J1170" t="str">
        <f t="shared" si="145"/>
        <v>Native</v>
      </c>
      <c r="K1170" t="str">
        <f t="shared" si="146"/>
        <v>No</v>
      </c>
      <c r="O1170">
        <v>7</v>
      </c>
      <c r="T1170" t="str">
        <f t="shared" si="147"/>
        <v/>
      </c>
    </row>
    <row r="1171" spans="1:20" x14ac:dyDescent="0.55000000000000004">
      <c r="A1171">
        <v>83</v>
      </c>
      <c r="B1171" t="str">
        <f t="shared" si="148"/>
        <v>83_0</v>
      </c>
      <c r="C1171" s="2">
        <v>45674.451388888891</v>
      </c>
      <c r="D1171" t="s">
        <v>221</v>
      </c>
      <c r="E1171">
        <v>2</v>
      </c>
      <c r="F1171" t="s">
        <v>242</v>
      </c>
      <c r="G1171" t="str">
        <f t="shared" si="142"/>
        <v>Gobiomorphus cotidianus</v>
      </c>
      <c r="H1171" t="str">
        <f t="shared" si="143"/>
        <v>Common_bully</v>
      </c>
      <c r="I1171" t="str">
        <f t="shared" si="144"/>
        <v>Toitoi</v>
      </c>
      <c r="J1171" t="str">
        <f t="shared" si="145"/>
        <v>Native</v>
      </c>
      <c r="K1171" t="str">
        <f t="shared" si="146"/>
        <v>No</v>
      </c>
      <c r="N1171">
        <f>253-117</f>
        <v>136</v>
      </c>
      <c r="O1171">
        <v>100</v>
      </c>
      <c r="S1171">
        <v>0.5</v>
      </c>
      <c r="T1171">
        <f t="shared" si="147"/>
        <v>118.294</v>
      </c>
    </row>
    <row r="1172" spans="1:20" x14ac:dyDescent="0.55000000000000004">
      <c r="A1172">
        <v>83</v>
      </c>
      <c r="B1172" t="str">
        <f t="shared" si="148"/>
        <v>83_0</v>
      </c>
      <c r="C1172" s="2">
        <v>45674.451388888891</v>
      </c>
      <c r="D1172" t="s">
        <v>221</v>
      </c>
      <c r="E1172">
        <v>2</v>
      </c>
      <c r="F1172" t="s">
        <v>242</v>
      </c>
      <c r="G1172" t="str">
        <f t="shared" si="142"/>
        <v>Gobiomorphus cotidianus</v>
      </c>
      <c r="H1172" t="str">
        <f t="shared" si="143"/>
        <v>Common_bully</v>
      </c>
      <c r="I1172" t="str">
        <f t="shared" si="144"/>
        <v>Toitoi</v>
      </c>
      <c r="J1172" t="str">
        <f t="shared" si="145"/>
        <v>Native</v>
      </c>
      <c r="K1172" t="str">
        <f t="shared" si="146"/>
        <v>No</v>
      </c>
      <c r="N1172">
        <f>388-117</f>
        <v>271</v>
      </c>
      <c r="S1172">
        <v>1.5</v>
      </c>
      <c r="T1172">
        <f t="shared" si="147"/>
        <v>354.88200000000001</v>
      </c>
    </row>
    <row r="1173" spans="1:20" x14ac:dyDescent="0.55000000000000004">
      <c r="A1173">
        <v>84</v>
      </c>
      <c r="B1173" t="str">
        <f t="shared" si="148"/>
        <v>84_0</v>
      </c>
      <c r="C1173" s="2">
        <v>45673.47152777778</v>
      </c>
      <c r="D1173" t="s">
        <v>245</v>
      </c>
      <c r="E1173">
        <v>2</v>
      </c>
      <c r="F1173" t="s">
        <v>242</v>
      </c>
      <c r="G1173" t="str">
        <f t="shared" si="142"/>
        <v>Gobiomorphus cotidianus</v>
      </c>
      <c r="H1173" t="str">
        <f t="shared" si="143"/>
        <v>Common_bully</v>
      </c>
      <c r="I1173" t="str">
        <f t="shared" si="144"/>
        <v>Toitoi</v>
      </c>
      <c r="J1173" t="str">
        <f t="shared" si="145"/>
        <v>Native</v>
      </c>
      <c r="K1173" t="str">
        <f t="shared" si="146"/>
        <v>No</v>
      </c>
      <c r="O1173">
        <v>5</v>
      </c>
      <c r="T1173" t="str">
        <f t="shared" si="147"/>
        <v/>
      </c>
    </row>
    <row r="1174" spans="1:20" x14ac:dyDescent="0.55000000000000004">
      <c r="A1174">
        <v>84</v>
      </c>
      <c r="B1174" t="str">
        <f t="shared" si="148"/>
        <v>84_0</v>
      </c>
      <c r="C1174" s="2">
        <v>45673.47152777778</v>
      </c>
      <c r="D1174" t="s">
        <v>221</v>
      </c>
      <c r="E1174">
        <v>2</v>
      </c>
      <c r="F1174" t="s">
        <v>243</v>
      </c>
      <c r="G1174" t="str">
        <f t="shared" si="142"/>
        <v>Retropinna retropinna</v>
      </c>
      <c r="H1174" t="str">
        <f t="shared" si="143"/>
        <v>Common_smelt</v>
      </c>
      <c r="I1174" t="str">
        <f t="shared" si="144"/>
        <v>Common_smelt</v>
      </c>
      <c r="J1174" t="str">
        <f t="shared" si="145"/>
        <v>Native</v>
      </c>
      <c r="K1174" t="str">
        <f t="shared" si="146"/>
        <v>No</v>
      </c>
      <c r="O1174">
        <v>4</v>
      </c>
      <c r="T1174" t="str">
        <f t="shared" si="147"/>
        <v/>
      </c>
    </row>
    <row r="1175" spans="1:20" x14ac:dyDescent="0.55000000000000004">
      <c r="A1175">
        <v>84</v>
      </c>
      <c r="B1175" t="str">
        <f t="shared" si="148"/>
        <v>84_0</v>
      </c>
      <c r="C1175" s="2">
        <v>45673.47152777778</v>
      </c>
      <c r="D1175" t="s">
        <v>221</v>
      </c>
      <c r="E1175">
        <v>2</v>
      </c>
      <c r="F1175" t="s">
        <v>242</v>
      </c>
      <c r="G1175" t="str">
        <f t="shared" si="142"/>
        <v>Gobiomorphus cotidianus</v>
      </c>
      <c r="H1175" t="str">
        <f t="shared" si="143"/>
        <v>Common_bully</v>
      </c>
      <c r="I1175" t="str">
        <f t="shared" si="144"/>
        <v>Toitoi</v>
      </c>
      <c r="J1175" t="str">
        <f t="shared" si="145"/>
        <v>Native</v>
      </c>
      <c r="K1175" t="str">
        <f t="shared" si="146"/>
        <v>No</v>
      </c>
      <c r="N1175">
        <v>559</v>
      </c>
      <c r="S1175">
        <v>2.5</v>
      </c>
      <c r="T1175">
        <f t="shared" si="147"/>
        <v>591.47</v>
      </c>
    </row>
    <row r="1176" spans="1:20" x14ac:dyDescent="0.55000000000000004">
      <c r="A1176">
        <v>84</v>
      </c>
      <c r="B1176" t="str">
        <f t="shared" si="148"/>
        <v>84_0</v>
      </c>
      <c r="C1176" s="2">
        <v>45673.47152777778</v>
      </c>
      <c r="D1176" t="s">
        <v>221</v>
      </c>
      <c r="E1176">
        <v>2</v>
      </c>
      <c r="F1176" t="s">
        <v>242</v>
      </c>
      <c r="G1176" t="str">
        <f t="shared" si="142"/>
        <v>Gobiomorphus cotidianus</v>
      </c>
      <c r="H1176" t="str">
        <f t="shared" si="143"/>
        <v>Common_bully</v>
      </c>
      <c r="I1176" t="str">
        <f t="shared" si="144"/>
        <v>Toitoi</v>
      </c>
      <c r="J1176" t="str">
        <f t="shared" si="145"/>
        <v>Native</v>
      </c>
      <c r="K1176" t="str">
        <f t="shared" si="146"/>
        <v>No</v>
      </c>
      <c r="N1176">
        <f>271-117</f>
        <v>154</v>
      </c>
      <c r="S1176">
        <f>3/4</f>
        <v>0.75</v>
      </c>
      <c r="T1176">
        <f t="shared" si="147"/>
        <v>177.441</v>
      </c>
    </row>
    <row r="1177" spans="1:20" x14ac:dyDescent="0.55000000000000004">
      <c r="A1177">
        <v>84</v>
      </c>
      <c r="B1177" t="str">
        <f t="shared" si="148"/>
        <v>84_0</v>
      </c>
      <c r="C1177" s="2">
        <v>45673.47152777778</v>
      </c>
      <c r="D1177" t="s">
        <v>221</v>
      </c>
      <c r="E1177">
        <v>2</v>
      </c>
      <c r="F1177" t="s">
        <v>236</v>
      </c>
      <c r="G1177" t="str">
        <f t="shared" si="142"/>
        <v>Carassius auratus</v>
      </c>
      <c r="H1177" t="str">
        <f t="shared" si="143"/>
        <v>Goldfish</v>
      </c>
      <c r="I1177" t="str">
        <f t="shared" si="144"/>
        <v>Morihana</v>
      </c>
      <c r="J1177" t="str">
        <f t="shared" si="145"/>
        <v>Nonnative</v>
      </c>
      <c r="K1177" t="str">
        <f t="shared" si="146"/>
        <v>No</v>
      </c>
      <c r="M1177">
        <v>85</v>
      </c>
      <c r="N1177">
        <v>16</v>
      </c>
      <c r="O1177">
        <v>1</v>
      </c>
      <c r="T1177" t="str">
        <f t="shared" si="147"/>
        <v/>
      </c>
    </row>
    <row r="1178" spans="1:20" x14ac:dyDescent="0.55000000000000004">
      <c r="A1178">
        <v>84</v>
      </c>
      <c r="B1178" t="str">
        <f t="shared" si="148"/>
        <v>84_0</v>
      </c>
      <c r="C1178" s="2">
        <v>45673.47152777778</v>
      </c>
      <c r="D1178" t="s">
        <v>221</v>
      </c>
      <c r="E1178">
        <v>2</v>
      </c>
      <c r="F1178" t="s">
        <v>236</v>
      </c>
      <c r="G1178" t="str">
        <f t="shared" si="142"/>
        <v>Carassius auratus</v>
      </c>
      <c r="H1178" t="str">
        <f t="shared" si="143"/>
        <v>Goldfish</v>
      </c>
      <c r="I1178" t="str">
        <f t="shared" si="144"/>
        <v>Morihana</v>
      </c>
      <c r="J1178" t="str">
        <f t="shared" si="145"/>
        <v>Nonnative</v>
      </c>
      <c r="K1178" t="str">
        <f t="shared" si="146"/>
        <v>No</v>
      </c>
      <c r="M1178">
        <v>151</v>
      </c>
      <c r="N1178">
        <v>71</v>
      </c>
      <c r="O1178">
        <v>1</v>
      </c>
      <c r="T1178" t="str">
        <f t="shared" si="147"/>
        <v/>
      </c>
    </row>
    <row r="1179" spans="1:20" x14ac:dyDescent="0.55000000000000004">
      <c r="A1179">
        <v>84</v>
      </c>
      <c r="B1179" t="str">
        <f t="shared" si="148"/>
        <v>84_0</v>
      </c>
      <c r="C1179" s="2">
        <v>45673.47152777778</v>
      </c>
      <c r="D1179" t="s">
        <v>221</v>
      </c>
      <c r="E1179">
        <v>2</v>
      </c>
      <c r="F1179" t="s">
        <v>236</v>
      </c>
      <c r="G1179" t="str">
        <f t="shared" si="142"/>
        <v>Carassius auratus</v>
      </c>
      <c r="H1179" t="str">
        <f t="shared" si="143"/>
        <v>Goldfish</v>
      </c>
      <c r="I1179" t="str">
        <f t="shared" si="144"/>
        <v>Morihana</v>
      </c>
      <c r="J1179" t="str">
        <f t="shared" si="145"/>
        <v>Nonnative</v>
      </c>
      <c r="K1179" t="str">
        <f t="shared" si="146"/>
        <v>No</v>
      </c>
      <c r="M1179">
        <v>199</v>
      </c>
      <c r="N1179">
        <v>190</v>
      </c>
      <c r="O1179">
        <v>1</v>
      </c>
      <c r="T1179" t="str">
        <f t="shared" si="147"/>
        <v/>
      </c>
    </row>
    <row r="1180" spans="1:20" x14ac:dyDescent="0.55000000000000004">
      <c r="A1180">
        <v>117</v>
      </c>
      <c r="B1180" t="str">
        <f t="shared" si="148"/>
        <v>117_0</v>
      </c>
      <c r="C1180" s="2">
        <v>45597.520833333336</v>
      </c>
      <c r="D1180" t="s">
        <v>245</v>
      </c>
      <c r="E1180">
        <v>2</v>
      </c>
      <c r="F1180" t="s">
        <v>222</v>
      </c>
      <c r="G1180" t="str">
        <f t="shared" si="142"/>
        <v>Paranephrops planifrons</v>
      </c>
      <c r="H1180" t="str">
        <f t="shared" si="143"/>
        <v>Freshwater_crayfish</v>
      </c>
      <c r="I1180" t="str">
        <f t="shared" si="144"/>
        <v>Kōura</v>
      </c>
      <c r="J1180" t="str">
        <f t="shared" si="145"/>
        <v>Native</v>
      </c>
      <c r="K1180" t="str">
        <f t="shared" si="146"/>
        <v>Yes</v>
      </c>
      <c r="L1180" t="s">
        <v>228</v>
      </c>
      <c r="M1180">
        <v>21</v>
      </c>
      <c r="N1180">
        <v>8</v>
      </c>
      <c r="O1180">
        <v>1</v>
      </c>
      <c r="T1180" t="str">
        <f t="shared" si="147"/>
        <v/>
      </c>
    </row>
    <row r="1181" spans="1:20" x14ac:dyDescent="0.55000000000000004">
      <c r="A1181">
        <v>106</v>
      </c>
      <c r="B1181" t="str">
        <f t="shared" si="148"/>
        <v>106_0</v>
      </c>
      <c r="C1181" s="2">
        <v>45603.4375</v>
      </c>
      <c r="D1181" t="s">
        <v>221</v>
      </c>
      <c r="E1181">
        <v>2</v>
      </c>
      <c r="F1181" t="s">
        <v>222</v>
      </c>
      <c r="G1181" t="str">
        <f t="shared" si="142"/>
        <v>Paranephrops planifrons</v>
      </c>
      <c r="H1181" t="str">
        <f t="shared" si="143"/>
        <v>Freshwater_crayfish</v>
      </c>
      <c r="I1181" t="str">
        <f t="shared" si="144"/>
        <v>Kōura</v>
      </c>
      <c r="J1181" t="str">
        <f t="shared" si="145"/>
        <v>Native</v>
      </c>
      <c r="K1181" t="str">
        <f t="shared" si="146"/>
        <v>Yes</v>
      </c>
      <c r="L1181" t="s">
        <v>228</v>
      </c>
      <c r="M1181">
        <v>21</v>
      </c>
      <c r="N1181">
        <v>7</v>
      </c>
      <c r="O1181">
        <v>1</v>
      </c>
      <c r="T1181" t="str">
        <f t="shared" si="147"/>
        <v/>
      </c>
    </row>
    <row r="1182" spans="1:20" x14ac:dyDescent="0.55000000000000004">
      <c r="A1182">
        <v>115</v>
      </c>
      <c r="B1182" t="str">
        <f t="shared" si="148"/>
        <v>115_0</v>
      </c>
      <c r="C1182" s="2">
        <v>45597.590277777781</v>
      </c>
      <c r="D1182" t="s">
        <v>245</v>
      </c>
      <c r="E1182">
        <v>2</v>
      </c>
      <c r="F1182" t="s">
        <v>222</v>
      </c>
      <c r="G1182" t="str">
        <f t="shared" si="142"/>
        <v>Paranephrops planifrons</v>
      </c>
      <c r="H1182" t="str">
        <f t="shared" si="143"/>
        <v>Freshwater_crayfish</v>
      </c>
      <c r="I1182" t="str">
        <f t="shared" si="144"/>
        <v>Kōura</v>
      </c>
      <c r="J1182" t="str">
        <f t="shared" si="145"/>
        <v>Native</v>
      </c>
      <c r="K1182" t="str">
        <f t="shared" si="146"/>
        <v>Yes</v>
      </c>
      <c r="L1182" t="s">
        <v>223</v>
      </c>
      <c r="M1182">
        <v>21</v>
      </c>
      <c r="N1182">
        <v>7</v>
      </c>
      <c r="O1182">
        <v>1</v>
      </c>
      <c r="T1182" t="str">
        <f t="shared" si="147"/>
        <v/>
      </c>
    </row>
    <row r="1183" spans="1:20" x14ac:dyDescent="0.55000000000000004">
      <c r="A1183">
        <v>110</v>
      </c>
      <c r="B1183" t="str">
        <f t="shared" si="148"/>
        <v>110_0</v>
      </c>
      <c r="C1183" s="2">
        <v>45597.493055497682</v>
      </c>
      <c r="D1183" t="s">
        <v>221</v>
      </c>
      <c r="E1183">
        <v>2</v>
      </c>
      <c r="F1183" t="s">
        <v>222</v>
      </c>
      <c r="G1183" t="str">
        <f t="shared" si="142"/>
        <v>Paranephrops planifrons</v>
      </c>
      <c r="H1183" t="str">
        <f t="shared" si="143"/>
        <v>Freshwater_crayfish</v>
      </c>
      <c r="I1183" t="str">
        <f t="shared" si="144"/>
        <v>Kōura</v>
      </c>
      <c r="J1183" t="str">
        <f t="shared" si="145"/>
        <v>Native</v>
      </c>
      <c r="K1183" t="str">
        <f t="shared" si="146"/>
        <v>Yes</v>
      </c>
      <c r="L1183" t="s">
        <v>228</v>
      </c>
      <c r="M1183">
        <v>21</v>
      </c>
      <c r="N1183">
        <v>6</v>
      </c>
      <c r="O1183">
        <v>1</v>
      </c>
      <c r="T1183" t="str">
        <f t="shared" si="147"/>
        <v/>
      </c>
    </row>
    <row r="1184" spans="1:20" x14ac:dyDescent="0.55000000000000004">
      <c r="A1184">
        <v>117</v>
      </c>
      <c r="B1184" t="str">
        <f t="shared" si="148"/>
        <v>117_0</v>
      </c>
      <c r="C1184" s="2">
        <v>45597.520833333336</v>
      </c>
      <c r="D1184" t="s">
        <v>245</v>
      </c>
      <c r="E1184">
        <v>2</v>
      </c>
      <c r="F1184" t="s">
        <v>222</v>
      </c>
      <c r="G1184" t="str">
        <f t="shared" si="142"/>
        <v>Paranephrops planifrons</v>
      </c>
      <c r="H1184" t="str">
        <f t="shared" si="143"/>
        <v>Freshwater_crayfish</v>
      </c>
      <c r="I1184" t="str">
        <f t="shared" si="144"/>
        <v>Kōura</v>
      </c>
      <c r="J1184" t="str">
        <f t="shared" si="145"/>
        <v>Native</v>
      </c>
      <c r="K1184" t="str">
        <f t="shared" si="146"/>
        <v>Yes</v>
      </c>
      <c r="L1184" t="s">
        <v>228</v>
      </c>
      <c r="M1184">
        <v>21</v>
      </c>
      <c r="N1184">
        <v>5</v>
      </c>
      <c r="O1184">
        <v>1</v>
      </c>
      <c r="T1184" t="str">
        <f t="shared" si="147"/>
        <v/>
      </c>
    </row>
    <row r="1185" spans="1:20" x14ac:dyDescent="0.55000000000000004">
      <c r="A1185">
        <v>117</v>
      </c>
      <c r="B1185" t="str">
        <f t="shared" si="148"/>
        <v>117_0</v>
      </c>
      <c r="C1185" s="2">
        <v>45597.520833333336</v>
      </c>
      <c r="D1185" t="s">
        <v>221</v>
      </c>
      <c r="E1185">
        <v>2</v>
      </c>
      <c r="F1185" t="s">
        <v>222</v>
      </c>
      <c r="G1185" t="str">
        <f t="shared" si="142"/>
        <v>Paranephrops planifrons</v>
      </c>
      <c r="H1185" t="str">
        <f t="shared" si="143"/>
        <v>Freshwater_crayfish</v>
      </c>
      <c r="I1185" t="str">
        <f t="shared" si="144"/>
        <v>Kōura</v>
      </c>
      <c r="J1185" t="str">
        <f t="shared" si="145"/>
        <v>Native</v>
      </c>
      <c r="K1185" t="str">
        <f t="shared" si="146"/>
        <v>Yes</v>
      </c>
      <c r="L1185" t="s">
        <v>228</v>
      </c>
      <c r="M1185">
        <v>21</v>
      </c>
      <c r="N1185">
        <v>4</v>
      </c>
      <c r="O1185">
        <v>1</v>
      </c>
      <c r="T1185" t="str">
        <f t="shared" si="147"/>
        <v/>
      </c>
    </row>
    <row r="1186" spans="1:20" x14ac:dyDescent="0.55000000000000004">
      <c r="A1186">
        <v>117</v>
      </c>
      <c r="B1186" t="str">
        <f t="shared" si="148"/>
        <v>117_0</v>
      </c>
      <c r="C1186" s="2">
        <v>45597.520833333336</v>
      </c>
      <c r="D1186" t="s">
        <v>245</v>
      </c>
      <c r="E1186">
        <v>2</v>
      </c>
      <c r="F1186" t="s">
        <v>222</v>
      </c>
      <c r="G1186" t="str">
        <f t="shared" si="142"/>
        <v>Paranephrops planifrons</v>
      </c>
      <c r="H1186" t="str">
        <f t="shared" si="143"/>
        <v>Freshwater_crayfish</v>
      </c>
      <c r="I1186" t="str">
        <f t="shared" si="144"/>
        <v>Kōura</v>
      </c>
      <c r="J1186" t="str">
        <f t="shared" si="145"/>
        <v>Native</v>
      </c>
      <c r="K1186" t="str">
        <f t="shared" si="146"/>
        <v>Yes</v>
      </c>
      <c r="L1186" t="s">
        <v>228</v>
      </c>
      <c r="M1186">
        <v>21</v>
      </c>
      <c r="N1186">
        <v>4</v>
      </c>
      <c r="O1186">
        <v>1</v>
      </c>
      <c r="T1186" t="str">
        <f t="shared" si="147"/>
        <v/>
      </c>
    </row>
    <row r="1187" spans="1:20" x14ac:dyDescent="0.55000000000000004">
      <c r="A1187">
        <v>97</v>
      </c>
      <c r="B1187" t="str">
        <f t="shared" si="148"/>
        <v>97_0</v>
      </c>
      <c r="C1187" s="2">
        <v>45603.524305439816</v>
      </c>
      <c r="D1187" t="s">
        <v>221</v>
      </c>
      <c r="E1187">
        <v>2</v>
      </c>
      <c r="F1187" t="s">
        <v>222</v>
      </c>
      <c r="G1187" t="str">
        <f t="shared" si="142"/>
        <v>Paranephrops planifrons</v>
      </c>
      <c r="H1187" t="str">
        <f t="shared" si="143"/>
        <v>Freshwater_crayfish</v>
      </c>
      <c r="I1187" t="str">
        <f t="shared" si="144"/>
        <v>Kōura</v>
      </c>
      <c r="J1187" t="str">
        <f t="shared" si="145"/>
        <v>Native</v>
      </c>
      <c r="K1187" t="str">
        <f t="shared" si="146"/>
        <v>Yes</v>
      </c>
      <c r="L1187" t="s">
        <v>228</v>
      </c>
      <c r="M1187">
        <v>21</v>
      </c>
      <c r="O1187">
        <v>1</v>
      </c>
      <c r="T1187" t="str">
        <f t="shared" si="147"/>
        <v/>
      </c>
    </row>
    <row r="1188" spans="1:20" x14ac:dyDescent="0.55000000000000004">
      <c r="A1188">
        <v>98</v>
      </c>
      <c r="B1188" t="str">
        <f t="shared" si="148"/>
        <v>98_0</v>
      </c>
      <c r="C1188" s="2">
        <v>45603.5625</v>
      </c>
      <c r="D1188" t="s">
        <v>245</v>
      </c>
      <c r="E1188">
        <v>2</v>
      </c>
      <c r="F1188" t="s">
        <v>222</v>
      </c>
      <c r="G1188" t="str">
        <f t="shared" si="142"/>
        <v>Paranephrops planifrons</v>
      </c>
      <c r="H1188" t="str">
        <f t="shared" si="143"/>
        <v>Freshwater_crayfish</v>
      </c>
      <c r="I1188" t="str">
        <f t="shared" si="144"/>
        <v>Kōura</v>
      </c>
      <c r="J1188" t="str">
        <f t="shared" si="145"/>
        <v>Native</v>
      </c>
      <c r="K1188" t="str">
        <f t="shared" si="146"/>
        <v>Yes</v>
      </c>
      <c r="L1188" t="s">
        <v>228</v>
      </c>
      <c r="M1188">
        <v>20.91</v>
      </c>
      <c r="O1188">
        <v>1</v>
      </c>
      <c r="T1188" t="str">
        <f t="shared" si="147"/>
        <v/>
      </c>
    </row>
    <row r="1189" spans="1:20" x14ac:dyDescent="0.55000000000000004">
      <c r="A1189">
        <v>77</v>
      </c>
      <c r="B1189" t="str">
        <f t="shared" si="148"/>
        <v>77_0</v>
      </c>
      <c r="C1189" s="2">
        <v>45674.520833333336</v>
      </c>
      <c r="D1189" t="s">
        <v>245</v>
      </c>
      <c r="E1189">
        <v>2</v>
      </c>
      <c r="F1189" t="s">
        <v>222</v>
      </c>
      <c r="G1189" t="str">
        <f t="shared" si="142"/>
        <v>Paranephrops planifrons</v>
      </c>
      <c r="H1189" t="str">
        <f t="shared" si="143"/>
        <v>Freshwater_crayfish</v>
      </c>
      <c r="I1189" t="str">
        <f t="shared" si="144"/>
        <v>Kōura</v>
      </c>
      <c r="J1189" t="str">
        <f t="shared" si="145"/>
        <v>Native</v>
      </c>
      <c r="K1189" t="str">
        <f t="shared" si="146"/>
        <v>Yes</v>
      </c>
      <c r="L1189" t="s">
        <v>228</v>
      </c>
      <c r="M1189">
        <v>20.64</v>
      </c>
      <c r="N1189">
        <v>8</v>
      </c>
      <c r="O1189">
        <v>1</v>
      </c>
      <c r="T1189" t="str">
        <f t="shared" si="147"/>
        <v/>
      </c>
    </row>
    <row r="1190" spans="1:20" x14ac:dyDescent="0.55000000000000004">
      <c r="A1190">
        <v>77</v>
      </c>
      <c r="B1190" t="str">
        <f t="shared" si="148"/>
        <v>77_0</v>
      </c>
      <c r="C1190" s="2">
        <v>45674.520833333336</v>
      </c>
      <c r="D1190" t="s">
        <v>221</v>
      </c>
      <c r="E1190">
        <v>2</v>
      </c>
      <c r="F1190" t="s">
        <v>222</v>
      </c>
      <c r="G1190" t="str">
        <f t="shared" si="142"/>
        <v>Paranephrops planifrons</v>
      </c>
      <c r="H1190" t="str">
        <f t="shared" si="143"/>
        <v>Freshwater_crayfish</v>
      </c>
      <c r="I1190" t="str">
        <f t="shared" si="144"/>
        <v>Kōura</v>
      </c>
      <c r="J1190" t="str">
        <f t="shared" si="145"/>
        <v>Native</v>
      </c>
      <c r="K1190" t="str">
        <f t="shared" si="146"/>
        <v>Yes</v>
      </c>
      <c r="L1190" t="s">
        <v>223</v>
      </c>
      <c r="M1190">
        <v>20.190000000000001</v>
      </c>
      <c r="N1190">
        <v>6</v>
      </c>
      <c r="O1190">
        <v>1</v>
      </c>
      <c r="T1190" t="str">
        <f t="shared" si="147"/>
        <v/>
      </c>
    </row>
    <row r="1191" spans="1:20" x14ac:dyDescent="0.55000000000000004">
      <c r="A1191">
        <v>77</v>
      </c>
      <c r="B1191" t="str">
        <f t="shared" si="148"/>
        <v>77_0</v>
      </c>
      <c r="C1191" s="2">
        <v>45674.520833333336</v>
      </c>
      <c r="D1191" t="s">
        <v>221</v>
      </c>
      <c r="E1191">
        <v>2</v>
      </c>
      <c r="F1191" t="s">
        <v>222</v>
      </c>
      <c r="G1191" t="str">
        <f t="shared" si="142"/>
        <v>Paranephrops planifrons</v>
      </c>
      <c r="H1191" t="str">
        <f t="shared" si="143"/>
        <v>Freshwater_crayfish</v>
      </c>
      <c r="I1191" t="str">
        <f t="shared" si="144"/>
        <v>Kōura</v>
      </c>
      <c r="J1191" t="str">
        <f t="shared" si="145"/>
        <v>Native</v>
      </c>
      <c r="K1191" t="str">
        <f t="shared" si="146"/>
        <v>Yes</v>
      </c>
      <c r="L1191" t="s">
        <v>228</v>
      </c>
      <c r="M1191">
        <v>20.14</v>
      </c>
      <c r="N1191">
        <v>6</v>
      </c>
      <c r="O1191">
        <v>1</v>
      </c>
      <c r="T1191" t="str">
        <f t="shared" si="147"/>
        <v/>
      </c>
    </row>
    <row r="1192" spans="1:20" x14ac:dyDescent="0.55000000000000004">
      <c r="A1192">
        <v>85</v>
      </c>
      <c r="B1192" t="str">
        <f t="shared" si="148"/>
        <v>85_0</v>
      </c>
      <c r="C1192" s="2">
        <v>45637.409722164353</v>
      </c>
      <c r="D1192" t="s">
        <v>221</v>
      </c>
      <c r="E1192">
        <v>2</v>
      </c>
      <c r="F1192" t="s">
        <v>222</v>
      </c>
      <c r="G1192" t="str">
        <f t="shared" si="142"/>
        <v>Paranephrops planifrons</v>
      </c>
      <c r="H1192" t="str">
        <f t="shared" si="143"/>
        <v>Freshwater_crayfish</v>
      </c>
      <c r="I1192" t="str">
        <f t="shared" si="144"/>
        <v>Kōura</v>
      </c>
      <c r="J1192" t="str">
        <f t="shared" si="145"/>
        <v>Native</v>
      </c>
      <c r="K1192" t="str">
        <f t="shared" si="146"/>
        <v>Yes</v>
      </c>
      <c r="L1192" t="s">
        <v>228</v>
      </c>
      <c r="M1192">
        <v>20.09</v>
      </c>
      <c r="N1192">
        <v>9</v>
      </c>
      <c r="O1192">
        <v>1</v>
      </c>
      <c r="T1192" t="str">
        <f t="shared" si="147"/>
        <v/>
      </c>
    </row>
    <row r="1193" spans="1:20" x14ac:dyDescent="0.55000000000000004">
      <c r="A1193">
        <v>77</v>
      </c>
      <c r="B1193" t="str">
        <f t="shared" si="148"/>
        <v>77_0</v>
      </c>
      <c r="C1193" s="2">
        <v>45674.520833333336</v>
      </c>
      <c r="D1193" t="s">
        <v>221</v>
      </c>
      <c r="E1193">
        <v>2</v>
      </c>
      <c r="F1193" t="s">
        <v>222</v>
      </c>
      <c r="G1193" t="str">
        <f t="shared" si="142"/>
        <v>Paranephrops planifrons</v>
      </c>
      <c r="H1193" t="str">
        <f t="shared" si="143"/>
        <v>Freshwater_crayfish</v>
      </c>
      <c r="I1193" t="str">
        <f t="shared" si="144"/>
        <v>Kōura</v>
      </c>
      <c r="J1193" t="str">
        <f t="shared" si="145"/>
        <v>Native</v>
      </c>
      <c r="K1193" t="str">
        <f t="shared" si="146"/>
        <v>Yes</v>
      </c>
      <c r="L1193" t="s">
        <v>223</v>
      </c>
      <c r="M1193">
        <v>20.07</v>
      </c>
      <c r="N1193">
        <v>5</v>
      </c>
      <c r="O1193">
        <v>1</v>
      </c>
      <c r="T1193" t="str">
        <f t="shared" si="147"/>
        <v/>
      </c>
    </row>
    <row r="1194" spans="1:20" x14ac:dyDescent="0.55000000000000004">
      <c r="A1194">
        <v>109</v>
      </c>
      <c r="B1194" t="str">
        <f t="shared" si="148"/>
        <v>109_0</v>
      </c>
      <c r="C1194" s="2">
        <v>45597.541666608799</v>
      </c>
      <c r="D1194" t="s">
        <v>245</v>
      </c>
      <c r="E1194">
        <v>2</v>
      </c>
      <c r="F1194" t="s">
        <v>222</v>
      </c>
      <c r="G1194" t="str">
        <f t="shared" si="142"/>
        <v>Paranephrops planifrons</v>
      </c>
      <c r="H1194" t="str">
        <f t="shared" si="143"/>
        <v>Freshwater_crayfish</v>
      </c>
      <c r="I1194" t="str">
        <f t="shared" si="144"/>
        <v>Kōura</v>
      </c>
      <c r="J1194" t="str">
        <f t="shared" si="145"/>
        <v>Native</v>
      </c>
      <c r="K1194" t="str">
        <f t="shared" si="146"/>
        <v>Yes</v>
      </c>
      <c r="L1194" t="s">
        <v>228</v>
      </c>
      <c r="M1194">
        <v>20</v>
      </c>
      <c r="N1194">
        <v>12</v>
      </c>
      <c r="O1194">
        <v>1</v>
      </c>
      <c r="T1194" t="str">
        <f t="shared" si="147"/>
        <v/>
      </c>
    </row>
    <row r="1195" spans="1:20" x14ac:dyDescent="0.55000000000000004">
      <c r="A1195">
        <v>109</v>
      </c>
      <c r="B1195" t="str">
        <f t="shared" si="148"/>
        <v>109_0</v>
      </c>
      <c r="C1195" s="2">
        <v>45597.541666608799</v>
      </c>
      <c r="D1195" t="s">
        <v>245</v>
      </c>
      <c r="E1195">
        <v>2</v>
      </c>
      <c r="F1195" t="s">
        <v>222</v>
      </c>
      <c r="G1195" t="str">
        <f t="shared" si="142"/>
        <v>Paranephrops planifrons</v>
      </c>
      <c r="H1195" t="str">
        <f t="shared" si="143"/>
        <v>Freshwater_crayfish</v>
      </c>
      <c r="I1195" t="str">
        <f t="shared" si="144"/>
        <v>Kōura</v>
      </c>
      <c r="J1195" t="str">
        <f t="shared" si="145"/>
        <v>Native</v>
      </c>
      <c r="K1195" t="str">
        <f t="shared" si="146"/>
        <v>Yes</v>
      </c>
      <c r="L1195" t="s">
        <v>223</v>
      </c>
      <c r="M1195">
        <v>20</v>
      </c>
      <c r="N1195">
        <v>9</v>
      </c>
      <c r="O1195">
        <v>1</v>
      </c>
      <c r="R1195">
        <v>1</v>
      </c>
      <c r="T1195" t="str">
        <f t="shared" si="147"/>
        <v/>
      </c>
    </row>
    <row r="1196" spans="1:20" x14ac:dyDescent="0.55000000000000004">
      <c r="A1196">
        <v>109</v>
      </c>
      <c r="B1196" t="str">
        <f t="shared" ref="B1196:B1202" si="149">A1196 &amp; "_0"</f>
        <v>109_0</v>
      </c>
      <c r="C1196" s="2">
        <v>45597.541666608799</v>
      </c>
      <c r="D1196" t="s">
        <v>245</v>
      </c>
      <c r="E1196">
        <v>2</v>
      </c>
      <c r="F1196" t="s">
        <v>222</v>
      </c>
      <c r="G1196" t="str">
        <f t="shared" si="142"/>
        <v>Paranephrops planifrons</v>
      </c>
      <c r="H1196" t="str">
        <f t="shared" si="143"/>
        <v>Freshwater_crayfish</v>
      </c>
      <c r="I1196" t="str">
        <f t="shared" si="144"/>
        <v>Kōura</v>
      </c>
      <c r="J1196" t="str">
        <f t="shared" si="145"/>
        <v>Native</v>
      </c>
      <c r="K1196" t="str">
        <f t="shared" si="146"/>
        <v>Yes</v>
      </c>
      <c r="L1196" t="s">
        <v>223</v>
      </c>
      <c r="M1196">
        <v>20</v>
      </c>
      <c r="N1196">
        <v>7</v>
      </c>
      <c r="O1196">
        <v>1</v>
      </c>
      <c r="T1196" t="str">
        <f t="shared" si="147"/>
        <v/>
      </c>
    </row>
    <row r="1197" spans="1:20" x14ac:dyDescent="0.55000000000000004">
      <c r="A1197">
        <v>110</v>
      </c>
      <c r="B1197" t="str">
        <f t="shared" si="149"/>
        <v>110_0</v>
      </c>
      <c r="C1197" s="2">
        <v>45597.493055497682</v>
      </c>
      <c r="D1197" t="s">
        <v>221</v>
      </c>
      <c r="E1197">
        <v>2</v>
      </c>
      <c r="F1197" t="s">
        <v>222</v>
      </c>
      <c r="G1197" t="str">
        <f t="shared" si="142"/>
        <v>Paranephrops planifrons</v>
      </c>
      <c r="H1197" t="str">
        <f t="shared" si="143"/>
        <v>Freshwater_crayfish</v>
      </c>
      <c r="I1197" t="str">
        <f t="shared" si="144"/>
        <v>Kōura</v>
      </c>
      <c r="J1197" t="str">
        <f t="shared" si="145"/>
        <v>Native</v>
      </c>
      <c r="K1197" t="str">
        <f t="shared" si="146"/>
        <v>Yes</v>
      </c>
      <c r="L1197" t="s">
        <v>223</v>
      </c>
      <c r="M1197">
        <v>20</v>
      </c>
      <c r="N1197">
        <v>7</v>
      </c>
      <c r="O1197">
        <v>1</v>
      </c>
      <c r="T1197" t="str">
        <f t="shared" si="147"/>
        <v/>
      </c>
    </row>
    <row r="1198" spans="1:20" x14ac:dyDescent="0.55000000000000004">
      <c r="A1198">
        <v>117</v>
      </c>
      <c r="B1198" t="str">
        <f t="shared" si="149"/>
        <v>117_0</v>
      </c>
      <c r="C1198" s="2">
        <v>45597.520833333336</v>
      </c>
      <c r="D1198" t="s">
        <v>221</v>
      </c>
      <c r="E1198">
        <v>2</v>
      </c>
      <c r="F1198" t="s">
        <v>222</v>
      </c>
      <c r="G1198" t="str">
        <f t="shared" si="142"/>
        <v>Paranephrops planifrons</v>
      </c>
      <c r="H1198" t="str">
        <f t="shared" si="143"/>
        <v>Freshwater_crayfish</v>
      </c>
      <c r="I1198" t="str">
        <f t="shared" si="144"/>
        <v>Kōura</v>
      </c>
      <c r="J1198" t="str">
        <f t="shared" si="145"/>
        <v>Native</v>
      </c>
      <c r="K1198" t="str">
        <f t="shared" si="146"/>
        <v>Yes</v>
      </c>
      <c r="L1198" t="s">
        <v>228</v>
      </c>
      <c r="M1198">
        <v>20</v>
      </c>
      <c r="N1198">
        <v>7</v>
      </c>
      <c r="O1198">
        <v>1</v>
      </c>
      <c r="T1198" t="str">
        <f t="shared" si="147"/>
        <v/>
      </c>
    </row>
    <row r="1199" spans="1:20" x14ac:dyDescent="0.55000000000000004">
      <c r="A1199">
        <v>102</v>
      </c>
      <c r="B1199" t="str">
        <f t="shared" si="149"/>
        <v>102_0</v>
      </c>
      <c r="C1199" s="2">
        <v>45603.477083275466</v>
      </c>
      <c r="D1199" t="s">
        <v>245</v>
      </c>
      <c r="E1199">
        <v>2</v>
      </c>
      <c r="F1199" t="s">
        <v>222</v>
      </c>
      <c r="G1199" t="str">
        <f t="shared" si="142"/>
        <v>Paranephrops planifrons</v>
      </c>
      <c r="H1199" t="str">
        <f t="shared" si="143"/>
        <v>Freshwater_crayfish</v>
      </c>
      <c r="I1199" t="str">
        <f t="shared" si="144"/>
        <v>Kōura</v>
      </c>
      <c r="J1199" t="str">
        <f t="shared" si="145"/>
        <v>Native</v>
      </c>
      <c r="K1199" t="str">
        <f t="shared" si="146"/>
        <v>Yes</v>
      </c>
      <c r="L1199" t="s">
        <v>228</v>
      </c>
      <c r="M1199">
        <v>20</v>
      </c>
      <c r="N1199">
        <v>6</v>
      </c>
      <c r="O1199">
        <v>1</v>
      </c>
      <c r="T1199" t="str">
        <f t="shared" si="147"/>
        <v/>
      </c>
    </row>
    <row r="1200" spans="1:20" x14ac:dyDescent="0.55000000000000004">
      <c r="A1200">
        <v>110</v>
      </c>
      <c r="B1200" t="str">
        <f t="shared" si="149"/>
        <v>110_0</v>
      </c>
      <c r="C1200" s="2">
        <v>45597.493055497682</v>
      </c>
      <c r="D1200" t="s">
        <v>221</v>
      </c>
      <c r="E1200">
        <v>2</v>
      </c>
      <c r="F1200" t="s">
        <v>222</v>
      </c>
      <c r="G1200" t="str">
        <f t="shared" si="142"/>
        <v>Paranephrops planifrons</v>
      </c>
      <c r="H1200" t="str">
        <f t="shared" si="143"/>
        <v>Freshwater_crayfish</v>
      </c>
      <c r="I1200" t="str">
        <f t="shared" si="144"/>
        <v>Kōura</v>
      </c>
      <c r="J1200" t="str">
        <f t="shared" si="145"/>
        <v>Native</v>
      </c>
      <c r="K1200" t="str">
        <f t="shared" si="146"/>
        <v>Yes</v>
      </c>
      <c r="L1200" t="s">
        <v>228</v>
      </c>
      <c r="M1200">
        <v>20</v>
      </c>
      <c r="N1200">
        <v>6</v>
      </c>
      <c r="O1200">
        <v>1</v>
      </c>
      <c r="T1200" t="str">
        <f t="shared" si="147"/>
        <v/>
      </c>
    </row>
    <row r="1201" spans="1:20" x14ac:dyDescent="0.55000000000000004">
      <c r="A1201">
        <v>120</v>
      </c>
      <c r="B1201" t="str">
        <f t="shared" si="149"/>
        <v>120_0</v>
      </c>
      <c r="C1201" s="2">
        <v>45597.429166666669</v>
      </c>
      <c r="D1201" t="s">
        <v>221</v>
      </c>
      <c r="E1201">
        <v>2</v>
      </c>
      <c r="F1201" t="s">
        <v>222</v>
      </c>
      <c r="G1201" t="str">
        <f t="shared" si="142"/>
        <v>Paranephrops planifrons</v>
      </c>
      <c r="H1201" t="str">
        <f t="shared" si="143"/>
        <v>Freshwater_crayfish</v>
      </c>
      <c r="I1201" t="str">
        <f t="shared" si="144"/>
        <v>Kōura</v>
      </c>
      <c r="J1201" t="str">
        <f t="shared" si="145"/>
        <v>Native</v>
      </c>
      <c r="K1201" t="str">
        <f t="shared" si="146"/>
        <v>Yes</v>
      </c>
      <c r="L1201" t="s">
        <v>228</v>
      </c>
      <c r="M1201">
        <v>20</v>
      </c>
      <c r="N1201">
        <v>6</v>
      </c>
      <c r="O1201">
        <v>1</v>
      </c>
      <c r="T1201" t="str">
        <f t="shared" si="147"/>
        <v/>
      </c>
    </row>
    <row r="1202" spans="1:20" x14ac:dyDescent="0.55000000000000004">
      <c r="A1202">
        <v>117</v>
      </c>
      <c r="B1202" t="str">
        <f t="shared" si="149"/>
        <v>117_0</v>
      </c>
      <c r="C1202" s="2">
        <v>45597.520833333336</v>
      </c>
      <c r="D1202" t="s">
        <v>221</v>
      </c>
      <c r="E1202">
        <v>2</v>
      </c>
      <c r="F1202" t="s">
        <v>222</v>
      </c>
      <c r="G1202" t="str">
        <f t="shared" si="142"/>
        <v>Paranephrops planifrons</v>
      </c>
      <c r="H1202" t="str">
        <f t="shared" si="143"/>
        <v>Freshwater_crayfish</v>
      </c>
      <c r="I1202" t="str">
        <f t="shared" si="144"/>
        <v>Kōura</v>
      </c>
      <c r="J1202" t="str">
        <f t="shared" si="145"/>
        <v>Native</v>
      </c>
      <c r="K1202" t="str">
        <f t="shared" si="146"/>
        <v>Yes</v>
      </c>
      <c r="L1202" t="s">
        <v>228</v>
      </c>
      <c r="M1202">
        <v>20</v>
      </c>
      <c r="N1202">
        <v>5</v>
      </c>
      <c r="O1202">
        <v>1</v>
      </c>
      <c r="T1202" t="str">
        <f t="shared" si="147"/>
        <v/>
      </c>
    </row>
    <row r="1203" spans="1:20" x14ac:dyDescent="0.55000000000000004">
      <c r="A1203">
        <v>109</v>
      </c>
      <c r="B1203" t="str">
        <f>A1203 &amp; "_1"</f>
        <v>109_1</v>
      </c>
      <c r="C1203" s="2">
        <v>45680.416666608799</v>
      </c>
      <c r="D1203" t="s">
        <v>245</v>
      </c>
      <c r="E1203">
        <v>2</v>
      </c>
      <c r="F1203" t="s">
        <v>242</v>
      </c>
      <c r="G1203" t="str">
        <f t="shared" si="142"/>
        <v>Gobiomorphus cotidianus</v>
      </c>
      <c r="H1203" t="str">
        <f t="shared" si="143"/>
        <v>Common_bully</v>
      </c>
      <c r="I1203" t="str">
        <f t="shared" si="144"/>
        <v>Toitoi</v>
      </c>
      <c r="J1203" t="str">
        <f t="shared" si="145"/>
        <v>Native</v>
      </c>
      <c r="K1203" t="str">
        <f t="shared" si="146"/>
        <v>No</v>
      </c>
      <c r="N1203">
        <f>129-117</f>
        <v>12</v>
      </c>
      <c r="O1203">
        <v>12</v>
      </c>
      <c r="T1203" t="str">
        <f t="shared" si="147"/>
        <v/>
      </c>
    </row>
    <row r="1204" spans="1:20" x14ac:dyDescent="0.55000000000000004">
      <c r="A1204">
        <v>109</v>
      </c>
      <c r="B1204" t="str">
        <f>A1204 &amp; "_1"</f>
        <v>109_1</v>
      </c>
      <c r="C1204" s="2">
        <v>45680.416666608799</v>
      </c>
      <c r="D1204" t="s">
        <v>221</v>
      </c>
      <c r="E1204">
        <v>2</v>
      </c>
      <c r="F1204" t="s">
        <v>243</v>
      </c>
      <c r="G1204" t="str">
        <f t="shared" si="142"/>
        <v>Retropinna retropinna</v>
      </c>
      <c r="H1204" t="str">
        <f t="shared" si="143"/>
        <v>Common_smelt</v>
      </c>
      <c r="I1204" t="str">
        <f t="shared" si="144"/>
        <v>Common_smelt</v>
      </c>
      <c r="J1204" t="str">
        <f t="shared" si="145"/>
        <v>Native</v>
      </c>
      <c r="K1204" t="str">
        <f t="shared" si="146"/>
        <v>No</v>
      </c>
      <c r="N1204">
        <f>122-117</f>
        <v>5</v>
      </c>
      <c r="O1204">
        <v>13</v>
      </c>
      <c r="T1204" t="str">
        <f t="shared" si="147"/>
        <v/>
      </c>
    </row>
    <row r="1205" spans="1:20" x14ac:dyDescent="0.55000000000000004">
      <c r="A1205">
        <v>120</v>
      </c>
      <c r="B1205" t="str">
        <f t="shared" ref="B1205:B1215" si="150">A1205 &amp; "_0"</f>
        <v>120_0</v>
      </c>
      <c r="C1205" s="2">
        <v>45597.429166666669</v>
      </c>
      <c r="D1205" t="s">
        <v>221</v>
      </c>
      <c r="E1205">
        <v>2</v>
      </c>
      <c r="F1205" t="s">
        <v>222</v>
      </c>
      <c r="G1205" t="str">
        <f t="shared" si="142"/>
        <v>Paranephrops planifrons</v>
      </c>
      <c r="H1205" t="str">
        <f t="shared" si="143"/>
        <v>Freshwater_crayfish</v>
      </c>
      <c r="I1205" t="str">
        <f t="shared" si="144"/>
        <v>Kōura</v>
      </c>
      <c r="J1205" t="str">
        <f t="shared" si="145"/>
        <v>Native</v>
      </c>
      <c r="K1205" t="str">
        <f t="shared" si="146"/>
        <v>Yes</v>
      </c>
      <c r="L1205" t="s">
        <v>228</v>
      </c>
      <c r="M1205">
        <v>20</v>
      </c>
      <c r="N1205">
        <v>5</v>
      </c>
      <c r="O1205">
        <v>1</v>
      </c>
      <c r="T1205" t="str">
        <f t="shared" si="147"/>
        <v/>
      </c>
    </row>
    <row r="1206" spans="1:20" x14ac:dyDescent="0.55000000000000004">
      <c r="A1206">
        <v>117</v>
      </c>
      <c r="B1206" t="str">
        <f t="shared" si="150"/>
        <v>117_0</v>
      </c>
      <c r="C1206" s="2">
        <v>45597.520833333336</v>
      </c>
      <c r="D1206" t="s">
        <v>221</v>
      </c>
      <c r="E1206">
        <v>2</v>
      </c>
      <c r="F1206" t="s">
        <v>222</v>
      </c>
      <c r="G1206" t="str">
        <f t="shared" si="142"/>
        <v>Paranephrops planifrons</v>
      </c>
      <c r="H1206" t="str">
        <f t="shared" si="143"/>
        <v>Freshwater_crayfish</v>
      </c>
      <c r="I1206" t="str">
        <f t="shared" si="144"/>
        <v>Kōura</v>
      </c>
      <c r="J1206" t="str">
        <f t="shared" si="145"/>
        <v>Native</v>
      </c>
      <c r="K1206" t="str">
        <f t="shared" si="146"/>
        <v>Yes</v>
      </c>
      <c r="L1206" t="s">
        <v>223</v>
      </c>
      <c r="M1206">
        <v>20</v>
      </c>
      <c r="N1206">
        <v>3</v>
      </c>
      <c r="O1206">
        <v>1</v>
      </c>
      <c r="T1206" t="str">
        <f t="shared" si="147"/>
        <v/>
      </c>
    </row>
    <row r="1207" spans="1:20" x14ac:dyDescent="0.55000000000000004">
      <c r="A1207">
        <v>97</v>
      </c>
      <c r="B1207" t="str">
        <f t="shared" si="150"/>
        <v>97_0</v>
      </c>
      <c r="C1207" s="2">
        <v>45603.524305439816</v>
      </c>
      <c r="D1207" t="s">
        <v>221</v>
      </c>
      <c r="E1207">
        <v>2</v>
      </c>
      <c r="F1207" t="s">
        <v>222</v>
      </c>
      <c r="G1207" t="str">
        <f t="shared" si="142"/>
        <v>Paranephrops planifrons</v>
      </c>
      <c r="H1207" t="str">
        <f t="shared" si="143"/>
        <v>Freshwater_crayfish</v>
      </c>
      <c r="I1207" t="str">
        <f t="shared" si="144"/>
        <v>Kōura</v>
      </c>
      <c r="J1207" t="str">
        <f t="shared" si="145"/>
        <v>Native</v>
      </c>
      <c r="K1207" t="str">
        <f t="shared" si="146"/>
        <v>Yes</v>
      </c>
      <c r="L1207" t="s">
        <v>228</v>
      </c>
      <c r="M1207">
        <v>20</v>
      </c>
      <c r="O1207">
        <v>1</v>
      </c>
      <c r="T1207" t="str">
        <f t="shared" si="147"/>
        <v/>
      </c>
    </row>
    <row r="1208" spans="1:20" x14ac:dyDescent="0.55000000000000004">
      <c r="A1208">
        <v>98</v>
      </c>
      <c r="B1208" t="str">
        <f t="shared" si="150"/>
        <v>98_0</v>
      </c>
      <c r="C1208" s="2">
        <v>45603.5625</v>
      </c>
      <c r="D1208" t="s">
        <v>221</v>
      </c>
      <c r="E1208">
        <v>2</v>
      </c>
      <c r="F1208" t="s">
        <v>222</v>
      </c>
      <c r="G1208" t="str">
        <f t="shared" si="142"/>
        <v>Paranephrops planifrons</v>
      </c>
      <c r="H1208" t="str">
        <f t="shared" si="143"/>
        <v>Freshwater_crayfish</v>
      </c>
      <c r="I1208" t="str">
        <f t="shared" si="144"/>
        <v>Kōura</v>
      </c>
      <c r="J1208" t="str">
        <f t="shared" si="145"/>
        <v>Native</v>
      </c>
      <c r="K1208" t="str">
        <f t="shared" si="146"/>
        <v>Yes</v>
      </c>
      <c r="L1208" t="s">
        <v>223</v>
      </c>
      <c r="M1208">
        <v>19.82</v>
      </c>
      <c r="O1208">
        <v>1</v>
      </c>
      <c r="T1208" t="str">
        <f t="shared" si="147"/>
        <v/>
      </c>
    </row>
    <row r="1209" spans="1:20" x14ac:dyDescent="0.55000000000000004">
      <c r="A1209">
        <v>76</v>
      </c>
      <c r="B1209" t="str">
        <f t="shared" si="150"/>
        <v>76_0</v>
      </c>
      <c r="C1209" s="2">
        <v>45673.348611111112</v>
      </c>
      <c r="D1209" t="s">
        <v>221</v>
      </c>
      <c r="E1209">
        <v>2</v>
      </c>
      <c r="F1209" t="s">
        <v>222</v>
      </c>
      <c r="G1209" t="str">
        <f t="shared" si="142"/>
        <v>Paranephrops planifrons</v>
      </c>
      <c r="H1209" t="str">
        <f t="shared" si="143"/>
        <v>Freshwater_crayfish</v>
      </c>
      <c r="I1209" t="str">
        <f t="shared" si="144"/>
        <v>Kōura</v>
      </c>
      <c r="J1209" t="str">
        <f t="shared" si="145"/>
        <v>Native</v>
      </c>
      <c r="K1209" t="str">
        <f t="shared" si="146"/>
        <v>Yes</v>
      </c>
      <c r="L1209" t="s">
        <v>223</v>
      </c>
      <c r="M1209">
        <v>19.690000000000001</v>
      </c>
      <c r="N1209">
        <v>5</v>
      </c>
      <c r="O1209">
        <v>1</v>
      </c>
      <c r="T1209" t="str">
        <f t="shared" si="147"/>
        <v/>
      </c>
    </row>
    <row r="1210" spans="1:20" x14ac:dyDescent="0.55000000000000004">
      <c r="A1210">
        <v>77</v>
      </c>
      <c r="B1210" t="str">
        <f t="shared" si="150"/>
        <v>77_0</v>
      </c>
      <c r="C1210" s="2">
        <v>45674.520833333336</v>
      </c>
      <c r="D1210" t="s">
        <v>221</v>
      </c>
      <c r="E1210">
        <v>2</v>
      </c>
      <c r="F1210" t="s">
        <v>222</v>
      </c>
      <c r="G1210" t="str">
        <f t="shared" si="142"/>
        <v>Paranephrops planifrons</v>
      </c>
      <c r="H1210" t="str">
        <f t="shared" si="143"/>
        <v>Freshwater_crayfish</v>
      </c>
      <c r="I1210" t="str">
        <f t="shared" si="144"/>
        <v>Kōura</v>
      </c>
      <c r="J1210" t="str">
        <f t="shared" si="145"/>
        <v>Native</v>
      </c>
      <c r="K1210" t="str">
        <f t="shared" si="146"/>
        <v>Yes</v>
      </c>
      <c r="L1210" t="s">
        <v>223</v>
      </c>
      <c r="M1210">
        <v>19.649999999999999</v>
      </c>
      <c r="N1210">
        <v>8</v>
      </c>
      <c r="O1210">
        <v>1</v>
      </c>
      <c r="T1210" t="str">
        <f t="shared" si="147"/>
        <v/>
      </c>
    </row>
    <row r="1211" spans="1:20" x14ac:dyDescent="0.55000000000000004">
      <c r="A1211">
        <v>76</v>
      </c>
      <c r="B1211" t="str">
        <f t="shared" si="150"/>
        <v>76_0</v>
      </c>
      <c r="C1211" s="2">
        <v>45673.348611111112</v>
      </c>
      <c r="D1211" t="s">
        <v>221</v>
      </c>
      <c r="E1211">
        <v>2</v>
      </c>
      <c r="F1211" t="s">
        <v>222</v>
      </c>
      <c r="G1211" t="str">
        <f t="shared" si="142"/>
        <v>Paranephrops planifrons</v>
      </c>
      <c r="H1211" t="str">
        <f t="shared" si="143"/>
        <v>Freshwater_crayfish</v>
      </c>
      <c r="I1211" t="str">
        <f t="shared" si="144"/>
        <v>Kōura</v>
      </c>
      <c r="J1211" t="str">
        <f t="shared" si="145"/>
        <v>Native</v>
      </c>
      <c r="K1211" t="str">
        <f t="shared" si="146"/>
        <v>Yes</v>
      </c>
      <c r="L1211" t="s">
        <v>228</v>
      </c>
      <c r="M1211">
        <v>19.63</v>
      </c>
      <c r="N1211">
        <v>5</v>
      </c>
      <c r="O1211">
        <v>1</v>
      </c>
      <c r="T1211" t="str">
        <f t="shared" si="147"/>
        <v/>
      </c>
    </row>
    <row r="1212" spans="1:20" x14ac:dyDescent="0.55000000000000004">
      <c r="A1212">
        <v>68</v>
      </c>
      <c r="B1212" t="str">
        <f t="shared" si="150"/>
        <v>68_0</v>
      </c>
      <c r="C1212" s="2">
        <v>45709.493055497682</v>
      </c>
      <c r="D1212" t="s">
        <v>221</v>
      </c>
      <c r="E1212">
        <v>2</v>
      </c>
      <c r="F1212" t="s">
        <v>222</v>
      </c>
      <c r="G1212" t="str">
        <f t="shared" si="142"/>
        <v>Paranephrops planifrons</v>
      </c>
      <c r="H1212" t="str">
        <f t="shared" si="143"/>
        <v>Freshwater_crayfish</v>
      </c>
      <c r="I1212" t="str">
        <f t="shared" si="144"/>
        <v>Kōura</v>
      </c>
      <c r="J1212" t="str">
        <f t="shared" si="145"/>
        <v>Native</v>
      </c>
      <c r="K1212" t="str">
        <f t="shared" si="146"/>
        <v>Yes</v>
      </c>
      <c r="L1212" t="s">
        <v>228</v>
      </c>
      <c r="M1212">
        <v>19.3</v>
      </c>
      <c r="N1212">
        <v>3</v>
      </c>
      <c r="O1212">
        <v>1</v>
      </c>
      <c r="T1212" t="str">
        <f t="shared" si="147"/>
        <v/>
      </c>
    </row>
    <row r="1213" spans="1:20" x14ac:dyDescent="0.55000000000000004">
      <c r="A1213">
        <v>98</v>
      </c>
      <c r="B1213" t="str">
        <f t="shared" si="150"/>
        <v>98_0</v>
      </c>
      <c r="C1213" s="2">
        <v>45603.5625</v>
      </c>
      <c r="D1213" t="s">
        <v>245</v>
      </c>
      <c r="E1213">
        <v>2</v>
      </c>
      <c r="F1213" t="s">
        <v>222</v>
      </c>
      <c r="G1213" t="str">
        <f t="shared" si="142"/>
        <v>Paranephrops planifrons</v>
      </c>
      <c r="H1213" t="str">
        <f t="shared" si="143"/>
        <v>Freshwater_crayfish</v>
      </c>
      <c r="I1213" t="str">
        <f t="shared" si="144"/>
        <v>Kōura</v>
      </c>
      <c r="J1213" t="str">
        <f t="shared" si="145"/>
        <v>Native</v>
      </c>
      <c r="K1213" t="str">
        <f t="shared" si="146"/>
        <v>Yes</v>
      </c>
      <c r="L1213" t="s">
        <v>223</v>
      </c>
      <c r="M1213">
        <v>19.29</v>
      </c>
      <c r="O1213">
        <v>1</v>
      </c>
      <c r="T1213" t="str">
        <f t="shared" si="147"/>
        <v/>
      </c>
    </row>
    <row r="1214" spans="1:20" x14ac:dyDescent="0.55000000000000004">
      <c r="A1214">
        <v>77</v>
      </c>
      <c r="B1214" t="str">
        <f t="shared" si="150"/>
        <v>77_0</v>
      </c>
      <c r="C1214" s="2">
        <v>45674.520833333336</v>
      </c>
      <c r="D1214" t="s">
        <v>221</v>
      </c>
      <c r="E1214">
        <v>2</v>
      </c>
      <c r="F1214" t="s">
        <v>222</v>
      </c>
      <c r="G1214" t="str">
        <f t="shared" si="142"/>
        <v>Paranephrops planifrons</v>
      </c>
      <c r="H1214" t="str">
        <f t="shared" si="143"/>
        <v>Freshwater_crayfish</v>
      </c>
      <c r="I1214" t="str">
        <f t="shared" si="144"/>
        <v>Kōura</v>
      </c>
      <c r="J1214" t="str">
        <f t="shared" si="145"/>
        <v>Native</v>
      </c>
      <c r="K1214" t="str">
        <f t="shared" si="146"/>
        <v>Yes</v>
      </c>
      <c r="L1214" t="s">
        <v>223</v>
      </c>
      <c r="M1214">
        <v>19.149999999999999</v>
      </c>
      <c r="N1214">
        <v>3</v>
      </c>
      <c r="O1214">
        <v>1</v>
      </c>
      <c r="T1214" t="str">
        <f t="shared" si="147"/>
        <v/>
      </c>
    </row>
    <row r="1215" spans="1:20" x14ac:dyDescent="0.55000000000000004">
      <c r="A1215">
        <v>73</v>
      </c>
      <c r="B1215" t="str">
        <f t="shared" si="150"/>
        <v>73_0</v>
      </c>
      <c r="C1215" s="2">
        <v>45674.479166608799</v>
      </c>
      <c r="D1215" t="s">
        <v>221</v>
      </c>
      <c r="E1215">
        <v>2</v>
      </c>
      <c r="F1215" t="s">
        <v>222</v>
      </c>
      <c r="G1215" t="str">
        <f t="shared" si="142"/>
        <v>Paranephrops planifrons</v>
      </c>
      <c r="H1215" t="str">
        <f t="shared" si="143"/>
        <v>Freshwater_crayfish</v>
      </c>
      <c r="I1215" t="str">
        <f t="shared" si="144"/>
        <v>Kōura</v>
      </c>
      <c r="J1215" t="str">
        <f t="shared" si="145"/>
        <v>Native</v>
      </c>
      <c r="K1215" t="str">
        <f t="shared" si="146"/>
        <v>Yes</v>
      </c>
      <c r="L1215" t="s">
        <v>228</v>
      </c>
      <c r="M1215">
        <v>19.11</v>
      </c>
      <c r="N1215">
        <v>6</v>
      </c>
      <c r="O1215">
        <v>1</v>
      </c>
      <c r="T1215" t="str">
        <f t="shared" si="147"/>
        <v/>
      </c>
    </row>
    <row r="1216" spans="1:20" x14ac:dyDescent="0.55000000000000004">
      <c r="A1216">
        <v>109</v>
      </c>
      <c r="B1216" t="str">
        <f>A1216 &amp; "_1"</f>
        <v>109_1</v>
      </c>
      <c r="C1216" s="2">
        <v>45680.416666608799</v>
      </c>
      <c r="D1216" t="s">
        <v>221</v>
      </c>
      <c r="E1216">
        <v>2</v>
      </c>
      <c r="F1216" t="s">
        <v>242</v>
      </c>
      <c r="G1216" t="str">
        <f t="shared" si="142"/>
        <v>Gobiomorphus cotidianus</v>
      </c>
      <c r="H1216" t="str">
        <f t="shared" si="143"/>
        <v>Common_bully</v>
      </c>
      <c r="I1216" t="str">
        <f t="shared" si="144"/>
        <v>Toitoi</v>
      </c>
      <c r="J1216" t="str">
        <f t="shared" si="145"/>
        <v>Native</v>
      </c>
      <c r="K1216" t="str">
        <f t="shared" si="146"/>
        <v>No</v>
      </c>
      <c r="N1216">
        <f>224-117</f>
        <v>107</v>
      </c>
      <c r="O1216">
        <v>232</v>
      </c>
      <c r="T1216" t="str">
        <f t="shared" si="147"/>
        <v/>
      </c>
    </row>
    <row r="1217" spans="1:20" x14ac:dyDescent="0.55000000000000004">
      <c r="A1217">
        <v>95</v>
      </c>
      <c r="B1217" t="str">
        <f t="shared" ref="B1217:B1222" si="151">A1217 &amp; "_0"</f>
        <v>95_0</v>
      </c>
      <c r="C1217" s="2">
        <v>45638.520833333336</v>
      </c>
      <c r="D1217" t="s">
        <v>245</v>
      </c>
      <c r="E1217">
        <v>2</v>
      </c>
      <c r="F1217" t="s">
        <v>222</v>
      </c>
      <c r="G1217" t="str">
        <f t="shared" si="142"/>
        <v>Paranephrops planifrons</v>
      </c>
      <c r="H1217" t="str">
        <f t="shared" si="143"/>
        <v>Freshwater_crayfish</v>
      </c>
      <c r="I1217" t="str">
        <f t="shared" si="144"/>
        <v>Kōura</v>
      </c>
      <c r="J1217" t="str">
        <f t="shared" si="145"/>
        <v>Native</v>
      </c>
      <c r="K1217" t="str">
        <f t="shared" si="146"/>
        <v>Yes</v>
      </c>
      <c r="L1217" t="s">
        <v>223</v>
      </c>
      <c r="M1217">
        <v>19</v>
      </c>
      <c r="N1217">
        <v>9</v>
      </c>
      <c r="O1217">
        <v>1</v>
      </c>
      <c r="T1217" t="str">
        <f t="shared" si="147"/>
        <v/>
      </c>
    </row>
    <row r="1218" spans="1:20" x14ac:dyDescent="0.55000000000000004">
      <c r="A1218">
        <v>109</v>
      </c>
      <c r="B1218" t="str">
        <f t="shared" si="151"/>
        <v>109_0</v>
      </c>
      <c r="C1218" s="2">
        <v>45597.541666666664</v>
      </c>
      <c r="D1218" t="s">
        <v>221</v>
      </c>
      <c r="E1218">
        <v>2</v>
      </c>
      <c r="F1218" t="s">
        <v>222</v>
      </c>
      <c r="G1218" t="str">
        <f t="shared" ref="G1218:G1281" si="152">VLOOKUP($F1218, $W$1:$AB$10, 2, FALSE)</f>
        <v>Paranephrops planifrons</v>
      </c>
      <c r="H1218" t="str">
        <f t="shared" ref="H1218:H1281" si="153">VLOOKUP($F1218, $W$1:$AB$10, 3, FALSE)</f>
        <v>Freshwater_crayfish</v>
      </c>
      <c r="I1218" t="str">
        <f t="shared" ref="I1218:I1281" si="154">VLOOKUP($F1218, $W$1:$AB$10, 4, FALSE)</f>
        <v>Kōura</v>
      </c>
      <c r="J1218" t="str">
        <f t="shared" ref="J1218:J1281" si="155">VLOOKUP($F1218, $W$1:$AC$10, 5, FALSE)</f>
        <v>Native</v>
      </c>
      <c r="K1218" t="str">
        <f t="shared" ref="K1218:K1281" si="156">VLOOKUP($F1218, $W$1:$AB$10, 6, FALSE)</f>
        <v>Yes</v>
      </c>
      <c r="L1218" t="s">
        <v>228</v>
      </c>
      <c r="M1218">
        <v>19</v>
      </c>
      <c r="N1218">
        <v>7</v>
      </c>
      <c r="O1218">
        <v>1</v>
      </c>
      <c r="T1218" t="str">
        <f t="shared" si="147"/>
        <v/>
      </c>
    </row>
    <row r="1219" spans="1:20" x14ac:dyDescent="0.55000000000000004">
      <c r="A1219">
        <v>120</v>
      </c>
      <c r="B1219" t="str">
        <f t="shared" si="151"/>
        <v>120_0</v>
      </c>
      <c r="C1219" s="2">
        <v>45597.429166666669</v>
      </c>
      <c r="D1219" t="s">
        <v>221</v>
      </c>
      <c r="E1219">
        <v>2</v>
      </c>
      <c r="F1219" t="s">
        <v>222</v>
      </c>
      <c r="G1219" t="str">
        <f t="shared" si="152"/>
        <v>Paranephrops planifrons</v>
      </c>
      <c r="H1219" t="str">
        <f t="shared" si="153"/>
        <v>Freshwater_crayfish</v>
      </c>
      <c r="I1219" t="str">
        <f t="shared" si="154"/>
        <v>Kōura</v>
      </c>
      <c r="J1219" t="str">
        <f t="shared" si="155"/>
        <v>Native</v>
      </c>
      <c r="K1219" t="str">
        <f t="shared" si="156"/>
        <v>Yes</v>
      </c>
      <c r="L1219" t="s">
        <v>228</v>
      </c>
      <c r="M1219">
        <v>19</v>
      </c>
      <c r="N1219">
        <v>7</v>
      </c>
      <c r="O1219">
        <v>1</v>
      </c>
      <c r="T1219" t="str">
        <f t="shared" si="147"/>
        <v/>
      </c>
    </row>
    <row r="1220" spans="1:20" x14ac:dyDescent="0.55000000000000004">
      <c r="A1220">
        <v>120</v>
      </c>
      <c r="B1220" t="str">
        <f t="shared" si="151"/>
        <v>120_0</v>
      </c>
      <c r="C1220" s="2">
        <v>45597.429166666669</v>
      </c>
      <c r="D1220" t="s">
        <v>221</v>
      </c>
      <c r="E1220">
        <v>2</v>
      </c>
      <c r="F1220" t="s">
        <v>222</v>
      </c>
      <c r="G1220" t="str">
        <f t="shared" si="152"/>
        <v>Paranephrops planifrons</v>
      </c>
      <c r="H1220" t="str">
        <f t="shared" si="153"/>
        <v>Freshwater_crayfish</v>
      </c>
      <c r="I1220" t="str">
        <f t="shared" si="154"/>
        <v>Kōura</v>
      </c>
      <c r="J1220" t="str">
        <f t="shared" si="155"/>
        <v>Native</v>
      </c>
      <c r="K1220" t="str">
        <f t="shared" si="156"/>
        <v>Yes</v>
      </c>
      <c r="L1220" t="s">
        <v>228</v>
      </c>
      <c r="M1220">
        <v>19</v>
      </c>
      <c r="N1220">
        <v>6</v>
      </c>
      <c r="O1220">
        <v>1</v>
      </c>
      <c r="T1220" t="str">
        <f t="shared" si="147"/>
        <v/>
      </c>
    </row>
    <row r="1221" spans="1:20" x14ac:dyDescent="0.55000000000000004">
      <c r="A1221">
        <v>115</v>
      </c>
      <c r="B1221" t="str">
        <f t="shared" si="151"/>
        <v>115_0</v>
      </c>
      <c r="C1221" s="2">
        <v>45597.590277777781</v>
      </c>
      <c r="D1221" t="s">
        <v>221</v>
      </c>
      <c r="E1221">
        <v>2</v>
      </c>
      <c r="F1221" t="s">
        <v>222</v>
      </c>
      <c r="G1221" t="str">
        <f t="shared" si="152"/>
        <v>Paranephrops planifrons</v>
      </c>
      <c r="H1221" t="str">
        <f t="shared" si="153"/>
        <v>Freshwater_crayfish</v>
      </c>
      <c r="I1221" t="str">
        <f t="shared" si="154"/>
        <v>Kōura</v>
      </c>
      <c r="J1221" t="str">
        <f t="shared" si="155"/>
        <v>Native</v>
      </c>
      <c r="K1221" t="str">
        <f t="shared" si="156"/>
        <v>Yes</v>
      </c>
      <c r="L1221" t="s">
        <v>223</v>
      </c>
      <c r="M1221">
        <v>19</v>
      </c>
      <c r="N1221">
        <v>5</v>
      </c>
      <c r="O1221">
        <v>1</v>
      </c>
      <c r="T1221" t="str">
        <f t="shared" si="147"/>
        <v/>
      </c>
    </row>
    <row r="1222" spans="1:20" x14ac:dyDescent="0.55000000000000004">
      <c r="A1222">
        <v>119</v>
      </c>
      <c r="B1222" t="str">
        <f t="shared" si="151"/>
        <v>119_0</v>
      </c>
      <c r="C1222" s="2">
        <v>45597.395833333336</v>
      </c>
      <c r="D1222" t="s">
        <v>245</v>
      </c>
      <c r="E1222">
        <v>2</v>
      </c>
      <c r="F1222" t="s">
        <v>222</v>
      </c>
      <c r="G1222" t="str">
        <f t="shared" si="152"/>
        <v>Paranephrops planifrons</v>
      </c>
      <c r="H1222" t="str">
        <f t="shared" si="153"/>
        <v>Freshwater_crayfish</v>
      </c>
      <c r="I1222" t="str">
        <f t="shared" si="154"/>
        <v>Kōura</v>
      </c>
      <c r="J1222" t="str">
        <f t="shared" si="155"/>
        <v>Native</v>
      </c>
      <c r="K1222" t="str">
        <f t="shared" si="156"/>
        <v>Yes</v>
      </c>
      <c r="L1222" t="s">
        <v>228</v>
      </c>
      <c r="M1222">
        <v>19</v>
      </c>
      <c r="N1222">
        <v>5</v>
      </c>
      <c r="O1222">
        <v>1</v>
      </c>
      <c r="T1222" t="str">
        <f t="shared" si="147"/>
        <v/>
      </c>
    </row>
    <row r="1223" spans="1:20" x14ac:dyDescent="0.55000000000000004">
      <c r="A1223">
        <v>111</v>
      </c>
      <c r="B1223" t="str">
        <f t="shared" ref="B1223:B1228" si="157">A1223 &amp; "_1"</f>
        <v>111_1</v>
      </c>
      <c r="C1223" s="2">
        <v>45680.589583333334</v>
      </c>
      <c r="D1223" t="s">
        <v>245</v>
      </c>
      <c r="E1223">
        <v>2</v>
      </c>
      <c r="F1223" t="s">
        <v>233</v>
      </c>
      <c r="G1223" t="str">
        <f t="shared" si="152"/>
        <v>Galaxias brevipinnis</v>
      </c>
      <c r="H1223" t="str">
        <f t="shared" si="153"/>
        <v>Climbing_galaxias</v>
      </c>
      <c r="I1223" t="str">
        <f t="shared" si="154"/>
        <v>Kōaro</v>
      </c>
      <c r="J1223" t="str">
        <f t="shared" si="155"/>
        <v>Native</v>
      </c>
      <c r="K1223" t="str">
        <f t="shared" si="156"/>
        <v>Yes</v>
      </c>
      <c r="M1223">
        <v>80</v>
      </c>
      <c r="N1223">
        <v>6</v>
      </c>
      <c r="O1223">
        <v>1</v>
      </c>
      <c r="T1223" t="str">
        <f t="shared" si="147"/>
        <v/>
      </c>
    </row>
    <row r="1224" spans="1:20" x14ac:dyDescent="0.55000000000000004">
      <c r="A1224">
        <v>111</v>
      </c>
      <c r="B1224" t="str">
        <f t="shared" si="157"/>
        <v>111_1</v>
      </c>
      <c r="C1224" s="2">
        <v>45680.589583333334</v>
      </c>
      <c r="D1224" t="s">
        <v>245</v>
      </c>
      <c r="E1224">
        <v>2</v>
      </c>
      <c r="F1224" t="s">
        <v>242</v>
      </c>
      <c r="G1224" t="str">
        <f t="shared" si="152"/>
        <v>Gobiomorphus cotidianus</v>
      </c>
      <c r="H1224" t="str">
        <f t="shared" si="153"/>
        <v>Common_bully</v>
      </c>
      <c r="I1224" t="str">
        <f t="shared" si="154"/>
        <v>Toitoi</v>
      </c>
      <c r="J1224" t="str">
        <f t="shared" si="155"/>
        <v>Native</v>
      </c>
      <c r="K1224" t="str">
        <f t="shared" si="156"/>
        <v>No</v>
      </c>
      <c r="N1224">
        <f>147-117</f>
        <v>30</v>
      </c>
      <c r="T1224" t="str">
        <f t="shared" si="147"/>
        <v/>
      </c>
    </row>
    <row r="1225" spans="1:20" x14ac:dyDescent="0.55000000000000004">
      <c r="A1225">
        <v>111</v>
      </c>
      <c r="B1225" t="str">
        <f t="shared" si="157"/>
        <v>111_1</v>
      </c>
      <c r="C1225" s="2">
        <v>45680.589583333334</v>
      </c>
      <c r="D1225" t="s">
        <v>221</v>
      </c>
      <c r="E1225">
        <v>2</v>
      </c>
      <c r="F1225" t="s">
        <v>233</v>
      </c>
      <c r="G1225" t="str">
        <f t="shared" si="152"/>
        <v>Galaxias brevipinnis</v>
      </c>
      <c r="H1225" t="str">
        <f t="shared" si="153"/>
        <v>Climbing_galaxias</v>
      </c>
      <c r="I1225" t="str">
        <f t="shared" si="154"/>
        <v>Kōaro</v>
      </c>
      <c r="J1225" t="str">
        <f t="shared" si="155"/>
        <v>Native</v>
      </c>
      <c r="K1225" t="str">
        <f t="shared" si="156"/>
        <v>Yes</v>
      </c>
      <c r="M1225">
        <v>130</v>
      </c>
      <c r="N1225">
        <v>26</v>
      </c>
      <c r="O1225">
        <v>1</v>
      </c>
      <c r="T1225" t="str">
        <f t="shared" ref="T1225:T1288" si="158">IF(S1225&lt;&gt;"", S1225*236.588, "")</f>
        <v/>
      </c>
    </row>
    <row r="1226" spans="1:20" x14ac:dyDescent="0.55000000000000004">
      <c r="A1226">
        <v>111</v>
      </c>
      <c r="B1226" t="str">
        <f t="shared" si="157"/>
        <v>111_1</v>
      </c>
      <c r="C1226" s="2">
        <v>45680.589583333334</v>
      </c>
      <c r="D1226" t="s">
        <v>221</v>
      </c>
      <c r="E1226">
        <v>2</v>
      </c>
      <c r="F1226" t="s">
        <v>233</v>
      </c>
      <c r="G1226" t="str">
        <f t="shared" si="152"/>
        <v>Galaxias brevipinnis</v>
      </c>
      <c r="H1226" t="str">
        <f t="shared" si="153"/>
        <v>Climbing_galaxias</v>
      </c>
      <c r="I1226" t="str">
        <f t="shared" si="154"/>
        <v>Kōaro</v>
      </c>
      <c r="J1226" t="str">
        <f t="shared" si="155"/>
        <v>Native</v>
      </c>
      <c r="K1226" t="str">
        <f t="shared" si="156"/>
        <v>Yes</v>
      </c>
      <c r="M1226">
        <v>210</v>
      </c>
      <c r="N1226">
        <v>139</v>
      </c>
      <c r="O1226">
        <v>1</v>
      </c>
      <c r="T1226" t="str">
        <f t="shared" si="158"/>
        <v/>
      </c>
    </row>
    <row r="1227" spans="1:20" x14ac:dyDescent="0.55000000000000004">
      <c r="A1227">
        <v>111</v>
      </c>
      <c r="B1227" t="str">
        <f t="shared" si="157"/>
        <v>111_1</v>
      </c>
      <c r="C1227" s="2">
        <v>45680.589583333334</v>
      </c>
      <c r="D1227" t="s">
        <v>221</v>
      </c>
      <c r="E1227">
        <v>2</v>
      </c>
      <c r="F1227" t="s">
        <v>236</v>
      </c>
      <c r="G1227" t="str">
        <f t="shared" si="152"/>
        <v>Carassius auratus</v>
      </c>
      <c r="H1227" t="str">
        <f t="shared" si="153"/>
        <v>Goldfish</v>
      </c>
      <c r="I1227" t="str">
        <f t="shared" si="154"/>
        <v>Morihana</v>
      </c>
      <c r="J1227" t="str">
        <f t="shared" si="155"/>
        <v>Nonnative</v>
      </c>
      <c r="K1227" t="str">
        <f t="shared" si="156"/>
        <v>No</v>
      </c>
      <c r="M1227">
        <v>132</v>
      </c>
      <c r="N1227">
        <v>56</v>
      </c>
      <c r="O1227">
        <v>1</v>
      </c>
      <c r="T1227" t="str">
        <f t="shared" si="158"/>
        <v/>
      </c>
    </row>
    <row r="1228" spans="1:20" x14ac:dyDescent="0.55000000000000004">
      <c r="A1228">
        <v>111</v>
      </c>
      <c r="B1228" t="str">
        <f t="shared" si="157"/>
        <v>111_1</v>
      </c>
      <c r="C1228" s="2">
        <v>45680.589583333334</v>
      </c>
      <c r="D1228" t="s">
        <v>221</v>
      </c>
      <c r="E1228">
        <v>2</v>
      </c>
      <c r="F1228" t="s">
        <v>236</v>
      </c>
      <c r="G1228" t="str">
        <f t="shared" si="152"/>
        <v>Carassius auratus</v>
      </c>
      <c r="H1228" t="str">
        <f t="shared" si="153"/>
        <v>Goldfish</v>
      </c>
      <c r="I1228" t="str">
        <f t="shared" si="154"/>
        <v>Morihana</v>
      </c>
      <c r="J1228" t="str">
        <f t="shared" si="155"/>
        <v>Nonnative</v>
      </c>
      <c r="K1228" t="str">
        <f t="shared" si="156"/>
        <v>No</v>
      </c>
      <c r="M1228">
        <v>82</v>
      </c>
      <c r="N1228">
        <v>17</v>
      </c>
      <c r="O1228">
        <v>1</v>
      </c>
      <c r="T1228" t="str">
        <f t="shared" si="158"/>
        <v/>
      </c>
    </row>
    <row r="1229" spans="1:20" x14ac:dyDescent="0.55000000000000004">
      <c r="A1229">
        <v>120</v>
      </c>
      <c r="B1229" t="str">
        <f>A1229 &amp; "_0"</f>
        <v>120_0</v>
      </c>
      <c r="C1229" s="2">
        <v>45597.429166666669</v>
      </c>
      <c r="D1229" t="s">
        <v>221</v>
      </c>
      <c r="E1229">
        <v>2</v>
      </c>
      <c r="F1229" t="s">
        <v>222</v>
      </c>
      <c r="G1229" t="str">
        <f t="shared" si="152"/>
        <v>Paranephrops planifrons</v>
      </c>
      <c r="H1229" t="str">
        <f t="shared" si="153"/>
        <v>Freshwater_crayfish</v>
      </c>
      <c r="I1229" t="str">
        <f t="shared" si="154"/>
        <v>Kōura</v>
      </c>
      <c r="J1229" t="str">
        <f t="shared" si="155"/>
        <v>Native</v>
      </c>
      <c r="K1229" t="str">
        <f t="shared" si="156"/>
        <v>Yes</v>
      </c>
      <c r="L1229" t="s">
        <v>223</v>
      </c>
      <c r="M1229">
        <v>19</v>
      </c>
      <c r="N1229">
        <v>5</v>
      </c>
      <c r="O1229">
        <v>1</v>
      </c>
      <c r="T1229" t="str">
        <f t="shared" si="158"/>
        <v/>
      </c>
    </row>
    <row r="1230" spans="1:20" x14ac:dyDescent="0.55000000000000004">
      <c r="A1230">
        <v>120</v>
      </c>
      <c r="B1230" t="str">
        <f>A1230 &amp; "_0"</f>
        <v>120_0</v>
      </c>
      <c r="C1230" s="2">
        <v>45597.429166666669</v>
      </c>
      <c r="D1230" t="s">
        <v>221</v>
      </c>
      <c r="E1230">
        <v>2</v>
      </c>
      <c r="F1230" t="s">
        <v>222</v>
      </c>
      <c r="G1230" t="str">
        <f t="shared" si="152"/>
        <v>Paranephrops planifrons</v>
      </c>
      <c r="H1230" t="str">
        <f t="shared" si="153"/>
        <v>Freshwater_crayfish</v>
      </c>
      <c r="I1230" t="str">
        <f t="shared" si="154"/>
        <v>Kōura</v>
      </c>
      <c r="J1230" t="str">
        <f t="shared" si="155"/>
        <v>Native</v>
      </c>
      <c r="K1230" t="str">
        <f t="shared" si="156"/>
        <v>Yes</v>
      </c>
      <c r="L1230" t="s">
        <v>228</v>
      </c>
      <c r="M1230">
        <v>19</v>
      </c>
      <c r="N1230">
        <v>5</v>
      </c>
      <c r="O1230">
        <v>1</v>
      </c>
      <c r="T1230" t="str">
        <f t="shared" si="158"/>
        <v/>
      </c>
    </row>
    <row r="1231" spans="1:20" x14ac:dyDescent="0.55000000000000004">
      <c r="A1231">
        <v>111</v>
      </c>
      <c r="B1231" t="str">
        <f>A1231 &amp; "_1"</f>
        <v>111_1</v>
      </c>
      <c r="C1231" s="2">
        <v>45680.589583333334</v>
      </c>
      <c r="D1231" t="s">
        <v>221</v>
      </c>
      <c r="E1231">
        <v>2</v>
      </c>
      <c r="F1231" t="s">
        <v>233</v>
      </c>
      <c r="G1231" t="str">
        <f t="shared" si="152"/>
        <v>Galaxias brevipinnis</v>
      </c>
      <c r="H1231" t="str">
        <f t="shared" si="153"/>
        <v>Climbing_galaxias</v>
      </c>
      <c r="I1231" t="str">
        <f t="shared" si="154"/>
        <v>Kōaro</v>
      </c>
      <c r="J1231" t="str">
        <f t="shared" si="155"/>
        <v>Native</v>
      </c>
      <c r="K1231" t="str">
        <f t="shared" si="156"/>
        <v>Yes</v>
      </c>
      <c r="M1231">
        <v>84</v>
      </c>
      <c r="N1231">
        <v>8</v>
      </c>
      <c r="O1231">
        <v>1</v>
      </c>
      <c r="T1231" t="str">
        <f t="shared" si="158"/>
        <v/>
      </c>
    </row>
    <row r="1232" spans="1:20" x14ac:dyDescent="0.55000000000000004">
      <c r="A1232">
        <v>111</v>
      </c>
      <c r="B1232" t="str">
        <f>A1232 &amp; "_1"</f>
        <v>111_1</v>
      </c>
      <c r="C1232" s="2">
        <v>45680.589583333334</v>
      </c>
      <c r="D1232" t="s">
        <v>221</v>
      </c>
      <c r="E1232">
        <v>2</v>
      </c>
      <c r="F1232" t="s">
        <v>242</v>
      </c>
      <c r="G1232" t="str">
        <f t="shared" si="152"/>
        <v>Gobiomorphus cotidianus</v>
      </c>
      <c r="H1232" t="str">
        <f t="shared" si="153"/>
        <v>Common_bully</v>
      </c>
      <c r="I1232" t="str">
        <f t="shared" si="154"/>
        <v>Toitoi</v>
      </c>
      <c r="J1232" t="str">
        <f t="shared" si="155"/>
        <v>Native</v>
      </c>
      <c r="K1232" t="str">
        <f t="shared" si="156"/>
        <v>No</v>
      </c>
      <c r="N1232">
        <f>362-117</f>
        <v>245</v>
      </c>
      <c r="S1232">
        <v>1.25</v>
      </c>
      <c r="T1232">
        <f t="shared" si="158"/>
        <v>295.73500000000001</v>
      </c>
    </row>
    <row r="1233" spans="1:21" x14ac:dyDescent="0.55000000000000004">
      <c r="A1233">
        <v>111</v>
      </c>
      <c r="B1233" t="str">
        <f>A1233 &amp; "_1"</f>
        <v>111_1</v>
      </c>
      <c r="C1233" s="2">
        <v>45680.589583333334</v>
      </c>
      <c r="D1233" t="s">
        <v>221</v>
      </c>
      <c r="E1233">
        <v>2</v>
      </c>
      <c r="F1233" t="s">
        <v>242</v>
      </c>
      <c r="G1233" t="str">
        <f t="shared" si="152"/>
        <v>Gobiomorphus cotidianus</v>
      </c>
      <c r="H1233" t="str">
        <f t="shared" si="153"/>
        <v>Common_bully</v>
      </c>
      <c r="I1233" t="str">
        <f t="shared" si="154"/>
        <v>Toitoi</v>
      </c>
      <c r="J1233" t="str">
        <f t="shared" si="155"/>
        <v>Native</v>
      </c>
      <c r="K1233" t="str">
        <f t="shared" si="156"/>
        <v>No</v>
      </c>
      <c r="N1233">
        <f>213-117</f>
        <v>96</v>
      </c>
      <c r="S1233">
        <v>0.5</v>
      </c>
      <c r="T1233">
        <f t="shared" si="158"/>
        <v>118.294</v>
      </c>
    </row>
    <row r="1234" spans="1:21" x14ac:dyDescent="0.55000000000000004">
      <c r="A1234">
        <v>112</v>
      </c>
      <c r="B1234" t="str">
        <f t="shared" ref="B1234:B1247" si="159">A1234 &amp; "_0"</f>
        <v>112_0</v>
      </c>
      <c r="C1234" s="2">
        <v>45680.5</v>
      </c>
      <c r="D1234" t="s">
        <v>245</v>
      </c>
      <c r="E1234">
        <v>2</v>
      </c>
      <c r="F1234" t="s">
        <v>242</v>
      </c>
      <c r="G1234" t="str">
        <f t="shared" si="152"/>
        <v>Gobiomorphus cotidianus</v>
      </c>
      <c r="H1234" t="str">
        <f t="shared" si="153"/>
        <v>Common_bully</v>
      </c>
      <c r="I1234" t="str">
        <f t="shared" si="154"/>
        <v>Toitoi</v>
      </c>
      <c r="J1234" t="str">
        <f t="shared" si="155"/>
        <v>Native</v>
      </c>
      <c r="K1234" t="str">
        <f t="shared" si="156"/>
        <v>No</v>
      </c>
      <c r="N1234">
        <f>132-117</f>
        <v>15</v>
      </c>
      <c r="T1234" t="str">
        <f t="shared" si="158"/>
        <v/>
      </c>
    </row>
    <row r="1235" spans="1:21" x14ac:dyDescent="0.55000000000000004">
      <c r="A1235">
        <v>112</v>
      </c>
      <c r="B1235" t="str">
        <f t="shared" si="159"/>
        <v>112_0</v>
      </c>
      <c r="C1235" s="2">
        <v>45680.5</v>
      </c>
      <c r="D1235" t="s">
        <v>221</v>
      </c>
      <c r="E1235">
        <v>2</v>
      </c>
      <c r="F1235" t="s">
        <v>242</v>
      </c>
      <c r="G1235" t="str">
        <f t="shared" si="152"/>
        <v>Gobiomorphus cotidianus</v>
      </c>
      <c r="H1235" t="str">
        <f t="shared" si="153"/>
        <v>Common_bully</v>
      </c>
      <c r="I1235" t="str">
        <f t="shared" si="154"/>
        <v>Toitoi</v>
      </c>
      <c r="J1235" t="str">
        <f t="shared" si="155"/>
        <v>Native</v>
      </c>
      <c r="K1235" t="str">
        <f t="shared" si="156"/>
        <v>No</v>
      </c>
      <c r="N1235">
        <f>673-117</f>
        <v>556</v>
      </c>
      <c r="S1235">
        <v>2.5</v>
      </c>
      <c r="T1235">
        <f t="shared" si="158"/>
        <v>591.47</v>
      </c>
    </row>
    <row r="1236" spans="1:21" x14ac:dyDescent="0.55000000000000004">
      <c r="A1236">
        <v>112</v>
      </c>
      <c r="B1236" t="str">
        <f t="shared" si="159"/>
        <v>112_0</v>
      </c>
      <c r="C1236" s="2">
        <v>45680.5</v>
      </c>
      <c r="D1236" t="s">
        <v>221</v>
      </c>
      <c r="E1236">
        <v>2</v>
      </c>
      <c r="F1236" t="s">
        <v>242</v>
      </c>
      <c r="G1236" t="str">
        <f t="shared" si="152"/>
        <v>Gobiomorphus cotidianus</v>
      </c>
      <c r="H1236" t="str">
        <f t="shared" si="153"/>
        <v>Common_bully</v>
      </c>
      <c r="I1236" t="str">
        <f t="shared" si="154"/>
        <v>Toitoi</v>
      </c>
      <c r="J1236" t="str">
        <f t="shared" si="155"/>
        <v>Native</v>
      </c>
      <c r="K1236" t="str">
        <f t="shared" si="156"/>
        <v>No</v>
      </c>
      <c r="N1236">
        <f>699-117</f>
        <v>582</v>
      </c>
      <c r="S1236">
        <v>2.5</v>
      </c>
      <c r="T1236">
        <f t="shared" si="158"/>
        <v>591.47</v>
      </c>
    </row>
    <row r="1237" spans="1:21" x14ac:dyDescent="0.55000000000000004">
      <c r="A1237">
        <v>112</v>
      </c>
      <c r="B1237" t="str">
        <f t="shared" si="159"/>
        <v>112_0</v>
      </c>
      <c r="C1237" s="2">
        <v>45680.5</v>
      </c>
      <c r="D1237" t="s">
        <v>221</v>
      </c>
      <c r="E1237">
        <v>2</v>
      </c>
      <c r="F1237" t="s">
        <v>242</v>
      </c>
      <c r="G1237" t="str">
        <f t="shared" si="152"/>
        <v>Gobiomorphus cotidianus</v>
      </c>
      <c r="H1237" t="str">
        <f t="shared" si="153"/>
        <v>Common_bully</v>
      </c>
      <c r="I1237" t="str">
        <f t="shared" si="154"/>
        <v>Toitoi</v>
      </c>
      <c r="J1237" t="str">
        <f t="shared" si="155"/>
        <v>Native</v>
      </c>
      <c r="K1237" t="str">
        <f t="shared" si="156"/>
        <v>No</v>
      </c>
      <c r="N1237">
        <f>698-117</f>
        <v>581</v>
      </c>
      <c r="S1237">
        <v>2.5</v>
      </c>
      <c r="T1237">
        <f t="shared" si="158"/>
        <v>591.47</v>
      </c>
    </row>
    <row r="1238" spans="1:21" x14ac:dyDescent="0.55000000000000004">
      <c r="A1238">
        <v>112</v>
      </c>
      <c r="B1238" t="str">
        <f t="shared" si="159"/>
        <v>112_0</v>
      </c>
      <c r="C1238" s="2">
        <v>45680.5</v>
      </c>
      <c r="D1238" t="s">
        <v>221</v>
      </c>
      <c r="E1238">
        <v>2</v>
      </c>
      <c r="F1238" t="s">
        <v>242</v>
      </c>
      <c r="G1238" t="str">
        <f t="shared" si="152"/>
        <v>Gobiomorphus cotidianus</v>
      </c>
      <c r="H1238" t="str">
        <f t="shared" si="153"/>
        <v>Common_bully</v>
      </c>
      <c r="I1238" t="str">
        <f t="shared" si="154"/>
        <v>Toitoi</v>
      </c>
      <c r="J1238" t="str">
        <f t="shared" si="155"/>
        <v>Native</v>
      </c>
      <c r="K1238" t="str">
        <f t="shared" si="156"/>
        <v>No</v>
      </c>
      <c r="N1238">
        <f>745-117</f>
        <v>628</v>
      </c>
      <c r="S1238">
        <v>2.5</v>
      </c>
      <c r="T1238">
        <f t="shared" si="158"/>
        <v>591.47</v>
      </c>
    </row>
    <row r="1239" spans="1:21" x14ac:dyDescent="0.55000000000000004">
      <c r="A1239">
        <v>112</v>
      </c>
      <c r="B1239" t="str">
        <f t="shared" si="159"/>
        <v>112_0</v>
      </c>
      <c r="C1239" s="2">
        <v>45680.5</v>
      </c>
      <c r="D1239" t="s">
        <v>221</v>
      </c>
      <c r="E1239">
        <v>2</v>
      </c>
      <c r="F1239" t="s">
        <v>242</v>
      </c>
      <c r="G1239" t="str">
        <f t="shared" si="152"/>
        <v>Gobiomorphus cotidianus</v>
      </c>
      <c r="H1239" t="str">
        <f t="shared" si="153"/>
        <v>Common_bully</v>
      </c>
      <c r="I1239" t="str">
        <f t="shared" si="154"/>
        <v>Toitoi</v>
      </c>
      <c r="J1239" t="str">
        <f t="shared" si="155"/>
        <v>Native</v>
      </c>
      <c r="K1239" t="str">
        <f t="shared" si="156"/>
        <v>No</v>
      </c>
      <c r="N1239">
        <f>695-117</f>
        <v>578</v>
      </c>
      <c r="S1239">
        <v>2.5</v>
      </c>
      <c r="T1239">
        <f t="shared" si="158"/>
        <v>591.47</v>
      </c>
    </row>
    <row r="1240" spans="1:21" x14ac:dyDescent="0.55000000000000004">
      <c r="A1240">
        <v>112</v>
      </c>
      <c r="B1240" t="str">
        <f t="shared" si="159"/>
        <v>112_0</v>
      </c>
      <c r="C1240" s="2">
        <v>45680.5</v>
      </c>
      <c r="D1240" t="s">
        <v>221</v>
      </c>
      <c r="E1240">
        <v>2</v>
      </c>
      <c r="F1240" t="s">
        <v>242</v>
      </c>
      <c r="G1240" t="str">
        <f t="shared" si="152"/>
        <v>Gobiomorphus cotidianus</v>
      </c>
      <c r="H1240" t="str">
        <f t="shared" si="153"/>
        <v>Common_bully</v>
      </c>
      <c r="I1240" t="str">
        <f t="shared" si="154"/>
        <v>Toitoi</v>
      </c>
      <c r="J1240" t="str">
        <f t="shared" si="155"/>
        <v>Native</v>
      </c>
      <c r="K1240" t="str">
        <f t="shared" si="156"/>
        <v>No</v>
      </c>
      <c r="N1240">
        <f>641-117</f>
        <v>524</v>
      </c>
      <c r="S1240">
        <v>2.5</v>
      </c>
      <c r="T1240">
        <f t="shared" si="158"/>
        <v>591.47</v>
      </c>
    </row>
    <row r="1241" spans="1:21" x14ac:dyDescent="0.55000000000000004">
      <c r="A1241">
        <v>112</v>
      </c>
      <c r="B1241" t="str">
        <f t="shared" si="159"/>
        <v>112_0</v>
      </c>
      <c r="C1241" s="2">
        <v>45680.5</v>
      </c>
      <c r="D1241" t="s">
        <v>221</v>
      </c>
      <c r="E1241">
        <v>2</v>
      </c>
      <c r="F1241" t="s">
        <v>242</v>
      </c>
      <c r="G1241" t="str">
        <f t="shared" si="152"/>
        <v>Gobiomorphus cotidianus</v>
      </c>
      <c r="H1241" t="str">
        <f t="shared" si="153"/>
        <v>Common_bully</v>
      </c>
      <c r="I1241" t="str">
        <f t="shared" si="154"/>
        <v>Toitoi</v>
      </c>
      <c r="J1241" t="str">
        <f t="shared" si="155"/>
        <v>Native</v>
      </c>
      <c r="K1241" t="str">
        <f t="shared" si="156"/>
        <v>No</v>
      </c>
      <c r="N1241">
        <f>690-117</f>
        <v>573</v>
      </c>
      <c r="S1241">
        <v>2.5</v>
      </c>
      <c r="T1241">
        <f t="shared" si="158"/>
        <v>591.47</v>
      </c>
    </row>
    <row r="1242" spans="1:21" x14ac:dyDescent="0.55000000000000004">
      <c r="A1242">
        <v>112</v>
      </c>
      <c r="B1242" t="str">
        <f t="shared" si="159"/>
        <v>112_0</v>
      </c>
      <c r="C1242" s="2">
        <v>45680.5</v>
      </c>
      <c r="D1242" t="s">
        <v>221</v>
      </c>
      <c r="E1242">
        <v>2</v>
      </c>
      <c r="F1242" t="s">
        <v>242</v>
      </c>
      <c r="G1242" t="str">
        <f t="shared" si="152"/>
        <v>Gobiomorphus cotidianus</v>
      </c>
      <c r="H1242" t="str">
        <f t="shared" si="153"/>
        <v>Common_bully</v>
      </c>
      <c r="I1242" t="str">
        <f t="shared" si="154"/>
        <v>Toitoi</v>
      </c>
      <c r="J1242" t="str">
        <f t="shared" si="155"/>
        <v>Native</v>
      </c>
      <c r="K1242" t="str">
        <f t="shared" si="156"/>
        <v>No</v>
      </c>
      <c r="N1242">
        <f>687-117</f>
        <v>570</v>
      </c>
      <c r="S1242">
        <v>2.5</v>
      </c>
      <c r="T1242">
        <f t="shared" si="158"/>
        <v>591.47</v>
      </c>
    </row>
    <row r="1243" spans="1:21" x14ac:dyDescent="0.55000000000000004">
      <c r="A1243">
        <v>112</v>
      </c>
      <c r="B1243" t="str">
        <f t="shared" si="159"/>
        <v>112_0</v>
      </c>
      <c r="C1243" s="2">
        <v>45680.5</v>
      </c>
      <c r="D1243" t="s">
        <v>221</v>
      </c>
      <c r="E1243">
        <v>2</v>
      </c>
      <c r="F1243" t="s">
        <v>242</v>
      </c>
      <c r="G1243" t="str">
        <f t="shared" si="152"/>
        <v>Gobiomorphus cotidianus</v>
      </c>
      <c r="H1243" t="str">
        <f t="shared" si="153"/>
        <v>Common_bully</v>
      </c>
      <c r="I1243" t="str">
        <f t="shared" si="154"/>
        <v>Toitoi</v>
      </c>
      <c r="J1243" t="str">
        <f t="shared" si="155"/>
        <v>Native</v>
      </c>
      <c r="K1243" t="str">
        <f t="shared" si="156"/>
        <v>No</v>
      </c>
      <c r="N1243">
        <f>562-117</f>
        <v>445</v>
      </c>
      <c r="S1243">
        <v>2.5</v>
      </c>
      <c r="T1243">
        <f t="shared" si="158"/>
        <v>591.47</v>
      </c>
    </row>
    <row r="1244" spans="1:21" x14ac:dyDescent="0.55000000000000004">
      <c r="A1244">
        <v>112</v>
      </c>
      <c r="B1244" t="str">
        <f t="shared" si="159"/>
        <v>112_0</v>
      </c>
      <c r="C1244" s="2">
        <v>45680.5</v>
      </c>
      <c r="D1244" t="s">
        <v>221</v>
      </c>
      <c r="E1244">
        <v>2</v>
      </c>
      <c r="F1244" t="s">
        <v>242</v>
      </c>
      <c r="G1244" t="str">
        <f t="shared" si="152"/>
        <v>Gobiomorphus cotidianus</v>
      </c>
      <c r="H1244" t="str">
        <f t="shared" si="153"/>
        <v>Common_bully</v>
      </c>
      <c r="I1244" t="str">
        <f t="shared" si="154"/>
        <v>Toitoi</v>
      </c>
      <c r="J1244" t="str">
        <f t="shared" si="155"/>
        <v>Native</v>
      </c>
      <c r="K1244" t="str">
        <f t="shared" si="156"/>
        <v>No</v>
      </c>
      <c r="N1244">
        <f>203-117</f>
        <v>86</v>
      </c>
      <c r="S1244">
        <v>0.25</v>
      </c>
      <c r="T1244">
        <f t="shared" si="158"/>
        <v>59.146999999999998</v>
      </c>
    </row>
    <row r="1245" spans="1:21" x14ac:dyDescent="0.55000000000000004">
      <c r="A1245">
        <v>110</v>
      </c>
      <c r="B1245" t="str">
        <f t="shared" si="159"/>
        <v>110_0</v>
      </c>
      <c r="C1245" s="2">
        <v>45597.493055497682</v>
      </c>
      <c r="D1245" t="s">
        <v>221</v>
      </c>
      <c r="E1245">
        <v>2</v>
      </c>
      <c r="F1245" t="s">
        <v>222</v>
      </c>
      <c r="G1245" t="str">
        <f t="shared" si="152"/>
        <v>Paranephrops planifrons</v>
      </c>
      <c r="H1245" t="str">
        <f t="shared" si="153"/>
        <v>Freshwater_crayfish</v>
      </c>
      <c r="I1245" t="str">
        <f t="shared" si="154"/>
        <v>Kōura</v>
      </c>
      <c r="J1245" t="str">
        <f t="shared" si="155"/>
        <v>Native</v>
      </c>
      <c r="K1245" t="str">
        <f t="shared" si="156"/>
        <v>Yes</v>
      </c>
      <c r="L1245" t="s">
        <v>228</v>
      </c>
      <c r="M1245">
        <v>19</v>
      </c>
      <c r="N1245">
        <v>3</v>
      </c>
      <c r="O1245">
        <v>1</v>
      </c>
      <c r="T1245" t="str">
        <f t="shared" si="158"/>
        <v/>
      </c>
    </row>
    <row r="1246" spans="1:21" x14ac:dyDescent="0.55000000000000004">
      <c r="A1246">
        <v>97</v>
      </c>
      <c r="B1246" t="str">
        <f t="shared" si="159"/>
        <v>97_0</v>
      </c>
      <c r="C1246" s="2">
        <v>45603.524305439816</v>
      </c>
      <c r="D1246" t="s">
        <v>221</v>
      </c>
      <c r="E1246">
        <v>2</v>
      </c>
      <c r="F1246" t="s">
        <v>222</v>
      </c>
      <c r="G1246" t="str">
        <f t="shared" si="152"/>
        <v>Paranephrops planifrons</v>
      </c>
      <c r="H1246" t="str">
        <f t="shared" si="153"/>
        <v>Freshwater_crayfish</v>
      </c>
      <c r="I1246" t="str">
        <f t="shared" si="154"/>
        <v>Kōura</v>
      </c>
      <c r="J1246" t="str">
        <f t="shared" si="155"/>
        <v>Native</v>
      </c>
      <c r="K1246" t="str">
        <f t="shared" si="156"/>
        <v>Yes</v>
      </c>
      <c r="L1246" t="s">
        <v>228</v>
      </c>
      <c r="M1246">
        <v>19</v>
      </c>
      <c r="O1246">
        <v>1</v>
      </c>
      <c r="T1246" t="str">
        <f t="shared" si="158"/>
        <v/>
      </c>
    </row>
    <row r="1247" spans="1:21" x14ac:dyDescent="0.55000000000000004">
      <c r="A1247">
        <v>102</v>
      </c>
      <c r="B1247" t="str">
        <f t="shared" si="159"/>
        <v>102_0</v>
      </c>
      <c r="C1247" s="2">
        <v>45603.477083275466</v>
      </c>
      <c r="D1247" t="s">
        <v>221</v>
      </c>
      <c r="E1247">
        <v>2</v>
      </c>
      <c r="F1247" t="s">
        <v>222</v>
      </c>
      <c r="G1247" t="str">
        <f t="shared" si="152"/>
        <v>Paranephrops planifrons</v>
      </c>
      <c r="H1247" t="str">
        <f t="shared" si="153"/>
        <v>Freshwater_crayfish</v>
      </c>
      <c r="I1247" t="str">
        <f t="shared" si="154"/>
        <v>Kōura</v>
      </c>
      <c r="J1247" t="str">
        <f t="shared" si="155"/>
        <v>Native</v>
      </c>
      <c r="K1247" t="str">
        <f t="shared" si="156"/>
        <v>Yes</v>
      </c>
      <c r="L1247" t="s">
        <v>223</v>
      </c>
      <c r="M1247">
        <v>19</v>
      </c>
      <c r="O1247">
        <v>1</v>
      </c>
      <c r="T1247" t="str">
        <f t="shared" si="158"/>
        <v/>
      </c>
      <c r="U1247" t="s">
        <v>256</v>
      </c>
    </row>
    <row r="1248" spans="1:21" x14ac:dyDescent="0.55000000000000004">
      <c r="A1248">
        <v>115</v>
      </c>
      <c r="B1248" t="str">
        <f t="shared" ref="B1248:B1266" si="160">A1248 &amp; "_1"</f>
        <v>115_1</v>
      </c>
      <c r="C1248" s="2">
        <v>45680.548611053244</v>
      </c>
      <c r="D1248" t="s">
        <v>221</v>
      </c>
      <c r="E1248">
        <v>2</v>
      </c>
      <c r="F1248" t="s">
        <v>222</v>
      </c>
      <c r="G1248" t="str">
        <f t="shared" si="152"/>
        <v>Paranephrops planifrons</v>
      </c>
      <c r="H1248" t="str">
        <f t="shared" si="153"/>
        <v>Freshwater_crayfish</v>
      </c>
      <c r="I1248" t="str">
        <f t="shared" si="154"/>
        <v>Kōura</v>
      </c>
      <c r="J1248" t="str">
        <f t="shared" si="155"/>
        <v>Native</v>
      </c>
      <c r="K1248" t="str">
        <f t="shared" si="156"/>
        <v>Yes</v>
      </c>
      <c r="L1248" t="s">
        <v>228</v>
      </c>
      <c r="M1248">
        <v>15.28</v>
      </c>
      <c r="N1248">
        <v>3</v>
      </c>
      <c r="O1248">
        <v>1</v>
      </c>
      <c r="T1248" t="str">
        <f t="shared" si="158"/>
        <v/>
      </c>
    </row>
    <row r="1249" spans="1:20" x14ac:dyDescent="0.55000000000000004">
      <c r="A1249">
        <v>115</v>
      </c>
      <c r="B1249" t="str">
        <f t="shared" si="160"/>
        <v>115_1</v>
      </c>
      <c r="C1249" s="2">
        <v>45680.548611053244</v>
      </c>
      <c r="D1249" t="s">
        <v>221</v>
      </c>
      <c r="E1249">
        <v>2</v>
      </c>
      <c r="F1249" t="s">
        <v>222</v>
      </c>
      <c r="G1249" t="str">
        <f t="shared" si="152"/>
        <v>Paranephrops planifrons</v>
      </c>
      <c r="H1249" t="str">
        <f t="shared" si="153"/>
        <v>Freshwater_crayfish</v>
      </c>
      <c r="I1249" t="str">
        <f t="shared" si="154"/>
        <v>Kōura</v>
      </c>
      <c r="J1249" t="str">
        <f t="shared" si="155"/>
        <v>Native</v>
      </c>
      <c r="K1249" t="str">
        <f t="shared" si="156"/>
        <v>Yes</v>
      </c>
      <c r="L1249" t="s">
        <v>223</v>
      </c>
      <c r="M1249">
        <v>18.71</v>
      </c>
      <c r="N1249">
        <v>4</v>
      </c>
      <c r="O1249">
        <v>1</v>
      </c>
      <c r="T1249" t="str">
        <f t="shared" si="158"/>
        <v/>
      </c>
    </row>
    <row r="1250" spans="1:20" x14ac:dyDescent="0.55000000000000004">
      <c r="A1250">
        <v>115</v>
      </c>
      <c r="B1250" t="str">
        <f t="shared" si="160"/>
        <v>115_1</v>
      </c>
      <c r="C1250" s="2">
        <v>45680.548611053244</v>
      </c>
      <c r="D1250" t="s">
        <v>221</v>
      </c>
      <c r="E1250">
        <v>2</v>
      </c>
      <c r="F1250" t="s">
        <v>222</v>
      </c>
      <c r="G1250" t="str">
        <f t="shared" si="152"/>
        <v>Paranephrops planifrons</v>
      </c>
      <c r="H1250" t="str">
        <f t="shared" si="153"/>
        <v>Freshwater_crayfish</v>
      </c>
      <c r="I1250" t="str">
        <f t="shared" si="154"/>
        <v>Kōura</v>
      </c>
      <c r="J1250" t="str">
        <f t="shared" si="155"/>
        <v>Native</v>
      </c>
      <c r="K1250" t="str">
        <f t="shared" si="156"/>
        <v>Yes</v>
      </c>
      <c r="L1250" t="s">
        <v>228</v>
      </c>
      <c r="M1250">
        <v>19.45</v>
      </c>
      <c r="N1250">
        <v>3</v>
      </c>
      <c r="O1250">
        <v>1</v>
      </c>
      <c r="T1250" t="str">
        <f t="shared" si="158"/>
        <v/>
      </c>
    </row>
    <row r="1251" spans="1:20" x14ac:dyDescent="0.55000000000000004">
      <c r="A1251">
        <v>115</v>
      </c>
      <c r="B1251" t="str">
        <f t="shared" si="160"/>
        <v>115_1</v>
      </c>
      <c r="C1251" s="2">
        <v>45680.548611053244</v>
      </c>
      <c r="D1251" t="s">
        <v>221</v>
      </c>
      <c r="E1251">
        <v>2</v>
      </c>
      <c r="F1251" t="s">
        <v>222</v>
      </c>
      <c r="G1251" t="str">
        <f t="shared" si="152"/>
        <v>Paranephrops planifrons</v>
      </c>
      <c r="H1251" t="str">
        <f t="shared" si="153"/>
        <v>Freshwater_crayfish</v>
      </c>
      <c r="I1251" t="str">
        <f t="shared" si="154"/>
        <v>Kōura</v>
      </c>
      <c r="J1251" t="str">
        <f t="shared" si="155"/>
        <v>Native</v>
      </c>
      <c r="K1251" t="str">
        <f t="shared" si="156"/>
        <v>Yes</v>
      </c>
      <c r="L1251" t="s">
        <v>228</v>
      </c>
      <c r="M1251">
        <v>21.05</v>
      </c>
      <c r="N1251">
        <v>6</v>
      </c>
      <c r="O1251">
        <v>1</v>
      </c>
      <c r="T1251" t="str">
        <f t="shared" si="158"/>
        <v/>
      </c>
    </row>
    <row r="1252" spans="1:20" x14ac:dyDescent="0.55000000000000004">
      <c r="A1252">
        <v>115</v>
      </c>
      <c r="B1252" t="str">
        <f t="shared" si="160"/>
        <v>115_1</v>
      </c>
      <c r="C1252" s="2">
        <v>45680.548611053244</v>
      </c>
      <c r="D1252" t="s">
        <v>221</v>
      </c>
      <c r="E1252">
        <v>2</v>
      </c>
      <c r="F1252" t="s">
        <v>222</v>
      </c>
      <c r="G1252" t="str">
        <f t="shared" si="152"/>
        <v>Paranephrops planifrons</v>
      </c>
      <c r="H1252" t="str">
        <f t="shared" si="153"/>
        <v>Freshwater_crayfish</v>
      </c>
      <c r="I1252" t="str">
        <f t="shared" si="154"/>
        <v>Kōura</v>
      </c>
      <c r="J1252" t="str">
        <f t="shared" si="155"/>
        <v>Native</v>
      </c>
      <c r="K1252" t="str">
        <f t="shared" si="156"/>
        <v>Yes</v>
      </c>
      <c r="L1252" t="s">
        <v>223</v>
      </c>
      <c r="M1252">
        <v>21.91</v>
      </c>
      <c r="N1252">
        <v>8</v>
      </c>
      <c r="O1252">
        <v>1</v>
      </c>
      <c r="T1252" t="str">
        <f t="shared" si="158"/>
        <v/>
      </c>
    </row>
    <row r="1253" spans="1:20" x14ac:dyDescent="0.55000000000000004">
      <c r="A1253">
        <v>115</v>
      </c>
      <c r="B1253" t="str">
        <f t="shared" si="160"/>
        <v>115_1</v>
      </c>
      <c r="C1253" s="2">
        <v>45680.548611053244</v>
      </c>
      <c r="D1253" t="s">
        <v>245</v>
      </c>
      <c r="E1253">
        <v>2</v>
      </c>
      <c r="F1253" t="s">
        <v>222</v>
      </c>
      <c r="G1253" t="str">
        <f t="shared" si="152"/>
        <v>Paranephrops planifrons</v>
      </c>
      <c r="H1253" t="str">
        <f t="shared" si="153"/>
        <v>Freshwater_crayfish</v>
      </c>
      <c r="I1253" t="str">
        <f t="shared" si="154"/>
        <v>Kōura</v>
      </c>
      <c r="J1253" t="str">
        <f t="shared" si="155"/>
        <v>Native</v>
      </c>
      <c r="K1253" t="str">
        <f t="shared" si="156"/>
        <v>Yes</v>
      </c>
      <c r="L1253" t="s">
        <v>223</v>
      </c>
      <c r="M1253">
        <v>22.37</v>
      </c>
      <c r="N1253">
        <v>8</v>
      </c>
      <c r="O1253">
        <v>1</v>
      </c>
      <c r="P1253">
        <v>1</v>
      </c>
      <c r="T1253" t="str">
        <f t="shared" si="158"/>
        <v/>
      </c>
    </row>
    <row r="1254" spans="1:20" x14ac:dyDescent="0.55000000000000004">
      <c r="A1254">
        <v>115</v>
      </c>
      <c r="B1254" t="str">
        <f t="shared" si="160"/>
        <v>115_1</v>
      </c>
      <c r="C1254" s="2">
        <v>45680.548611053244</v>
      </c>
      <c r="D1254" t="s">
        <v>221</v>
      </c>
      <c r="E1254">
        <v>2</v>
      </c>
      <c r="F1254" t="s">
        <v>222</v>
      </c>
      <c r="G1254" t="str">
        <f t="shared" si="152"/>
        <v>Paranephrops planifrons</v>
      </c>
      <c r="H1254" t="str">
        <f t="shared" si="153"/>
        <v>Freshwater_crayfish</v>
      </c>
      <c r="I1254" t="str">
        <f t="shared" si="154"/>
        <v>Kōura</v>
      </c>
      <c r="J1254" t="str">
        <f t="shared" si="155"/>
        <v>Native</v>
      </c>
      <c r="K1254" t="str">
        <f t="shared" si="156"/>
        <v>Yes</v>
      </c>
      <c r="L1254" t="s">
        <v>228</v>
      </c>
      <c r="M1254">
        <v>22.37</v>
      </c>
      <c r="N1254">
        <v>11</v>
      </c>
      <c r="O1254">
        <v>1</v>
      </c>
      <c r="T1254" t="str">
        <f t="shared" si="158"/>
        <v/>
      </c>
    </row>
    <row r="1255" spans="1:20" x14ac:dyDescent="0.55000000000000004">
      <c r="A1255">
        <v>115</v>
      </c>
      <c r="B1255" t="str">
        <f t="shared" si="160"/>
        <v>115_1</v>
      </c>
      <c r="C1255" s="2">
        <v>45680.548611053244</v>
      </c>
      <c r="D1255" t="s">
        <v>221</v>
      </c>
      <c r="E1255">
        <v>2</v>
      </c>
      <c r="F1255" t="s">
        <v>222</v>
      </c>
      <c r="G1255" t="str">
        <f t="shared" si="152"/>
        <v>Paranephrops planifrons</v>
      </c>
      <c r="H1255" t="str">
        <f t="shared" si="153"/>
        <v>Freshwater_crayfish</v>
      </c>
      <c r="I1255" t="str">
        <f t="shared" si="154"/>
        <v>Kōura</v>
      </c>
      <c r="J1255" t="str">
        <f t="shared" si="155"/>
        <v>Native</v>
      </c>
      <c r="K1255" t="str">
        <f t="shared" si="156"/>
        <v>Yes</v>
      </c>
      <c r="L1255" t="s">
        <v>223</v>
      </c>
      <c r="M1255">
        <v>22.56</v>
      </c>
      <c r="N1255">
        <v>7</v>
      </c>
      <c r="O1255">
        <v>1</v>
      </c>
      <c r="T1255" t="str">
        <f t="shared" si="158"/>
        <v/>
      </c>
    </row>
    <row r="1256" spans="1:20" x14ac:dyDescent="0.55000000000000004">
      <c r="A1256">
        <v>115</v>
      </c>
      <c r="B1256" t="str">
        <f t="shared" si="160"/>
        <v>115_1</v>
      </c>
      <c r="C1256" s="2">
        <v>45680.548611053244</v>
      </c>
      <c r="D1256" t="s">
        <v>221</v>
      </c>
      <c r="E1256">
        <v>2</v>
      </c>
      <c r="F1256" t="s">
        <v>222</v>
      </c>
      <c r="G1256" t="str">
        <f t="shared" si="152"/>
        <v>Paranephrops planifrons</v>
      </c>
      <c r="H1256" t="str">
        <f t="shared" si="153"/>
        <v>Freshwater_crayfish</v>
      </c>
      <c r="I1256" t="str">
        <f t="shared" si="154"/>
        <v>Kōura</v>
      </c>
      <c r="J1256" t="str">
        <f t="shared" si="155"/>
        <v>Native</v>
      </c>
      <c r="K1256" t="str">
        <f t="shared" si="156"/>
        <v>Yes</v>
      </c>
      <c r="L1256" t="s">
        <v>228</v>
      </c>
      <c r="M1256">
        <v>24.77</v>
      </c>
      <c r="N1256">
        <v>11</v>
      </c>
      <c r="O1256">
        <v>1</v>
      </c>
      <c r="T1256" t="str">
        <f t="shared" si="158"/>
        <v/>
      </c>
    </row>
    <row r="1257" spans="1:20" x14ac:dyDescent="0.55000000000000004">
      <c r="A1257">
        <v>115</v>
      </c>
      <c r="B1257" t="str">
        <f t="shared" si="160"/>
        <v>115_1</v>
      </c>
      <c r="C1257" s="2">
        <v>45680.548611053244</v>
      </c>
      <c r="D1257" t="s">
        <v>221</v>
      </c>
      <c r="E1257">
        <v>2</v>
      </c>
      <c r="F1257" t="s">
        <v>222</v>
      </c>
      <c r="G1257" t="str">
        <f t="shared" si="152"/>
        <v>Paranephrops planifrons</v>
      </c>
      <c r="H1257" t="str">
        <f t="shared" si="153"/>
        <v>Freshwater_crayfish</v>
      </c>
      <c r="I1257" t="str">
        <f t="shared" si="154"/>
        <v>Kōura</v>
      </c>
      <c r="J1257" t="str">
        <f t="shared" si="155"/>
        <v>Native</v>
      </c>
      <c r="K1257" t="str">
        <f t="shared" si="156"/>
        <v>Yes</v>
      </c>
      <c r="L1257" t="s">
        <v>228</v>
      </c>
      <c r="M1257">
        <v>26.41</v>
      </c>
      <c r="N1257">
        <v>10</v>
      </c>
      <c r="O1257">
        <v>1</v>
      </c>
      <c r="T1257" t="str">
        <f t="shared" si="158"/>
        <v/>
      </c>
    </row>
    <row r="1258" spans="1:20" x14ac:dyDescent="0.55000000000000004">
      <c r="A1258">
        <v>115</v>
      </c>
      <c r="B1258" t="str">
        <f t="shared" si="160"/>
        <v>115_1</v>
      </c>
      <c r="C1258" s="2">
        <v>45680.548611053244</v>
      </c>
      <c r="D1258" t="s">
        <v>221</v>
      </c>
      <c r="E1258">
        <v>2</v>
      </c>
      <c r="F1258" t="s">
        <v>222</v>
      </c>
      <c r="G1258" t="str">
        <f t="shared" si="152"/>
        <v>Paranephrops planifrons</v>
      </c>
      <c r="H1258" t="str">
        <f t="shared" si="153"/>
        <v>Freshwater_crayfish</v>
      </c>
      <c r="I1258" t="str">
        <f t="shared" si="154"/>
        <v>Kōura</v>
      </c>
      <c r="J1258" t="str">
        <f t="shared" si="155"/>
        <v>Native</v>
      </c>
      <c r="K1258" t="str">
        <f t="shared" si="156"/>
        <v>Yes</v>
      </c>
      <c r="L1258" t="s">
        <v>223</v>
      </c>
      <c r="M1258">
        <v>27.13</v>
      </c>
      <c r="N1258">
        <v>14</v>
      </c>
      <c r="O1258">
        <v>1</v>
      </c>
      <c r="T1258" t="str">
        <f t="shared" si="158"/>
        <v/>
      </c>
    </row>
    <row r="1259" spans="1:20" x14ac:dyDescent="0.55000000000000004">
      <c r="A1259">
        <v>115</v>
      </c>
      <c r="B1259" t="str">
        <f t="shared" si="160"/>
        <v>115_1</v>
      </c>
      <c r="C1259" s="2">
        <v>45680.548611053244</v>
      </c>
      <c r="D1259" t="s">
        <v>221</v>
      </c>
      <c r="E1259">
        <v>2</v>
      </c>
      <c r="F1259" t="s">
        <v>222</v>
      </c>
      <c r="G1259" t="str">
        <f t="shared" si="152"/>
        <v>Paranephrops planifrons</v>
      </c>
      <c r="H1259" t="str">
        <f t="shared" si="153"/>
        <v>Freshwater_crayfish</v>
      </c>
      <c r="I1259" t="str">
        <f t="shared" si="154"/>
        <v>Kōura</v>
      </c>
      <c r="J1259" t="str">
        <f t="shared" si="155"/>
        <v>Native</v>
      </c>
      <c r="K1259" t="str">
        <f t="shared" si="156"/>
        <v>Yes</v>
      </c>
      <c r="L1259" t="s">
        <v>223</v>
      </c>
      <c r="M1259">
        <v>27.51</v>
      </c>
      <c r="N1259">
        <v>10</v>
      </c>
      <c r="O1259">
        <v>1</v>
      </c>
      <c r="T1259" t="str">
        <f t="shared" si="158"/>
        <v/>
      </c>
    </row>
    <row r="1260" spans="1:20" x14ac:dyDescent="0.55000000000000004">
      <c r="A1260">
        <v>115</v>
      </c>
      <c r="B1260" t="str">
        <f t="shared" si="160"/>
        <v>115_1</v>
      </c>
      <c r="C1260" s="2">
        <v>45680.548611053244</v>
      </c>
      <c r="D1260" t="s">
        <v>221</v>
      </c>
      <c r="E1260">
        <v>2</v>
      </c>
      <c r="F1260" t="s">
        <v>222</v>
      </c>
      <c r="G1260" t="str">
        <f t="shared" si="152"/>
        <v>Paranephrops planifrons</v>
      </c>
      <c r="H1260" t="str">
        <f t="shared" si="153"/>
        <v>Freshwater_crayfish</v>
      </c>
      <c r="I1260" t="str">
        <f t="shared" si="154"/>
        <v>Kōura</v>
      </c>
      <c r="J1260" t="str">
        <f t="shared" si="155"/>
        <v>Native</v>
      </c>
      <c r="K1260" t="str">
        <f t="shared" si="156"/>
        <v>Yes</v>
      </c>
      <c r="L1260" t="s">
        <v>223</v>
      </c>
      <c r="M1260">
        <v>27.57</v>
      </c>
      <c r="N1260">
        <v>21</v>
      </c>
      <c r="O1260">
        <v>1</v>
      </c>
      <c r="T1260" t="str">
        <f t="shared" si="158"/>
        <v/>
      </c>
    </row>
    <row r="1261" spans="1:20" x14ac:dyDescent="0.55000000000000004">
      <c r="A1261">
        <v>115</v>
      </c>
      <c r="B1261" t="str">
        <f t="shared" si="160"/>
        <v>115_1</v>
      </c>
      <c r="C1261" s="2">
        <v>45680.548611053244</v>
      </c>
      <c r="D1261" t="s">
        <v>221</v>
      </c>
      <c r="E1261">
        <v>2</v>
      </c>
      <c r="F1261" t="s">
        <v>222</v>
      </c>
      <c r="G1261" t="str">
        <f t="shared" si="152"/>
        <v>Paranephrops planifrons</v>
      </c>
      <c r="H1261" t="str">
        <f t="shared" si="153"/>
        <v>Freshwater_crayfish</v>
      </c>
      <c r="I1261" t="str">
        <f t="shared" si="154"/>
        <v>Kōura</v>
      </c>
      <c r="J1261" t="str">
        <f t="shared" si="155"/>
        <v>Native</v>
      </c>
      <c r="K1261" t="str">
        <f t="shared" si="156"/>
        <v>Yes</v>
      </c>
      <c r="L1261" t="s">
        <v>228</v>
      </c>
      <c r="M1261">
        <v>28.64</v>
      </c>
      <c r="N1261">
        <v>21</v>
      </c>
      <c r="O1261">
        <v>1</v>
      </c>
      <c r="T1261" t="str">
        <f t="shared" si="158"/>
        <v/>
      </c>
    </row>
    <row r="1262" spans="1:20" x14ac:dyDescent="0.55000000000000004">
      <c r="A1262">
        <v>115</v>
      </c>
      <c r="B1262" t="str">
        <f t="shared" si="160"/>
        <v>115_1</v>
      </c>
      <c r="C1262" s="2">
        <v>45680.548611053244</v>
      </c>
      <c r="D1262" t="s">
        <v>221</v>
      </c>
      <c r="E1262">
        <v>2</v>
      </c>
      <c r="F1262" t="s">
        <v>222</v>
      </c>
      <c r="G1262" t="str">
        <f t="shared" si="152"/>
        <v>Paranephrops planifrons</v>
      </c>
      <c r="H1262" t="str">
        <f t="shared" si="153"/>
        <v>Freshwater_crayfish</v>
      </c>
      <c r="I1262" t="str">
        <f t="shared" si="154"/>
        <v>Kōura</v>
      </c>
      <c r="J1262" t="str">
        <f t="shared" si="155"/>
        <v>Native</v>
      </c>
      <c r="K1262" t="str">
        <f t="shared" si="156"/>
        <v>Yes</v>
      </c>
      <c r="L1262" t="s">
        <v>223</v>
      </c>
      <c r="M1262">
        <v>28.68</v>
      </c>
      <c r="N1262">
        <v>18</v>
      </c>
      <c r="O1262">
        <v>1</v>
      </c>
      <c r="T1262" t="str">
        <f t="shared" si="158"/>
        <v/>
      </c>
    </row>
    <row r="1263" spans="1:20" x14ac:dyDescent="0.55000000000000004">
      <c r="A1263">
        <v>115</v>
      </c>
      <c r="B1263" t="str">
        <f t="shared" si="160"/>
        <v>115_1</v>
      </c>
      <c r="C1263" s="2">
        <v>45680.548611053244</v>
      </c>
      <c r="D1263" t="s">
        <v>221</v>
      </c>
      <c r="E1263">
        <v>2</v>
      </c>
      <c r="F1263" t="s">
        <v>222</v>
      </c>
      <c r="G1263" t="str">
        <f t="shared" si="152"/>
        <v>Paranephrops planifrons</v>
      </c>
      <c r="H1263" t="str">
        <f t="shared" si="153"/>
        <v>Freshwater_crayfish</v>
      </c>
      <c r="I1263" t="str">
        <f t="shared" si="154"/>
        <v>Kōura</v>
      </c>
      <c r="J1263" t="str">
        <f t="shared" si="155"/>
        <v>Native</v>
      </c>
      <c r="K1263" t="str">
        <f t="shared" si="156"/>
        <v>Yes</v>
      </c>
      <c r="L1263" t="s">
        <v>223</v>
      </c>
      <c r="M1263">
        <v>29.18</v>
      </c>
      <c r="N1263">
        <v>14</v>
      </c>
      <c r="O1263">
        <v>1</v>
      </c>
      <c r="T1263" t="str">
        <f t="shared" si="158"/>
        <v/>
      </c>
    </row>
    <row r="1264" spans="1:20" x14ac:dyDescent="0.55000000000000004">
      <c r="A1264">
        <v>115</v>
      </c>
      <c r="B1264" t="str">
        <f t="shared" si="160"/>
        <v>115_1</v>
      </c>
      <c r="C1264" s="2">
        <v>45680.548611053244</v>
      </c>
      <c r="D1264" t="s">
        <v>245</v>
      </c>
      <c r="E1264">
        <v>2</v>
      </c>
      <c r="F1264" t="s">
        <v>222</v>
      </c>
      <c r="G1264" t="str">
        <f t="shared" si="152"/>
        <v>Paranephrops planifrons</v>
      </c>
      <c r="H1264" t="str">
        <f t="shared" si="153"/>
        <v>Freshwater_crayfish</v>
      </c>
      <c r="I1264" t="str">
        <f t="shared" si="154"/>
        <v>Kōura</v>
      </c>
      <c r="J1264" t="str">
        <f t="shared" si="155"/>
        <v>Native</v>
      </c>
      <c r="K1264" t="str">
        <f t="shared" si="156"/>
        <v>Yes</v>
      </c>
      <c r="L1264" t="s">
        <v>228</v>
      </c>
      <c r="M1264">
        <v>30.09</v>
      </c>
      <c r="N1264">
        <v>17</v>
      </c>
      <c r="O1264">
        <v>1</v>
      </c>
      <c r="T1264" t="str">
        <f t="shared" si="158"/>
        <v/>
      </c>
    </row>
    <row r="1265" spans="1:20" x14ac:dyDescent="0.55000000000000004">
      <c r="A1265">
        <v>115</v>
      </c>
      <c r="B1265" t="str">
        <f t="shared" si="160"/>
        <v>115_1</v>
      </c>
      <c r="C1265" s="2">
        <v>45680.548611053244</v>
      </c>
      <c r="D1265" t="s">
        <v>221</v>
      </c>
      <c r="E1265">
        <v>2</v>
      </c>
      <c r="F1265" t="s">
        <v>222</v>
      </c>
      <c r="G1265" t="str">
        <f t="shared" si="152"/>
        <v>Paranephrops planifrons</v>
      </c>
      <c r="H1265" t="str">
        <f t="shared" si="153"/>
        <v>Freshwater_crayfish</v>
      </c>
      <c r="I1265" t="str">
        <f t="shared" si="154"/>
        <v>Kōura</v>
      </c>
      <c r="J1265" t="str">
        <f t="shared" si="155"/>
        <v>Native</v>
      </c>
      <c r="K1265" t="str">
        <f t="shared" si="156"/>
        <v>Yes</v>
      </c>
      <c r="L1265" t="s">
        <v>228</v>
      </c>
      <c r="M1265">
        <v>30.12</v>
      </c>
      <c r="N1265">
        <v>12</v>
      </c>
      <c r="O1265">
        <v>1</v>
      </c>
      <c r="T1265" t="str">
        <f t="shared" si="158"/>
        <v/>
      </c>
    </row>
    <row r="1266" spans="1:20" x14ac:dyDescent="0.55000000000000004">
      <c r="A1266">
        <v>115</v>
      </c>
      <c r="B1266" t="str">
        <f t="shared" si="160"/>
        <v>115_1</v>
      </c>
      <c r="C1266" s="2">
        <v>45680.548611053244</v>
      </c>
      <c r="D1266" t="s">
        <v>221</v>
      </c>
      <c r="E1266">
        <v>2</v>
      </c>
      <c r="F1266" t="s">
        <v>222</v>
      </c>
      <c r="G1266" t="str">
        <f t="shared" si="152"/>
        <v>Paranephrops planifrons</v>
      </c>
      <c r="H1266" t="str">
        <f t="shared" si="153"/>
        <v>Freshwater_crayfish</v>
      </c>
      <c r="I1266" t="str">
        <f t="shared" si="154"/>
        <v>Kōura</v>
      </c>
      <c r="J1266" t="str">
        <f t="shared" si="155"/>
        <v>Native</v>
      </c>
      <c r="K1266" t="str">
        <f t="shared" si="156"/>
        <v>Yes</v>
      </c>
      <c r="L1266" t="s">
        <v>228</v>
      </c>
      <c r="M1266">
        <v>30.4</v>
      </c>
      <c r="N1266">
        <v>21</v>
      </c>
      <c r="O1266">
        <v>1</v>
      </c>
      <c r="T1266" t="str">
        <f t="shared" si="158"/>
        <v/>
      </c>
    </row>
    <row r="1267" spans="1:20" x14ac:dyDescent="0.55000000000000004">
      <c r="A1267">
        <v>113</v>
      </c>
      <c r="B1267" t="str">
        <f>A1267 &amp; "_0"</f>
        <v>113_0</v>
      </c>
      <c r="C1267" s="2">
        <v>45680.387499942131</v>
      </c>
      <c r="D1267" t="s">
        <v>245</v>
      </c>
      <c r="E1267">
        <v>2</v>
      </c>
      <c r="F1267" t="s">
        <v>242</v>
      </c>
      <c r="G1267" t="str">
        <f t="shared" si="152"/>
        <v>Gobiomorphus cotidianus</v>
      </c>
      <c r="H1267" t="str">
        <f t="shared" si="153"/>
        <v>Common_bully</v>
      </c>
      <c r="I1267" t="str">
        <f t="shared" si="154"/>
        <v>Toitoi</v>
      </c>
      <c r="J1267" t="str">
        <f t="shared" si="155"/>
        <v>Native</v>
      </c>
      <c r="K1267" t="str">
        <f t="shared" si="156"/>
        <v>No</v>
      </c>
      <c r="N1267">
        <v>9</v>
      </c>
      <c r="O1267">
        <v>11</v>
      </c>
      <c r="T1267" t="str">
        <f t="shared" si="158"/>
        <v/>
      </c>
    </row>
    <row r="1268" spans="1:20" x14ac:dyDescent="0.55000000000000004">
      <c r="A1268">
        <v>115</v>
      </c>
      <c r="B1268" t="str">
        <f t="shared" ref="B1268:B1273" si="161">A1268 &amp; "_1"</f>
        <v>115_1</v>
      </c>
      <c r="C1268" s="2">
        <v>45680.548611053244</v>
      </c>
      <c r="D1268" t="s">
        <v>221</v>
      </c>
      <c r="E1268">
        <v>2</v>
      </c>
      <c r="F1268" t="s">
        <v>222</v>
      </c>
      <c r="G1268" t="str">
        <f t="shared" si="152"/>
        <v>Paranephrops planifrons</v>
      </c>
      <c r="H1268" t="str">
        <f t="shared" si="153"/>
        <v>Freshwater_crayfish</v>
      </c>
      <c r="I1268" t="str">
        <f t="shared" si="154"/>
        <v>Kōura</v>
      </c>
      <c r="J1268" t="str">
        <f t="shared" si="155"/>
        <v>Native</v>
      </c>
      <c r="K1268" t="str">
        <f t="shared" si="156"/>
        <v>Yes</v>
      </c>
      <c r="L1268" t="s">
        <v>223</v>
      </c>
      <c r="M1268">
        <v>30.53</v>
      </c>
      <c r="N1268">
        <v>17</v>
      </c>
      <c r="O1268">
        <v>1</v>
      </c>
      <c r="T1268" t="str">
        <f t="shared" si="158"/>
        <v/>
      </c>
    </row>
    <row r="1269" spans="1:20" x14ac:dyDescent="0.55000000000000004">
      <c r="A1269">
        <v>115</v>
      </c>
      <c r="B1269" t="str">
        <f t="shared" si="161"/>
        <v>115_1</v>
      </c>
      <c r="C1269" s="2">
        <v>45680.548611053244</v>
      </c>
      <c r="D1269" t="s">
        <v>221</v>
      </c>
      <c r="E1269">
        <v>2</v>
      </c>
      <c r="F1269" t="s">
        <v>222</v>
      </c>
      <c r="G1269" t="str">
        <f t="shared" si="152"/>
        <v>Paranephrops planifrons</v>
      </c>
      <c r="H1269" t="str">
        <f t="shared" si="153"/>
        <v>Freshwater_crayfish</v>
      </c>
      <c r="I1269" t="str">
        <f t="shared" si="154"/>
        <v>Kōura</v>
      </c>
      <c r="J1269" t="str">
        <f t="shared" si="155"/>
        <v>Native</v>
      </c>
      <c r="K1269" t="str">
        <f t="shared" si="156"/>
        <v>Yes</v>
      </c>
      <c r="L1269" t="s">
        <v>223</v>
      </c>
      <c r="M1269">
        <v>30.79</v>
      </c>
      <c r="N1269">
        <v>19</v>
      </c>
      <c r="O1269">
        <v>1</v>
      </c>
      <c r="T1269" t="str">
        <f t="shared" si="158"/>
        <v/>
      </c>
    </row>
    <row r="1270" spans="1:20" x14ac:dyDescent="0.55000000000000004">
      <c r="A1270">
        <v>115</v>
      </c>
      <c r="B1270" t="str">
        <f t="shared" si="161"/>
        <v>115_1</v>
      </c>
      <c r="C1270" s="2">
        <v>45680.548611053244</v>
      </c>
      <c r="D1270" t="s">
        <v>221</v>
      </c>
      <c r="E1270">
        <v>2</v>
      </c>
      <c r="F1270" t="s">
        <v>222</v>
      </c>
      <c r="G1270" t="str">
        <f t="shared" si="152"/>
        <v>Paranephrops planifrons</v>
      </c>
      <c r="H1270" t="str">
        <f t="shared" si="153"/>
        <v>Freshwater_crayfish</v>
      </c>
      <c r="I1270" t="str">
        <f t="shared" si="154"/>
        <v>Kōura</v>
      </c>
      <c r="J1270" t="str">
        <f t="shared" si="155"/>
        <v>Native</v>
      </c>
      <c r="K1270" t="str">
        <f t="shared" si="156"/>
        <v>Yes</v>
      </c>
      <c r="L1270" t="s">
        <v>223</v>
      </c>
      <c r="M1270">
        <v>30.88</v>
      </c>
      <c r="N1270">
        <v>23</v>
      </c>
      <c r="O1270">
        <v>1</v>
      </c>
      <c r="T1270" t="str">
        <f t="shared" si="158"/>
        <v/>
      </c>
    </row>
    <row r="1271" spans="1:20" x14ac:dyDescent="0.55000000000000004">
      <c r="A1271">
        <v>115</v>
      </c>
      <c r="B1271" t="str">
        <f t="shared" si="161"/>
        <v>115_1</v>
      </c>
      <c r="C1271" s="2">
        <v>45680.548611053244</v>
      </c>
      <c r="D1271" t="s">
        <v>221</v>
      </c>
      <c r="E1271">
        <v>2</v>
      </c>
      <c r="F1271" t="s">
        <v>222</v>
      </c>
      <c r="G1271" t="str">
        <f t="shared" si="152"/>
        <v>Paranephrops planifrons</v>
      </c>
      <c r="H1271" t="str">
        <f t="shared" si="153"/>
        <v>Freshwater_crayfish</v>
      </c>
      <c r="I1271" t="str">
        <f t="shared" si="154"/>
        <v>Kōura</v>
      </c>
      <c r="J1271" t="str">
        <f t="shared" si="155"/>
        <v>Native</v>
      </c>
      <c r="K1271" t="str">
        <f t="shared" si="156"/>
        <v>Yes</v>
      </c>
      <c r="L1271" t="s">
        <v>223</v>
      </c>
      <c r="M1271">
        <v>31.18</v>
      </c>
      <c r="N1271">
        <v>24</v>
      </c>
      <c r="O1271">
        <v>1</v>
      </c>
      <c r="T1271" t="str">
        <f t="shared" si="158"/>
        <v/>
      </c>
    </row>
    <row r="1272" spans="1:20" x14ac:dyDescent="0.55000000000000004">
      <c r="A1272">
        <v>115</v>
      </c>
      <c r="B1272" t="str">
        <f t="shared" si="161"/>
        <v>115_1</v>
      </c>
      <c r="C1272" s="2">
        <v>45680.548611053244</v>
      </c>
      <c r="D1272" t="s">
        <v>221</v>
      </c>
      <c r="E1272">
        <v>2</v>
      </c>
      <c r="F1272" t="s">
        <v>222</v>
      </c>
      <c r="G1272" t="str">
        <f t="shared" si="152"/>
        <v>Paranephrops planifrons</v>
      </c>
      <c r="H1272" t="str">
        <f t="shared" si="153"/>
        <v>Freshwater_crayfish</v>
      </c>
      <c r="I1272" t="str">
        <f t="shared" si="154"/>
        <v>Kōura</v>
      </c>
      <c r="J1272" t="str">
        <f t="shared" si="155"/>
        <v>Native</v>
      </c>
      <c r="K1272" t="str">
        <f t="shared" si="156"/>
        <v>Yes</v>
      </c>
      <c r="L1272" t="s">
        <v>223</v>
      </c>
      <c r="M1272">
        <v>31.22</v>
      </c>
      <c r="N1272">
        <v>21</v>
      </c>
      <c r="O1272">
        <v>1</v>
      </c>
      <c r="T1272" t="str">
        <f t="shared" si="158"/>
        <v/>
      </c>
    </row>
    <row r="1273" spans="1:20" x14ac:dyDescent="0.55000000000000004">
      <c r="A1273">
        <v>115</v>
      </c>
      <c r="B1273" t="str">
        <f t="shared" si="161"/>
        <v>115_1</v>
      </c>
      <c r="C1273" s="2">
        <v>45680.548611053244</v>
      </c>
      <c r="D1273" t="s">
        <v>221</v>
      </c>
      <c r="E1273">
        <v>2</v>
      </c>
      <c r="F1273" t="s">
        <v>222</v>
      </c>
      <c r="G1273" t="str">
        <f t="shared" si="152"/>
        <v>Paranephrops planifrons</v>
      </c>
      <c r="H1273" t="str">
        <f t="shared" si="153"/>
        <v>Freshwater_crayfish</v>
      </c>
      <c r="I1273" t="str">
        <f t="shared" si="154"/>
        <v>Kōura</v>
      </c>
      <c r="J1273" t="str">
        <f t="shared" si="155"/>
        <v>Native</v>
      </c>
      <c r="K1273" t="str">
        <f t="shared" si="156"/>
        <v>Yes</v>
      </c>
      <c r="L1273" t="s">
        <v>228</v>
      </c>
      <c r="M1273">
        <v>31.38</v>
      </c>
      <c r="N1273">
        <v>20</v>
      </c>
      <c r="O1273">
        <v>1</v>
      </c>
      <c r="T1273" t="str">
        <f t="shared" si="158"/>
        <v/>
      </c>
    </row>
    <row r="1274" spans="1:20" x14ac:dyDescent="0.55000000000000004">
      <c r="A1274">
        <v>113</v>
      </c>
      <c r="B1274" t="str">
        <f>A1274 &amp; "_0"</f>
        <v>113_0</v>
      </c>
      <c r="C1274" s="2">
        <v>45680.387499942131</v>
      </c>
      <c r="D1274" t="s">
        <v>221</v>
      </c>
      <c r="E1274">
        <v>2</v>
      </c>
      <c r="F1274" t="s">
        <v>242</v>
      </c>
      <c r="G1274" t="str">
        <f t="shared" si="152"/>
        <v>Gobiomorphus cotidianus</v>
      </c>
      <c r="H1274" t="str">
        <f t="shared" si="153"/>
        <v>Common_bully</v>
      </c>
      <c r="I1274" t="str">
        <f t="shared" si="154"/>
        <v>Toitoi</v>
      </c>
      <c r="J1274" t="str">
        <f t="shared" si="155"/>
        <v>Native</v>
      </c>
      <c r="K1274" t="str">
        <f t="shared" si="156"/>
        <v>No</v>
      </c>
      <c r="N1274">
        <f>222-117</f>
        <v>105</v>
      </c>
      <c r="O1274">
        <v>114</v>
      </c>
      <c r="S1274">
        <v>0.5</v>
      </c>
      <c r="T1274">
        <f t="shared" si="158"/>
        <v>118.294</v>
      </c>
    </row>
    <row r="1275" spans="1:20" x14ac:dyDescent="0.55000000000000004">
      <c r="A1275">
        <v>115</v>
      </c>
      <c r="B1275" t="str">
        <f t="shared" ref="B1275:B1308" si="162">A1275 &amp; "_1"</f>
        <v>115_1</v>
      </c>
      <c r="C1275" s="2">
        <v>45680.548611053244</v>
      </c>
      <c r="D1275" t="s">
        <v>221</v>
      </c>
      <c r="E1275">
        <v>2</v>
      </c>
      <c r="F1275" t="s">
        <v>222</v>
      </c>
      <c r="G1275" t="str">
        <f t="shared" si="152"/>
        <v>Paranephrops planifrons</v>
      </c>
      <c r="H1275" t="str">
        <f t="shared" si="153"/>
        <v>Freshwater_crayfish</v>
      </c>
      <c r="I1275" t="str">
        <f t="shared" si="154"/>
        <v>Kōura</v>
      </c>
      <c r="J1275" t="str">
        <f t="shared" si="155"/>
        <v>Native</v>
      </c>
      <c r="K1275" t="str">
        <f t="shared" si="156"/>
        <v>Yes</v>
      </c>
      <c r="L1275" t="s">
        <v>223</v>
      </c>
      <c r="M1275">
        <v>31.83</v>
      </c>
      <c r="N1275">
        <v>24</v>
      </c>
      <c r="O1275">
        <v>1</v>
      </c>
      <c r="T1275" t="str">
        <f t="shared" si="158"/>
        <v/>
      </c>
    </row>
    <row r="1276" spans="1:20" x14ac:dyDescent="0.55000000000000004">
      <c r="A1276">
        <v>115</v>
      </c>
      <c r="B1276" t="str">
        <f t="shared" si="162"/>
        <v>115_1</v>
      </c>
      <c r="C1276" s="2">
        <v>45680.548611053244</v>
      </c>
      <c r="D1276" t="s">
        <v>221</v>
      </c>
      <c r="E1276">
        <v>2</v>
      </c>
      <c r="F1276" t="s">
        <v>222</v>
      </c>
      <c r="G1276" t="str">
        <f t="shared" si="152"/>
        <v>Paranephrops planifrons</v>
      </c>
      <c r="H1276" t="str">
        <f t="shared" si="153"/>
        <v>Freshwater_crayfish</v>
      </c>
      <c r="I1276" t="str">
        <f t="shared" si="154"/>
        <v>Kōura</v>
      </c>
      <c r="J1276" t="str">
        <f t="shared" si="155"/>
        <v>Native</v>
      </c>
      <c r="K1276" t="str">
        <f t="shared" si="156"/>
        <v>Yes</v>
      </c>
      <c r="L1276" t="s">
        <v>223</v>
      </c>
      <c r="M1276">
        <v>31.84</v>
      </c>
      <c r="N1276">
        <v>26</v>
      </c>
      <c r="O1276">
        <v>1</v>
      </c>
      <c r="T1276" t="str">
        <f t="shared" si="158"/>
        <v/>
      </c>
    </row>
    <row r="1277" spans="1:20" x14ac:dyDescent="0.55000000000000004">
      <c r="A1277">
        <v>115</v>
      </c>
      <c r="B1277" t="str">
        <f t="shared" si="162"/>
        <v>115_1</v>
      </c>
      <c r="C1277" s="2">
        <v>45680.548611053244</v>
      </c>
      <c r="D1277" t="s">
        <v>221</v>
      </c>
      <c r="E1277">
        <v>2</v>
      </c>
      <c r="F1277" t="s">
        <v>222</v>
      </c>
      <c r="G1277" t="str">
        <f t="shared" si="152"/>
        <v>Paranephrops planifrons</v>
      </c>
      <c r="H1277" t="str">
        <f t="shared" si="153"/>
        <v>Freshwater_crayfish</v>
      </c>
      <c r="I1277" t="str">
        <f t="shared" si="154"/>
        <v>Kōura</v>
      </c>
      <c r="J1277" t="str">
        <f t="shared" si="155"/>
        <v>Native</v>
      </c>
      <c r="K1277" t="str">
        <f t="shared" si="156"/>
        <v>Yes</v>
      </c>
      <c r="L1277" t="s">
        <v>223</v>
      </c>
      <c r="M1277">
        <v>32.17</v>
      </c>
      <c r="N1277">
        <v>21</v>
      </c>
      <c r="O1277">
        <v>1</v>
      </c>
      <c r="T1277" t="str">
        <f t="shared" si="158"/>
        <v/>
      </c>
    </row>
    <row r="1278" spans="1:20" x14ac:dyDescent="0.55000000000000004">
      <c r="A1278">
        <v>115</v>
      </c>
      <c r="B1278" t="str">
        <f t="shared" si="162"/>
        <v>115_1</v>
      </c>
      <c r="C1278" s="2">
        <v>45680.548611053244</v>
      </c>
      <c r="D1278" t="s">
        <v>221</v>
      </c>
      <c r="E1278">
        <v>2</v>
      </c>
      <c r="F1278" t="s">
        <v>222</v>
      </c>
      <c r="G1278" t="str">
        <f t="shared" si="152"/>
        <v>Paranephrops planifrons</v>
      </c>
      <c r="H1278" t="str">
        <f t="shared" si="153"/>
        <v>Freshwater_crayfish</v>
      </c>
      <c r="I1278" t="str">
        <f t="shared" si="154"/>
        <v>Kōura</v>
      </c>
      <c r="J1278" t="str">
        <f t="shared" si="155"/>
        <v>Native</v>
      </c>
      <c r="K1278" t="str">
        <f t="shared" si="156"/>
        <v>Yes</v>
      </c>
      <c r="L1278" t="s">
        <v>223</v>
      </c>
      <c r="M1278">
        <v>32.29</v>
      </c>
      <c r="N1278">
        <v>25</v>
      </c>
      <c r="O1278">
        <v>1</v>
      </c>
      <c r="T1278" t="str">
        <f t="shared" si="158"/>
        <v/>
      </c>
    </row>
    <row r="1279" spans="1:20" x14ac:dyDescent="0.55000000000000004">
      <c r="A1279">
        <v>115</v>
      </c>
      <c r="B1279" t="str">
        <f t="shared" si="162"/>
        <v>115_1</v>
      </c>
      <c r="C1279" s="2">
        <v>45680.548611053244</v>
      </c>
      <c r="D1279" t="s">
        <v>221</v>
      </c>
      <c r="E1279">
        <v>2</v>
      </c>
      <c r="F1279" t="s">
        <v>222</v>
      </c>
      <c r="G1279" t="str">
        <f t="shared" si="152"/>
        <v>Paranephrops planifrons</v>
      </c>
      <c r="H1279" t="str">
        <f t="shared" si="153"/>
        <v>Freshwater_crayfish</v>
      </c>
      <c r="I1279" t="str">
        <f t="shared" si="154"/>
        <v>Kōura</v>
      </c>
      <c r="J1279" t="str">
        <f t="shared" si="155"/>
        <v>Native</v>
      </c>
      <c r="K1279" t="str">
        <f t="shared" si="156"/>
        <v>Yes</v>
      </c>
      <c r="L1279" t="s">
        <v>228</v>
      </c>
      <c r="M1279">
        <v>32.700000000000003</v>
      </c>
      <c r="N1279">
        <v>21</v>
      </c>
      <c r="O1279">
        <v>1</v>
      </c>
      <c r="T1279" t="str">
        <f t="shared" si="158"/>
        <v/>
      </c>
    </row>
    <row r="1280" spans="1:20" x14ac:dyDescent="0.55000000000000004">
      <c r="A1280">
        <v>115</v>
      </c>
      <c r="B1280" t="str">
        <f t="shared" si="162"/>
        <v>115_1</v>
      </c>
      <c r="C1280" s="2">
        <v>45680.548611053244</v>
      </c>
      <c r="D1280" t="s">
        <v>221</v>
      </c>
      <c r="E1280">
        <v>2</v>
      </c>
      <c r="F1280" t="s">
        <v>222</v>
      </c>
      <c r="G1280" t="str">
        <f t="shared" si="152"/>
        <v>Paranephrops planifrons</v>
      </c>
      <c r="H1280" t="str">
        <f t="shared" si="153"/>
        <v>Freshwater_crayfish</v>
      </c>
      <c r="I1280" t="str">
        <f t="shared" si="154"/>
        <v>Kōura</v>
      </c>
      <c r="J1280" t="str">
        <f t="shared" si="155"/>
        <v>Native</v>
      </c>
      <c r="K1280" t="str">
        <f t="shared" si="156"/>
        <v>Yes</v>
      </c>
      <c r="L1280" t="s">
        <v>223</v>
      </c>
      <c r="M1280">
        <v>32.83</v>
      </c>
      <c r="N1280">
        <v>23</v>
      </c>
      <c r="O1280">
        <v>1</v>
      </c>
      <c r="T1280" t="str">
        <f t="shared" si="158"/>
        <v/>
      </c>
    </row>
    <row r="1281" spans="1:20" x14ac:dyDescent="0.55000000000000004">
      <c r="A1281">
        <v>115</v>
      </c>
      <c r="B1281" t="str">
        <f t="shared" si="162"/>
        <v>115_1</v>
      </c>
      <c r="C1281" s="2">
        <v>45680.548611053244</v>
      </c>
      <c r="D1281" t="s">
        <v>245</v>
      </c>
      <c r="E1281">
        <v>2</v>
      </c>
      <c r="F1281" t="s">
        <v>222</v>
      </c>
      <c r="G1281" t="str">
        <f t="shared" si="152"/>
        <v>Paranephrops planifrons</v>
      </c>
      <c r="H1281" t="str">
        <f t="shared" si="153"/>
        <v>Freshwater_crayfish</v>
      </c>
      <c r="I1281" t="str">
        <f t="shared" si="154"/>
        <v>Kōura</v>
      </c>
      <c r="J1281" t="str">
        <f t="shared" si="155"/>
        <v>Native</v>
      </c>
      <c r="K1281" t="str">
        <f t="shared" si="156"/>
        <v>Yes</v>
      </c>
      <c r="L1281" t="s">
        <v>223</v>
      </c>
      <c r="M1281">
        <v>33.450000000000003</v>
      </c>
      <c r="N1281">
        <v>16</v>
      </c>
      <c r="O1281">
        <v>1</v>
      </c>
      <c r="T1281" t="str">
        <f t="shared" si="158"/>
        <v/>
      </c>
    </row>
    <row r="1282" spans="1:20" x14ac:dyDescent="0.55000000000000004">
      <c r="A1282">
        <v>115</v>
      </c>
      <c r="B1282" t="str">
        <f t="shared" si="162"/>
        <v>115_1</v>
      </c>
      <c r="C1282" s="2">
        <v>45680.548611053244</v>
      </c>
      <c r="D1282" t="s">
        <v>245</v>
      </c>
      <c r="E1282">
        <v>2</v>
      </c>
      <c r="F1282" t="s">
        <v>233</v>
      </c>
      <c r="G1282" t="str">
        <f t="shared" ref="G1282:G1345" si="163">VLOOKUP($F1282, $W$1:$AB$10, 2, FALSE)</f>
        <v>Galaxias brevipinnis</v>
      </c>
      <c r="H1282" t="str">
        <f t="shared" ref="H1282:H1345" si="164">VLOOKUP($F1282, $W$1:$AB$10, 3, FALSE)</f>
        <v>Climbing_galaxias</v>
      </c>
      <c r="I1282" t="str">
        <f t="shared" ref="I1282:I1345" si="165">VLOOKUP($F1282, $W$1:$AB$10, 4, FALSE)</f>
        <v>Kōaro</v>
      </c>
      <c r="J1282" t="str">
        <f t="shared" ref="J1282:J1345" si="166">VLOOKUP($F1282, $W$1:$AC$10, 5, FALSE)</f>
        <v>Native</v>
      </c>
      <c r="K1282" t="str">
        <f t="shared" ref="K1282:K1345" si="167">VLOOKUP($F1282, $W$1:$AB$10, 6, FALSE)</f>
        <v>Yes</v>
      </c>
      <c r="M1282">
        <v>70</v>
      </c>
      <c r="N1282">
        <v>3</v>
      </c>
      <c r="O1282">
        <v>1</v>
      </c>
      <c r="T1282" t="str">
        <f t="shared" si="158"/>
        <v/>
      </c>
    </row>
    <row r="1283" spans="1:20" x14ac:dyDescent="0.55000000000000004">
      <c r="A1283">
        <v>115</v>
      </c>
      <c r="B1283" t="str">
        <f t="shared" si="162"/>
        <v>115_1</v>
      </c>
      <c r="C1283" s="2">
        <v>45680.548611053244</v>
      </c>
      <c r="D1283" t="s">
        <v>245</v>
      </c>
      <c r="E1283">
        <v>2</v>
      </c>
      <c r="F1283" t="s">
        <v>242</v>
      </c>
      <c r="G1283" t="str">
        <f t="shared" si="163"/>
        <v>Gobiomorphus cotidianus</v>
      </c>
      <c r="H1283" t="str">
        <f t="shared" si="164"/>
        <v>Common_bully</v>
      </c>
      <c r="I1283" t="str">
        <f t="shared" si="165"/>
        <v>Toitoi</v>
      </c>
      <c r="J1283" t="str">
        <f t="shared" si="166"/>
        <v>Native</v>
      </c>
      <c r="K1283" t="str">
        <f t="shared" si="167"/>
        <v>No</v>
      </c>
      <c r="N1283">
        <v>17</v>
      </c>
      <c r="O1283">
        <v>25</v>
      </c>
      <c r="T1283" t="str">
        <f t="shared" si="158"/>
        <v/>
      </c>
    </row>
    <row r="1284" spans="1:20" x14ac:dyDescent="0.55000000000000004">
      <c r="A1284">
        <v>115</v>
      </c>
      <c r="B1284" t="str">
        <f t="shared" si="162"/>
        <v>115_1</v>
      </c>
      <c r="C1284" s="2">
        <v>45680.548611053244</v>
      </c>
      <c r="D1284" t="s">
        <v>221</v>
      </c>
      <c r="E1284">
        <v>2</v>
      </c>
      <c r="F1284" t="s">
        <v>222</v>
      </c>
      <c r="G1284" t="str">
        <f t="shared" si="163"/>
        <v>Paranephrops planifrons</v>
      </c>
      <c r="H1284" t="str">
        <f t="shared" si="164"/>
        <v>Freshwater_crayfish</v>
      </c>
      <c r="I1284" t="str">
        <f t="shared" si="165"/>
        <v>Kōura</v>
      </c>
      <c r="J1284" t="str">
        <f t="shared" si="166"/>
        <v>Native</v>
      </c>
      <c r="K1284" t="str">
        <f t="shared" si="167"/>
        <v>Yes</v>
      </c>
      <c r="L1284" t="s">
        <v>223</v>
      </c>
      <c r="M1284">
        <v>33.630000000000003</v>
      </c>
      <c r="N1284">
        <v>25</v>
      </c>
      <c r="O1284">
        <v>1</v>
      </c>
      <c r="T1284" t="str">
        <f t="shared" si="158"/>
        <v/>
      </c>
    </row>
    <row r="1285" spans="1:20" x14ac:dyDescent="0.55000000000000004">
      <c r="A1285">
        <v>115</v>
      </c>
      <c r="B1285" t="str">
        <f t="shared" si="162"/>
        <v>115_1</v>
      </c>
      <c r="C1285" s="2">
        <v>45680.548611053244</v>
      </c>
      <c r="D1285" t="s">
        <v>221</v>
      </c>
      <c r="E1285">
        <v>2</v>
      </c>
      <c r="F1285" t="s">
        <v>222</v>
      </c>
      <c r="G1285" t="str">
        <f t="shared" si="163"/>
        <v>Paranephrops planifrons</v>
      </c>
      <c r="H1285" t="str">
        <f t="shared" si="164"/>
        <v>Freshwater_crayfish</v>
      </c>
      <c r="I1285" t="str">
        <f t="shared" si="165"/>
        <v>Kōura</v>
      </c>
      <c r="J1285" t="str">
        <f t="shared" si="166"/>
        <v>Native</v>
      </c>
      <c r="K1285" t="str">
        <f t="shared" si="167"/>
        <v>Yes</v>
      </c>
      <c r="L1285" t="s">
        <v>223</v>
      </c>
      <c r="M1285">
        <v>33.64</v>
      </c>
      <c r="N1285">
        <v>30</v>
      </c>
      <c r="O1285">
        <v>1</v>
      </c>
      <c r="T1285" t="str">
        <f t="shared" si="158"/>
        <v/>
      </c>
    </row>
    <row r="1286" spans="1:20" x14ac:dyDescent="0.55000000000000004">
      <c r="A1286">
        <v>115</v>
      </c>
      <c r="B1286" t="str">
        <f t="shared" si="162"/>
        <v>115_1</v>
      </c>
      <c r="C1286" s="2">
        <v>45680.548611053244</v>
      </c>
      <c r="D1286" t="s">
        <v>245</v>
      </c>
      <c r="E1286">
        <v>2</v>
      </c>
      <c r="F1286" t="s">
        <v>222</v>
      </c>
      <c r="G1286" t="str">
        <f t="shared" si="163"/>
        <v>Paranephrops planifrons</v>
      </c>
      <c r="H1286" t="str">
        <f t="shared" si="164"/>
        <v>Freshwater_crayfish</v>
      </c>
      <c r="I1286" t="str">
        <f t="shared" si="165"/>
        <v>Kōura</v>
      </c>
      <c r="J1286" t="str">
        <f t="shared" si="166"/>
        <v>Native</v>
      </c>
      <c r="K1286" t="str">
        <f t="shared" si="167"/>
        <v>Yes</v>
      </c>
      <c r="L1286" t="s">
        <v>223</v>
      </c>
      <c r="M1286">
        <v>34.020000000000003</v>
      </c>
      <c r="N1286">
        <v>37</v>
      </c>
      <c r="O1286">
        <v>1</v>
      </c>
      <c r="T1286" t="str">
        <f t="shared" si="158"/>
        <v/>
      </c>
    </row>
    <row r="1287" spans="1:20" x14ac:dyDescent="0.55000000000000004">
      <c r="A1287">
        <v>115</v>
      </c>
      <c r="B1287" t="str">
        <f t="shared" si="162"/>
        <v>115_1</v>
      </c>
      <c r="C1287" s="2">
        <v>45680.548611053244</v>
      </c>
      <c r="D1287" t="s">
        <v>221</v>
      </c>
      <c r="E1287">
        <v>2</v>
      </c>
      <c r="F1287" t="s">
        <v>222</v>
      </c>
      <c r="G1287" t="str">
        <f t="shared" si="163"/>
        <v>Paranephrops planifrons</v>
      </c>
      <c r="H1287" t="str">
        <f t="shared" si="164"/>
        <v>Freshwater_crayfish</v>
      </c>
      <c r="I1287" t="str">
        <f t="shared" si="165"/>
        <v>Kōura</v>
      </c>
      <c r="J1287" t="str">
        <f t="shared" si="166"/>
        <v>Native</v>
      </c>
      <c r="K1287" t="str">
        <f t="shared" si="167"/>
        <v>Yes</v>
      </c>
      <c r="L1287" t="s">
        <v>223</v>
      </c>
      <c r="M1287">
        <v>34.71</v>
      </c>
      <c r="N1287">
        <v>25</v>
      </c>
      <c r="O1287">
        <v>1</v>
      </c>
      <c r="T1287" t="str">
        <f t="shared" si="158"/>
        <v/>
      </c>
    </row>
    <row r="1288" spans="1:20" x14ac:dyDescent="0.55000000000000004">
      <c r="A1288">
        <v>115</v>
      </c>
      <c r="B1288" t="str">
        <f t="shared" si="162"/>
        <v>115_1</v>
      </c>
      <c r="C1288" s="2">
        <v>45680.548611053244</v>
      </c>
      <c r="D1288" t="s">
        <v>221</v>
      </c>
      <c r="E1288">
        <v>2</v>
      </c>
      <c r="F1288" t="s">
        <v>222</v>
      </c>
      <c r="G1288" t="str">
        <f t="shared" si="163"/>
        <v>Paranephrops planifrons</v>
      </c>
      <c r="H1288" t="str">
        <f t="shared" si="164"/>
        <v>Freshwater_crayfish</v>
      </c>
      <c r="I1288" t="str">
        <f t="shared" si="165"/>
        <v>Kōura</v>
      </c>
      <c r="J1288" t="str">
        <f t="shared" si="166"/>
        <v>Native</v>
      </c>
      <c r="K1288" t="str">
        <f t="shared" si="167"/>
        <v>Yes</v>
      </c>
      <c r="L1288" t="s">
        <v>228</v>
      </c>
      <c r="M1288">
        <v>34.79</v>
      </c>
      <c r="N1288">
        <v>21</v>
      </c>
      <c r="O1288">
        <v>1</v>
      </c>
      <c r="T1288" t="str">
        <f t="shared" si="158"/>
        <v/>
      </c>
    </row>
    <row r="1289" spans="1:20" x14ac:dyDescent="0.55000000000000004">
      <c r="A1289">
        <v>115</v>
      </c>
      <c r="B1289" t="str">
        <f t="shared" si="162"/>
        <v>115_1</v>
      </c>
      <c r="C1289" s="2">
        <v>45680.548611053244</v>
      </c>
      <c r="D1289" t="s">
        <v>221</v>
      </c>
      <c r="E1289">
        <v>2</v>
      </c>
      <c r="F1289" t="s">
        <v>222</v>
      </c>
      <c r="G1289" t="str">
        <f t="shared" si="163"/>
        <v>Paranephrops planifrons</v>
      </c>
      <c r="H1289" t="str">
        <f t="shared" si="164"/>
        <v>Freshwater_crayfish</v>
      </c>
      <c r="I1289" t="str">
        <f t="shared" si="165"/>
        <v>Kōura</v>
      </c>
      <c r="J1289" t="str">
        <f t="shared" si="166"/>
        <v>Native</v>
      </c>
      <c r="K1289" t="str">
        <f t="shared" si="167"/>
        <v>Yes</v>
      </c>
      <c r="L1289" t="s">
        <v>228</v>
      </c>
      <c r="M1289">
        <v>34.81</v>
      </c>
      <c r="N1289">
        <v>33</v>
      </c>
      <c r="O1289">
        <v>1</v>
      </c>
      <c r="T1289" t="str">
        <f t="shared" ref="T1289:T1352" si="168">IF(S1289&lt;&gt;"", S1289*236.588, "")</f>
        <v/>
      </c>
    </row>
    <row r="1290" spans="1:20" x14ac:dyDescent="0.55000000000000004">
      <c r="A1290">
        <v>115</v>
      </c>
      <c r="B1290" t="str">
        <f t="shared" si="162"/>
        <v>115_1</v>
      </c>
      <c r="C1290" s="2">
        <v>45680.548611053244</v>
      </c>
      <c r="D1290" t="s">
        <v>221</v>
      </c>
      <c r="E1290">
        <v>2</v>
      </c>
      <c r="F1290" t="s">
        <v>222</v>
      </c>
      <c r="G1290" t="str">
        <f t="shared" si="163"/>
        <v>Paranephrops planifrons</v>
      </c>
      <c r="H1290" t="str">
        <f t="shared" si="164"/>
        <v>Freshwater_crayfish</v>
      </c>
      <c r="I1290" t="str">
        <f t="shared" si="165"/>
        <v>Kōura</v>
      </c>
      <c r="J1290" t="str">
        <f t="shared" si="166"/>
        <v>Native</v>
      </c>
      <c r="K1290" t="str">
        <f t="shared" si="167"/>
        <v>Yes</v>
      </c>
      <c r="L1290" t="s">
        <v>223</v>
      </c>
      <c r="M1290">
        <v>35.1</v>
      </c>
      <c r="N1290">
        <v>28</v>
      </c>
      <c r="O1290">
        <v>1</v>
      </c>
      <c r="T1290" t="str">
        <f t="shared" si="168"/>
        <v/>
      </c>
    </row>
    <row r="1291" spans="1:20" x14ac:dyDescent="0.55000000000000004">
      <c r="A1291">
        <v>115</v>
      </c>
      <c r="B1291" t="str">
        <f t="shared" si="162"/>
        <v>115_1</v>
      </c>
      <c r="C1291" s="2">
        <v>45680.548611053244</v>
      </c>
      <c r="D1291" t="s">
        <v>221</v>
      </c>
      <c r="E1291">
        <v>2</v>
      </c>
      <c r="F1291" t="s">
        <v>222</v>
      </c>
      <c r="G1291" t="str">
        <f t="shared" si="163"/>
        <v>Paranephrops planifrons</v>
      </c>
      <c r="H1291" t="str">
        <f t="shared" si="164"/>
        <v>Freshwater_crayfish</v>
      </c>
      <c r="I1291" t="str">
        <f t="shared" si="165"/>
        <v>Kōura</v>
      </c>
      <c r="J1291" t="str">
        <f t="shared" si="166"/>
        <v>Native</v>
      </c>
      <c r="K1291" t="str">
        <f t="shared" si="167"/>
        <v>Yes</v>
      </c>
      <c r="L1291" t="s">
        <v>223</v>
      </c>
      <c r="M1291">
        <v>35.340000000000003</v>
      </c>
      <c r="N1291">
        <v>33</v>
      </c>
      <c r="O1291">
        <v>1</v>
      </c>
      <c r="T1291" t="str">
        <f t="shared" si="168"/>
        <v/>
      </c>
    </row>
    <row r="1292" spans="1:20" x14ac:dyDescent="0.55000000000000004">
      <c r="A1292">
        <v>115</v>
      </c>
      <c r="B1292" t="str">
        <f t="shared" si="162"/>
        <v>115_1</v>
      </c>
      <c r="C1292" s="2">
        <v>45680.548611053244</v>
      </c>
      <c r="D1292" t="s">
        <v>221</v>
      </c>
      <c r="E1292">
        <v>2</v>
      </c>
      <c r="F1292" t="s">
        <v>222</v>
      </c>
      <c r="G1292" t="str">
        <f t="shared" si="163"/>
        <v>Paranephrops planifrons</v>
      </c>
      <c r="H1292" t="str">
        <f t="shared" si="164"/>
        <v>Freshwater_crayfish</v>
      </c>
      <c r="I1292" t="str">
        <f t="shared" si="165"/>
        <v>Kōura</v>
      </c>
      <c r="J1292" t="str">
        <f t="shared" si="166"/>
        <v>Native</v>
      </c>
      <c r="K1292" t="str">
        <f t="shared" si="167"/>
        <v>Yes</v>
      </c>
      <c r="L1292" t="s">
        <v>223</v>
      </c>
      <c r="M1292">
        <v>36.04</v>
      </c>
      <c r="N1292">
        <v>32</v>
      </c>
      <c r="O1292">
        <v>1</v>
      </c>
      <c r="P1292">
        <v>1</v>
      </c>
      <c r="T1292" t="str">
        <f t="shared" si="168"/>
        <v/>
      </c>
    </row>
    <row r="1293" spans="1:20" x14ac:dyDescent="0.55000000000000004">
      <c r="A1293">
        <v>115</v>
      </c>
      <c r="B1293" t="str">
        <f t="shared" si="162"/>
        <v>115_1</v>
      </c>
      <c r="C1293" s="2">
        <v>45680.548611053244</v>
      </c>
      <c r="D1293" t="s">
        <v>221</v>
      </c>
      <c r="E1293">
        <v>2</v>
      </c>
      <c r="F1293" t="s">
        <v>222</v>
      </c>
      <c r="G1293" t="str">
        <f t="shared" si="163"/>
        <v>Paranephrops planifrons</v>
      </c>
      <c r="H1293" t="str">
        <f t="shared" si="164"/>
        <v>Freshwater_crayfish</v>
      </c>
      <c r="I1293" t="str">
        <f t="shared" si="165"/>
        <v>Kōura</v>
      </c>
      <c r="J1293" t="str">
        <f t="shared" si="166"/>
        <v>Native</v>
      </c>
      <c r="K1293" t="str">
        <f t="shared" si="167"/>
        <v>Yes</v>
      </c>
      <c r="L1293" t="s">
        <v>228</v>
      </c>
      <c r="M1293">
        <v>36.6</v>
      </c>
      <c r="N1293">
        <v>29</v>
      </c>
      <c r="O1293">
        <v>1</v>
      </c>
      <c r="T1293" t="str">
        <f t="shared" si="168"/>
        <v/>
      </c>
    </row>
    <row r="1294" spans="1:20" x14ac:dyDescent="0.55000000000000004">
      <c r="A1294">
        <v>115</v>
      </c>
      <c r="B1294" t="str">
        <f t="shared" si="162"/>
        <v>115_1</v>
      </c>
      <c r="C1294" s="2">
        <v>45680.548611053244</v>
      </c>
      <c r="D1294" t="s">
        <v>221</v>
      </c>
      <c r="E1294">
        <v>2</v>
      </c>
      <c r="F1294" t="s">
        <v>222</v>
      </c>
      <c r="G1294" t="str">
        <f t="shared" si="163"/>
        <v>Paranephrops planifrons</v>
      </c>
      <c r="H1294" t="str">
        <f t="shared" si="164"/>
        <v>Freshwater_crayfish</v>
      </c>
      <c r="I1294" t="str">
        <f t="shared" si="165"/>
        <v>Kōura</v>
      </c>
      <c r="J1294" t="str">
        <f t="shared" si="166"/>
        <v>Native</v>
      </c>
      <c r="K1294" t="str">
        <f t="shared" si="167"/>
        <v>Yes</v>
      </c>
      <c r="L1294" t="s">
        <v>228</v>
      </c>
      <c r="M1294">
        <v>36.89</v>
      </c>
      <c r="N1294">
        <v>35</v>
      </c>
      <c r="O1294">
        <v>1</v>
      </c>
      <c r="T1294" t="str">
        <f t="shared" si="168"/>
        <v/>
      </c>
    </row>
    <row r="1295" spans="1:20" x14ac:dyDescent="0.55000000000000004">
      <c r="A1295">
        <v>115</v>
      </c>
      <c r="B1295" t="str">
        <f t="shared" si="162"/>
        <v>115_1</v>
      </c>
      <c r="C1295" s="2">
        <v>45680.548611053244</v>
      </c>
      <c r="D1295" t="s">
        <v>221</v>
      </c>
      <c r="E1295">
        <v>2</v>
      </c>
      <c r="F1295" t="s">
        <v>222</v>
      </c>
      <c r="G1295" t="str">
        <f t="shared" si="163"/>
        <v>Paranephrops planifrons</v>
      </c>
      <c r="H1295" t="str">
        <f t="shared" si="164"/>
        <v>Freshwater_crayfish</v>
      </c>
      <c r="I1295" t="str">
        <f t="shared" si="165"/>
        <v>Kōura</v>
      </c>
      <c r="J1295" t="str">
        <f t="shared" si="166"/>
        <v>Native</v>
      </c>
      <c r="K1295" t="str">
        <f t="shared" si="167"/>
        <v>Yes</v>
      </c>
      <c r="L1295" t="s">
        <v>223</v>
      </c>
      <c r="M1295">
        <v>37.75</v>
      </c>
      <c r="N1295">
        <v>37</v>
      </c>
      <c r="O1295">
        <v>1</v>
      </c>
      <c r="T1295" t="str">
        <f t="shared" si="168"/>
        <v/>
      </c>
    </row>
    <row r="1296" spans="1:20" x14ac:dyDescent="0.55000000000000004">
      <c r="A1296">
        <v>115</v>
      </c>
      <c r="B1296" t="str">
        <f t="shared" si="162"/>
        <v>115_1</v>
      </c>
      <c r="C1296" s="2">
        <v>45680.548611053244</v>
      </c>
      <c r="D1296" t="s">
        <v>245</v>
      </c>
      <c r="E1296">
        <v>2</v>
      </c>
      <c r="F1296" t="s">
        <v>222</v>
      </c>
      <c r="G1296" t="str">
        <f t="shared" si="163"/>
        <v>Paranephrops planifrons</v>
      </c>
      <c r="H1296" t="str">
        <f t="shared" si="164"/>
        <v>Freshwater_crayfish</v>
      </c>
      <c r="I1296" t="str">
        <f t="shared" si="165"/>
        <v>Kōura</v>
      </c>
      <c r="J1296" t="str">
        <f t="shared" si="166"/>
        <v>Native</v>
      </c>
      <c r="K1296" t="str">
        <f t="shared" si="167"/>
        <v>Yes</v>
      </c>
      <c r="L1296" t="s">
        <v>223</v>
      </c>
      <c r="M1296">
        <v>39.21</v>
      </c>
      <c r="N1296">
        <v>42</v>
      </c>
      <c r="O1296">
        <v>1</v>
      </c>
      <c r="T1296" t="str">
        <f t="shared" si="168"/>
        <v/>
      </c>
    </row>
    <row r="1297" spans="1:20" x14ac:dyDescent="0.55000000000000004">
      <c r="A1297">
        <v>115</v>
      </c>
      <c r="B1297" t="str">
        <f t="shared" si="162"/>
        <v>115_1</v>
      </c>
      <c r="C1297" s="2">
        <v>45680.548611053244</v>
      </c>
      <c r="D1297" t="s">
        <v>221</v>
      </c>
      <c r="E1297">
        <v>2</v>
      </c>
      <c r="F1297" t="s">
        <v>222</v>
      </c>
      <c r="G1297" t="str">
        <f t="shared" si="163"/>
        <v>Paranephrops planifrons</v>
      </c>
      <c r="H1297" t="str">
        <f t="shared" si="164"/>
        <v>Freshwater_crayfish</v>
      </c>
      <c r="I1297" t="str">
        <f t="shared" si="165"/>
        <v>Kōura</v>
      </c>
      <c r="J1297" t="str">
        <f t="shared" si="166"/>
        <v>Native</v>
      </c>
      <c r="K1297" t="str">
        <f t="shared" si="167"/>
        <v>Yes</v>
      </c>
      <c r="L1297" t="s">
        <v>228</v>
      </c>
      <c r="M1297">
        <v>39.9</v>
      </c>
      <c r="N1297">
        <v>44</v>
      </c>
      <c r="O1297">
        <v>1</v>
      </c>
      <c r="T1297" t="str">
        <f t="shared" si="168"/>
        <v/>
      </c>
    </row>
    <row r="1298" spans="1:20" x14ac:dyDescent="0.55000000000000004">
      <c r="A1298">
        <v>115</v>
      </c>
      <c r="B1298" t="str">
        <f t="shared" si="162"/>
        <v>115_1</v>
      </c>
      <c r="C1298" s="2">
        <v>45680.548611053244</v>
      </c>
      <c r="D1298" t="s">
        <v>221</v>
      </c>
      <c r="E1298">
        <v>2</v>
      </c>
      <c r="F1298" t="s">
        <v>222</v>
      </c>
      <c r="G1298" t="str">
        <f t="shared" si="163"/>
        <v>Paranephrops planifrons</v>
      </c>
      <c r="H1298" t="str">
        <f t="shared" si="164"/>
        <v>Freshwater_crayfish</v>
      </c>
      <c r="I1298" t="str">
        <f t="shared" si="165"/>
        <v>Kōura</v>
      </c>
      <c r="J1298" t="str">
        <f t="shared" si="166"/>
        <v>Native</v>
      </c>
      <c r="K1298" t="str">
        <f t="shared" si="167"/>
        <v>Yes</v>
      </c>
      <c r="L1298" t="s">
        <v>223</v>
      </c>
      <c r="M1298">
        <v>39.97</v>
      </c>
      <c r="N1298">
        <v>38</v>
      </c>
      <c r="O1298">
        <v>1</v>
      </c>
      <c r="T1298" t="str">
        <f t="shared" si="168"/>
        <v/>
      </c>
    </row>
    <row r="1299" spans="1:20" x14ac:dyDescent="0.55000000000000004">
      <c r="A1299">
        <v>115</v>
      </c>
      <c r="B1299" t="str">
        <f t="shared" si="162"/>
        <v>115_1</v>
      </c>
      <c r="C1299" s="2">
        <v>45680.548611053244</v>
      </c>
      <c r="D1299" t="s">
        <v>221</v>
      </c>
      <c r="E1299">
        <v>2</v>
      </c>
      <c r="F1299" t="s">
        <v>222</v>
      </c>
      <c r="G1299" t="str">
        <f t="shared" si="163"/>
        <v>Paranephrops planifrons</v>
      </c>
      <c r="H1299" t="str">
        <f t="shared" si="164"/>
        <v>Freshwater_crayfish</v>
      </c>
      <c r="I1299" t="str">
        <f t="shared" si="165"/>
        <v>Kōura</v>
      </c>
      <c r="J1299" t="str">
        <f t="shared" si="166"/>
        <v>Native</v>
      </c>
      <c r="K1299" t="str">
        <f t="shared" si="167"/>
        <v>Yes</v>
      </c>
      <c r="L1299" t="s">
        <v>223</v>
      </c>
      <c r="M1299">
        <v>40.14</v>
      </c>
      <c r="N1299">
        <v>40</v>
      </c>
      <c r="O1299">
        <v>1</v>
      </c>
      <c r="T1299" t="str">
        <f t="shared" si="168"/>
        <v/>
      </c>
    </row>
    <row r="1300" spans="1:20" x14ac:dyDescent="0.55000000000000004">
      <c r="A1300">
        <v>115</v>
      </c>
      <c r="B1300" t="str">
        <f t="shared" si="162"/>
        <v>115_1</v>
      </c>
      <c r="C1300" s="2">
        <v>45680.548611053244</v>
      </c>
      <c r="D1300" t="s">
        <v>221</v>
      </c>
      <c r="E1300">
        <v>2</v>
      </c>
      <c r="F1300" t="s">
        <v>222</v>
      </c>
      <c r="G1300" t="str">
        <f t="shared" si="163"/>
        <v>Paranephrops planifrons</v>
      </c>
      <c r="H1300" t="str">
        <f t="shared" si="164"/>
        <v>Freshwater_crayfish</v>
      </c>
      <c r="I1300" t="str">
        <f t="shared" si="165"/>
        <v>Kōura</v>
      </c>
      <c r="J1300" t="str">
        <f t="shared" si="166"/>
        <v>Native</v>
      </c>
      <c r="K1300" t="str">
        <f t="shared" si="167"/>
        <v>Yes</v>
      </c>
      <c r="L1300" t="s">
        <v>228</v>
      </c>
      <c r="M1300">
        <v>40.15</v>
      </c>
      <c r="N1300">
        <v>46</v>
      </c>
      <c r="O1300">
        <v>1</v>
      </c>
      <c r="P1300">
        <v>1</v>
      </c>
      <c r="T1300" t="str">
        <f t="shared" si="168"/>
        <v/>
      </c>
    </row>
    <row r="1301" spans="1:20" x14ac:dyDescent="0.55000000000000004">
      <c r="A1301">
        <v>115</v>
      </c>
      <c r="B1301" t="str">
        <f t="shared" si="162"/>
        <v>115_1</v>
      </c>
      <c r="C1301" s="2">
        <v>45680.548611053244</v>
      </c>
      <c r="D1301" t="s">
        <v>221</v>
      </c>
      <c r="E1301">
        <v>2</v>
      </c>
      <c r="F1301" t="s">
        <v>222</v>
      </c>
      <c r="G1301" t="str">
        <f t="shared" si="163"/>
        <v>Paranephrops planifrons</v>
      </c>
      <c r="H1301" t="str">
        <f t="shared" si="164"/>
        <v>Freshwater_crayfish</v>
      </c>
      <c r="I1301" t="str">
        <f t="shared" si="165"/>
        <v>Kōura</v>
      </c>
      <c r="J1301" t="str">
        <f t="shared" si="166"/>
        <v>Native</v>
      </c>
      <c r="K1301" t="str">
        <f t="shared" si="167"/>
        <v>Yes</v>
      </c>
      <c r="L1301" t="s">
        <v>223</v>
      </c>
      <c r="M1301">
        <v>40.98</v>
      </c>
      <c r="N1301">
        <v>42</v>
      </c>
      <c r="O1301">
        <v>1</v>
      </c>
      <c r="T1301" t="str">
        <f t="shared" si="168"/>
        <v/>
      </c>
    </row>
    <row r="1302" spans="1:20" x14ac:dyDescent="0.55000000000000004">
      <c r="A1302">
        <v>115</v>
      </c>
      <c r="B1302" t="str">
        <f t="shared" si="162"/>
        <v>115_1</v>
      </c>
      <c r="C1302" s="2">
        <v>45680.548611053244</v>
      </c>
      <c r="D1302" t="s">
        <v>221</v>
      </c>
      <c r="E1302">
        <v>2</v>
      </c>
      <c r="F1302" t="s">
        <v>222</v>
      </c>
      <c r="G1302" t="str">
        <f t="shared" si="163"/>
        <v>Paranephrops planifrons</v>
      </c>
      <c r="H1302" t="str">
        <f t="shared" si="164"/>
        <v>Freshwater_crayfish</v>
      </c>
      <c r="I1302" t="str">
        <f t="shared" si="165"/>
        <v>Kōura</v>
      </c>
      <c r="J1302" t="str">
        <f t="shared" si="166"/>
        <v>Native</v>
      </c>
      <c r="K1302" t="str">
        <f t="shared" si="167"/>
        <v>Yes</v>
      </c>
      <c r="L1302" t="s">
        <v>223</v>
      </c>
      <c r="M1302">
        <v>44.53</v>
      </c>
      <c r="N1302">
        <v>62</v>
      </c>
      <c r="O1302">
        <v>1</v>
      </c>
      <c r="T1302" t="str">
        <f t="shared" si="168"/>
        <v/>
      </c>
    </row>
    <row r="1303" spans="1:20" x14ac:dyDescent="0.55000000000000004">
      <c r="A1303">
        <v>115</v>
      </c>
      <c r="B1303" t="str">
        <f t="shared" si="162"/>
        <v>115_1</v>
      </c>
      <c r="C1303" s="2">
        <v>45680.548611053244</v>
      </c>
      <c r="D1303" t="s">
        <v>221</v>
      </c>
      <c r="E1303">
        <v>2</v>
      </c>
      <c r="F1303" t="s">
        <v>222</v>
      </c>
      <c r="G1303" t="str">
        <f t="shared" si="163"/>
        <v>Paranephrops planifrons</v>
      </c>
      <c r="H1303" t="str">
        <f t="shared" si="164"/>
        <v>Freshwater_crayfish</v>
      </c>
      <c r="I1303" t="str">
        <f t="shared" si="165"/>
        <v>Kōura</v>
      </c>
      <c r="J1303" t="str">
        <f t="shared" si="166"/>
        <v>Native</v>
      </c>
      <c r="K1303" t="str">
        <f t="shared" si="167"/>
        <v>Yes</v>
      </c>
      <c r="L1303" t="s">
        <v>228</v>
      </c>
      <c r="M1303">
        <v>45.45</v>
      </c>
      <c r="N1303">
        <v>61</v>
      </c>
      <c r="O1303">
        <v>1</v>
      </c>
      <c r="T1303" t="str">
        <f t="shared" si="168"/>
        <v/>
      </c>
    </row>
    <row r="1304" spans="1:20" x14ac:dyDescent="0.55000000000000004">
      <c r="A1304">
        <v>115</v>
      </c>
      <c r="B1304" t="str">
        <f t="shared" si="162"/>
        <v>115_1</v>
      </c>
      <c r="C1304" s="2">
        <v>45680.548611053244</v>
      </c>
      <c r="D1304" t="s">
        <v>221</v>
      </c>
      <c r="E1304">
        <v>2</v>
      </c>
      <c r="F1304" t="s">
        <v>222</v>
      </c>
      <c r="G1304" t="str">
        <f t="shared" si="163"/>
        <v>Paranephrops planifrons</v>
      </c>
      <c r="H1304" t="str">
        <f t="shared" si="164"/>
        <v>Freshwater_crayfish</v>
      </c>
      <c r="I1304" t="str">
        <f t="shared" si="165"/>
        <v>Kōura</v>
      </c>
      <c r="J1304" t="str">
        <f t="shared" si="166"/>
        <v>Native</v>
      </c>
      <c r="K1304" t="str">
        <f t="shared" si="167"/>
        <v>Yes</v>
      </c>
      <c r="L1304" t="s">
        <v>223</v>
      </c>
      <c r="M1304">
        <v>47.41</v>
      </c>
      <c r="N1304">
        <v>72</v>
      </c>
      <c r="O1304">
        <v>1</v>
      </c>
      <c r="T1304" t="str">
        <f t="shared" si="168"/>
        <v/>
      </c>
    </row>
    <row r="1305" spans="1:20" x14ac:dyDescent="0.55000000000000004">
      <c r="A1305">
        <v>115</v>
      </c>
      <c r="B1305" t="str">
        <f t="shared" si="162"/>
        <v>115_1</v>
      </c>
      <c r="C1305" s="2">
        <v>45680.548611053244</v>
      </c>
      <c r="D1305" t="s">
        <v>221</v>
      </c>
      <c r="E1305">
        <v>2</v>
      </c>
      <c r="F1305" t="s">
        <v>222</v>
      </c>
      <c r="G1305" t="str">
        <f t="shared" si="163"/>
        <v>Paranephrops planifrons</v>
      </c>
      <c r="H1305" t="str">
        <f t="shared" si="164"/>
        <v>Freshwater_crayfish</v>
      </c>
      <c r="I1305" t="str">
        <f t="shared" si="165"/>
        <v>Kōura</v>
      </c>
      <c r="J1305" t="str">
        <f t="shared" si="166"/>
        <v>Native</v>
      </c>
      <c r="K1305" t="str">
        <f t="shared" si="167"/>
        <v>Yes</v>
      </c>
      <c r="L1305" t="s">
        <v>223</v>
      </c>
      <c r="M1305">
        <v>47.86</v>
      </c>
      <c r="N1305">
        <v>65</v>
      </c>
      <c r="O1305">
        <v>1</v>
      </c>
      <c r="T1305" t="str">
        <f t="shared" si="168"/>
        <v/>
      </c>
    </row>
    <row r="1306" spans="1:20" x14ac:dyDescent="0.55000000000000004">
      <c r="A1306">
        <v>115</v>
      </c>
      <c r="B1306" t="str">
        <f t="shared" si="162"/>
        <v>115_1</v>
      </c>
      <c r="C1306" s="2">
        <v>45680.548611053244</v>
      </c>
      <c r="D1306" t="s">
        <v>221</v>
      </c>
      <c r="E1306">
        <v>2</v>
      </c>
      <c r="F1306" t="s">
        <v>222</v>
      </c>
      <c r="G1306" t="str">
        <f t="shared" si="163"/>
        <v>Paranephrops planifrons</v>
      </c>
      <c r="H1306" t="str">
        <f t="shared" si="164"/>
        <v>Freshwater_crayfish</v>
      </c>
      <c r="I1306" t="str">
        <f t="shared" si="165"/>
        <v>Kōura</v>
      </c>
      <c r="J1306" t="str">
        <f t="shared" si="166"/>
        <v>Native</v>
      </c>
      <c r="K1306" t="str">
        <f t="shared" si="167"/>
        <v>Yes</v>
      </c>
      <c r="L1306" t="s">
        <v>228</v>
      </c>
      <c r="M1306">
        <v>49.74</v>
      </c>
      <c r="N1306">
        <v>83</v>
      </c>
      <c r="O1306">
        <v>1</v>
      </c>
      <c r="P1306">
        <v>1</v>
      </c>
      <c r="T1306" t="str">
        <f t="shared" si="168"/>
        <v/>
      </c>
    </row>
    <row r="1307" spans="1:20" x14ac:dyDescent="0.55000000000000004">
      <c r="A1307">
        <v>115</v>
      </c>
      <c r="B1307" t="str">
        <f t="shared" si="162"/>
        <v>115_1</v>
      </c>
      <c r="C1307" s="2">
        <v>45680.548611111109</v>
      </c>
      <c r="D1307" t="s">
        <v>245</v>
      </c>
      <c r="E1307">
        <v>2</v>
      </c>
      <c r="F1307" t="s">
        <v>222</v>
      </c>
      <c r="G1307" t="str">
        <f t="shared" si="163"/>
        <v>Paranephrops planifrons</v>
      </c>
      <c r="H1307" t="str">
        <f t="shared" si="164"/>
        <v>Freshwater_crayfish</v>
      </c>
      <c r="I1307" t="str">
        <f t="shared" si="165"/>
        <v>Kōura</v>
      </c>
      <c r="J1307" t="str">
        <f t="shared" si="166"/>
        <v>Native</v>
      </c>
      <c r="K1307" t="str">
        <f t="shared" si="167"/>
        <v>Yes</v>
      </c>
      <c r="L1307" t="s">
        <v>223</v>
      </c>
      <c r="M1307">
        <v>39.840000000000003</v>
      </c>
      <c r="N1307">
        <v>40</v>
      </c>
      <c r="O1307">
        <v>1</v>
      </c>
      <c r="T1307" t="str">
        <f t="shared" si="168"/>
        <v/>
      </c>
    </row>
    <row r="1308" spans="1:20" x14ac:dyDescent="0.55000000000000004">
      <c r="A1308">
        <v>115</v>
      </c>
      <c r="B1308" t="str">
        <f t="shared" si="162"/>
        <v>115_1</v>
      </c>
      <c r="C1308" s="2">
        <v>45680.548611111109</v>
      </c>
      <c r="D1308" t="s">
        <v>245</v>
      </c>
      <c r="E1308">
        <v>2</v>
      </c>
      <c r="F1308" t="s">
        <v>222</v>
      </c>
      <c r="G1308" t="str">
        <f t="shared" si="163"/>
        <v>Paranephrops planifrons</v>
      </c>
      <c r="H1308" t="str">
        <f t="shared" si="164"/>
        <v>Freshwater_crayfish</v>
      </c>
      <c r="I1308" t="str">
        <f t="shared" si="165"/>
        <v>Kōura</v>
      </c>
      <c r="J1308" t="str">
        <f t="shared" si="166"/>
        <v>Native</v>
      </c>
      <c r="K1308" t="str">
        <f t="shared" si="167"/>
        <v>Yes</v>
      </c>
      <c r="L1308" t="s">
        <v>228</v>
      </c>
      <c r="M1308">
        <v>40.39</v>
      </c>
      <c r="N1308">
        <v>46</v>
      </c>
      <c r="O1308">
        <v>1</v>
      </c>
      <c r="T1308" t="str">
        <f t="shared" si="168"/>
        <v/>
      </c>
    </row>
    <row r="1309" spans="1:20" x14ac:dyDescent="0.55000000000000004">
      <c r="A1309">
        <v>105</v>
      </c>
      <c r="B1309" t="str">
        <f t="shared" ref="B1309:B1325" si="169">A1309 &amp; "_0"</f>
        <v>105_0</v>
      </c>
      <c r="C1309" s="2">
        <v>45603.541666608799</v>
      </c>
      <c r="D1309" t="s">
        <v>221</v>
      </c>
      <c r="E1309">
        <v>2</v>
      </c>
      <c r="F1309" t="s">
        <v>222</v>
      </c>
      <c r="G1309" t="str">
        <f t="shared" si="163"/>
        <v>Paranephrops planifrons</v>
      </c>
      <c r="H1309" t="str">
        <f t="shared" si="164"/>
        <v>Freshwater_crayfish</v>
      </c>
      <c r="I1309" t="str">
        <f t="shared" si="165"/>
        <v>Kōura</v>
      </c>
      <c r="J1309" t="str">
        <f t="shared" si="166"/>
        <v>Native</v>
      </c>
      <c r="K1309" t="str">
        <f t="shared" si="167"/>
        <v>Yes</v>
      </c>
      <c r="L1309" t="s">
        <v>228</v>
      </c>
      <c r="M1309">
        <v>19</v>
      </c>
      <c r="O1309">
        <v>1</v>
      </c>
      <c r="T1309" t="str">
        <f t="shared" si="168"/>
        <v/>
      </c>
    </row>
    <row r="1310" spans="1:20" x14ac:dyDescent="0.55000000000000004">
      <c r="A1310">
        <v>106</v>
      </c>
      <c r="B1310" t="str">
        <f t="shared" si="169"/>
        <v>106_0</v>
      </c>
      <c r="C1310" s="2">
        <v>45603.4375</v>
      </c>
      <c r="D1310" t="s">
        <v>221</v>
      </c>
      <c r="E1310">
        <v>2</v>
      </c>
      <c r="F1310" t="s">
        <v>222</v>
      </c>
      <c r="G1310" t="str">
        <f t="shared" si="163"/>
        <v>Paranephrops planifrons</v>
      </c>
      <c r="H1310" t="str">
        <f t="shared" si="164"/>
        <v>Freshwater_crayfish</v>
      </c>
      <c r="I1310" t="str">
        <f t="shared" si="165"/>
        <v>Kōura</v>
      </c>
      <c r="J1310" t="str">
        <f t="shared" si="166"/>
        <v>Native</v>
      </c>
      <c r="K1310" t="str">
        <f t="shared" si="167"/>
        <v>Yes</v>
      </c>
      <c r="L1310" t="s">
        <v>228</v>
      </c>
      <c r="M1310">
        <v>19</v>
      </c>
      <c r="O1310">
        <v>1</v>
      </c>
      <c r="T1310" t="str">
        <f t="shared" si="168"/>
        <v/>
      </c>
    </row>
    <row r="1311" spans="1:20" x14ac:dyDescent="0.55000000000000004">
      <c r="A1311">
        <v>98</v>
      </c>
      <c r="B1311" t="str">
        <f t="shared" si="169"/>
        <v>98_0</v>
      </c>
      <c r="C1311" s="2">
        <v>45603.5625</v>
      </c>
      <c r="D1311" t="s">
        <v>245</v>
      </c>
      <c r="E1311">
        <v>2</v>
      </c>
      <c r="F1311" t="s">
        <v>222</v>
      </c>
      <c r="G1311" t="str">
        <f t="shared" si="163"/>
        <v>Paranephrops planifrons</v>
      </c>
      <c r="H1311" t="str">
        <f t="shared" si="164"/>
        <v>Freshwater_crayfish</v>
      </c>
      <c r="I1311" t="str">
        <f t="shared" si="165"/>
        <v>Kōura</v>
      </c>
      <c r="J1311" t="str">
        <f t="shared" si="166"/>
        <v>Native</v>
      </c>
      <c r="K1311" t="str">
        <f t="shared" si="167"/>
        <v>Yes</v>
      </c>
      <c r="L1311" t="s">
        <v>228</v>
      </c>
      <c r="M1311">
        <v>18.88</v>
      </c>
      <c r="O1311">
        <v>1</v>
      </c>
      <c r="T1311" t="str">
        <f t="shared" si="168"/>
        <v/>
      </c>
    </row>
    <row r="1312" spans="1:20" x14ac:dyDescent="0.55000000000000004">
      <c r="A1312">
        <v>98</v>
      </c>
      <c r="B1312" t="str">
        <f t="shared" si="169"/>
        <v>98_0</v>
      </c>
      <c r="C1312" s="2">
        <v>45603.5625</v>
      </c>
      <c r="D1312" t="s">
        <v>245</v>
      </c>
      <c r="E1312">
        <v>2</v>
      </c>
      <c r="F1312" t="s">
        <v>222</v>
      </c>
      <c r="G1312" t="str">
        <f t="shared" si="163"/>
        <v>Paranephrops planifrons</v>
      </c>
      <c r="H1312" t="str">
        <f t="shared" si="164"/>
        <v>Freshwater_crayfish</v>
      </c>
      <c r="I1312" t="str">
        <f t="shared" si="165"/>
        <v>Kōura</v>
      </c>
      <c r="J1312" t="str">
        <f t="shared" si="166"/>
        <v>Native</v>
      </c>
      <c r="K1312" t="str">
        <f t="shared" si="167"/>
        <v>Yes</v>
      </c>
      <c r="L1312" t="s">
        <v>228</v>
      </c>
      <c r="M1312">
        <v>18.690000000000001</v>
      </c>
      <c r="O1312">
        <v>1</v>
      </c>
      <c r="T1312" t="str">
        <f t="shared" si="168"/>
        <v/>
      </c>
    </row>
    <row r="1313" spans="1:20" x14ac:dyDescent="0.55000000000000004">
      <c r="A1313">
        <v>98</v>
      </c>
      <c r="B1313" t="str">
        <f t="shared" si="169"/>
        <v>98_0</v>
      </c>
      <c r="C1313" s="2">
        <v>45603.5625</v>
      </c>
      <c r="D1313" t="s">
        <v>221</v>
      </c>
      <c r="E1313">
        <v>2</v>
      </c>
      <c r="F1313" t="s">
        <v>222</v>
      </c>
      <c r="G1313" t="str">
        <f t="shared" si="163"/>
        <v>Paranephrops planifrons</v>
      </c>
      <c r="H1313" t="str">
        <f t="shared" si="164"/>
        <v>Freshwater_crayfish</v>
      </c>
      <c r="I1313" t="str">
        <f t="shared" si="165"/>
        <v>Kōura</v>
      </c>
      <c r="J1313" t="str">
        <f t="shared" si="166"/>
        <v>Native</v>
      </c>
      <c r="K1313" t="str">
        <f t="shared" si="167"/>
        <v>Yes</v>
      </c>
      <c r="L1313" t="s">
        <v>223</v>
      </c>
      <c r="M1313">
        <v>18.39</v>
      </c>
      <c r="O1313">
        <v>1</v>
      </c>
      <c r="T1313" t="str">
        <f t="shared" si="168"/>
        <v/>
      </c>
    </row>
    <row r="1314" spans="1:20" x14ac:dyDescent="0.55000000000000004">
      <c r="A1314">
        <v>98</v>
      </c>
      <c r="B1314" t="str">
        <f t="shared" si="169"/>
        <v>98_0</v>
      </c>
      <c r="C1314" s="2">
        <v>45603.5625</v>
      </c>
      <c r="D1314" t="s">
        <v>221</v>
      </c>
      <c r="E1314">
        <v>2</v>
      </c>
      <c r="F1314" t="s">
        <v>222</v>
      </c>
      <c r="G1314" t="str">
        <f t="shared" si="163"/>
        <v>Paranephrops planifrons</v>
      </c>
      <c r="H1314" t="str">
        <f t="shared" si="164"/>
        <v>Freshwater_crayfish</v>
      </c>
      <c r="I1314" t="str">
        <f t="shared" si="165"/>
        <v>Kōura</v>
      </c>
      <c r="J1314" t="str">
        <f t="shared" si="166"/>
        <v>Native</v>
      </c>
      <c r="K1314" t="str">
        <f t="shared" si="167"/>
        <v>Yes</v>
      </c>
      <c r="L1314" t="s">
        <v>228</v>
      </c>
      <c r="M1314">
        <v>18.38</v>
      </c>
      <c r="O1314">
        <v>1</v>
      </c>
      <c r="T1314" t="str">
        <f t="shared" si="168"/>
        <v/>
      </c>
    </row>
    <row r="1315" spans="1:20" x14ac:dyDescent="0.55000000000000004">
      <c r="A1315">
        <v>99</v>
      </c>
      <c r="B1315" t="str">
        <f t="shared" si="169"/>
        <v>99_0</v>
      </c>
      <c r="C1315" s="2">
        <v>45603.395833333336</v>
      </c>
      <c r="D1315" t="s">
        <v>221</v>
      </c>
      <c r="E1315">
        <v>2</v>
      </c>
      <c r="F1315" t="s">
        <v>222</v>
      </c>
      <c r="G1315" t="str">
        <f t="shared" si="163"/>
        <v>Paranephrops planifrons</v>
      </c>
      <c r="H1315" t="str">
        <f t="shared" si="164"/>
        <v>Freshwater_crayfish</v>
      </c>
      <c r="I1315" t="str">
        <f t="shared" si="165"/>
        <v>Kōura</v>
      </c>
      <c r="J1315" t="str">
        <f t="shared" si="166"/>
        <v>Native</v>
      </c>
      <c r="K1315" t="str">
        <f t="shared" si="167"/>
        <v>Yes</v>
      </c>
      <c r="L1315" t="s">
        <v>228</v>
      </c>
      <c r="M1315">
        <v>18.29</v>
      </c>
      <c r="N1315">
        <v>7</v>
      </c>
      <c r="O1315">
        <v>1</v>
      </c>
      <c r="T1315" t="str">
        <f t="shared" si="168"/>
        <v/>
      </c>
    </row>
    <row r="1316" spans="1:20" x14ac:dyDescent="0.55000000000000004">
      <c r="A1316">
        <v>98</v>
      </c>
      <c r="B1316" t="str">
        <f t="shared" si="169"/>
        <v>98_0</v>
      </c>
      <c r="C1316" s="2">
        <v>45603.5625</v>
      </c>
      <c r="D1316" t="s">
        <v>221</v>
      </c>
      <c r="E1316">
        <v>2</v>
      </c>
      <c r="F1316" t="s">
        <v>222</v>
      </c>
      <c r="G1316" t="str">
        <f t="shared" si="163"/>
        <v>Paranephrops planifrons</v>
      </c>
      <c r="H1316" t="str">
        <f t="shared" si="164"/>
        <v>Freshwater_crayfish</v>
      </c>
      <c r="I1316" t="str">
        <f t="shared" si="165"/>
        <v>Kōura</v>
      </c>
      <c r="J1316" t="str">
        <f t="shared" si="166"/>
        <v>Native</v>
      </c>
      <c r="K1316" t="str">
        <f t="shared" si="167"/>
        <v>Yes</v>
      </c>
      <c r="L1316" t="s">
        <v>223</v>
      </c>
      <c r="M1316">
        <v>18.239999999999998</v>
      </c>
      <c r="O1316">
        <v>1</v>
      </c>
      <c r="T1316" t="str">
        <f t="shared" si="168"/>
        <v/>
      </c>
    </row>
    <row r="1317" spans="1:20" x14ac:dyDescent="0.55000000000000004">
      <c r="A1317">
        <v>98</v>
      </c>
      <c r="B1317" t="str">
        <f t="shared" si="169"/>
        <v>98_0</v>
      </c>
      <c r="C1317" s="2">
        <v>45603.5625</v>
      </c>
      <c r="D1317" t="s">
        <v>221</v>
      </c>
      <c r="E1317">
        <v>2</v>
      </c>
      <c r="F1317" t="s">
        <v>222</v>
      </c>
      <c r="G1317" t="str">
        <f t="shared" si="163"/>
        <v>Paranephrops planifrons</v>
      </c>
      <c r="H1317" t="str">
        <f t="shared" si="164"/>
        <v>Freshwater_crayfish</v>
      </c>
      <c r="I1317" t="str">
        <f t="shared" si="165"/>
        <v>Kōura</v>
      </c>
      <c r="J1317" t="str">
        <f t="shared" si="166"/>
        <v>Native</v>
      </c>
      <c r="K1317" t="str">
        <f t="shared" si="167"/>
        <v>Yes</v>
      </c>
      <c r="L1317" t="s">
        <v>223</v>
      </c>
      <c r="M1317">
        <v>18.100000000000001</v>
      </c>
      <c r="O1317">
        <v>1</v>
      </c>
      <c r="T1317" t="str">
        <f t="shared" si="168"/>
        <v/>
      </c>
    </row>
    <row r="1318" spans="1:20" x14ac:dyDescent="0.55000000000000004">
      <c r="A1318">
        <v>110</v>
      </c>
      <c r="B1318" t="str">
        <f t="shared" si="169"/>
        <v>110_0</v>
      </c>
      <c r="C1318" s="2">
        <v>45597.493055555555</v>
      </c>
      <c r="D1318" t="s">
        <v>245</v>
      </c>
      <c r="E1318">
        <v>2</v>
      </c>
      <c r="F1318" t="s">
        <v>222</v>
      </c>
      <c r="G1318" t="str">
        <f t="shared" si="163"/>
        <v>Paranephrops planifrons</v>
      </c>
      <c r="H1318" t="str">
        <f t="shared" si="164"/>
        <v>Freshwater_crayfish</v>
      </c>
      <c r="I1318" t="str">
        <f t="shared" si="165"/>
        <v>Kōura</v>
      </c>
      <c r="J1318" t="str">
        <f t="shared" si="166"/>
        <v>Native</v>
      </c>
      <c r="K1318" t="str">
        <f t="shared" si="167"/>
        <v>Yes</v>
      </c>
      <c r="L1318" t="s">
        <v>228</v>
      </c>
      <c r="M1318">
        <v>18</v>
      </c>
      <c r="N1318">
        <v>4</v>
      </c>
      <c r="O1318">
        <v>1</v>
      </c>
      <c r="T1318" t="str">
        <f t="shared" si="168"/>
        <v/>
      </c>
    </row>
    <row r="1319" spans="1:20" x14ac:dyDescent="0.55000000000000004">
      <c r="A1319">
        <v>106</v>
      </c>
      <c r="B1319" t="str">
        <f t="shared" si="169"/>
        <v>106_0</v>
      </c>
      <c r="C1319" s="2">
        <v>45603.4375</v>
      </c>
      <c r="D1319" t="s">
        <v>221</v>
      </c>
      <c r="E1319">
        <v>2</v>
      </c>
      <c r="F1319" t="s">
        <v>222</v>
      </c>
      <c r="G1319" t="str">
        <f t="shared" si="163"/>
        <v>Paranephrops planifrons</v>
      </c>
      <c r="H1319" t="str">
        <f t="shared" si="164"/>
        <v>Freshwater_crayfish</v>
      </c>
      <c r="I1319" t="str">
        <f t="shared" si="165"/>
        <v>Kōura</v>
      </c>
      <c r="J1319" t="str">
        <f t="shared" si="166"/>
        <v>Native</v>
      </c>
      <c r="K1319" t="str">
        <f t="shared" si="167"/>
        <v>Yes</v>
      </c>
      <c r="L1319" t="s">
        <v>228</v>
      </c>
      <c r="M1319">
        <v>18</v>
      </c>
      <c r="O1319">
        <v>1</v>
      </c>
      <c r="T1319" t="str">
        <f t="shared" si="168"/>
        <v/>
      </c>
    </row>
    <row r="1320" spans="1:20" x14ac:dyDescent="0.55000000000000004">
      <c r="A1320">
        <v>106</v>
      </c>
      <c r="B1320" t="str">
        <f t="shared" si="169"/>
        <v>106_0</v>
      </c>
      <c r="C1320" s="2">
        <v>45603.4375</v>
      </c>
      <c r="D1320" t="s">
        <v>221</v>
      </c>
      <c r="E1320">
        <v>2</v>
      </c>
      <c r="F1320" t="s">
        <v>222</v>
      </c>
      <c r="G1320" t="str">
        <f t="shared" si="163"/>
        <v>Paranephrops planifrons</v>
      </c>
      <c r="H1320" t="str">
        <f t="shared" si="164"/>
        <v>Freshwater_crayfish</v>
      </c>
      <c r="I1320" t="str">
        <f t="shared" si="165"/>
        <v>Kōura</v>
      </c>
      <c r="J1320" t="str">
        <f t="shared" si="166"/>
        <v>Native</v>
      </c>
      <c r="K1320" t="str">
        <f t="shared" si="167"/>
        <v>Yes</v>
      </c>
      <c r="L1320" t="s">
        <v>223</v>
      </c>
      <c r="M1320">
        <v>18</v>
      </c>
      <c r="O1320">
        <v>1</v>
      </c>
      <c r="T1320" t="str">
        <f t="shared" si="168"/>
        <v/>
      </c>
    </row>
    <row r="1321" spans="1:20" x14ac:dyDescent="0.55000000000000004">
      <c r="A1321">
        <v>106</v>
      </c>
      <c r="B1321" t="str">
        <f t="shared" si="169"/>
        <v>106_0</v>
      </c>
      <c r="C1321" s="2">
        <v>45603.4375</v>
      </c>
      <c r="D1321" t="s">
        <v>245</v>
      </c>
      <c r="E1321">
        <v>2</v>
      </c>
      <c r="F1321" t="s">
        <v>222</v>
      </c>
      <c r="G1321" t="str">
        <f t="shared" si="163"/>
        <v>Paranephrops planifrons</v>
      </c>
      <c r="H1321" t="str">
        <f t="shared" si="164"/>
        <v>Freshwater_crayfish</v>
      </c>
      <c r="I1321" t="str">
        <f t="shared" si="165"/>
        <v>Kōura</v>
      </c>
      <c r="J1321" t="str">
        <f t="shared" si="166"/>
        <v>Native</v>
      </c>
      <c r="K1321" t="str">
        <f t="shared" si="167"/>
        <v>Yes</v>
      </c>
      <c r="L1321" t="s">
        <v>223</v>
      </c>
      <c r="M1321">
        <v>17.89</v>
      </c>
      <c r="O1321">
        <v>1</v>
      </c>
      <c r="T1321" t="str">
        <f t="shared" si="168"/>
        <v/>
      </c>
    </row>
    <row r="1322" spans="1:20" x14ac:dyDescent="0.55000000000000004">
      <c r="A1322">
        <v>99</v>
      </c>
      <c r="B1322" t="str">
        <f t="shared" si="169"/>
        <v>99_0</v>
      </c>
      <c r="C1322" s="2">
        <v>45603.395833333336</v>
      </c>
      <c r="D1322" t="s">
        <v>221</v>
      </c>
      <c r="E1322">
        <v>2</v>
      </c>
      <c r="F1322" t="s">
        <v>222</v>
      </c>
      <c r="G1322" t="str">
        <f t="shared" si="163"/>
        <v>Paranephrops planifrons</v>
      </c>
      <c r="H1322" t="str">
        <f t="shared" si="164"/>
        <v>Freshwater_crayfish</v>
      </c>
      <c r="I1322" t="str">
        <f t="shared" si="165"/>
        <v>Kōura</v>
      </c>
      <c r="J1322" t="str">
        <f t="shared" si="166"/>
        <v>Native</v>
      </c>
      <c r="K1322" t="str">
        <f t="shared" si="167"/>
        <v>Yes</v>
      </c>
      <c r="L1322" t="s">
        <v>228</v>
      </c>
      <c r="M1322">
        <v>17.57</v>
      </c>
      <c r="N1322">
        <v>4</v>
      </c>
      <c r="O1322">
        <v>1</v>
      </c>
      <c r="T1322" t="str">
        <f t="shared" si="168"/>
        <v/>
      </c>
    </row>
    <row r="1323" spans="1:20" x14ac:dyDescent="0.55000000000000004">
      <c r="A1323">
        <v>66</v>
      </c>
      <c r="B1323" t="str">
        <f t="shared" si="169"/>
        <v>66_0</v>
      </c>
      <c r="C1323" s="2">
        <v>45709.513888888891</v>
      </c>
      <c r="D1323" t="s">
        <v>245</v>
      </c>
      <c r="E1323">
        <v>2</v>
      </c>
      <c r="F1323" t="s">
        <v>222</v>
      </c>
      <c r="G1323" t="str">
        <f t="shared" si="163"/>
        <v>Paranephrops planifrons</v>
      </c>
      <c r="H1323" t="str">
        <f t="shared" si="164"/>
        <v>Freshwater_crayfish</v>
      </c>
      <c r="I1323" t="str">
        <f t="shared" si="165"/>
        <v>Kōura</v>
      </c>
      <c r="J1323" t="str">
        <f t="shared" si="166"/>
        <v>Native</v>
      </c>
      <c r="K1323" t="str">
        <f t="shared" si="167"/>
        <v>Yes</v>
      </c>
      <c r="L1323" t="s">
        <v>223</v>
      </c>
      <c r="M1323">
        <v>17.55</v>
      </c>
      <c r="N1323">
        <v>4</v>
      </c>
      <c r="O1323">
        <v>1</v>
      </c>
      <c r="T1323" t="str">
        <f t="shared" si="168"/>
        <v/>
      </c>
    </row>
    <row r="1324" spans="1:20" x14ac:dyDescent="0.55000000000000004">
      <c r="A1324">
        <v>98</v>
      </c>
      <c r="B1324" t="str">
        <f t="shared" si="169"/>
        <v>98_0</v>
      </c>
      <c r="C1324" s="2">
        <v>45603.5625</v>
      </c>
      <c r="D1324" t="s">
        <v>221</v>
      </c>
      <c r="E1324">
        <v>2</v>
      </c>
      <c r="F1324" t="s">
        <v>222</v>
      </c>
      <c r="G1324" t="str">
        <f t="shared" si="163"/>
        <v>Paranephrops planifrons</v>
      </c>
      <c r="H1324" t="str">
        <f t="shared" si="164"/>
        <v>Freshwater_crayfish</v>
      </c>
      <c r="I1324" t="str">
        <f t="shared" si="165"/>
        <v>Kōura</v>
      </c>
      <c r="J1324" t="str">
        <f t="shared" si="166"/>
        <v>Native</v>
      </c>
      <c r="K1324" t="str">
        <f t="shared" si="167"/>
        <v>Yes</v>
      </c>
      <c r="L1324" t="s">
        <v>223</v>
      </c>
      <c r="M1324">
        <v>17.48</v>
      </c>
      <c r="O1324">
        <v>1</v>
      </c>
      <c r="T1324" t="str">
        <f t="shared" si="168"/>
        <v/>
      </c>
    </row>
    <row r="1325" spans="1:20" x14ac:dyDescent="0.55000000000000004">
      <c r="A1325">
        <v>98</v>
      </c>
      <c r="B1325" t="str">
        <f t="shared" si="169"/>
        <v>98_0</v>
      </c>
      <c r="C1325" s="2">
        <v>45603.5625</v>
      </c>
      <c r="D1325" t="s">
        <v>221</v>
      </c>
      <c r="E1325">
        <v>2</v>
      </c>
      <c r="F1325" t="s">
        <v>222</v>
      </c>
      <c r="G1325" t="str">
        <f t="shared" si="163"/>
        <v>Paranephrops planifrons</v>
      </c>
      <c r="H1325" t="str">
        <f t="shared" si="164"/>
        <v>Freshwater_crayfish</v>
      </c>
      <c r="I1325" t="str">
        <f t="shared" si="165"/>
        <v>Kōura</v>
      </c>
      <c r="J1325" t="str">
        <f t="shared" si="166"/>
        <v>Native</v>
      </c>
      <c r="K1325" t="str">
        <f t="shared" si="167"/>
        <v>Yes</v>
      </c>
      <c r="L1325" t="s">
        <v>228</v>
      </c>
      <c r="M1325">
        <v>17.46</v>
      </c>
      <c r="O1325">
        <v>1</v>
      </c>
      <c r="T1325" t="str">
        <f t="shared" si="168"/>
        <v/>
      </c>
    </row>
    <row r="1326" spans="1:20" x14ac:dyDescent="0.55000000000000004">
      <c r="A1326">
        <v>117</v>
      </c>
      <c r="B1326" t="str">
        <f t="shared" ref="B1326:B1357" si="170">A1326 &amp; "_1"</f>
        <v>117_1</v>
      </c>
      <c r="C1326" s="2">
        <v>45680.458333333336</v>
      </c>
      <c r="D1326" t="s">
        <v>221</v>
      </c>
      <c r="E1326">
        <v>2</v>
      </c>
      <c r="F1326" t="s">
        <v>222</v>
      </c>
      <c r="G1326" t="str">
        <f t="shared" si="163"/>
        <v>Paranephrops planifrons</v>
      </c>
      <c r="H1326" t="str">
        <f t="shared" si="164"/>
        <v>Freshwater_crayfish</v>
      </c>
      <c r="I1326" t="str">
        <f t="shared" si="165"/>
        <v>Kōura</v>
      </c>
      <c r="J1326" t="str">
        <f t="shared" si="166"/>
        <v>Native</v>
      </c>
      <c r="K1326" t="str">
        <f t="shared" si="167"/>
        <v>Yes</v>
      </c>
      <c r="L1326" t="s">
        <v>223</v>
      </c>
      <c r="M1326">
        <v>13.22</v>
      </c>
      <c r="N1326">
        <v>1</v>
      </c>
      <c r="O1326">
        <v>1</v>
      </c>
      <c r="T1326" t="str">
        <f t="shared" si="168"/>
        <v/>
      </c>
    </row>
    <row r="1327" spans="1:20" x14ac:dyDescent="0.55000000000000004">
      <c r="A1327">
        <v>117</v>
      </c>
      <c r="B1327" t="str">
        <f t="shared" si="170"/>
        <v>117_1</v>
      </c>
      <c r="C1327" s="2">
        <v>45680.458333333336</v>
      </c>
      <c r="D1327" t="s">
        <v>221</v>
      </c>
      <c r="E1327">
        <v>2</v>
      </c>
      <c r="F1327" t="s">
        <v>222</v>
      </c>
      <c r="G1327" t="str">
        <f t="shared" si="163"/>
        <v>Paranephrops planifrons</v>
      </c>
      <c r="H1327" t="str">
        <f t="shared" si="164"/>
        <v>Freshwater_crayfish</v>
      </c>
      <c r="I1327" t="str">
        <f t="shared" si="165"/>
        <v>Kōura</v>
      </c>
      <c r="J1327" t="str">
        <f t="shared" si="166"/>
        <v>Native</v>
      </c>
      <c r="K1327" t="str">
        <f t="shared" si="167"/>
        <v>Yes</v>
      </c>
      <c r="L1327" t="s">
        <v>228</v>
      </c>
      <c r="M1327">
        <v>14.28</v>
      </c>
      <c r="N1327">
        <v>2</v>
      </c>
      <c r="O1327">
        <v>1</v>
      </c>
      <c r="P1327">
        <v>1</v>
      </c>
      <c r="T1327" t="str">
        <f t="shared" si="168"/>
        <v/>
      </c>
    </row>
    <row r="1328" spans="1:20" x14ac:dyDescent="0.55000000000000004">
      <c r="A1328">
        <v>117</v>
      </c>
      <c r="B1328" t="str">
        <f t="shared" si="170"/>
        <v>117_1</v>
      </c>
      <c r="C1328" s="2">
        <v>45680.458333333336</v>
      </c>
      <c r="D1328" t="s">
        <v>221</v>
      </c>
      <c r="E1328">
        <v>2</v>
      </c>
      <c r="F1328" t="s">
        <v>222</v>
      </c>
      <c r="G1328" t="str">
        <f t="shared" si="163"/>
        <v>Paranephrops planifrons</v>
      </c>
      <c r="H1328" t="str">
        <f t="shared" si="164"/>
        <v>Freshwater_crayfish</v>
      </c>
      <c r="I1328" t="str">
        <f t="shared" si="165"/>
        <v>Kōura</v>
      </c>
      <c r="J1328" t="str">
        <f t="shared" si="166"/>
        <v>Native</v>
      </c>
      <c r="K1328" t="str">
        <f t="shared" si="167"/>
        <v>Yes</v>
      </c>
      <c r="L1328" t="s">
        <v>223</v>
      </c>
      <c r="M1328">
        <v>15.43</v>
      </c>
      <c r="N1328">
        <v>3</v>
      </c>
      <c r="O1328">
        <v>1</v>
      </c>
      <c r="T1328" t="str">
        <f t="shared" si="168"/>
        <v/>
      </c>
    </row>
    <row r="1329" spans="1:20" x14ac:dyDescent="0.55000000000000004">
      <c r="A1329">
        <v>117</v>
      </c>
      <c r="B1329" t="str">
        <f t="shared" si="170"/>
        <v>117_1</v>
      </c>
      <c r="C1329" s="2">
        <v>45680.458333333336</v>
      </c>
      <c r="D1329" t="s">
        <v>221</v>
      </c>
      <c r="E1329">
        <v>2</v>
      </c>
      <c r="F1329" t="s">
        <v>222</v>
      </c>
      <c r="G1329" t="str">
        <f t="shared" si="163"/>
        <v>Paranephrops planifrons</v>
      </c>
      <c r="H1329" t="str">
        <f t="shared" si="164"/>
        <v>Freshwater_crayfish</v>
      </c>
      <c r="I1329" t="str">
        <f t="shared" si="165"/>
        <v>Kōura</v>
      </c>
      <c r="J1329" t="str">
        <f t="shared" si="166"/>
        <v>Native</v>
      </c>
      <c r="K1329" t="str">
        <f t="shared" si="167"/>
        <v>Yes</v>
      </c>
      <c r="L1329" t="s">
        <v>228</v>
      </c>
      <c r="M1329">
        <v>16.690000000000001</v>
      </c>
      <c r="N1329">
        <v>3</v>
      </c>
      <c r="O1329">
        <v>1</v>
      </c>
      <c r="T1329" t="str">
        <f t="shared" si="168"/>
        <v/>
      </c>
    </row>
    <row r="1330" spans="1:20" x14ac:dyDescent="0.55000000000000004">
      <c r="A1330">
        <v>117</v>
      </c>
      <c r="B1330" t="str">
        <f t="shared" si="170"/>
        <v>117_1</v>
      </c>
      <c r="C1330" s="2">
        <v>45680.458333333336</v>
      </c>
      <c r="D1330" t="s">
        <v>245</v>
      </c>
      <c r="E1330">
        <v>1</v>
      </c>
      <c r="F1330" t="s">
        <v>222</v>
      </c>
      <c r="G1330" t="str">
        <f t="shared" si="163"/>
        <v>Paranephrops planifrons</v>
      </c>
      <c r="H1330" t="str">
        <f t="shared" si="164"/>
        <v>Freshwater_crayfish</v>
      </c>
      <c r="I1330" t="str">
        <f t="shared" si="165"/>
        <v>Kōura</v>
      </c>
      <c r="J1330" t="str">
        <f t="shared" si="166"/>
        <v>Native</v>
      </c>
      <c r="K1330" t="str">
        <f t="shared" si="167"/>
        <v>Yes</v>
      </c>
      <c r="L1330" t="s">
        <v>228</v>
      </c>
      <c r="M1330">
        <v>17.23</v>
      </c>
      <c r="N1330">
        <v>8</v>
      </c>
      <c r="O1330">
        <v>1</v>
      </c>
      <c r="T1330" t="str">
        <f t="shared" si="168"/>
        <v/>
      </c>
    </row>
    <row r="1331" spans="1:20" x14ac:dyDescent="0.55000000000000004">
      <c r="A1331">
        <v>117</v>
      </c>
      <c r="B1331" t="str">
        <f t="shared" si="170"/>
        <v>117_1</v>
      </c>
      <c r="C1331" s="2">
        <v>45680.458333333336</v>
      </c>
      <c r="D1331" t="s">
        <v>221</v>
      </c>
      <c r="E1331">
        <v>2</v>
      </c>
      <c r="F1331" t="s">
        <v>222</v>
      </c>
      <c r="G1331" t="str">
        <f t="shared" si="163"/>
        <v>Paranephrops planifrons</v>
      </c>
      <c r="H1331" t="str">
        <f t="shared" si="164"/>
        <v>Freshwater_crayfish</v>
      </c>
      <c r="I1331" t="str">
        <f t="shared" si="165"/>
        <v>Kōura</v>
      </c>
      <c r="J1331" t="str">
        <f t="shared" si="166"/>
        <v>Native</v>
      </c>
      <c r="K1331" t="str">
        <f t="shared" si="167"/>
        <v>Yes</v>
      </c>
      <c r="L1331" t="s">
        <v>228</v>
      </c>
      <c r="M1331">
        <v>17.86</v>
      </c>
      <c r="N1331">
        <v>4</v>
      </c>
      <c r="O1331">
        <v>1</v>
      </c>
      <c r="T1331" t="str">
        <f t="shared" si="168"/>
        <v/>
      </c>
    </row>
    <row r="1332" spans="1:20" x14ac:dyDescent="0.55000000000000004">
      <c r="A1332">
        <v>117</v>
      </c>
      <c r="B1332" t="str">
        <f t="shared" si="170"/>
        <v>117_1</v>
      </c>
      <c r="C1332" s="2">
        <v>45680.458333333336</v>
      </c>
      <c r="D1332" t="s">
        <v>221</v>
      </c>
      <c r="E1332">
        <v>2</v>
      </c>
      <c r="F1332" t="s">
        <v>222</v>
      </c>
      <c r="G1332" t="str">
        <f t="shared" si="163"/>
        <v>Paranephrops planifrons</v>
      </c>
      <c r="H1332" t="str">
        <f t="shared" si="164"/>
        <v>Freshwater_crayfish</v>
      </c>
      <c r="I1332" t="str">
        <f t="shared" si="165"/>
        <v>Kōura</v>
      </c>
      <c r="J1332" t="str">
        <f t="shared" si="166"/>
        <v>Native</v>
      </c>
      <c r="K1332" t="str">
        <f t="shared" si="167"/>
        <v>Yes</v>
      </c>
      <c r="L1332" t="s">
        <v>228</v>
      </c>
      <c r="M1332">
        <v>18.670000000000002</v>
      </c>
      <c r="N1332">
        <v>6</v>
      </c>
      <c r="O1332">
        <v>1</v>
      </c>
      <c r="T1332" t="str">
        <f t="shared" si="168"/>
        <v/>
      </c>
    </row>
    <row r="1333" spans="1:20" x14ac:dyDescent="0.55000000000000004">
      <c r="A1333">
        <v>117</v>
      </c>
      <c r="B1333" t="str">
        <f t="shared" si="170"/>
        <v>117_1</v>
      </c>
      <c r="C1333" s="2">
        <v>45680.458333333336</v>
      </c>
      <c r="D1333" t="s">
        <v>221</v>
      </c>
      <c r="E1333">
        <v>2</v>
      </c>
      <c r="F1333" t="s">
        <v>222</v>
      </c>
      <c r="G1333" t="str">
        <f t="shared" si="163"/>
        <v>Paranephrops planifrons</v>
      </c>
      <c r="H1333" t="str">
        <f t="shared" si="164"/>
        <v>Freshwater_crayfish</v>
      </c>
      <c r="I1333" t="str">
        <f t="shared" si="165"/>
        <v>Kōura</v>
      </c>
      <c r="J1333" t="str">
        <f t="shared" si="166"/>
        <v>Native</v>
      </c>
      <c r="K1333" t="str">
        <f t="shared" si="167"/>
        <v>Yes</v>
      </c>
      <c r="L1333" t="s">
        <v>228</v>
      </c>
      <c r="M1333">
        <v>18.940000000000001</v>
      </c>
      <c r="N1333">
        <v>5</v>
      </c>
      <c r="O1333">
        <v>1</v>
      </c>
      <c r="T1333" t="str">
        <f t="shared" si="168"/>
        <v/>
      </c>
    </row>
    <row r="1334" spans="1:20" x14ac:dyDescent="0.55000000000000004">
      <c r="A1334">
        <v>115</v>
      </c>
      <c r="B1334" t="str">
        <f t="shared" si="170"/>
        <v>115_1</v>
      </c>
      <c r="C1334" s="2">
        <v>45680.548611053244</v>
      </c>
      <c r="D1334" t="s">
        <v>221</v>
      </c>
      <c r="E1334">
        <v>2</v>
      </c>
      <c r="F1334" t="s">
        <v>233</v>
      </c>
      <c r="G1334" t="str">
        <f t="shared" si="163"/>
        <v>Galaxias brevipinnis</v>
      </c>
      <c r="H1334" t="str">
        <f t="shared" si="164"/>
        <v>Climbing_galaxias</v>
      </c>
      <c r="I1334" t="str">
        <f t="shared" si="165"/>
        <v>Kōaro</v>
      </c>
      <c r="J1334" t="str">
        <f t="shared" si="166"/>
        <v>Native</v>
      </c>
      <c r="K1334" t="str">
        <f t="shared" si="167"/>
        <v>Yes</v>
      </c>
      <c r="M1334">
        <v>65</v>
      </c>
      <c r="N1334">
        <v>3</v>
      </c>
      <c r="O1334">
        <v>1</v>
      </c>
      <c r="T1334" t="str">
        <f t="shared" si="168"/>
        <v/>
      </c>
    </row>
    <row r="1335" spans="1:20" x14ac:dyDescent="0.55000000000000004">
      <c r="A1335">
        <v>115</v>
      </c>
      <c r="B1335" t="str">
        <f t="shared" si="170"/>
        <v>115_1</v>
      </c>
      <c r="C1335" s="2">
        <v>45680.548611053244</v>
      </c>
      <c r="D1335" t="s">
        <v>221</v>
      </c>
      <c r="E1335">
        <v>2</v>
      </c>
      <c r="F1335" t="s">
        <v>242</v>
      </c>
      <c r="G1335" t="str">
        <f t="shared" si="163"/>
        <v>Gobiomorphus cotidianus</v>
      </c>
      <c r="H1335" t="str">
        <f t="shared" si="164"/>
        <v>Common_bully</v>
      </c>
      <c r="I1335" t="str">
        <f t="shared" si="165"/>
        <v>Toitoi</v>
      </c>
      <c r="J1335" t="str">
        <f t="shared" si="166"/>
        <v>Native</v>
      </c>
      <c r="K1335" t="str">
        <f t="shared" si="167"/>
        <v>No</v>
      </c>
      <c r="N1335">
        <v>171</v>
      </c>
      <c r="S1335">
        <v>1</v>
      </c>
      <c r="T1335">
        <f t="shared" si="168"/>
        <v>236.58799999999999</v>
      </c>
    </row>
    <row r="1336" spans="1:20" x14ac:dyDescent="0.55000000000000004">
      <c r="A1336">
        <v>116</v>
      </c>
      <c r="B1336" t="str">
        <f t="shared" si="170"/>
        <v>116_1</v>
      </c>
      <c r="C1336" s="2">
        <v>45680.526388888888</v>
      </c>
      <c r="D1336" t="s">
        <v>245</v>
      </c>
      <c r="E1336">
        <v>2</v>
      </c>
      <c r="F1336" t="s">
        <v>242</v>
      </c>
      <c r="G1336" t="str">
        <f t="shared" si="163"/>
        <v>Gobiomorphus cotidianus</v>
      </c>
      <c r="H1336" t="str">
        <f t="shared" si="164"/>
        <v>Common_bully</v>
      </c>
      <c r="I1336" t="str">
        <f t="shared" si="165"/>
        <v>Toitoi</v>
      </c>
      <c r="J1336" t="str">
        <f t="shared" si="166"/>
        <v>Native</v>
      </c>
      <c r="K1336" t="str">
        <f t="shared" si="167"/>
        <v>No</v>
      </c>
      <c r="N1336">
        <v>39</v>
      </c>
      <c r="T1336" t="str">
        <f t="shared" si="168"/>
        <v/>
      </c>
    </row>
    <row r="1337" spans="1:20" x14ac:dyDescent="0.55000000000000004">
      <c r="A1337">
        <v>116</v>
      </c>
      <c r="B1337" t="str">
        <f t="shared" si="170"/>
        <v>116_1</v>
      </c>
      <c r="C1337" s="2">
        <v>45680.526388888888</v>
      </c>
      <c r="D1337" t="s">
        <v>221</v>
      </c>
      <c r="E1337">
        <v>2</v>
      </c>
      <c r="F1337" t="s">
        <v>242</v>
      </c>
      <c r="G1337" t="str">
        <f t="shared" si="163"/>
        <v>Gobiomorphus cotidianus</v>
      </c>
      <c r="H1337" t="str">
        <f t="shared" si="164"/>
        <v>Common_bully</v>
      </c>
      <c r="I1337" t="str">
        <f t="shared" si="165"/>
        <v>Toitoi</v>
      </c>
      <c r="J1337" t="str">
        <f t="shared" si="166"/>
        <v>Native</v>
      </c>
      <c r="K1337" t="str">
        <f t="shared" si="167"/>
        <v>No</v>
      </c>
      <c r="N1337">
        <v>529</v>
      </c>
      <c r="S1337">
        <v>2.5</v>
      </c>
      <c r="T1337">
        <f t="shared" si="168"/>
        <v>591.47</v>
      </c>
    </row>
    <row r="1338" spans="1:20" x14ac:dyDescent="0.55000000000000004">
      <c r="A1338">
        <v>116</v>
      </c>
      <c r="B1338" t="str">
        <f t="shared" si="170"/>
        <v>116_1</v>
      </c>
      <c r="C1338" s="2">
        <v>45680.526388888888</v>
      </c>
      <c r="D1338" t="s">
        <v>221</v>
      </c>
      <c r="E1338">
        <v>2</v>
      </c>
      <c r="F1338" t="s">
        <v>242</v>
      </c>
      <c r="G1338" t="str">
        <f t="shared" si="163"/>
        <v>Gobiomorphus cotidianus</v>
      </c>
      <c r="H1338" t="str">
        <f t="shared" si="164"/>
        <v>Common_bully</v>
      </c>
      <c r="I1338" t="str">
        <f t="shared" si="165"/>
        <v>Toitoi</v>
      </c>
      <c r="J1338" t="str">
        <f t="shared" si="166"/>
        <v>Native</v>
      </c>
      <c r="K1338" t="str">
        <f t="shared" si="167"/>
        <v>No</v>
      </c>
      <c r="N1338">
        <f>639-117</f>
        <v>522</v>
      </c>
      <c r="S1338">
        <v>2.5</v>
      </c>
      <c r="T1338">
        <f t="shared" si="168"/>
        <v>591.47</v>
      </c>
    </row>
    <row r="1339" spans="1:20" x14ac:dyDescent="0.55000000000000004">
      <c r="A1339">
        <v>116</v>
      </c>
      <c r="B1339" t="str">
        <f t="shared" si="170"/>
        <v>116_1</v>
      </c>
      <c r="C1339" s="2">
        <v>45680.526388831022</v>
      </c>
      <c r="D1339" t="s">
        <v>221</v>
      </c>
      <c r="E1339">
        <v>2</v>
      </c>
      <c r="F1339" t="s">
        <v>242</v>
      </c>
      <c r="G1339" t="str">
        <f t="shared" si="163"/>
        <v>Gobiomorphus cotidianus</v>
      </c>
      <c r="H1339" t="str">
        <f t="shared" si="164"/>
        <v>Common_bully</v>
      </c>
      <c r="I1339" t="str">
        <f t="shared" si="165"/>
        <v>Toitoi</v>
      </c>
      <c r="J1339" t="str">
        <f t="shared" si="166"/>
        <v>Native</v>
      </c>
      <c r="K1339" t="str">
        <f t="shared" si="167"/>
        <v>No</v>
      </c>
      <c r="N1339">
        <f>646-117</f>
        <v>529</v>
      </c>
      <c r="S1339">
        <v>2.5</v>
      </c>
      <c r="T1339">
        <f t="shared" si="168"/>
        <v>591.47</v>
      </c>
    </row>
    <row r="1340" spans="1:20" x14ac:dyDescent="0.55000000000000004">
      <c r="A1340">
        <v>116</v>
      </c>
      <c r="B1340" t="str">
        <f t="shared" si="170"/>
        <v>116_1</v>
      </c>
      <c r="C1340" s="2">
        <v>45680.526388831022</v>
      </c>
      <c r="D1340" t="s">
        <v>221</v>
      </c>
      <c r="E1340">
        <v>2</v>
      </c>
      <c r="F1340" t="s">
        <v>242</v>
      </c>
      <c r="G1340" t="str">
        <f t="shared" si="163"/>
        <v>Gobiomorphus cotidianus</v>
      </c>
      <c r="H1340" t="str">
        <f t="shared" si="164"/>
        <v>Common_bully</v>
      </c>
      <c r="I1340" t="str">
        <f t="shared" si="165"/>
        <v>Toitoi</v>
      </c>
      <c r="J1340" t="str">
        <f t="shared" si="166"/>
        <v>Native</v>
      </c>
      <c r="K1340" t="str">
        <f t="shared" si="167"/>
        <v>No</v>
      </c>
      <c r="N1340">
        <f>633-117</f>
        <v>516</v>
      </c>
      <c r="S1340">
        <v>2.5</v>
      </c>
      <c r="T1340">
        <f t="shared" si="168"/>
        <v>591.47</v>
      </c>
    </row>
    <row r="1341" spans="1:20" x14ac:dyDescent="0.55000000000000004">
      <c r="A1341">
        <v>116</v>
      </c>
      <c r="B1341" t="str">
        <f t="shared" si="170"/>
        <v>116_1</v>
      </c>
      <c r="C1341" s="2">
        <v>45680.526388831022</v>
      </c>
      <c r="D1341" t="s">
        <v>221</v>
      </c>
      <c r="E1341">
        <v>2</v>
      </c>
      <c r="F1341" t="s">
        <v>242</v>
      </c>
      <c r="G1341" t="str">
        <f t="shared" si="163"/>
        <v>Gobiomorphus cotidianus</v>
      </c>
      <c r="H1341" t="str">
        <f t="shared" si="164"/>
        <v>Common_bully</v>
      </c>
      <c r="I1341" t="str">
        <f t="shared" si="165"/>
        <v>Toitoi</v>
      </c>
      <c r="J1341" t="str">
        <f t="shared" si="166"/>
        <v>Native</v>
      </c>
      <c r="K1341" t="str">
        <f t="shared" si="167"/>
        <v>No</v>
      </c>
      <c r="N1341">
        <f>661-117</f>
        <v>544</v>
      </c>
      <c r="S1341">
        <v>2.5</v>
      </c>
      <c r="T1341">
        <f t="shared" si="168"/>
        <v>591.47</v>
      </c>
    </row>
    <row r="1342" spans="1:20" x14ac:dyDescent="0.55000000000000004">
      <c r="A1342">
        <v>116</v>
      </c>
      <c r="B1342" t="str">
        <f t="shared" si="170"/>
        <v>116_1</v>
      </c>
      <c r="C1342" s="2">
        <v>45680.526388831022</v>
      </c>
      <c r="D1342" t="s">
        <v>221</v>
      </c>
      <c r="E1342">
        <v>2</v>
      </c>
      <c r="F1342" t="s">
        <v>242</v>
      </c>
      <c r="G1342" t="str">
        <f t="shared" si="163"/>
        <v>Gobiomorphus cotidianus</v>
      </c>
      <c r="H1342" t="str">
        <f t="shared" si="164"/>
        <v>Common_bully</v>
      </c>
      <c r="I1342" t="str">
        <f t="shared" si="165"/>
        <v>Toitoi</v>
      </c>
      <c r="J1342" t="str">
        <f t="shared" si="166"/>
        <v>Native</v>
      </c>
      <c r="K1342" t="str">
        <f t="shared" si="167"/>
        <v>No</v>
      </c>
      <c r="N1342">
        <f>672-117</f>
        <v>555</v>
      </c>
      <c r="S1342">
        <v>2.5</v>
      </c>
      <c r="T1342">
        <f t="shared" si="168"/>
        <v>591.47</v>
      </c>
    </row>
    <row r="1343" spans="1:20" x14ac:dyDescent="0.55000000000000004">
      <c r="A1343">
        <v>116</v>
      </c>
      <c r="B1343" t="str">
        <f t="shared" si="170"/>
        <v>116_1</v>
      </c>
      <c r="C1343" s="2">
        <v>45680.526388831022</v>
      </c>
      <c r="D1343" t="s">
        <v>221</v>
      </c>
      <c r="E1343">
        <v>2</v>
      </c>
      <c r="F1343" t="s">
        <v>242</v>
      </c>
      <c r="G1343" t="str">
        <f t="shared" si="163"/>
        <v>Gobiomorphus cotidianus</v>
      </c>
      <c r="H1343" t="str">
        <f t="shared" si="164"/>
        <v>Common_bully</v>
      </c>
      <c r="I1343" t="str">
        <f t="shared" si="165"/>
        <v>Toitoi</v>
      </c>
      <c r="J1343" t="str">
        <f t="shared" si="166"/>
        <v>Native</v>
      </c>
      <c r="K1343" t="str">
        <f t="shared" si="167"/>
        <v>No</v>
      </c>
      <c r="N1343">
        <f>696-117</f>
        <v>579</v>
      </c>
      <c r="S1343">
        <v>2.5</v>
      </c>
      <c r="T1343">
        <f t="shared" si="168"/>
        <v>591.47</v>
      </c>
    </row>
    <row r="1344" spans="1:20" x14ac:dyDescent="0.55000000000000004">
      <c r="A1344">
        <v>116</v>
      </c>
      <c r="B1344" t="str">
        <f t="shared" si="170"/>
        <v>116_1</v>
      </c>
      <c r="C1344" s="2">
        <v>45680.526388831022</v>
      </c>
      <c r="D1344" t="s">
        <v>221</v>
      </c>
      <c r="E1344">
        <v>2</v>
      </c>
      <c r="F1344" t="s">
        <v>242</v>
      </c>
      <c r="G1344" t="str">
        <f t="shared" si="163"/>
        <v>Gobiomorphus cotidianus</v>
      </c>
      <c r="H1344" t="str">
        <f t="shared" si="164"/>
        <v>Common_bully</v>
      </c>
      <c r="I1344" t="str">
        <f t="shared" si="165"/>
        <v>Toitoi</v>
      </c>
      <c r="J1344" t="str">
        <f t="shared" si="166"/>
        <v>Native</v>
      </c>
      <c r="K1344" t="str">
        <f t="shared" si="167"/>
        <v>No</v>
      </c>
      <c r="N1344">
        <f>497-117</f>
        <v>380</v>
      </c>
      <c r="S1344">
        <f>2/3</f>
        <v>0.66666666666666663</v>
      </c>
      <c r="T1344">
        <f t="shared" si="168"/>
        <v>157.72533333333331</v>
      </c>
    </row>
    <row r="1345" spans="1:20" x14ac:dyDescent="0.55000000000000004">
      <c r="A1345">
        <v>117</v>
      </c>
      <c r="B1345" t="str">
        <f t="shared" si="170"/>
        <v>117_1</v>
      </c>
      <c r="C1345" s="2">
        <v>45680.458333333336</v>
      </c>
      <c r="D1345" t="s">
        <v>221</v>
      </c>
      <c r="E1345">
        <v>2</v>
      </c>
      <c r="F1345" t="s">
        <v>222</v>
      </c>
      <c r="G1345" t="str">
        <f t="shared" si="163"/>
        <v>Paranephrops planifrons</v>
      </c>
      <c r="H1345" t="str">
        <f t="shared" si="164"/>
        <v>Freshwater_crayfish</v>
      </c>
      <c r="I1345" t="str">
        <f t="shared" si="165"/>
        <v>Kōura</v>
      </c>
      <c r="J1345" t="str">
        <f t="shared" si="166"/>
        <v>Native</v>
      </c>
      <c r="K1345" t="str">
        <f t="shared" si="167"/>
        <v>Yes</v>
      </c>
      <c r="L1345" t="s">
        <v>223</v>
      </c>
      <c r="M1345">
        <v>19.13</v>
      </c>
      <c r="N1345">
        <v>5</v>
      </c>
      <c r="O1345">
        <v>1</v>
      </c>
      <c r="T1345" t="str">
        <f t="shared" si="168"/>
        <v/>
      </c>
    </row>
    <row r="1346" spans="1:20" x14ac:dyDescent="0.55000000000000004">
      <c r="A1346">
        <v>117</v>
      </c>
      <c r="B1346" t="str">
        <f t="shared" si="170"/>
        <v>117_1</v>
      </c>
      <c r="C1346" s="2">
        <v>45680.458333333336</v>
      </c>
      <c r="D1346" t="s">
        <v>221</v>
      </c>
      <c r="E1346">
        <v>2</v>
      </c>
      <c r="F1346" t="s">
        <v>222</v>
      </c>
      <c r="G1346" t="str">
        <f t="shared" ref="G1346:G1409" si="171">VLOOKUP($F1346, $W$1:$AB$10, 2, FALSE)</f>
        <v>Paranephrops planifrons</v>
      </c>
      <c r="H1346" t="str">
        <f t="shared" ref="H1346:H1409" si="172">VLOOKUP($F1346, $W$1:$AB$10, 3, FALSE)</f>
        <v>Freshwater_crayfish</v>
      </c>
      <c r="I1346" t="str">
        <f t="shared" ref="I1346:I1409" si="173">VLOOKUP($F1346, $W$1:$AB$10, 4, FALSE)</f>
        <v>Kōura</v>
      </c>
      <c r="J1346" t="str">
        <f t="shared" ref="J1346:J1409" si="174">VLOOKUP($F1346, $W$1:$AC$10, 5, FALSE)</f>
        <v>Native</v>
      </c>
      <c r="K1346" t="str">
        <f t="shared" ref="K1346:K1409" si="175">VLOOKUP($F1346, $W$1:$AB$10, 6, FALSE)</f>
        <v>Yes</v>
      </c>
      <c r="L1346" t="s">
        <v>223</v>
      </c>
      <c r="M1346">
        <v>20.52</v>
      </c>
      <c r="N1346">
        <v>5</v>
      </c>
      <c r="O1346">
        <v>1</v>
      </c>
      <c r="T1346" t="str">
        <f t="shared" si="168"/>
        <v/>
      </c>
    </row>
    <row r="1347" spans="1:20" x14ac:dyDescent="0.55000000000000004">
      <c r="A1347">
        <v>117</v>
      </c>
      <c r="B1347" t="str">
        <f t="shared" si="170"/>
        <v>117_1</v>
      </c>
      <c r="C1347" s="2">
        <v>45680.458333333336</v>
      </c>
      <c r="D1347" t="s">
        <v>221</v>
      </c>
      <c r="E1347">
        <v>2</v>
      </c>
      <c r="F1347" t="s">
        <v>222</v>
      </c>
      <c r="G1347" t="str">
        <f t="shared" si="171"/>
        <v>Paranephrops planifrons</v>
      </c>
      <c r="H1347" t="str">
        <f t="shared" si="172"/>
        <v>Freshwater_crayfish</v>
      </c>
      <c r="I1347" t="str">
        <f t="shared" si="173"/>
        <v>Kōura</v>
      </c>
      <c r="J1347" t="str">
        <f t="shared" si="174"/>
        <v>Native</v>
      </c>
      <c r="K1347" t="str">
        <f t="shared" si="175"/>
        <v>Yes</v>
      </c>
      <c r="L1347" t="s">
        <v>228</v>
      </c>
      <c r="M1347">
        <v>20.54</v>
      </c>
      <c r="N1347">
        <v>6</v>
      </c>
      <c r="O1347">
        <v>1</v>
      </c>
      <c r="T1347" t="str">
        <f t="shared" si="168"/>
        <v/>
      </c>
    </row>
    <row r="1348" spans="1:20" x14ac:dyDescent="0.55000000000000004">
      <c r="A1348">
        <v>117</v>
      </c>
      <c r="B1348" t="str">
        <f t="shared" si="170"/>
        <v>117_1</v>
      </c>
      <c r="C1348" s="2">
        <v>45680.458333333336</v>
      </c>
      <c r="D1348" t="s">
        <v>245</v>
      </c>
      <c r="E1348">
        <v>1</v>
      </c>
      <c r="F1348" t="s">
        <v>222</v>
      </c>
      <c r="G1348" t="str">
        <f t="shared" si="171"/>
        <v>Paranephrops planifrons</v>
      </c>
      <c r="H1348" t="str">
        <f t="shared" si="172"/>
        <v>Freshwater_crayfish</v>
      </c>
      <c r="I1348" t="str">
        <f t="shared" si="173"/>
        <v>Kōura</v>
      </c>
      <c r="J1348" t="str">
        <f t="shared" si="174"/>
        <v>Native</v>
      </c>
      <c r="K1348" t="str">
        <f t="shared" si="175"/>
        <v>Yes</v>
      </c>
      <c r="L1348" t="s">
        <v>223</v>
      </c>
      <c r="M1348">
        <v>20.67</v>
      </c>
      <c r="N1348">
        <v>6</v>
      </c>
      <c r="O1348">
        <v>1</v>
      </c>
      <c r="T1348" t="str">
        <f t="shared" si="168"/>
        <v/>
      </c>
    </row>
    <row r="1349" spans="1:20" x14ac:dyDescent="0.55000000000000004">
      <c r="A1349">
        <v>117</v>
      </c>
      <c r="B1349" t="str">
        <f t="shared" si="170"/>
        <v>117_1</v>
      </c>
      <c r="C1349" s="2">
        <v>45680.458333333336</v>
      </c>
      <c r="D1349" t="s">
        <v>221</v>
      </c>
      <c r="E1349">
        <v>2</v>
      </c>
      <c r="F1349" t="s">
        <v>222</v>
      </c>
      <c r="G1349" t="str">
        <f t="shared" si="171"/>
        <v>Paranephrops planifrons</v>
      </c>
      <c r="H1349" t="str">
        <f t="shared" si="172"/>
        <v>Freshwater_crayfish</v>
      </c>
      <c r="I1349" t="str">
        <f t="shared" si="173"/>
        <v>Kōura</v>
      </c>
      <c r="J1349" t="str">
        <f t="shared" si="174"/>
        <v>Native</v>
      </c>
      <c r="K1349" t="str">
        <f t="shared" si="175"/>
        <v>Yes</v>
      </c>
      <c r="L1349" t="s">
        <v>223</v>
      </c>
      <c r="M1349">
        <v>20.69</v>
      </c>
      <c r="N1349">
        <v>6</v>
      </c>
      <c r="O1349">
        <v>1</v>
      </c>
      <c r="T1349" t="str">
        <f t="shared" si="168"/>
        <v/>
      </c>
    </row>
    <row r="1350" spans="1:20" x14ac:dyDescent="0.55000000000000004">
      <c r="A1350">
        <v>117</v>
      </c>
      <c r="B1350" t="str">
        <f t="shared" si="170"/>
        <v>117_1</v>
      </c>
      <c r="C1350" s="2">
        <v>45680.458333333336</v>
      </c>
      <c r="D1350" t="s">
        <v>221</v>
      </c>
      <c r="E1350">
        <v>2</v>
      </c>
      <c r="F1350" t="s">
        <v>222</v>
      </c>
      <c r="G1350" t="str">
        <f t="shared" si="171"/>
        <v>Paranephrops planifrons</v>
      </c>
      <c r="H1350" t="str">
        <f t="shared" si="172"/>
        <v>Freshwater_crayfish</v>
      </c>
      <c r="I1350" t="str">
        <f t="shared" si="173"/>
        <v>Kōura</v>
      </c>
      <c r="J1350" t="str">
        <f t="shared" si="174"/>
        <v>Native</v>
      </c>
      <c r="K1350" t="str">
        <f t="shared" si="175"/>
        <v>Yes</v>
      </c>
      <c r="L1350" t="s">
        <v>223</v>
      </c>
      <c r="M1350">
        <v>21.35</v>
      </c>
      <c r="N1350">
        <v>7</v>
      </c>
      <c r="O1350">
        <v>1</v>
      </c>
      <c r="T1350" t="str">
        <f t="shared" si="168"/>
        <v/>
      </c>
    </row>
    <row r="1351" spans="1:20" x14ac:dyDescent="0.55000000000000004">
      <c r="A1351">
        <v>117</v>
      </c>
      <c r="B1351" t="str">
        <f t="shared" si="170"/>
        <v>117_1</v>
      </c>
      <c r="C1351" s="2">
        <v>45680.458333333336</v>
      </c>
      <c r="D1351" t="s">
        <v>221</v>
      </c>
      <c r="E1351">
        <v>2</v>
      </c>
      <c r="F1351" t="s">
        <v>222</v>
      </c>
      <c r="G1351" t="str">
        <f t="shared" si="171"/>
        <v>Paranephrops planifrons</v>
      </c>
      <c r="H1351" t="str">
        <f t="shared" si="172"/>
        <v>Freshwater_crayfish</v>
      </c>
      <c r="I1351" t="str">
        <f t="shared" si="173"/>
        <v>Kōura</v>
      </c>
      <c r="J1351" t="str">
        <f t="shared" si="174"/>
        <v>Native</v>
      </c>
      <c r="K1351" t="str">
        <f t="shared" si="175"/>
        <v>Yes</v>
      </c>
      <c r="L1351" t="s">
        <v>228</v>
      </c>
      <c r="M1351">
        <v>21.98</v>
      </c>
      <c r="N1351">
        <v>8</v>
      </c>
      <c r="O1351">
        <v>1</v>
      </c>
      <c r="T1351" t="str">
        <f t="shared" si="168"/>
        <v/>
      </c>
    </row>
    <row r="1352" spans="1:20" x14ac:dyDescent="0.55000000000000004">
      <c r="A1352">
        <v>117</v>
      </c>
      <c r="B1352" t="str">
        <f t="shared" si="170"/>
        <v>117_1</v>
      </c>
      <c r="C1352" s="2">
        <v>45680.458333333336</v>
      </c>
      <c r="D1352" t="s">
        <v>245</v>
      </c>
      <c r="E1352">
        <v>1</v>
      </c>
      <c r="F1352" t="s">
        <v>222</v>
      </c>
      <c r="G1352" t="str">
        <f t="shared" si="171"/>
        <v>Paranephrops planifrons</v>
      </c>
      <c r="H1352" t="str">
        <f t="shared" si="172"/>
        <v>Freshwater_crayfish</v>
      </c>
      <c r="I1352" t="str">
        <f t="shared" si="173"/>
        <v>Kōura</v>
      </c>
      <c r="J1352" t="str">
        <f t="shared" si="174"/>
        <v>Native</v>
      </c>
      <c r="K1352" t="str">
        <f t="shared" si="175"/>
        <v>Yes</v>
      </c>
      <c r="L1352" t="s">
        <v>223</v>
      </c>
      <c r="M1352">
        <v>23</v>
      </c>
      <c r="N1352">
        <v>6</v>
      </c>
      <c r="O1352">
        <v>1</v>
      </c>
      <c r="T1352" t="str">
        <f t="shared" si="168"/>
        <v/>
      </c>
    </row>
    <row r="1353" spans="1:20" x14ac:dyDescent="0.55000000000000004">
      <c r="A1353">
        <v>117</v>
      </c>
      <c r="B1353" t="str">
        <f t="shared" si="170"/>
        <v>117_1</v>
      </c>
      <c r="C1353" s="2">
        <v>45680.458333333336</v>
      </c>
      <c r="D1353" t="s">
        <v>221</v>
      </c>
      <c r="E1353">
        <v>2</v>
      </c>
      <c r="F1353" t="s">
        <v>222</v>
      </c>
      <c r="G1353" t="str">
        <f t="shared" si="171"/>
        <v>Paranephrops planifrons</v>
      </c>
      <c r="H1353" t="str">
        <f t="shared" si="172"/>
        <v>Freshwater_crayfish</v>
      </c>
      <c r="I1353" t="str">
        <f t="shared" si="173"/>
        <v>Kōura</v>
      </c>
      <c r="J1353" t="str">
        <f t="shared" si="174"/>
        <v>Native</v>
      </c>
      <c r="K1353" t="str">
        <f t="shared" si="175"/>
        <v>Yes</v>
      </c>
      <c r="L1353" t="s">
        <v>228</v>
      </c>
      <c r="M1353">
        <v>23.08</v>
      </c>
      <c r="N1353">
        <v>6</v>
      </c>
      <c r="O1353">
        <v>1</v>
      </c>
      <c r="T1353" t="str">
        <f t="shared" ref="T1353:T1416" si="176">IF(S1353&lt;&gt;"", S1353*236.588, "")</f>
        <v/>
      </c>
    </row>
    <row r="1354" spans="1:20" x14ac:dyDescent="0.55000000000000004">
      <c r="A1354">
        <v>117</v>
      </c>
      <c r="B1354" t="str">
        <f t="shared" si="170"/>
        <v>117_1</v>
      </c>
      <c r="C1354" s="2">
        <v>45680.458333333336</v>
      </c>
      <c r="D1354" t="s">
        <v>245</v>
      </c>
      <c r="E1354">
        <v>1</v>
      </c>
      <c r="F1354" t="s">
        <v>222</v>
      </c>
      <c r="G1354" t="str">
        <f t="shared" si="171"/>
        <v>Paranephrops planifrons</v>
      </c>
      <c r="H1354" t="str">
        <f t="shared" si="172"/>
        <v>Freshwater_crayfish</v>
      </c>
      <c r="I1354" t="str">
        <f t="shared" si="173"/>
        <v>Kōura</v>
      </c>
      <c r="J1354" t="str">
        <f t="shared" si="174"/>
        <v>Native</v>
      </c>
      <c r="K1354" t="str">
        <f t="shared" si="175"/>
        <v>Yes</v>
      </c>
      <c r="L1354" t="s">
        <v>228</v>
      </c>
      <c r="M1354">
        <v>23.31</v>
      </c>
      <c r="N1354">
        <v>7</v>
      </c>
      <c r="O1354">
        <v>1</v>
      </c>
      <c r="T1354" t="str">
        <f t="shared" si="176"/>
        <v/>
      </c>
    </row>
    <row r="1355" spans="1:20" x14ac:dyDescent="0.55000000000000004">
      <c r="A1355">
        <v>117</v>
      </c>
      <c r="B1355" t="str">
        <f t="shared" si="170"/>
        <v>117_1</v>
      </c>
      <c r="C1355" s="2">
        <v>45680.458333333336</v>
      </c>
      <c r="D1355" t="s">
        <v>245</v>
      </c>
      <c r="E1355">
        <v>1</v>
      </c>
      <c r="F1355" t="s">
        <v>222</v>
      </c>
      <c r="G1355" t="str">
        <f t="shared" si="171"/>
        <v>Paranephrops planifrons</v>
      </c>
      <c r="H1355" t="str">
        <f t="shared" si="172"/>
        <v>Freshwater_crayfish</v>
      </c>
      <c r="I1355" t="str">
        <f t="shared" si="173"/>
        <v>Kōura</v>
      </c>
      <c r="J1355" t="str">
        <f t="shared" si="174"/>
        <v>Native</v>
      </c>
      <c r="K1355" t="str">
        <f t="shared" si="175"/>
        <v>Yes</v>
      </c>
      <c r="L1355" t="s">
        <v>228</v>
      </c>
      <c r="M1355">
        <v>23.52</v>
      </c>
      <c r="N1355">
        <v>10</v>
      </c>
      <c r="O1355">
        <v>1</v>
      </c>
      <c r="T1355" t="str">
        <f t="shared" si="176"/>
        <v/>
      </c>
    </row>
    <row r="1356" spans="1:20" x14ac:dyDescent="0.55000000000000004">
      <c r="A1356">
        <v>117</v>
      </c>
      <c r="B1356" t="str">
        <f t="shared" si="170"/>
        <v>117_1</v>
      </c>
      <c r="C1356" s="2">
        <v>45680.458333333336</v>
      </c>
      <c r="D1356" t="s">
        <v>245</v>
      </c>
      <c r="E1356">
        <v>1</v>
      </c>
      <c r="F1356" t="s">
        <v>222</v>
      </c>
      <c r="G1356" t="str">
        <f t="shared" si="171"/>
        <v>Paranephrops planifrons</v>
      </c>
      <c r="H1356" t="str">
        <f t="shared" si="172"/>
        <v>Freshwater_crayfish</v>
      </c>
      <c r="I1356" t="str">
        <f t="shared" si="173"/>
        <v>Kōura</v>
      </c>
      <c r="J1356" t="str">
        <f t="shared" si="174"/>
        <v>Native</v>
      </c>
      <c r="K1356" t="str">
        <f t="shared" si="175"/>
        <v>Yes</v>
      </c>
      <c r="L1356" t="s">
        <v>223</v>
      </c>
      <c r="M1356">
        <v>23.85</v>
      </c>
      <c r="N1356">
        <v>10</v>
      </c>
      <c r="O1356">
        <v>1</v>
      </c>
      <c r="T1356" t="str">
        <f t="shared" si="176"/>
        <v/>
      </c>
    </row>
    <row r="1357" spans="1:20" x14ac:dyDescent="0.55000000000000004">
      <c r="A1357">
        <v>117</v>
      </c>
      <c r="B1357" t="str">
        <f t="shared" si="170"/>
        <v>117_1</v>
      </c>
      <c r="C1357" s="2">
        <v>45680.458333333336</v>
      </c>
      <c r="D1357" t="s">
        <v>245</v>
      </c>
      <c r="E1357">
        <v>1</v>
      </c>
      <c r="F1357" t="s">
        <v>222</v>
      </c>
      <c r="G1357" t="str">
        <f t="shared" si="171"/>
        <v>Paranephrops planifrons</v>
      </c>
      <c r="H1357" t="str">
        <f t="shared" si="172"/>
        <v>Freshwater_crayfish</v>
      </c>
      <c r="I1357" t="str">
        <f t="shared" si="173"/>
        <v>Kōura</v>
      </c>
      <c r="J1357" t="str">
        <f t="shared" si="174"/>
        <v>Native</v>
      </c>
      <c r="K1357" t="str">
        <f t="shared" si="175"/>
        <v>Yes</v>
      </c>
      <c r="L1357" t="s">
        <v>228</v>
      </c>
      <c r="M1357">
        <v>24.01</v>
      </c>
      <c r="N1357">
        <v>8</v>
      </c>
      <c r="O1357">
        <v>1</v>
      </c>
      <c r="T1357" t="str">
        <f t="shared" si="176"/>
        <v/>
      </c>
    </row>
    <row r="1358" spans="1:20" x14ac:dyDescent="0.55000000000000004">
      <c r="A1358">
        <v>117</v>
      </c>
      <c r="B1358" t="str">
        <f t="shared" ref="B1358:B1384" si="177">A1358 &amp; "_1"</f>
        <v>117_1</v>
      </c>
      <c r="C1358" s="2">
        <v>45680.458333333336</v>
      </c>
      <c r="D1358" t="s">
        <v>221</v>
      </c>
      <c r="E1358">
        <v>2</v>
      </c>
      <c r="F1358" t="s">
        <v>222</v>
      </c>
      <c r="G1358" t="str">
        <f t="shared" si="171"/>
        <v>Paranephrops planifrons</v>
      </c>
      <c r="H1358" t="str">
        <f t="shared" si="172"/>
        <v>Freshwater_crayfish</v>
      </c>
      <c r="I1358" t="str">
        <f t="shared" si="173"/>
        <v>Kōura</v>
      </c>
      <c r="J1358" t="str">
        <f t="shared" si="174"/>
        <v>Native</v>
      </c>
      <c r="K1358" t="str">
        <f t="shared" si="175"/>
        <v>Yes</v>
      </c>
      <c r="L1358" t="s">
        <v>228</v>
      </c>
      <c r="M1358">
        <v>24.1</v>
      </c>
      <c r="N1358">
        <v>9</v>
      </c>
      <c r="O1358">
        <v>1</v>
      </c>
      <c r="T1358" t="str">
        <f t="shared" si="176"/>
        <v/>
      </c>
    </row>
    <row r="1359" spans="1:20" x14ac:dyDescent="0.55000000000000004">
      <c r="A1359">
        <v>117</v>
      </c>
      <c r="B1359" t="str">
        <f t="shared" si="177"/>
        <v>117_1</v>
      </c>
      <c r="C1359" s="2">
        <v>45680.458333333336</v>
      </c>
      <c r="D1359" t="s">
        <v>221</v>
      </c>
      <c r="E1359">
        <v>2</v>
      </c>
      <c r="F1359" t="s">
        <v>222</v>
      </c>
      <c r="G1359" t="str">
        <f t="shared" si="171"/>
        <v>Paranephrops planifrons</v>
      </c>
      <c r="H1359" t="str">
        <f t="shared" si="172"/>
        <v>Freshwater_crayfish</v>
      </c>
      <c r="I1359" t="str">
        <f t="shared" si="173"/>
        <v>Kōura</v>
      </c>
      <c r="J1359" t="str">
        <f t="shared" si="174"/>
        <v>Native</v>
      </c>
      <c r="K1359" t="str">
        <f t="shared" si="175"/>
        <v>Yes</v>
      </c>
      <c r="L1359" t="s">
        <v>228</v>
      </c>
      <c r="M1359">
        <v>24.31</v>
      </c>
      <c r="N1359">
        <v>11</v>
      </c>
      <c r="O1359">
        <v>1</v>
      </c>
      <c r="T1359" t="str">
        <f t="shared" si="176"/>
        <v/>
      </c>
    </row>
    <row r="1360" spans="1:20" x14ac:dyDescent="0.55000000000000004">
      <c r="A1360">
        <v>117</v>
      </c>
      <c r="B1360" t="str">
        <f t="shared" si="177"/>
        <v>117_1</v>
      </c>
      <c r="C1360" s="2">
        <v>45680.458333333336</v>
      </c>
      <c r="D1360" t="s">
        <v>221</v>
      </c>
      <c r="E1360">
        <v>2</v>
      </c>
      <c r="F1360" t="s">
        <v>222</v>
      </c>
      <c r="G1360" t="str">
        <f t="shared" si="171"/>
        <v>Paranephrops planifrons</v>
      </c>
      <c r="H1360" t="str">
        <f t="shared" si="172"/>
        <v>Freshwater_crayfish</v>
      </c>
      <c r="I1360" t="str">
        <f t="shared" si="173"/>
        <v>Kōura</v>
      </c>
      <c r="J1360" t="str">
        <f t="shared" si="174"/>
        <v>Native</v>
      </c>
      <c r="K1360" t="str">
        <f t="shared" si="175"/>
        <v>Yes</v>
      </c>
      <c r="L1360" t="s">
        <v>228</v>
      </c>
      <c r="M1360">
        <v>24.43</v>
      </c>
      <c r="N1360">
        <v>10</v>
      </c>
      <c r="O1360">
        <v>1</v>
      </c>
      <c r="T1360" t="str">
        <f t="shared" si="176"/>
        <v/>
      </c>
    </row>
    <row r="1361" spans="1:20" x14ac:dyDescent="0.55000000000000004">
      <c r="A1361">
        <v>117</v>
      </c>
      <c r="B1361" t="str">
        <f t="shared" si="177"/>
        <v>117_1</v>
      </c>
      <c r="C1361" s="2">
        <v>45680.458333333336</v>
      </c>
      <c r="D1361" t="s">
        <v>245</v>
      </c>
      <c r="E1361">
        <v>1</v>
      </c>
      <c r="F1361" t="s">
        <v>222</v>
      </c>
      <c r="G1361" t="str">
        <f t="shared" si="171"/>
        <v>Paranephrops planifrons</v>
      </c>
      <c r="H1361" t="str">
        <f t="shared" si="172"/>
        <v>Freshwater_crayfish</v>
      </c>
      <c r="I1361" t="str">
        <f t="shared" si="173"/>
        <v>Kōura</v>
      </c>
      <c r="J1361" t="str">
        <f t="shared" si="174"/>
        <v>Native</v>
      </c>
      <c r="K1361" t="str">
        <f t="shared" si="175"/>
        <v>Yes</v>
      </c>
      <c r="L1361" t="s">
        <v>223</v>
      </c>
      <c r="M1361">
        <v>25.27</v>
      </c>
      <c r="N1361">
        <v>8</v>
      </c>
      <c r="O1361">
        <v>1</v>
      </c>
      <c r="T1361" t="str">
        <f t="shared" si="176"/>
        <v/>
      </c>
    </row>
    <row r="1362" spans="1:20" x14ac:dyDescent="0.55000000000000004">
      <c r="A1362">
        <v>117</v>
      </c>
      <c r="B1362" t="str">
        <f t="shared" si="177"/>
        <v>117_1</v>
      </c>
      <c r="C1362" s="2">
        <v>45680.458333333336</v>
      </c>
      <c r="D1362" t="s">
        <v>221</v>
      </c>
      <c r="E1362">
        <v>2</v>
      </c>
      <c r="F1362" t="s">
        <v>222</v>
      </c>
      <c r="G1362" t="str">
        <f t="shared" si="171"/>
        <v>Paranephrops planifrons</v>
      </c>
      <c r="H1362" t="str">
        <f t="shared" si="172"/>
        <v>Freshwater_crayfish</v>
      </c>
      <c r="I1362" t="str">
        <f t="shared" si="173"/>
        <v>Kōura</v>
      </c>
      <c r="J1362" t="str">
        <f t="shared" si="174"/>
        <v>Native</v>
      </c>
      <c r="K1362" t="str">
        <f t="shared" si="175"/>
        <v>Yes</v>
      </c>
      <c r="L1362" t="s">
        <v>223</v>
      </c>
      <c r="M1362">
        <v>25.36</v>
      </c>
      <c r="N1362">
        <v>12</v>
      </c>
      <c r="O1362">
        <v>1</v>
      </c>
      <c r="T1362" t="str">
        <f t="shared" si="176"/>
        <v/>
      </c>
    </row>
    <row r="1363" spans="1:20" x14ac:dyDescent="0.55000000000000004">
      <c r="A1363">
        <v>117</v>
      </c>
      <c r="B1363" t="str">
        <f t="shared" si="177"/>
        <v>117_1</v>
      </c>
      <c r="C1363" s="2">
        <v>45680.458333333336</v>
      </c>
      <c r="D1363" t="s">
        <v>245</v>
      </c>
      <c r="E1363">
        <v>1</v>
      </c>
      <c r="F1363" t="s">
        <v>222</v>
      </c>
      <c r="G1363" t="str">
        <f t="shared" si="171"/>
        <v>Paranephrops planifrons</v>
      </c>
      <c r="H1363" t="str">
        <f t="shared" si="172"/>
        <v>Freshwater_crayfish</v>
      </c>
      <c r="I1363" t="str">
        <f t="shared" si="173"/>
        <v>Kōura</v>
      </c>
      <c r="J1363" t="str">
        <f t="shared" si="174"/>
        <v>Native</v>
      </c>
      <c r="K1363" t="str">
        <f t="shared" si="175"/>
        <v>Yes</v>
      </c>
      <c r="L1363" t="s">
        <v>223</v>
      </c>
      <c r="M1363">
        <v>25.4</v>
      </c>
      <c r="N1363">
        <v>11</v>
      </c>
      <c r="O1363">
        <v>1</v>
      </c>
      <c r="T1363" t="str">
        <f t="shared" si="176"/>
        <v/>
      </c>
    </row>
    <row r="1364" spans="1:20" x14ac:dyDescent="0.55000000000000004">
      <c r="A1364">
        <v>117</v>
      </c>
      <c r="B1364" t="str">
        <f t="shared" si="177"/>
        <v>117_1</v>
      </c>
      <c r="C1364" s="2">
        <v>45680.458333333336</v>
      </c>
      <c r="D1364" t="s">
        <v>245</v>
      </c>
      <c r="E1364">
        <v>1</v>
      </c>
      <c r="F1364" t="s">
        <v>242</v>
      </c>
      <c r="G1364" t="str">
        <f t="shared" si="171"/>
        <v>Gobiomorphus cotidianus</v>
      </c>
      <c r="H1364" t="str">
        <f t="shared" si="172"/>
        <v>Common_bully</v>
      </c>
      <c r="I1364" t="str">
        <f t="shared" si="173"/>
        <v>Toitoi</v>
      </c>
      <c r="J1364" t="str">
        <f t="shared" si="174"/>
        <v>Native</v>
      </c>
      <c r="K1364" t="str">
        <f t="shared" si="175"/>
        <v>No</v>
      </c>
      <c r="O1364">
        <v>1</v>
      </c>
      <c r="T1364" t="str">
        <f t="shared" si="176"/>
        <v/>
      </c>
    </row>
    <row r="1365" spans="1:20" x14ac:dyDescent="0.55000000000000004">
      <c r="A1365">
        <v>117</v>
      </c>
      <c r="B1365" t="str">
        <f t="shared" si="177"/>
        <v>117_1</v>
      </c>
      <c r="C1365" s="2">
        <v>45680.458333333336</v>
      </c>
      <c r="D1365" t="s">
        <v>245</v>
      </c>
      <c r="E1365">
        <v>1</v>
      </c>
      <c r="F1365" t="s">
        <v>222</v>
      </c>
      <c r="G1365" t="str">
        <f t="shared" si="171"/>
        <v>Paranephrops planifrons</v>
      </c>
      <c r="H1365" t="str">
        <f t="shared" si="172"/>
        <v>Freshwater_crayfish</v>
      </c>
      <c r="I1365" t="str">
        <f t="shared" si="173"/>
        <v>Kōura</v>
      </c>
      <c r="J1365" t="str">
        <f t="shared" si="174"/>
        <v>Native</v>
      </c>
      <c r="K1365" t="str">
        <f t="shared" si="175"/>
        <v>Yes</v>
      </c>
      <c r="L1365" t="s">
        <v>223</v>
      </c>
      <c r="M1365">
        <v>25.85</v>
      </c>
      <c r="N1365">
        <v>11</v>
      </c>
      <c r="O1365">
        <v>1</v>
      </c>
      <c r="T1365" t="str">
        <f t="shared" si="176"/>
        <v/>
      </c>
    </row>
    <row r="1366" spans="1:20" x14ac:dyDescent="0.55000000000000004">
      <c r="A1366">
        <v>117</v>
      </c>
      <c r="B1366" t="str">
        <f t="shared" si="177"/>
        <v>117_1</v>
      </c>
      <c r="C1366" s="2">
        <v>45680.458333333336</v>
      </c>
      <c r="D1366" t="s">
        <v>245</v>
      </c>
      <c r="E1366">
        <v>1</v>
      </c>
      <c r="F1366" t="s">
        <v>222</v>
      </c>
      <c r="G1366" t="str">
        <f t="shared" si="171"/>
        <v>Paranephrops planifrons</v>
      </c>
      <c r="H1366" t="str">
        <f t="shared" si="172"/>
        <v>Freshwater_crayfish</v>
      </c>
      <c r="I1366" t="str">
        <f t="shared" si="173"/>
        <v>Kōura</v>
      </c>
      <c r="J1366" t="str">
        <f t="shared" si="174"/>
        <v>Native</v>
      </c>
      <c r="K1366" t="str">
        <f t="shared" si="175"/>
        <v>Yes</v>
      </c>
      <c r="L1366" t="s">
        <v>223</v>
      </c>
      <c r="M1366">
        <v>25.95</v>
      </c>
      <c r="N1366">
        <v>10</v>
      </c>
      <c r="O1366">
        <v>1</v>
      </c>
      <c r="T1366" t="str">
        <f t="shared" si="176"/>
        <v/>
      </c>
    </row>
    <row r="1367" spans="1:20" x14ac:dyDescent="0.55000000000000004">
      <c r="A1367">
        <v>117</v>
      </c>
      <c r="B1367" t="str">
        <f t="shared" si="177"/>
        <v>117_1</v>
      </c>
      <c r="C1367" s="2">
        <v>45680.458333333336</v>
      </c>
      <c r="D1367" t="s">
        <v>245</v>
      </c>
      <c r="E1367">
        <v>1</v>
      </c>
      <c r="F1367" t="s">
        <v>222</v>
      </c>
      <c r="G1367" t="str">
        <f t="shared" si="171"/>
        <v>Paranephrops planifrons</v>
      </c>
      <c r="H1367" t="str">
        <f t="shared" si="172"/>
        <v>Freshwater_crayfish</v>
      </c>
      <c r="I1367" t="str">
        <f t="shared" si="173"/>
        <v>Kōura</v>
      </c>
      <c r="J1367" t="str">
        <f t="shared" si="174"/>
        <v>Native</v>
      </c>
      <c r="K1367" t="str">
        <f t="shared" si="175"/>
        <v>Yes</v>
      </c>
      <c r="L1367" t="s">
        <v>223</v>
      </c>
      <c r="M1367">
        <v>25.96</v>
      </c>
      <c r="N1367">
        <v>11</v>
      </c>
      <c r="O1367">
        <v>1</v>
      </c>
      <c r="T1367" t="str">
        <f t="shared" si="176"/>
        <v/>
      </c>
    </row>
    <row r="1368" spans="1:20" x14ac:dyDescent="0.55000000000000004">
      <c r="A1368">
        <v>117</v>
      </c>
      <c r="B1368" t="str">
        <f t="shared" si="177"/>
        <v>117_1</v>
      </c>
      <c r="C1368" s="2">
        <v>45680.458333333336</v>
      </c>
      <c r="D1368" t="s">
        <v>221</v>
      </c>
      <c r="E1368">
        <v>2</v>
      </c>
      <c r="F1368" t="s">
        <v>222</v>
      </c>
      <c r="G1368" t="str">
        <f t="shared" si="171"/>
        <v>Paranephrops planifrons</v>
      </c>
      <c r="H1368" t="str">
        <f t="shared" si="172"/>
        <v>Freshwater_crayfish</v>
      </c>
      <c r="I1368" t="str">
        <f t="shared" si="173"/>
        <v>Kōura</v>
      </c>
      <c r="J1368" t="str">
        <f t="shared" si="174"/>
        <v>Native</v>
      </c>
      <c r="K1368" t="str">
        <f t="shared" si="175"/>
        <v>Yes</v>
      </c>
      <c r="L1368" t="s">
        <v>228</v>
      </c>
      <c r="M1368">
        <v>26.39</v>
      </c>
      <c r="N1368">
        <v>15</v>
      </c>
      <c r="O1368">
        <v>1</v>
      </c>
      <c r="T1368" t="str">
        <f t="shared" si="176"/>
        <v/>
      </c>
    </row>
    <row r="1369" spans="1:20" x14ac:dyDescent="0.55000000000000004">
      <c r="A1369">
        <v>117</v>
      </c>
      <c r="B1369" t="str">
        <f t="shared" si="177"/>
        <v>117_1</v>
      </c>
      <c r="C1369" s="2">
        <v>45680.458333333336</v>
      </c>
      <c r="D1369" t="s">
        <v>221</v>
      </c>
      <c r="E1369">
        <v>2</v>
      </c>
      <c r="F1369" t="s">
        <v>222</v>
      </c>
      <c r="G1369" t="str">
        <f t="shared" si="171"/>
        <v>Paranephrops planifrons</v>
      </c>
      <c r="H1369" t="str">
        <f t="shared" si="172"/>
        <v>Freshwater_crayfish</v>
      </c>
      <c r="I1369" t="str">
        <f t="shared" si="173"/>
        <v>Kōura</v>
      </c>
      <c r="J1369" t="str">
        <f t="shared" si="174"/>
        <v>Native</v>
      </c>
      <c r="K1369" t="str">
        <f t="shared" si="175"/>
        <v>Yes</v>
      </c>
      <c r="L1369" t="s">
        <v>228</v>
      </c>
      <c r="M1369">
        <v>26.83</v>
      </c>
      <c r="N1369">
        <v>15</v>
      </c>
      <c r="O1369">
        <v>1</v>
      </c>
      <c r="T1369" t="str">
        <f t="shared" si="176"/>
        <v/>
      </c>
    </row>
    <row r="1370" spans="1:20" x14ac:dyDescent="0.55000000000000004">
      <c r="A1370">
        <v>117</v>
      </c>
      <c r="B1370" t="str">
        <f t="shared" si="177"/>
        <v>117_1</v>
      </c>
      <c r="C1370" s="2">
        <v>45680.458333333336</v>
      </c>
      <c r="D1370" t="s">
        <v>245</v>
      </c>
      <c r="E1370">
        <v>1</v>
      </c>
      <c r="F1370" t="s">
        <v>222</v>
      </c>
      <c r="G1370" t="str">
        <f t="shared" si="171"/>
        <v>Paranephrops planifrons</v>
      </c>
      <c r="H1370" t="str">
        <f t="shared" si="172"/>
        <v>Freshwater_crayfish</v>
      </c>
      <c r="I1370" t="str">
        <f t="shared" si="173"/>
        <v>Kōura</v>
      </c>
      <c r="J1370" t="str">
        <f t="shared" si="174"/>
        <v>Native</v>
      </c>
      <c r="K1370" t="str">
        <f t="shared" si="175"/>
        <v>Yes</v>
      </c>
      <c r="L1370" t="s">
        <v>228</v>
      </c>
      <c r="M1370">
        <v>27.31</v>
      </c>
      <c r="N1370">
        <v>14</v>
      </c>
      <c r="O1370">
        <v>1</v>
      </c>
      <c r="T1370" t="str">
        <f t="shared" si="176"/>
        <v/>
      </c>
    </row>
    <row r="1371" spans="1:20" x14ac:dyDescent="0.55000000000000004">
      <c r="A1371">
        <v>117</v>
      </c>
      <c r="B1371" t="str">
        <f t="shared" si="177"/>
        <v>117_1</v>
      </c>
      <c r="C1371" s="2">
        <v>45680.458333333336</v>
      </c>
      <c r="D1371" t="s">
        <v>221</v>
      </c>
      <c r="E1371">
        <v>2</v>
      </c>
      <c r="F1371" t="s">
        <v>222</v>
      </c>
      <c r="G1371" t="str">
        <f t="shared" si="171"/>
        <v>Paranephrops planifrons</v>
      </c>
      <c r="H1371" t="str">
        <f t="shared" si="172"/>
        <v>Freshwater_crayfish</v>
      </c>
      <c r="I1371" t="str">
        <f t="shared" si="173"/>
        <v>Kōura</v>
      </c>
      <c r="J1371" t="str">
        <f t="shared" si="174"/>
        <v>Native</v>
      </c>
      <c r="K1371" t="str">
        <f t="shared" si="175"/>
        <v>Yes</v>
      </c>
      <c r="L1371" t="s">
        <v>223</v>
      </c>
      <c r="M1371">
        <v>27.39</v>
      </c>
      <c r="N1371">
        <v>16</v>
      </c>
      <c r="O1371">
        <v>1</v>
      </c>
      <c r="T1371" t="str">
        <f t="shared" si="176"/>
        <v/>
      </c>
    </row>
    <row r="1372" spans="1:20" x14ac:dyDescent="0.55000000000000004">
      <c r="A1372">
        <v>117</v>
      </c>
      <c r="B1372" t="str">
        <f t="shared" si="177"/>
        <v>117_1</v>
      </c>
      <c r="C1372" s="2">
        <v>45680.458333333336</v>
      </c>
      <c r="D1372" t="s">
        <v>221</v>
      </c>
      <c r="E1372">
        <v>2</v>
      </c>
      <c r="F1372" t="s">
        <v>222</v>
      </c>
      <c r="G1372" t="str">
        <f t="shared" si="171"/>
        <v>Paranephrops planifrons</v>
      </c>
      <c r="H1372" t="str">
        <f t="shared" si="172"/>
        <v>Freshwater_crayfish</v>
      </c>
      <c r="I1372" t="str">
        <f t="shared" si="173"/>
        <v>Kōura</v>
      </c>
      <c r="J1372" t="str">
        <f t="shared" si="174"/>
        <v>Native</v>
      </c>
      <c r="K1372" t="str">
        <f t="shared" si="175"/>
        <v>Yes</v>
      </c>
      <c r="L1372" t="s">
        <v>228</v>
      </c>
      <c r="M1372">
        <v>27.55</v>
      </c>
      <c r="N1372">
        <v>16</v>
      </c>
      <c r="O1372">
        <v>1</v>
      </c>
      <c r="T1372" t="str">
        <f t="shared" si="176"/>
        <v/>
      </c>
    </row>
    <row r="1373" spans="1:20" x14ac:dyDescent="0.55000000000000004">
      <c r="A1373">
        <v>117</v>
      </c>
      <c r="B1373" t="str">
        <f t="shared" si="177"/>
        <v>117_1</v>
      </c>
      <c r="C1373" s="2">
        <v>45680.458333333336</v>
      </c>
      <c r="D1373" t="s">
        <v>245</v>
      </c>
      <c r="E1373">
        <v>1</v>
      </c>
      <c r="F1373" t="s">
        <v>222</v>
      </c>
      <c r="G1373" t="str">
        <f t="shared" si="171"/>
        <v>Paranephrops planifrons</v>
      </c>
      <c r="H1373" t="str">
        <f t="shared" si="172"/>
        <v>Freshwater_crayfish</v>
      </c>
      <c r="I1373" t="str">
        <f t="shared" si="173"/>
        <v>Kōura</v>
      </c>
      <c r="J1373" t="str">
        <f t="shared" si="174"/>
        <v>Native</v>
      </c>
      <c r="K1373" t="str">
        <f t="shared" si="175"/>
        <v>Yes</v>
      </c>
      <c r="L1373" t="s">
        <v>223</v>
      </c>
      <c r="M1373">
        <v>27.65</v>
      </c>
      <c r="N1373">
        <v>10</v>
      </c>
      <c r="O1373">
        <v>1</v>
      </c>
      <c r="T1373" t="str">
        <f t="shared" si="176"/>
        <v/>
      </c>
    </row>
    <row r="1374" spans="1:20" x14ac:dyDescent="0.55000000000000004">
      <c r="A1374">
        <v>117</v>
      </c>
      <c r="B1374" t="str">
        <f t="shared" si="177"/>
        <v>117_1</v>
      </c>
      <c r="C1374" s="2">
        <v>45680.458333333336</v>
      </c>
      <c r="D1374" t="s">
        <v>221</v>
      </c>
      <c r="E1374">
        <v>2</v>
      </c>
      <c r="F1374" t="s">
        <v>222</v>
      </c>
      <c r="G1374" t="str">
        <f t="shared" si="171"/>
        <v>Paranephrops planifrons</v>
      </c>
      <c r="H1374" t="str">
        <f t="shared" si="172"/>
        <v>Freshwater_crayfish</v>
      </c>
      <c r="I1374" t="str">
        <f t="shared" si="173"/>
        <v>Kōura</v>
      </c>
      <c r="J1374" t="str">
        <f t="shared" si="174"/>
        <v>Native</v>
      </c>
      <c r="K1374" t="str">
        <f t="shared" si="175"/>
        <v>Yes</v>
      </c>
      <c r="L1374" t="s">
        <v>223</v>
      </c>
      <c r="M1374">
        <v>27.66</v>
      </c>
      <c r="N1374">
        <v>14</v>
      </c>
      <c r="O1374">
        <v>1</v>
      </c>
      <c r="T1374" t="str">
        <f t="shared" si="176"/>
        <v/>
      </c>
    </row>
    <row r="1375" spans="1:20" x14ac:dyDescent="0.55000000000000004">
      <c r="A1375">
        <v>117</v>
      </c>
      <c r="B1375" t="str">
        <f t="shared" si="177"/>
        <v>117_1</v>
      </c>
      <c r="C1375" s="2">
        <v>45680.458333333336</v>
      </c>
      <c r="D1375" t="s">
        <v>221</v>
      </c>
      <c r="E1375">
        <v>2</v>
      </c>
      <c r="F1375" t="s">
        <v>222</v>
      </c>
      <c r="G1375" t="str">
        <f t="shared" si="171"/>
        <v>Paranephrops planifrons</v>
      </c>
      <c r="H1375" t="str">
        <f t="shared" si="172"/>
        <v>Freshwater_crayfish</v>
      </c>
      <c r="I1375" t="str">
        <f t="shared" si="173"/>
        <v>Kōura</v>
      </c>
      <c r="J1375" t="str">
        <f t="shared" si="174"/>
        <v>Native</v>
      </c>
      <c r="K1375" t="str">
        <f t="shared" si="175"/>
        <v>Yes</v>
      </c>
      <c r="L1375" t="s">
        <v>223</v>
      </c>
      <c r="M1375">
        <v>27.96</v>
      </c>
      <c r="N1375">
        <v>16</v>
      </c>
      <c r="O1375">
        <v>1</v>
      </c>
      <c r="T1375" t="str">
        <f t="shared" si="176"/>
        <v/>
      </c>
    </row>
    <row r="1376" spans="1:20" x14ac:dyDescent="0.55000000000000004">
      <c r="A1376">
        <v>117</v>
      </c>
      <c r="B1376" t="str">
        <f t="shared" si="177"/>
        <v>117_1</v>
      </c>
      <c r="C1376" s="2">
        <v>45680.458333333336</v>
      </c>
      <c r="D1376" t="s">
        <v>221</v>
      </c>
      <c r="E1376">
        <v>2</v>
      </c>
      <c r="F1376" t="s">
        <v>222</v>
      </c>
      <c r="G1376" t="str">
        <f t="shared" si="171"/>
        <v>Paranephrops planifrons</v>
      </c>
      <c r="H1376" t="str">
        <f t="shared" si="172"/>
        <v>Freshwater_crayfish</v>
      </c>
      <c r="I1376" t="str">
        <f t="shared" si="173"/>
        <v>Kōura</v>
      </c>
      <c r="J1376" t="str">
        <f t="shared" si="174"/>
        <v>Native</v>
      </c>
      <c r="K1376" t="str">
        <f t="shared" si="175"/>
        <v>Yes</v>
      </c>
      <c r="L1376" t="s">
        <v>228</v>
      </c>
      <c r="M1376">
        <v>29.18</v>
      </c>
      <c r="N1376">
        <v>21</v>
      </c>
      <c r="O1376">
        <v>1</v>
      </c>
      <c r="T1376" t="str">
        <f t="shared" si="176"/>
        <v/>
      </c>
    </row>
    <row r="1377" spans="1:21" x14ac:dyDescent="0.55000000000000004">
      <c r="A1377">
        <v>117</v>
      </c>
      <c r="B1377" t="str">
        <f t="shared" si="177"/>
        <v>117_1</v>
      </c>
      <c r="C1377" s="2">
        <v>45680.458333333336</v>
      </c>
      <c r="D1377" t="s">
        <v>245</v>
      </c>
      <c r="E1377">
        <v>1</v>
      </c>
      <c r="F1377" t="s">
        <v>222</v>
      </c>
      <c r="G1377" t="str">
        <f t="shared" si="171"/>
        <v>Paranephrops planifrons</v>
      </c>
      <c r="H1377" t="str">
        <f t="shared" si="172"/>
        <v>Freshwater_crayfish</v>
      </c>
      <c r="I1377" t="str">
        <f t="shared" si="173"/>
        <v>Kōura</v>
      </c>
      <c r="J1377" t="str">
        <f t="shared" si="174"/>
        <v>Native</v>
      </c>
      <c r="K1377" t="str">
        <f t="shared" si="175"/>
        <v>Yes</v>
      </c>
      <c r="L1377" t="s">
        <v>223</v>
      </c>
      <c r="M1377">
        <v>30.68</v>
      </c>
      <c r="N1377">
        <v>17</v>
      </c>
      <c r="O1377">
        <v>1</v>
      </c>
      <c r="T1377" t="str">
        <f t="shared" si="176"/>
        <v/>
      </c>
    </row>
    <row r="1378" spans="1:21" x14ac:dyDescent="0.55000000000000004">
      <c r="A1378">
        <v>117</v>
      </c>
      <c r="B1378" t="str">
        <f t="shared" si="177"/>
        <v>117_1</v>
      </c>
      <c r="C1378" s="2">
        <v>45680.458333333336</v>
      </c>
      <c r="D1378" t="s">
        <v>221</v>
      </c>
      <c r="E1378">
        <v>2</v>
      </c>
      <c r="F1378" t="s">
        <v>222</v>
      </c>
      <c r="G1378" t="str">
        <f t="shared" si="171"/>
        <v>Paranephrops planifrons</v>
      </c>
      <c r="H1378" t="str">
        <f t="shared" si="172"/>
        <v>Freshwater_crayfish</v>
      </c>
      <c r="I1378" t="str">
        <f t="shared" si="173"/>
        <v>Kōura</v>
      </c>
      <c r="J1378" t="str">
        <f t="shared" si="174"/>
        <v>Native</v>
      </c>
      <c r="K1378" t="str">
        <f t="shared" si="175"/>
        <v>Yes</v>
      </c>
      <c r="L1378" t="s">
        <v>223</v>
      </c>
      <c r="M1378">
        <v>30.92</v>
      </c>
      <c r="N1378">
        <v>22</v>
      </c>
      <c r="O1378">
        <v>1</v>
      </c>
      <c r="T1378" t="str">
        <f t="shared" si="176"/>
        <v/>
      </c>
    </row>
    <row r="1379" spans="1:21" x14ac:dyDescent="0.55000000000000004">
      <c r="A1379">
        <v>117</v>
      </c>
      <c r="B1379" t="str">
        <f t="shared" si="177"/>
        <v>117_1</v>
      </c>
      <c r="C1379" s="2">
        <v>45680.458333333336</v>
      </c>
      <c r="D1379" t="s">
        <v>221</v>
      </c>
      <c r="E1379">
        <v>2</v>
      </c>
      <c r="F1379" t="s">
        <v>222</v>
      </c>
      <c r="G1379" t="str">
        <f t="shared" si="171"/>
        <v>Paranephrops planifrons</v>
      </c>
      <c r="H1379" t="str">
        <f t="shared" si="172"/>
        <v>Freshwater_crayfish</v>
      </c>
      <c r="I1379" t="str">
        <f t="shared" si="173"/>
        <v>Kōura</v>
      </c>
      <c r="J1379" t="str">
        <f t="shared" si="174"/>
        <v>Native</v>
      </c>
      <c r="K1379" t="str">
        <f t="shared" si="175"/>
        <v>Yes</v>
      </c>
      <c r="L1379" t="s">
        <v>223</v>
      </c>
      <c r="M1379">
        <v>31.36</v>
      </c>
      <c r="N1379">
        <v>22</v>
      </c>
      <c r="O1379">
        <v>1</v>
      </c>
      <c r="T1379" t="str">
        <f t="shared" si="176"/>
        <v/>
      </c>
    </row>
    <row r="1380" spans="1:21" x14ac:dyDescent="0.55000000000000004">
      <c r="A1380">
        <v>117</v>
      </c>
      <c r="B1380" t="str">
        <f t="shared" si="177"/>
        <v>117_1</v>
      </c>
      <c r="C1380" s="2">
        <v>45680.458333333336</v>
      </c>
      <c r="D1380" t="s">
        <v>245</v>
      </c>
      <c r="E1380">
        <v>1</v>
      </c>
      <c r="F1380" t="s">
        <v>222</v>
      </c>
      <c r="G1380" t="str">
        <f t="shared" si="171"/>
        <v>Paranephrops planifrons</v>
      </c>
      <c r="H1380" t="str">
        <f t="shared" si="172"/>
        <v>Freshwater_crayfish</v>
      </c>
      <c r="I1380" t="str">
        <f t="shared" si="173"/>
        <v>Kōura</v>
      </c>
      <c r="J1380" t="str">
        <f t="shared" si="174"/>
        <v>Native</v>
      </c>
      <c r="K1380" t="str">
        <f t="shared" si="175"/>
        <v>Yes</v>
      </c>
      <c r="L1380" t="s">
        <v>223</v>
      </c>
      <c r="M1380">
        <v>31.88</v>
      </c>
      <c r="N1380">
        <v>22</v>
      </c>
      <c r="O1380">
        <v>1</v>
      </c>
      <c r="T1380" t="str">
        <f t="shared" si="176"/>
        <v/>
      </c>
    </row>
    <row r="1381" spans="1:21" x14ac:dyDescent="0.55000000000000004">
      <c r="A1381">
        <v>117</v>
      </c>
      <c r="B1381" t="str">
        <f t="shared" si="177"/>
        <v>117_1</v>
      </c>
      <c r="C1381" s="2">
        <v>45680.458333333336</v>
      </c>
      <c r="D1381" t="s">
        <v>245</v>
      </c>
      <c r="E1381">
        <v>1</v>
      </c>
      <c r="F1381" t="s">
        <v>222</v>
      </c>
      <c r="G1381" t="str">
        <f t="shared" si="171"/>
        <v>Paranephrops planifrons</v>
      </c>
      <c r="H1381" t="str">
        <f t="shared" si="172"/>
        <v>Freshwater_crayfish</v>
      </c>
      <c r="I1381" t="str">
        <f t="shared" si="173"/>
        <v>Kōura</v>
      </c>
      <c r="J1381" t="str">
        <f t="shared" si="174"/>
        <v>Native</v>
      </c>
      <c r="K1381" t="str">
        <f t="shared" si="175"/>
        <v>Yes</v>
      </c>
      <c r="L1381" t="s">
        <v>228</v>
      </c>
      <c r="M1381">
        <v>32.65</v>
      </c>
      <c r="N1381">
        <v>28</v>
      </c>
      <c r="O1381">
        <v>1</v>
      </c>
      <c r="P1381">
        <v>1</v>
      </c>
      <c r="T1381" t="str">
        <f t="shared" si="176"/>
        <v/>
      </c>
    </row>
    <row r="1382" spans="1:21" x14ac:dyDescent="0.55000000000000004">
      <c r="A1382">
        <v>117</v>
      </c>
      <c r="B1382" t="str">
        <f t="shared" si="177"/>
        <v>117_1</v>
      </c>
      <c r="C1382" s="2">
        <v>45680.458333333336</v>
      </c>
      <c r="D1382" t="s">
        <v>245</v>
      </c>
      <c r="E1382">
        <v>1</v>
      </c>
      <c r="F1382" t="s">
        <v>222</v>
      </c>
      <c r="G1382" t="str">
        <f t="shared" si="171"/>
        <v>Paranephrops planifrons</v>
      </c>
      <c r="H1382" t="str">
        <f t="shared" si="172"/>
        <v>Freshwater_crayfish</v>
      </c>
      <c r="I1382" t="str">
        <f t="shared" si="173"/>
        <v>Kōura</v>
      </c>
      <c r="J1382" t="str">
        <f t="shared" si="174"/>
        <v>Native</v>
      </c>
      <c r="K1382" t="str">
        <f t="shared" si="175"/>
        <v>Yes</v>
      </c>
      <c r="L1382" t="s">
        <v>223</v>
      </c>
      <c r="M1382">
        <v>34.979999999999997</v>
      </c>
      <c r="N1382">
        <v>27</v>
      </c>
      <c r="O1382">
        <v>1</v>
      </c>
      <c r="T1382" t="str">
        <f t="shared" si="176"/>
        <v/>
      </c>
    </row>
    <row r="1383" spans="1:21" x14ac:dyDescent="0.55000000000000004">
      <c r="A1383">
        <v>117</v>
      </c>
      <c r="B1383" t="str">
        <f t="shared" si="177"/>
        <v>117_1</v>
      </c>
      <c r="C1383" s="2">
        <v>45680.458333333336</v>
      </c>
      <c r="D1383" t="s">
        <v>245</v>
      </c>
      <c r="E1383">
        <v>1</v>
      </c>
      <c r="F1383" t="s">
        <v>222</v>
      </c>
      <c r="G1383" t="str">
        <f t="shared" si="171"/>
        <v>Paranephrops planifrons</v>
      </c>
      <c r="H1383" t="str">
        <f t="shared" si="172"/>
        <v>Freshwater_crayfish</v>
      </c>
      <c r="I1383" t="str">
        <f t="shared" si="173"/>
        <v>Kōura</v>
      </c>
      <c r="J1383" t="str">
        <f t="shared" si="174"/>
        <v>Native</v>
      </c>
      <c r="K1383" t="str">
        <f t="shared" si="175"/>
        <v>Yes</v>
      </c>
      <c r="L1383" t="s">
        <v>223</v>
      </c>
      <c r="M1383">
        <v>41.01</v>
      </c>
      <c r="N1383">
        <v>40</v>
      </c>
      <c r="O1383">
        <v>1</v>
      </c>
      <c r="T1383" t="str">
        <f t="shared" si="176"/>
        <v/>
      </c>
    </row>
    <row r="1384" spans="1:21" x14ac:dyDescent="0.55000000000000004">
      <c r="A1384">
        <v>117</v>
      </c>
      <c r="B1384" t="str">
        <f t="shared" si="177"/>
        <v>117_1</v>
      </c>
      <c r="C1384" s="2">
        <v>45680.458333333336</v>
      </c>
      <c r="D1384" t="s">
        <v>221</v>
      </c>
      <c r="E1384">
        <v>2</v>
      </c>
      <c r="F1384" t="s">
        <v>222</v>
      </c>
      <c r="G1384" t="str">
        <f t="shared" si="171"/>
        <v>Paranephrops planifrons</v>
      </c>
      <c r="H1384" t="str">
        <f t="shared" si="172"/>
        <v>Freshwater_crayfish</v>
      </c>
      <c r="I1384" t="str">
        <f t="shared" si="173"/>
        <v>Kōura</v>
      </c>
      <c r="J1384" t="str">
        <f t="shared" si="174"/>
        <v>Native</v>
      </c>
      <c r="K1384" t="str">
        <f t="shared" si="175"/>
        <v>Yes</v>
      </c>
      <c r="L1384" t="s">
        <v>223</v>
      </c>
      <c r="M1384">
        <v>45.73</v>
      </c>
      <c r="N1384">
        <v>72</v>
      </c>
      <c r="O1384">
        <v>1</v>
      </c>
      <c r="P1384">
        <v>1</v>
      </c>
      <c r="T1384" t="str">
        <f t="shared" si="176"/>
        <v/>
      </c>
    </row>
    <row r="1385" spans="1:21" x14ac:dyDescent="0.55000000000000004">
      <c r="A1385">
        <v>117</v>
      </c>
      <c r="B1385" t="str">
        <f t="shared" ref="B1385:B1391" si="178">A1385 &amp; "_0"</f>
        <v>117_0</v>
      </c>
      <c r="C1385" s="2">
        <v>45597.520833333336</v>
      </c>
      <c r="D1385" t="s">
        <v>245</v>
      </c>
      <c r="E1385">
        <v>2</v>
      </c>
      <c r="F1385" t="s">
        <v>222</v>
      </c>
      <c r="G1385" t="str">
        <f t="shared" si="171"/>
        <v>Paranephrops planifrons</v>
      </c>
      <c r="H1385" t="str">
        <f t="shared" si="172"/>
        <v>Freshwater_crayfish</v>
      </c>
      <c r="I1385" t="str">
        <f t="shared" si="173"/>
        <v>Kōura</v>
      </c>
      <c r="J1385" t="str">
        <f t="shared" si="174"/>
        <v>Native</v>
      </c>
      <c r="K1385" t="str">
        <f t="shared" si="175"/>
        <v>Yes</v>
      </c>
      <c r="L1385" t="s">
        <v>223</v>
      </c>
      <c r="M1385">
        <v>17</v>
      </c>
      <c r="N1385">
        <v>3</v>
      </c>
      <c r="O1385">
        <v>1</v>
      </c>
      <c r="T1385" t="str">
        <f t="shared" si="176"/>
        <v/>
      </c>
    </row>
    <row r="1386" spans="1:21" x14ac:dyDescent="0.55000000000000004">
      <c r="A1386">
        <v>117</v>
      </c>
      <c r="B1386" t="str">
        <f t="shared" si="178"/>
        <v>117_0</v>
      </c>
      <c r="C1386" s="2">
        <v>45597.520833333336</v>
      </c>
      <c r="D1386" t="s">
        <v>221</v>
      </c>
      <c r="E1386">
        <v>2</v>
      </c>
      <c r="F1386" t="s">
        <v>222</v>
      </c>
      <c r="G1386" t="str">
        <f t="shared" si="171"/>
        <v>Paranephrops planifrons</v>
      </c>
      <c r="H1386" t="str">
        <f t="shared" si="172"/>
        <v>Freshwater_crayfish</v>
      </c>
      <c r="I1386" t="str">
        <f t="shared" si="173"/>
        <v>Kōura</v>
      </c>
      <c r="J1386" t="str">
        <f t="shared" si="174"/>
        <v>Native</v>
      </c>
      <c r="K1386" t="str">
        <f t="shared" si="175"/>
        <v>Yes</v>
      </c>
      <c r="L1386" t="s">
        <v>228</v>
      </c>
      <c r="M1386">
        <v>17</v>
      </c>
      <c r="N1386">
        <v>3</v>
      </c>
      <c r="O1386">
        <v>1</v>
      </c>
      <c r="T1386" t="str">
        <f t="shared" si="176"/>
        <v/>
      </c>
    </row>
    <row r="1387" spans="1:21" x14ac:dyDescent="0.55000000000000004">
      <c r="A1387">
        <v>106</v>
      </c>
      <c r="B1387" t="str">
        <f t="shared" si="178"/>
        <v>106_0</v>
      </c>
      <c r="C1387" s="2">
        <v>45603.4375</v>
      </c>
      <c r="D1387" t="s">
        <v>221</v>
      </c>
      <c r="E1387">
        <v>2</v>
      </c>
      <c r="F1387" t="s">
        <v>222</v>
      </c>
      <c r="G1387" t="str">
        <f t="shared" si="171"/>
        <v>Paranephrops planifrons</v>
      </c>
      <c r="H1387" t="str">
        <f t="shared" si="172"/>
        <v>Freshwater_crayfish</v>
      </c>
      <c r="I1387" t="str">
        <f t="shared" si="173"/>
        <v>Kōura</v>
      </c>
      <c r="J1387" t="str">
        <f t="shared" si="174"/>
        <v>Native</v>
      </c>
      <c r="K1387" t="str">
        <f t="shared" si="175"/>
        <v>Yes</v>
      </c>
      <c r="L1387" t="s">
        <v>228</v>
      </c>
      <c r="M1387">
        <v>17</v>
      </c>
      <c r="O1387">
        <v>1</v>
      </c>
      <c r="T1387" t="str">
        <f t="shared" si="176"/>
        <v/>
      </c>
    </row>
    <row r="1388" spans="1:21" x14ac:dyDescent="0.55000000000000004">
      <c r="A1388">
        <v>106</v>
      </c>
      <c r="B1388" t="str">
        <f t="shared" si="178"/>
        <v>106_0</v>
      </c>
      <c r="C1388" s="2">
        <v>45603.4375</v>
      </c>
      <c r="D1388" t="s">
        <v>221</v>
      </c>
      <c r="E1388">
        <v>2</v>
      </c>
      <c r="F1388" t="s">
        <v>222</v>
      </c>
      <c r="G1388" t="str">
        <f t="shared" si="171"/>
        <v>Paranephrops planifrons</v>
      </c>
      <c r="H1388" t="str">
        <f t="shared" si="172"/>
        <v>Freshwater_crayfish</v>
      </c>
      <c r="I1388" t="str">
        <f t="shared" si="173"/>
        <v>Kōura</v>
      </c>
      <c r="J1388" t="str">
        <f t="shared" si="174"/>
        <v>Native</v>
      </c>
      <c r="K1388" t="str">
        <f t="shared" si="175"/>
        <v>Yes</v>
      </c>
      <c r="L1388" t="s">
        <v>228</v>
      </c>
      <c r="M1388">
        <v>17</v>
      </c>
      <c r="O1388">
        <v>1</v>
      </c>
      <c r="T1388" t="str">
        <f t="shared" si="176"/>
        <v/>
      </c>
    </row>
    <row r="1389" spans="1:21" x14ac:dyDescent="0.55000000000000004">
      <c r="A1389">
        <v>98</v>
      </c>
      <c r="B1389" t="str">
        <f t="shared" si="178"/>
        <v>98_0</v>
      </c>
      <c r="C1389" s="2">
        <v>45603.5625</v>
      </c>
      <c r="D1389" t="s">
        <v>221</v>
      </c>
      <c r="E1389">
        <v>2</v>
      </c>
      <c r="F1389" t="s">
        <v>222</v>
      </c>
      <c r="G1389" t="str">
        <f t="shared" si="171"/>
        <v>Paranephrops planifrons</v>
      </c>
      <c r="H1389" t="str">
        <f t="shared" si="172"/>
        <v>Freshwater_crayfish</v>
      </c>
      <c r="I1389" t="str">
        <f t="shared" si="173"/>
        <v>Kōura</v>
      </c>
      <c r="J1389" t="str">
        <f t="shared" si="174"/>
        <v>Native</v>
      </c>
      <c r="K1389" t="str">
        <f t="shared" si="175"/>
        <v>Yes</v>
      </c>
      <c r="L1389" t="s">
        <v>228</v>
      </c>
      <c r="M1389">
        <v>16.97</v>
      </c>
      <c r="O1389">
        <v>1</v>
      </c>
      <c r="T1389" t="str">
        <f t="shared" si="176"/>
        <v/>
      </c>
    </row>
    <row r="1390" spans="1:21" x14ac:dyDescent="0.55000000000000004">
      <c r="A1390">
        <v>73</v>
      </c>
      <c r="B1390" t="str">
        <f t="shared" si="178"/>
        <v>73_0</v>
      </c>
      <c r="C1390" s="2">
        <v>45674.479166608799</v>
      </c>
      <c r="D1390" t="s">
        <v>221</v>
      </c>
      <c r="E1390">
        <v>2</v>
      </c>
      <c r="F1390" t="s">
        <v>222</v>
      </c>
      <c r="G1390" t="str">
        <f t="shared" si="171"/>
        <v>Paranephrops planifrons</v>
      </c>
      <c r="H1390" t="str">
        <f t="shared" si="172"/>
        <v>Freshwater_crayfish</v>
      </c>
      <c r="I1390" t="str">
        <f t="shared" si="173"/>
        <v>Kōura</v>
      </c>
      <c r="J1390" t="str">
        <f t="shared" si="174"/>
        <v>Native</v>
      </c>
      <c r="K1390" t="str">
        <f t="shared" si="175"/>
        <v>Yes</v>
      </c>
      <c r="L1390" t="s">
        <v>228</v>
      </c>
      <c r="M1390">
        <v>16.399999999999999</v>
      </c>
      <c r="N1390">
        <v>3</v>
      </c>
      <c r="O1390">
        <v>1</v>
      </c>
      <c r="T1390" t="str">
        <f t="shared" si="176"/>
        <v/>
      </c>
    </row>
    <row r="1391" spans="1:21" x14ac:dyDescent="0.55000000000000004">
      <c r="A1391">
        <v>102</v>
      </c>
      <c r="B1391" t="str">
        <f t="shared" si="178"/>
        <v>102_0</v>
      </c>
      <c r="C1391" s="2">
        <v>45603.477083275466</v>
      </c>
      <c r="D1391" t="s">
        <v>221</v>
      </c>
      <c r="E1391">
        <v>2</v>
      </c>
      <c r="F1391" t="s">
        <v>222</v>
      </c>
      <c r="G1391" t="str">
        <f t="shared" si="171"/>
        <v>Paranephrops planifrons</v>
      </c>
      <c r="H1391" t="str">
        <f t="shared" si="172"/>
        <v>Freshwater_crayfish</v>
      </c>
      <c r="I1391" t="str">
        <f t="shared" si="173"/>
        <v>Kōura</v>
      </c>
      <c r="J1391" t="str">
        <f t="shared" si="174"/>
        <v>Native</v>
      </c>
      <c r="K1391" t="str">
        <f t="shared" si="175"/>
        <v>Yes</v>
      </c>
      <c r="L1391" t="s">
        <v>223</v>
      </c>
      <c r="M1391">
        <v>16</v>
      </c>
      <c r="O1391">
        <v>1</v>
      </c>
      <c r="T1391" t="str">
        <f t="shared" si="176"/>
        <v/>
      </c>
      <c r="U1391" t="s">
        <v>256</v>
      </c>
    </row>
    <row r="1392" spans="1:21" x14ac:dyDescent="0.55000000000000004">
      <c r="A1392">
        <v>119</v>
      </c>
      <c r="B1392" t="str">
        <f t="shared" ref="B1392:B1405" si="179">A1392 &amp; "_1"</f>
        <v>119_1</v>
      </c>
      <c r="C1392" s="2">
        <v>45680.458333333336</v>
      </c>
      <c r="D1392" t="s">
        <v>245</v>
      </c>
      <c r="E1392">
        <v>1</v>
      </c>
      <c r="F1392" t="s">
        <v>222</v>
      </c>
      <c r="G1392" t="str">
        <f t="shared" si="171"/>
        <v>Paranephrops planifrons</v>
      </c>
      <c r="H1392" t="str">
        <f t="shared" si="172"/>
        <v>Freshwater_crayfish</v>
      </c>
      <c r="I1392" t="str">
        <f t="shared" si="173"/>
        <v>Kōura</v>
      </c>
      <c r="J1392" t="str">
        <f t="shared" si="174"/>
        <v>Native</v>
      </c>
      <c r="K1392" t="str">
        <f t="shared" si="175"/>
        <v>Yes</v>
      </c>
      <c r="L1392" t="s">
        <v>228</v>
      </c>
      <c r="M1392">
        <v>28.33</v>
      </c>
      <c r="N1392">
        <v>21</v>
      </c>
      <c r="O1392">
        <v>1</v>
      </c>
      <c r="T1392" t="str">
        <f t="shared" si="176"/>
        <v/>
      </c>
    </row>
    <row r="1393" spans="1:20" x14ac:dyDescent="0.55000000000000004">
      <c r="A1393">
        <v>117</v>
      </c>
      <c r="B1393" t="str">
        <f t="shared" si="179"/>
        <v>117_1</v>
      </c>
      <c r="C1393" s="2">
        <v>45680.458333333336</v>
      </c>
      <c r="D1393" t="s">
        <v>221</v>
      </c>
      <c r="E1393">
        <v>2</v>
      </c>
      <c r="F1393" t="s">
        <v>243</v>
      </c>
      <c r="G1393" t="str">
        <f t="shared" si="171"/>
        <v>Retropinna retropinna</v>
      </c>
      <c r="H1393" t="str">
        <f t="shared" si="172"/>
        <v>Common_smelt</v>
      </c>
      <c r="I1393" t="str">
        <f t="shared" si="173"/>
        <v>Common_smelt</v>
      </c>
      <c r="J1393" t="str">
        <f t="shared" si="174"/>
        <v>Native</v>
      </c>
      <c r="K1393" t="str">
        <f t="shared" si="175"/>
        <v>No</v>
      </c>
      <c r="N1393">
        <v>8</v>
      </c>
      <c r="O1393">
        <v>12</v>
      </c>
      <c r="T1393" t="str">
        <f t="shared" si="176"/>
        <v/>
      </c>
    </row>
    <row r="1394" spans="1:20" x14ac:dyDescent="0.55000000000000004">
      <c r="A1394">
        <v>117</v>
      </c>
      <c r="B1394" t="str">
        <f t="shared" si="179"/>
        <v>117_1</v>
      </c>
      <c r="C1394" s="2">
        <v>45680.458333333336</v>
      </c>
      <c r="D1394" t="s">
        <v>221</v>
      </c>
      <c r="E1394">
        <v>2</v>
      </c>
      <c r="F1394" t="s">
        <v>242</v>
      </c>
      <c r="G1394" t="str">
        <f t="shared" si="171"/>
        <v>Gobiomorphus cotidianus</v>
      </c>
      <c r="H1394" t="str">
        <f t="shared" si="172"/>
        <v>Common_bully</v>
      </c>
      <c r="I1394" t="str">
        <f t="shared" si="173"/>
        <v>Toitoi</v>
      </c>
      <c r="J1394" t="str">
        <f t="shared" si="174"/>
        <v>Native</v>
      </c>
      <c r="K1394" t="str">
        <f t="shared" si="175"/>
        <v>No</v>
      </c>
      <c r="N1394">
        <v>172</v>
      </c>
      <c r="O1394">
        <v>304</v>
      </c>
      <c r="S1394">
        <v>1</v>
      </c>
      <c r="T1394">
        <f t="shared" si="176"/>
        <v>236.58799999999999</v>
      </c>
    </row>
    <row r="1395" spans="1:20" x14ac:dyDescent="0.55000000000000004">
      <c r="A1395">
        <v>119</v>
      </c>
      <c r="B1395" t="str">
        <f t="shared" si="179"/>
        <v>119_1</v>
      </c>
      <c r="C1395" s="2">
        <v>45680.458333333336</v>
      </c>
      <c r="D1395" t="s">
        <v>245</v>
      </c>
      <c r="E1395">
        <v>1</v>
      </c>
      <c r="F1395" t="s">
        <v>222</v>
      </c>
      <c r="G1395" t="str">
        <f t="shared" si="171"/>
        <v>Paranephrops planifrons</v>
      </c>
      <c r="H1395" t="str">
        <f t="shared" si="172"/>
        <v>Freshwater_crayfish</v>
      </c>
      <c r="I1395" t="str">
        <f t="shared" si="173"/>
        <v>Kōura</v>
      </c>
      <c r="J1395" t="str">
        <f t="shared" si="174"/>
        <v>Native</v>
      </c>
      <c r="K1395" t="str">
        <f t="shared" si="175"/>
        <v>Yes</v>
      </c>
      <c r="L1395" t="s">
        <v>223</v>
      </c>
      <c r="M1395">
        <v>28.82</v>
      </c>
      <c r="N1395">
        <v>19</v>
      </c>
      <c r="O1395">
        <v>1</v>
      </c>
      <c r="T1395" t="str">
        <f t="shared" si="176"/>
        <v/>
      </c>
    </row>
    <row r="1396" spans="1:20" x14ac:dyDescent="0.55000000000000004">
      <c r="A1396">
        <v>119</v>
      </c>
      <c r="B1396" t="str">
        <f t="shared" si="179"/>
        <v>119_1</v>
      </c>
      <c r="C1396" s="2">
        <v>45680.458333333336</v>
      </c>
      <c r="D1396" t="s">
        <v>221</v>
      </c>
      <c r="E1396">
        <v>2</v>
      </c>
      <c r="F1396" t="s">
        <v>222</v>
      </c>
      <c r="G1396" t="str">
        <f t="shared" si="171"/>
        <v>Paranephrops planifrons</v>
      </c>
      <c r="H1396" t="str">
        <f t="shared" si="172"/>
        <v>Freshwater_crayfish</v>
      </c>
      <c r="I1396" t="str">
        <f t="shared" si="173"/>
        <v>Kōura</v>
      </c>
      <c r="J1396" t="str">
        <f t="shared" si="174"/>
        <v>Native</v>
      </c>
      <c r="K1396" t="str">
        <f t="shared" si="175"/>
        <v>Yes</v>
      </c>
      <c r="L1396" t="s">
        <v>223</v>
      </c>
      <c r="M1396">
        <v>30.82</v>
      </c>
      <c r="N1396">
        <v>23</v>
      </c>
      <c r="O1396">
        <v>1</v>
      </c>
      <c r="T1396" t="str">
        <f t="shared" si="176"/>
        <v/>
      </c>
    </row>
    <row r="1397" spans="1:20" x14ac:dyDescent="0.55000000000000004">
      <c r="A1397">
        <v>119</v>
      </c>
      <c r="B1397" t="str">
        <f t="shared" si="179"/>
        <v>119_1</v>
      </c>
      <c r="C1397" s="2">
        <v>45680.458333333336</v>
      </c>
      <c r="D1397" t="s">
        <v>245</v>
      </c>
      <c r="E1397">
        <v>1</v>
      </c>
      <c r="F1397" t="s">
        <v>222</v>
      </c>
      <c r="G1397" t="str">
        <f t="shared" si="171"/>
        <v>Paranephrops planifrons</v>
      </c>
      <c r="H1397" t="str">
        <f t="shared" si="172"/>
        <v>Freshwater_crayfish</v>
      </c>
      <c r="I1397" t="str">
        <f t="shared" si="173"/>
        <v>Kōura</v>
      </c>
      <c r="J1397" t="str">
        <f t="shared" si="174"/>
        <v>Native</v>
      </c>
      <c r="K1397" t="str">
        <f t="shared" si="175"/>
        <v>Yes</v>
      </c>
      <c r="L1397" t="s">
        <v>228</v>
      </c>
      <c r="M1397">
        <v>33.11</v>
      </c>
      <c r="N1397">
        <v>25</v>
      </c>
      <c r="O1397">
        <v>1</v>
      </c>
      <c r="T1397" t="str">
        <f t="shared" si="176"/>
        <v/>
      </c>
    </row>
    <row r="1398" spans="1:20" x14ac:dyDescent="0.55000000000000004">
      <c r="A1398">
        <v>119</v>
      </c>
      <c r="B1398" t="str">
        <f t="shared" si="179"/>
        <v>119_1</v>
      </c>
      <c r="C1398" s="2">
        <v>45680.458333333336</v>
      </c>
      <c r="D1398" t="s">
        <v>221</v>
      </c>
      <c r="E1398">
        <v>2</v>
      </c>
      <c r="F1398" t="s">
        <v>222</v>
      </c>
      <c r="G1398" t="str">
        <f t="shared" si="171"/>
        <v>Paranephrops planifrons</v>
      </c>
      <c r="H1398" t="str">
        <f t="shared" si="172"/>
        <v>Freshwater_crayfish</v>
      </c>
      <c r="I1398" t="str">
        <f t="shared" si="173"/>
        <v>Kōura</v>
      </c>
      <c r="J1398" t="str">
        <f t="shared" si="174"/>
        <v>Native</v>
      </c>
      <c r="K1398" t="str">
        <f t="shared" si="175"/>
        <v>Yes</v>
      </c>
      <c r="L1398" t="s">
        <v>223</v>
      </c>
      <c r="M1398">
        <v>36.520000000000003</v>
      </c>
      <c r="N1398">
        <v>31</v>
      </c>
      <c r="O1398">
        <v>1</v>
      </c>
      <c r="T1398" t="str">
        <f t="shared" si="176"/>
        <v/>
      </c>
    </row>
    <row r="1399" spans="1:20" x14ac:dyDescent="0.55000000000000004">
      <c r="A1399">
        <v>119</v>
      </c>
      <c r="B1399" t="str">
        <f t="shared" si="179"/>
        <v>119_1</v>
      </c>
      <c r="C1399" s="2">
        <v>45680.458333333336</v>
      </c>
      <c r="D1399" t="s">
        <v>245</v>
      </c>
      <c r="E1399">
        <v>1</v>
      </c>
      <c r="F1399" t="s">
        <v>242</v>
      </c>
      <c r="G1399" t="str">
        <f t="shared" si="171"/>
        <v>Gobiomorphus cotidianus</v>
      </c>
      <c r="H1399" t="str">
        <f t="shared" si="172"/>
        <v>Common_bully</v>
      </c>
      <c r="I1399" t="str">
        <f t="shared" si="173"/>
        <v>Toitoi</v>
      </c>
      <c r="J1399" t="str">
        <f t="shared" si="174"/>
        <v>Native</v>
      </c>
      <c r="K1399" t="str">
        <f t="shared" si="175"/>
        <v>No</v>
      </c>
      <c r="N1399">
        <f>137-117</f>
        <v>20</v>
      </c>
      <c r="O1399">
        <v>20</v>
      </c>
      <c r="T1399" t="str">
        <f t="shared" si="176"/>
        <v/>
      </c>
    </row>
    <row r="1400" spans="1:20" x14ac:dyDescent="0.55000000000000004">
      <c r="A1400">
        <v>119</v>
      </c>
      <c r="B1400" t="str">
        <f t="shared" si="179"/>
        <v>119_1</v>
      </c>
      <c r="C1400" s="2">
        <v>45680.458333333336</v>
      </c>
      <c r="D1400" t="s">
        <v>221</v>
      </c>
      <c r="E1400">
        <v>2</v>
      </c>
      <c r="F1400" t="s">
        <v>236</v>
      </c>
      <c r="G1400" t="str">
        <f t="shared" si="171"/>
        <v>Carassius auratus</v>
      </c>
      <c r="H1400" t="str">
        <f t="shared" si="172"/>
        <v>Goldfish</v>
      </c>
      <c r="I1400" t="str">
        <f t="shared" si="173"/>
        <v>Morihana</v>
      </c>
      <c r="J1400" t="str">
        <f t="shared" si="174"/>
        <v>Nonnative</v>
      </c>
      <c r="K1400" t="str">
        <f t="shared" si="175"/>
        <v>No</v>
      </c>
      <c r="M1400">
        <v>145</v>
      </c>
      <c r="N1400">
        <v>73</v>
      </c>
      <c r="O1400">
        <v>1</v>
      </c>
      <c r="T1400" t="str">
        <f t="shared" si="176"/>
        <v/>
      </c>
    </row>
    <row r="1401" spans="1:20" x14ac:dyDescent="0.55000000000000004">
      <c r="A1401">
        <v>119</v>
      </c>
      <c r="B1401" t="str">
        <f t="shared" si="179"/>
        <v>119_1</v>
      </c>
      <c r="C1401" s="2">
        <v>45680.458333333336</v>
      </c>
      <c r="D1401" t="s">
        <v>221</v>
      </c>
      <c r="E1401">
        <v>2</v>
      </c>
      <c r="F1401" t="s">
        <v>222</v>
      </c>
      <c r="G1401" t="str">
        <f t="shared" si="171"/>
        <v>Paranephrops planifrons</v>
      </c>
      <c r="H1401" t="str">
        <f t="shared" si="172"/>
        <v>Freshwater_crayfish</v>
      </c>
      <c r="I1401" t="str">
        <f t="shared" si="173"/>
        <v>Kōura</v>
      </c>
      <c r="J1401" t="str">
        <f t="shared" si="174"/>
        <v>Native</v>
      </c>
      <c r="K1401" t="str">
        <f t="shared" si="175"/>
        <v>Yes</v>
      </c>
      <c r="L1401" t="s">
        <v>223</v>
      </c>
      <c r="M1401">
        <v>38.090000000000003</v>
      </c>
      <c r="N1401">
        <v>35</v>
      </c>
      <c r="O1401">
        <v>1</v>
      </c>
      <c r="T1401" t="str">
        <f t="shared" si="176"/>
        <v/>
      </c>
    </row>
    <row r="1402" spans="1:20" x14ac:dyDescent="0.55000000000000004">
      <c r="A1402">
        <v>119</v>
      </c>
      <c r="B1402" t="str">
        <f t="shared" si="179"/>
        <v>119_1</v>
      </c>
      <c r="C1402" s="2">
        <v>45680.458333333336</v>
      </c>
      <c r="D1402" t="s">
        <v>245</v>
      </c>
      <c r="E1402">
        <v>1</v>
      </c>
      <c r="F1402" t="s">
        <v>222</v>
      </c>
      <c r="G1402" t="str">
        <f t="shared" si="171"/>
        <v>Paranephrops planifrons</v>
      </c>
      <c r="H1402" t="str">
        <f t="shared" si="172"/>
        <v>Freshwater_crayfish</v>
      </c>
      <c r="I1402" t="str">
        <f t="shared" si="173"/>
        <v>Kōura</v>
      </c>
      <c r="J1402" t="str">
        <f t="shared" si="174"/>
        <v>Native</v>
      </c>
      <c r="K1402" t="str">
        <f t="shared" si="175"/>
        <v>Yes</v>
      </c>
      <c r="L1402" t="s">
        <v>223</v>
      </c>
      <c r="M1402">
        <v>39.630000000000003</v>
      </c>
      <c r="N1402">
        <v>37</v>
      </c>
      <c r="O1402">
        <v>1</v>
      </c>
      <c r="T1402" t="str">
        <f t="shared" si="176"/>
        <v/>
      </c>
    </row>
    <row r="1403" spans="1:20" x14ac:dyDescent="0.55000000000000004">
      <c r="A1403">
        <v>119</v>
      </c>
      <c r="B1403" t="str">
        <f t="shared" si="179"/>
        <v>119_1</v>
      </c>
      <c r="C1403" s="2">
        <v>45680.458333333336</v>
      </c>
      <c r="D1403" t="s">
        <v>221</v>
      </c>
      <c r="E1403">
        <v>2</v>
      </c>
      <c r="F1403" t="s">
        <v>222</v>
      </c>
      <c r="G1403" t="str">
        <f t="shared" si="171"/>
        <v>Paranephrops planifrons</v>
      </c>
      <c r="H1403" t="str">
        <f t="shared" si="172"/>
        <v>Freshwater_crayfish</v>
      </c>
      <c r="I1403" t="str">
        <f t="shared" si="173"/>
        <v>Kōura</v>
      </c>
      <c r="J1403" t="str">
        <f t="shared" si="174"/>
        <v>Native</v>
      </c>
      <c r="K1403" t="str">
        <f t="shared" si="175"/>
        <v>Yes</v>
      </c>
      <c r="L1403" t="s">
        <v>228</v>
      </c>
      <c r="M1403">
        <v>43</v>
      </c>
      <c r="N1403">
        <v>51</v>
      </c>
      <c r="O1403">
        <v>1</v>
      </c>
      <c r="T1403" t="str">
        <f t="shared" si="176"/>
        <v/>
      </c>
    </row>
    <row r="1404" spans="1:20" x14ac:dyDescent="0.55000000000000004">
      <c r="A1404">
        <v>119</v>
      </c>
      <c r="B1404" t="str">
        <f t="shared" si="179"/>
        <v>119_1</v>
      </c>
      <c r="C1404" s="2">
        <v>45680.458333333336</v>
      </c>
      <c r="D1404" t="s">
        <v>221</v>
      </c>
      <c r="E1404">
        <v>2</v>
      </c>
      <c r="F1404" t="s">
        <v>222</v>
      </c>
      <c r="G1404" t="str">
        <f t="shared" si="171"/>
        <v>Paranephrops planifrons</v>
      </c>
      <c r="H1404" t="str">
        <f t="shared" si="172"/>
        <v>Freshwater_crayfish</v>
      </c>
      <c r="I1404" t="str">
        <f t="shared" si="173"/>
        <v>Kōura</v>
      </c>
      <c r="J1404" t="str">
        <f t="shared" si="174"/>
        <v>Native</v>
      </c>
      <c r="K1404" t="str">
        <f t="shared" si="175"/>
        <v>Yes</v>
      </c>
      <c r="L1404" t="s">
        <v>223</v>
      </c>
      <c r="M1404">
        <v>44.25</v>
      </c>
      <c r="N1404">
        <v>56</v>
      </c>
      <c r="O1404">
        <v>1</v>
      </c>
      <c r="T1404" t="str">
        <f t="shared" si="176"/>
        <v/>
      </c>
    </row>
    <row r="1405" spans="1:20" x14ac:dyDescent="0.55000000000000004">
      <c r="A1405">
        <v>119</v>
      </c>
      <c r="B1405" t="str">
        <f t="shared" si="179"/>
        <v>119_1</v>
      </c>
      <c r="C1405" s="2">
        <v>45680.458333333336</v>
      </c>
      <c r="D1405" t="s">
        <v>221</v>
      </c>
      <c r="E1405">
        <v>2</v>
      </c>
      <c r="F1405" t="s">
        <v>222</v>
      </c>
      <c r="G1405" t="str">
        <f t="shared" si="171"/>
        <v>Paranephrops planifrons</v>
      </c>
      <c r="H1405" t="str">
        <f t="shared" si="172"/>
        <v>Freshwater_crayfish</v>
      </c>
      <c r="I1405" t="str">
        <f t="shared" si="173"/>
        <v>Kōura</v>
      </c>
      <c r="J1405" t="str">
        <f t="shared" si="174"/>
        <v>Native</v>
      </c>
      <c r="K1405" t="str">
        <f t="shared" si="175"/>
        <v>Yes</v>
      </c>
      <c r="L1405" t="s">
        <v>228</v>
      </c>
      <c r="M1405">
        <v>49.5</v>
      </c>
      <c r="N1405">
        <v>85</v>
      </c>
      <c r="O1405">
        <v>1</v>
      </c>
      <c r="P1405">
        <v>1</v>
      </c>
      <c r="T1405" t="str">
        <f t="shared" si="176"/>
        <v/>
      </c>
    </row>
    <row r="1406" spans="1:20" x14ac:dyDescent="0.55000000000000004">
      <c r="A1406">
        <v>98</v>
      </c>
      <c r="B1406" t="str">
        <f>A1406 &amp; "_0"</f>
        <v>98_0</v>
      </c>
      <c r="C1406" s="2">
        <v>45603.5625</v>
      </c>
      <c r="D1406" t="s">
        <v>221</v>
      </c>
      <c r="E1406">
        <v>2</v>
      </c>
      <c r="F1406" t="s">
        <v>222</v>
      </c>
      <c r="G1406" t="str">
        <f t="shared" si="171"/>
        <v>Paranephrops planifrons</v>
      </c>
      <c r="H1406" t="str">
        <f t="shared" si="172"/>
        <v>Freshwater_crayfish</v>
      </c>
      <c r="I1406" t="str">
        <f t="shared" si="173"/>
        <v>Kōura</v>
      </c>
      <c r="J1406" t="str">
        <f t="shared" si="174"/>
        <v>Native</v>
      </c>
      <c r="K1406" t="str">
        <f t="shared" si="175"/>
        <v>Yes</v>
      </c>
      <c r="L1406" t="s">
        <v>223</v>
      </c>
      <c r="M1406">
        <v>15.67</v>
      </c>
      <c r="O1406">
        <v>1</v>
      </c>
      <c r="T1406" t="str">
        <f t="shared" si="176"/>
        <v/>
      </c>
    </row>
    <row r="1407" spans="1:20" x14ac:dyDescent="0.55000000000000004">
      <c r="A1407">
        <v>119</v>
      </c>
      <c r="B1407" t="str">
        <f>A1407 &amp; "_1"</f>
        <v>119_1</v>
      </c>
      <c r="C1407" s="2">
        <v>45680.458333333336</v>
      </c>
      <c r="D1407" t="s">
        <v>221</v>
      </c>
      <c r="E1407">
        <v>2</v>
      </c>
      <c r="F1407" t="s">
        <v>242</v>
      </c>
      <c r="G1407" t="str">
        <f t="shared" si="171"/>
        <v>Gobiomorphus cotidianus</v>
      </c>
      <c r="H1407" t="str">
        <f t="shared" si="172"/>
        <v>Common_bully</v>
      </c>
      <c r="I1407" t="str">
        <f t="shared" si="173"/>
        <v>Toitoi</v>
      </c>
      <c r="J1407" t="str">
        <f t="shared" si="174"/>
        <v>Native</v>
      </c>
      <c r="K1407" t="str">
        <f t="shared" si="175"/>
        <v>No</v>
      </c>
      <c r="N1407">
        <v>160</v>
      </c>
      <c r="S1407">
        <f>3/4</f>
        <v>0.75</v>
      </c>
      <c r="T1407">
        <f t="shared" si="176"/>
        <v>177.441</v>
      </c>
    </row>
    <row r="1408" spans="1:20" x14ac:dyDescent="0.55000000000000004">
      <c r="A1408">
        <v>119</v>
      </c>
      <c r="B1408" t="str">
        <f>A1408 &amp; "_1"</f>
        <v>119_1</v>
      </c>
      <c r="C1408" s="2">
        <v>45680.458333333336</v>
      </c>
      <c r="D1408" t="s">
        <v>221</v>
      </c>
      <c r="E1408">
        <v>2</v>
      </c>
      <c r="F1408" t="s">
        <v>242</v>
      </c>
      <c r="G1408" t="str">
        <f t="shared" si="171"/>
        <v>Gobiomorphus cotidianus</v>
      </c>
      <c r="H1408" t="str">
        <f t="shared" si="172"/>
        <v>Common_bully</v>
      </c>
      <c r="I1408" t="str">
        <f t="shared" si="173"/>
        <v>Toitoi</v>
      </c>
      <c r="J1408" t="str">
        <f t="shared" si="174"/>
        <v>Native</v>
      </c>
      <c r="K1408" t="str">
        <f t="shared" si="175"/>
        <v>No</v>
      </c>
      <c r="N1408">
        <f>378-117</f>
        <v>261</v>
      </c>
      <c r="S1408">
        <v>1.25</v>
      </c>
      <c r="T1408">
        <f t="shared" si="176"/>
        <v>295.73500000000001</v>
      </c>
    </row>
    <row r="1409" spans="1:21" x14ac:dyDescent="0.55000000000000004">
      <c r="A1409">
        <v>61</v>
      </c>
      <c r="B1409" t="str">
        <f t="shared" ref="B1409:B1440" si="180">A1409 &amp; "_0"</f>
        <v>61_0</v>
      </c>
      <c r="C1409" s="2">
        <v>45709.458333333336</v>
      </c>
      <c r="D1409" t="s">
        <v>245</v>
      </c>
      <c r="E1409">
        <v>2</v>
      </c>
      <c r="F1409" t="s">
        <v>242</v>
      </c>
      <c r="G1409" t="str">
        <f t="shared" si="171"/>
        <v>Gobiomorphus cotidianus</v>
      </c>
      <c r="H1409" t="str">
        <f t="shared" si="172"/>
        <v>Common_bully</v>
      </c>
      <c r="I1409" t="str">
        <f t="shared" si="173"/>
        <v>Toitoi</v>
      </c>
      <c r="J1409" t="str">
        <f t="shared" si="174"/>
        <v>Native</v>
      </c>
      <c r="K1409" t="str">
        <f t="shared" si="175"/>
        <v>No</v>
      </c>
      <c r="N1409">
        <v>29</v>
      </c>
      <c r="O1409">
        <v>28</v>
      </c>
      <c r="T1409" t="str">
        <f t="shared" si="176"/>
        <v/>
      </c>
    </row>
    <row r="1410" spans="1:21" x14ac:dyDescent="0.55000000000000004">
      <c r="A1410">
        <v>61</v>
      </c>
      <c r="B1410" t="str">
        <f t="shared" si="180"/>
        <v>61_0</v>
      </c>
      <c r="C1410" s="2">
        <v>45709.458333333336</v>
      </c>
      <c r="D1410" t="s">
        <v>221</v>
      </c>
      <c r="E1410">
        <v>2</v>
      </c>
      <c r="F1410" t="s">
        <v>242</v>
      </c>
      <c r="G1410" t="str">
        <f t="shared" ref="G1410:G1476" si="181">VLOOKUP($F1410, $W$1:$AB$10, 2, FALSE)</f>
        <v>Gobiomorphus cotidianus</v>
      </c>
      <c r="H1410" t="str">
        <f t="shared" ref="H1410:H1476" si="182">VLOOKUP($F1410, $W$1:$AB$10, 3, FALSE)</f>
        <v>Common_bully</v>
      </c>
      <c r="I1410" t="str">
        <f t="shared" ref="I1410:I1476" si="183">VLOOKUP($F1410, $W$1:$AB$10, 4, FALSE)</f>
        <v>Toitoi</v>
      </c>
      <c r="J1410" t="str">
        <f t="shared" ref="J1410:J1476" si="184">VLOOKUP($F1410, $W$1:$AC$10, 5, FALSE)</f>
        <v>Native</v>
      </c>
      <c r="K1410" t="str">
        <f t="shared" ref="K1410:K1476" si="185">VLOOKUP($F1410, $W$1:$AB$10, 6, FALSE)</f>
        <v>No</v>
      </c>
      <c r="N1410">
        <f>6100-600</f>
        <v>5500</v>
      </c>
      <c r="T1410" t="str">
        <f t="shared" si="176"/>
        <v/>
      </c>
      <c r="U1410" t="s">
        <v>314</v>
      </c>
    </row>
    <row r="1411" spans="1:21" x14ac:dyDescent="0.55000000000000004">
      <c r="A1411">
        <v>61</v>
      </c>
      <c r="B1411" t="str">
        <f t="shared" si="180"/>
        <v>61_0</v>
      </c>
      <c r="C1411" s="2">
        <v>45709.458333333336</v>
      </c>
      <c r="D1411" t="s">
        <v>221</v>
      </c>
      <c r="E1411">
        <v>2</v>
      </c>
      <c r="F1411" t="s">
        <v>242</v>
      </c>
      <c r="G1411" t="str">
        <f t="shared" si="181"/>
        <v>Gobiomorphus cotidianus</v>
      </c>
      <c r="H1411" t="str">
        <f t="shared" si="182"/>
        <v>Common_bully</v>
      </c>
      <c r="I1411" t="str">
        <f t="shared" si="183"/>
        <v>Toitoi</v>
      </c>
      <c r="J1411" t="str">
        <f t="shared" si="184"/>
        <v>Native</v>
      </c>
      <c r="K1411" t="str">
        <f t="shared" si="185"/>
        <v>No</v>
      </c>
      <c r="N1411">
        <v>600</v>
      </c>
      <c r="T1411" t="str">
        <f t="shared" si="176"/>
        <v/>
      </c>
      <c r="U1411" t="s">
        <v>314</v>
      </c>
    </row>
    <row r="1412" spans="1:21" x14ac:dyDescent="0.55000000000000004">
      <c r="A1412">
        <v>61</v>
      </c>
      <c r="B1412" t="str">
        <f t="shared" si="180"/>
        <v>61_0</v>
      </c>
      <c r="C1412" s="2">
        <v>45709.458333333336</v>
      </c>
      <c r="D1412" t="s">
        <v>221</v>
      </c>
      <c r="E1412">
        <v>2</v>
      </c>
      <c r="F1412" t="s">
        <v>242</v>
      </c>
      <c r="G1412" t="str">
        <f t="shared" si="181"/>
        <v>Gobiomorphus cotidianus</v>
      </c>
      <c r="H1412" t="str">
        <f t="shared" si="182"/>
        <v>Common_bully</v>
      </c>
      <c r="I1412" t="str">
        <f t="shared" si="183"/>
        <v>Toitoi</v>
      </c>
      <c r="J1412" t="str">
        <f t="shared" si="184"/>
        <v>Native</v>
      </c>
      <c r="K1412" t="str">
        <f t="shared" si="185"/>
        <v>No</v>
      </c>
      <c r="N1412">
        <f>140-117</f>
        <v>23</v>
      </c>
      <c r="T1412" t="str">
        <f t="shared" si="176"/>
        <v/>
      </c>
    </row>
    <row r="1413" spans="1:21" x14ac:dyDescent="0.55000000000000004">
      <c r="A1413">
        <v>61</v>
      </c>
      <c r="B1413" t="str">
        <f t="shared" si="180"/>
        <v>61_0</v>
      </c>
      <c r="C1413" s="2">
        <v>45709.458333333336</v>
      </c>
      <c r="D1413" t="s">
        <v>221</v>
      </c>
      <c r="E1413">
        <v>2</v>
      </c>
      <c r="F1413" t="s">
        <v>242</v>
      </c>
      <c r="G1413" t="str">
        <f t="shared" si="181"/>
        <v>Gobiomorphus cotidianus</v>
      </c>
      <c r="H1413" t="str">
        <f t="shared" si="182"/>
        <v>Common_bully</v>
      </c>
      <c r="I1413" t="str">
        <f t="shared" si="183"/>
        <v>Toitoi</v>
      </c>
      <c r="J1413" t="str">
        <f t="shared" si="184"/>
        <v>Native</v>
      </c>
      <c r="K1413" t="str">
        <f t="shared" si="185"/>
        <v>No</v>
      </c>
      <c r="N1413">
        <f>7300-1000</f>
        <v>6300</v>
      </c>
      <c r="T1413" t="str">
        <f t="shared" si="176"/>
        <v/>
      </c>
      <c r="U1413" t="s">
        <v>314</v>
      </c>
    </row>
    <row r="1414" spans="1:21" x14ac:dyDescent="0.55000000000000004">
      <c r="A1414">
        <v>98</v>
      </c>
      <c r="B1414" t="str">
        <f t="shared" si="180"/>
        <v>98_0</v>
      </c>
      <c r="C1414" s="2">
        <v>45603.5625</v>
      </c>
      <c r="D1414" t="s">
        <v>221</v>
      </c>
      <c r="E1414">
        <v>2</v>
      </c>
      <c r="F1414" t="s">
        <v>222</v>
      </c>
      <c r="G1414" t="str">
        <f t="shared" si="181"/>
        <v>Paranephrops planifrons</v>
      </c>
      <c r="H1414" t="str">
        <f t="shared" si="182"/>
        <v>Freshwater_crayfish</v>
      </c>
      <c r="I1414" t="str">
        <f t="shared" si="183"/>
        <v>Kōura</v>
      </c>
      <c r="J1414" t="str">
        <f t="shared" si="184"/>
        <v>Native</v>
      </c>
      <c r="K1414" t="str">
        <f t="shared" si="185"/>
        <v>Yes</v>
      </c>
      <c r="L1414" t="s">
        <v>223</v>
      </c>
      <c r="M1414">
        <v>15.26</v>
      </c>
      <c r="O1414">
        <v>1</v>
      </c>
      <c r="T1414" t="str">
        <f t="shared" si="176"/>
        <v/>
      </c>
    </row>
    <row r="1415" spans="1:21" x14ac:dyDescent="0.55000000000000004">
      <c r="A1415">
        <v>62</v>
      </c>
      <c r="B1415" t="str">
        <f t="shared" si="180"/>
        <v>62_0</v>
      </c>
      <c r="C1415" s="2">
        <v>45709.540972222225</v>
      </c>
      <c r="D1415" t="s">
        <v>245</v>
      </c>
      <c r="E1415">
        <v>2</v>
      </c>
      <c r="F1415" t="s">
        <v>239</v>
      </c>
      <c r="G1415" t="str">
        <f t="shared" si="181"/>
        <v>Oncorhynchus mykiss</v>
      </c>
      <c r="H1415" t="str">
        <f t="shared" si="182"/>
        <v>Rainbow_trout</v>
      </c>
      <c r="I1415" t="str">
        <f t="shared" si="183"/>
        <v>Rainbow_trout</v>
      </c>
      <c r="J1415" t="str">
        <f t="shared" si="184"/>
        <v>Nonnative</v>
      </c>
      <c r="K1415" t="str">
        <f t="shared" si="185"/>
        <v>No</v>
      </c>
      <c r="M1415">
        <v>90</v>
      </c>
      <c r="N1415">
        <v>17</v>
      </c>
      <c r="O1415">
        <v>1</v>
      </c>
      <c r="T1415" t="str">
        <f t="shared" si="176"/>
        <v/>
      </c>
    </row>
    <row r="1416" spans="1:21" x14ac:dyDescent="0.55000000000000004">
      <c r="A1416">
        <v>62</v>
      </c>
      <c r="B1416" t="str">
        <f t="shared" si="180"/>
        <v>62_0</v>
      </c>
      <c r="C1416" s="2">
        <v>45709.540972222225</v>
      </c>
      <c r="D1416" t="s">
        <v>245</v>
      </c>
      <c r="E1416">
        <v>2</v>
      </c>
      <c r="F1416" t="s">
        <v>242</v>
      </c>
      <c r="G1416" t="str">
        <f t="shared" si="181"/>
        <v>Gobiomorphus cotidianus</v>
      </c>
      <c r="H1416" t="str">
        <f t="shared" si="182"/>
        <v>Common_bully</v>
      </c>
      <c r="I1416" t="str">
        <f t="shared" si="183"/>
        <v>Toitoi</v>
      </c>
      <c r="J1416" t="str">
        <f t="shared" si="184"/>
        <v>Native</v>
      </c>
      <c r="K1416" t="str">
        <f t="shared" si="185"/>
        <v>No</v>
      </c>
      <c r="N1416">
        <f>140-117</f>
        <v>23</v>
      </c>
      <c r="O1416">
        <v>31</v>
      </c>
      <c r="T1416" t="str">
        <f t="shared" si="176"/>
        <v/>
      </c>
    </row>
    <row r="1417" spans="1:21" x14ac:dyDescent="0.55000000000000004">
      <c r="A1417">
        <v>62</v>
      </c>
      <c r="B1417" t="str">
        <f t="shared" si="180"/>
        <v>62_0</v>
      </c>
      <c r="C1417" s="2">
        <v>45709.540972222225</v>
      </c>
      <c r="D1417" t="s">
        <v>221</v>
      </c>
      <c r="E1417">
        <v>2</v>
      </c>
      <c r="F1417" t="s">
        <v>242</v>
      </c>
      <c r="G1417" t="str">
        <f t="shared" si="181"/>
        <v>Gobiomorphus cotidianus</v>
      </c>
      <c r="H1417" t="str">
        <f t="shared" si="182"/>
        <v>Common_bully</v>
      </c>
      <c r="I1417" t="str">
        <f t="shared" si="183"/>
        <v>Toitoi</v>
      </c>
      <c r="J1417" t="str">
        <f t="shared" si="184"/>
        <v>Native</v>
      </c>
      <c r="K1417" t="str">
        <f t="shared" si="185"/>
        <v>No</v>
      </c>
      <c r="N1417">
        <f>399-117</f>
        <v>282</v>
      </c>
      <c r="S1417">
        <v>1.5</v>
      </c>
      <c r="T1417">
        <f t="shared" ref="T1417:T1476" si="186">IF(S1417&lt;&gt;"", S1417*236.588, "")</f>
        <v>354.88200000000001</v>
      </c>
      <c r="U1417" t="s">
        <v>315</v>
      </c>
    </row>
    <row r="1418" spans="1:21" x14ac:dyDescent="0.55000000000000004">
      <c r="A1418">
        <v>62</v>
      </c>
      <c r="B1418" t="str">
        <f t="shared" si="180"/>
        <v>62_0</v>
      </c>
      <c r="C1418" s="2">
        <v>45709.540972222225</v>
      </c>
      <c r="D1418" t="s">
        <v>221</v>
      </c>
      <c r="E1418">
        <v>2</v>
      </c>
      <c r="F1418" t="s">
        <v>243</v>
      </c>
      <c r="G1418" t="str">
        <f t="shared" si="181"/>
        <v>Retropinna retropinna</v>
      </c>
      <c r="H1418" t="str">
        <f t="shared" si="182"/>
        <v>Common_smelt</v>
      </c>
      <c r="I1418" t="str">
        <f t="shared" si="183"/>
        <v>Common_smelt</v>
      </c>
      <c r="J1418" t="str">
        <f t="shared" si="184"/>
        <v>Native</v>
      </c>
      <c r="K1418" t="str">
        <f t="shared" si="185"/>
        <v>No</v>
      </c>
      <c r="N1418">
        <f>141-117</f>
        <v>24</v>
      </c>
      <c r="O1418">
        <v>10</v>
      </c>
      <c r="T1418" t="str">
        <f t="shared" si="186"/>
        <v/>
      </c>
    </row>
    <row r="1419" spans="1:21" x14ac:dyDescent="0.55000000000000004">
      <c r="A1419">
        <v>62</v>
      </c>
      <c r="B1419" t="str">
        <f t="shared" si="180"/>
        <v>62_0</v>
      </c>
      <c r="C1419" s="2">
        <v>45709.540972222225</v>
      </c>
      <c r="D1419" t="s">
        <v>221</v>
      </c>
      <c r="E1419">
        <v>2</v>
      </c>
      <c r="F1419" t="s">
        <v>242</v>
      </c>
      <c r="G1419" t="str">
        <f t="shared" si="181"/>
        <v>Gobiomorphus cotidianus</v>
      </c>
      <c r="H1419" t="str">
        <f t="shared" si="182"/>
        <v>Common_bully</v>
      </c>
      <c r="I1419" t="str">
        <f t="shared" si="183"/>
        <v>Toitoi</v>
      </c>
      <c r="J1419" t="str">
        <f t="shared" si="184"/>
        <v>Native</v>
      </c>
      <c r="K1419" t="str">
        <f t="shared" si="185"/>
        <v>No</v>
      </c>
      <c r="N1419">
        <f>353-117</f>
        <v>236</v>
      </c>
      <c r="S1419">
        <v>1</v>
      </c>
      <c r="T1419">
        <f t="shared" si="186"/>
        <v>236.58799999999999</v>
      </c>
      <c r="U1419" t="s">
        <v>315</v>
      </c>
    </row>
    <row r="1420" spans="1:21" x14ac:dyDescent="0.55000000000000004">
      <c r="A1420">
        <v>63</v>
      </c>
      <c r="B1420" t="str">
        <f t="shared" si="180"/>
        <v>63_0</v>
      </c>
      <c r="C1420" s="2">
        <v>45709.083333333336</v>
      </c>
      <c r="D1420" t="s">
        <v>245</v>
      </c>
      <c r="E1420">
        <v>2</v>
      </c>
      <c r="F1420" t="s">
        <v>242</v>
      </c>
      <c r="G1420" t="str">
        <f t="shared" si="181"/>
        <v>Gobiomorphus cotidianus</v>
      </c>
      <c r="H1420" t="str">
        <f t="shared" si="182"/>
        <v>Common_bully</v>
      </c>
      <c r="I1420" t="str">
        <f t="shared" si="183"/>
        <v>Toitoi</v>
      </c>
      <c r="J1420" t="str">
        <f t="shared" si="184"/>
        <v>Native</v>
      </c>
      <c r="K1420" t="str">
        <f t="shared" si="185"/>
        <v>No</v>
      </c>
      <c r="N1420">
        <v>5</v>
      </c>
      <c r="O1420">
        <v>5</v>
      </c>
      <c r="T1420" t="str">
        <f t="shared" si="186"/>
        <v/>
      </c>
    </row>
    <row r="1421" spans="1:21" x14ac:dyDescent="0.55000000000000004">
      <c r="A1421">
        <v>63</v>
      </c>
      <c r="B1421" t="str">
        <f t="shared" si="180"/>
        <v>63_0</v>
      </c>
      <c r="C1421" s="2">
        <v>45709.083333333336</v>
      </c>
      <c r="D1421" t="s">
        <v>221</v>
      </c>
      <c r="E1421">
        <v>2</v>
      </c>
      <c r="F1421" t="s">
        <v>236</v>
      </c>
      <c r="G1421" t="str">
        <f t="shared" si="181"/>
        <v>Carassius auratus</v>
      </c>
      <c r="H1421" t="str">
        <f t="shared" si="182"/>
        <v>Goldfish</v>
      </c>
      <c r="I1421" t="str">
        <f t="shared" si="183"/>
        <v>Morihana</v>
      </c>
      <c r="J1421" t="str">
        <f t="shared" si="184"/>
        <v>Nonnative</v>
      </c>
      <c r="K1421" t="str">
        <f t="shared" si="185"/>
        <v>No</v>
      </c>
      <c r="M1421">
        <v>195</v>
      </c>
      <c r="N1421">
        <v>175</v>
      </c>
      <c r="O1421">
        <v>1</v>
      </c>
      <c r="T1421" t="str">
        <f t="shared" si="186"/>
        <v/>
      </c>
    </row>
    <row r="1422" spans="1:21" x14ac:dyDescent="0.55000000000000004">
      <c r="A1422">
        <v>63</v>
      </c>
      <c r="B1422" t="str">
        <f t="shared" si="180"/>
        <v>63_0</v>
      </c>
      <c r="C1422" s="2">
        <v>45709.083333333336</v>
      </c>
      <c r="D1422" t="s">
        <v>221</v>
      </c>
      <c r="E1422">
        <v>2</v>
      </c>
      <c r="F1422" t="s">
        <v>242</v>
      </c>
      <c r="G1422" t="str">
        <f t="shared" si="181"/>
        <v>Gobiomorphus cotidianus</v>
      </c>
      <c r="H1422" t="str">
        <f t="shared" si="182"/>
        <v>Common_bully</v>
      </c>
      <c r="I1422" t="str">
        <f t="shared" si="183"/>
        <v>Toitoi</v>
      </c>
      <c r="J1422" t="str">
        <f t="shared" si="184"/>
        <v>Native</v>
      </c>
      <c r="K1422" t="str">
        <f t="shared" si="185"/>
        <v>No</v>
      </c>
      <c r="N1422">
        <f>730-117</f>
        <v>613</v>
      </c>
      <c r="S1422">
        <v>2.5</v>
      </c>
      <c r="T1422">
        <f t="shared" si="186"/>
        <v>591.47</v>
      </c>
    </row>
    <row r="1423" spans="1:21" x14ac:dyDescent="0.55000000000000004">
      <c r="A1423">
        <v>63</v>
      </c>
      <c r="B1423" t="str">
        <f t="shared" si="180"/>
        <v>63_0</v>
      </c>
      <c r="C1423" s="2">
        <v>45709.083333333336</v>
      </c>
      <c r="D1423" t="s">
        <v>221</v>
      </c>
      <c r="E1423">
        <v>2</v>
      </c>
      <c r="F1423" t="s">
        <v>242</v>
      </c>
      <c r="G1423" t="str">
        <f t="shared" si="181"/>
        <v>Gobiomorphus cotidianus</v>
      </c>
      <c r="H1423" t="str">
        <f t="shared" si="182"/>
        <v>Common_bully</v>
      </c>
      <c r="I1423" t="str">
        <f t="shared" si="183"/>
        <v>Toitoi</v>
      </c>
      <c r="J1423" t="str">
        <f t="shared" si="184"/>
        <v>Native</v>
      </c>
      <c r="K1423" t="str">
        <f t="shared" si="185"/>
        <v>No</v>
      </c>
      <c r="N1423">
        <f>650-117</f>
        <v>533</v>
      </c>
      <c r="S1423">
        <v>2.5</v>
      </c>
      <c r="T1423">
        <f t="shared" si="186"/>
        <v>591.47</v>
      </c>
    </row>
    <row r="1424" spans="1:21" x14ac:dyDescent="0.55000000000000004">
      <c r="A1424">
        <v>63</v>
      </c>
      <c r="B1424" t="str">
        <f t="shared" si="180"/>
        <v>63_0</v>
      </c>
      <c r="C1424" s="2">
        <v>45709.083333333336</v>
      </c>
      <c r="D1424" t="s">
        <v>221</v>
      </c>
      <c r="E1424">
        <v>2</v>
      </c>
      <c r="F1424" t="s">
        <v>249</v>
      </c>
      <c r="G1424" t="str">
        <f t="shared" si="181"/>
        <v>Anguilla dieffenbachii</v>
      </c>
      <c r="H1424" t="str">
        <f t="shared" si="182"/>
        <v>Long_fin_eel</v>
      </c>
      <c r="I1424" t="str">
        <f t="shared" si="183"/>
        <v>Tuna</v>
      </c>
      <c r="J1424" t="str">
        <f t="shared" si="184"/>
        <v>Native</v>
      </c>
      <c r="K1424" t="str">
        <f t="shared" si="185"/>
        <v>Yes</v>
      </c>
      <c r="M1424">
        <v>970</v>
      </c>
      <c r="N1424">
        <v>3000</v>
      </c>
      <c r="O1424">
        <v>1</v>
      </c>
      <c r="T1424" t="str">
        <f t="shared" si="186"/>
        <v/>
      </c>
    </row>
    <row r="1425" spans="1:20" x14ac:dyDescent="0.55000000000000004">
      <c r="A1425">
        <v>63</v>
      </c>
      <c r="B1425" t="str">
        <f t="shared" si="180"/>
        <v>63_0</v>
      </c>
      <c r="C1425" s="2">
        <v>45709.083333333336</v>
      </c>
      <c r="D1425" t="s">
        <v>221</v>
      </c>
      <c r="E1425">
        <v>2</v>
      </c>
      <c r="F1425" t="s">
        <v>242</v>
      </c>
      <c r="G1425" t="str">
        <f t="shared" si="181"/>
        <v>Gobiomorphus cotidianus</v>
      </c>
      <c r="H1425" t="str">
        <f t="shared" si="182"/>
        <v>Common_bully</v>
      </c>
      <c r="I1425" t="str">
        <f t="shared" si="183"/>
        <v>Toitoi</v>
      </c>
      <c r="J1425" t="str">
        <f t="shared" si="184"/>
        <v>Native</v>
      </c>
      <c r="K1425" t="str">
        <f t="shared" si="185"/>
        <v>No</v>
      </c>
      <c r="N1425">
        <v>563</v>
      </c>
      <c r="S1425">
        <v>2.5</v>
      </c>
      <c r="T1425">
        <f t="shared" si="186"/>
        <v>591.47</v>
      </c>
    </row>
    <row r="1426" spans="1:20" x14ac:dyDescent="0.55000000000000004">
      <c r="A1426">
        <v>63</v>
      </c>
      <c r="B1426" t="str">
        <f t="shared" si="180"/>
        <v>63_0</v>
      </c>
      <c r="C1426" s="2">
        <v>45709.083333333336</v>
      </c>
      <c r="D1426" t="s">
        <v>221</v>
      </c>
      <c r="E1426">
        <v>2</v>
      </c>
      <c r="F1426" t="s">
        <v>242</v>
      </c>
      <c r="G1426" t="str">
        <f t="shared" si="181"/>
        <v>Gobiomorphus cotidianus</v>
      </c>
      <c r="H1426" t="str">
        <f t="shared" si="182"/>
        <v>Common_bully</v>
      </c>
      <c r="I1426" t="str">
        <f t="shared" si="183"/>
        <v>Toitoi</v>
      </c>
      <c r="J1426" t="str">
        <f t="shared" si="184"/>
        <v>Native</v>
      </c>
      <c r="K1426" t="str">
        <f t="shared" si="185"/>
        <v>No</v>
      </c>
      <c r="N1426">
        <v>535</v>
      </c>
      <c r="S1426">
        <v>2.5</v>
      </c>
      <c r="T1426">
        <f t="shared" si="186"/>
        <v>591.47</v>
      </c>
    </row>
    <row r="1427" spans="1:20" x14ac:dyDescent="0.55000000000000004">
      <c r="A1427">
        <v>63</v>
      </c>
      <c r="B1427" t="str">
        <f t="shared" si="180"/>
        <v>63_0</v>
      </c>
      <c r="C1427" s="2">
        <v>45709.083333333336</v>
      </c>
      <c r="D1427" t="s">
        <v>221</v>
      </c>
      <c r="E1427">
        <v>2</v>
      </c>
      <c r="F1427" t="s">
        <v>242</v>
      </c>
      <c r="G1427" t="str">
        <f t="shared" si="181"/>
        <v>Gobiomorphus cotidianus</v>
      </c>
      <c r="H1427" t="str">
        <f t="shared" si="182"/>
        <v>Common_bully</v>
      </c>
      <c r="I1427" t="str">
        <f t="shared" si="183"/>
        <v>Toitoi</v>
      </c>
      <c r="J1427" t="str">
        <f t="shared" si="184"/>
        <v>Native</v>
      </c>
      <c r="K1427" t="str">
        <f t="shared" si="185"/>
        <v>No</v>
      </c>
      <c r="N1427">
        <v>547</v>
      </c>
      <c r="S1427">
        <v>2.5</v>
      </c>
      <c r="T1427">
        <f t="shared" si="186"/>
        <v>591.47</v>
      </c>
    </row>
    <row r="1428" spans="1:20" x14ac:dyDescent="0.55000000000000004">
      <c r="A1428">
        <v>63</v>
      </c>
      <c r="B1428" t="str">
        <f t="shared" si="180"/>
        <v>63_0</v>
      </c>
      <c r="C1428" s="2">
        <v>45709.083333333336</v>
      </c>
      <c r="D1428" t="s">
        <v>221</v>
      </c>
      <c r="E1428">
        <v>2</v>
      </c>
      <c r="F1428" t="s">
        <v>242</v>
      </c>
      <c r="G1428" t="str">
        <f t="shared" si="181"/>
        <v>Gobiomorphus cotidianus</v>
      </c>
      <c r="H1428" t="str">
        <f t="shared" si="182"/>
        <v>Common_bully</v>
      </c>
      <c r="I1428" t="str">
        <f t="shared" si="183"/>
        <v>Toitoi</v>
      </c>
      <c r="J1428" t="str">
        <f t="shared" si="184"/>
        <v>Native</v>
      </c>
      <c r="K1428" t="str">
        <f t="shared" si="185"/>
        <v>No</v>
      </c>
      <c r="N1428">
        <v>176</v>
      </c>
      <c r="S1428">
        <v>1</v>
      </c>
      <c r="T1428">
        <f t="shared" si="186"/>
        <v>236.58799999999999</v>
      </c>
    </row>
    <row r="1429" spans="1:20" x14ac:dyDescent="0.55000000000000004">
      <c r="A1429">
        <v>64</v>
      </c>
      <c r="B1429" t="str">
        <f t="shared" si="180"/>
        <v>64_0</v>
      </c>
      <c r="C1429" s="2">
        <v>45709.138888888891</v>
      </c>
      <c r="D1429" t="s">
        <v>245</v>
      </c>
      <c r="E1429">
        <v>2</v>
      </c>
      <c r="F1429" t="s">
        <v>242</v>
      </c>
      <c r="G1429" t="str">
        <f t="shared" si="181"/>
        <v>Gobiomorphus cotidianus</v>
      </c>
      <c r="H1429" t="str">
        <f t="shared" si="182"/>
        <v>Common_bully</v>
      </c>
      <c r="I1429" t="str">
        <f t="shared" si="183"/>
        <v>Toitoi</v>
      </c>
      <c r="J1429" t="str">
        <f t="shared" si="184"/>
        <v>Native</v>
      </c>
      <c r="K1429" t="str">
        <f t="shared" si="185"/>
        <v>No</v>
      </c>
      <c r="N1429">
        <v>10</v>
      </c>
      <c r="O1429">
        <v>8</v>
      </c>
      <c r="T1429" t="str">
        <f t="shared" si="186"/>
        <v/>
      </c>
    </row>
    <row r="1430" spans="1:20" x14ac:dyDescent="0.55000000000000004">
      <c r="A1430">
        <v>64</v>
      </c>
      <c r="B1430" t="str">
        <f t="shared" si="180"/>
        <v>64_0</v>
      </c>
      <c r="C1430" s="2">
        <v>45709.138888888891</v>
      </c>
      <c r="D1430" t="s">
        <v>221</v>
      </c>
      <c r="E1430">
        <v>2</v>
      </c>
      <c r="F1430" t="s">
        <v>242</v>
      </c>
      <c r="G1430" t="str">
        <f t="shared" si="181"/>
        <v>Gobiomorphus cotidianus</v>
      </c>
      <c r="H1430" t="str">
        <f t="shared" si="182"/>
        <v>Common_bully</v>
      </c>
      <c r="I1430" t="str">
        <f t="shared" si="183"/>
        <v>Toitoi</v>
      </c>
      <c r="J1430" t="str">
        <f t="shared" si="184"/>
        <v>Native</v>
      </c>
      <c r="K1430" t="str">
        <f t="shared" si="185"/>
        <v>No</v>
      </c>
      <c r="N1430">
        <v>500</v>
      </c>
      <c r="S1430">
        <v>2.5</v>
      </c>
      <c r="T1430">
        <f t="shared" si="186"/>
        <v>591.47</v>
      </c>
    </row>
    <row r="1431" spans="1:20" x14ac:dyDescent="0.55000000000000004">
      <c r="A1431">
        <v>64</v>
      </c>
      <c r="B1431" t="str">
        <f t="shared" si="180"/>
        <v>64_0</v>
      </c>
      <c r="C1431" s="2">
        <v>45709.138888888891</v>
      </c>
      <c r="D1431" t="s">
        <v>221</v>
      </c>
      <c r="E1431">
        <v>2</v>
      </c>
      <c r="F1431" t="s">
        <v>242</v>
      </c>
      <c r="G1431" t="str">
        <f t="shared" si="181"/>
        <v>Gobiomorphus cotidianus</v>
      </c>
      <c r="H1431" t="str">
        <f t="shared" si="182"/>
        <v>Common_bully</v>
      </c>
      <c r="I1431" t="str">
        <f t="shared" si="183"/>
        <v>Toitoi</v>
      </c>
      <c r="J1431" t="str">
        <f t="shared" si="184"/>
        <v>Native</v>
      </c>
      <c r="K1431" t="str">
        <f t="shared" si="185"/>
        <v>No</v>
      </c>
      <c r="N1431">
        <v>280</v>
      </c>
      <c r="S1431">
        <v>1.5</v>
      </c>
      <c r="T1431">
        <f t="shared" si="186"/>
        <v>354.88200000000001</v>
      </c>
    </row>
    <row r="1432" spans="1:20" x14ac:dyDescent="0.55000000000000004">
      <c r="A1432">
        <v>64</v>
      </c>
      <c r="B1432" t="str">
        <f t="shared" si="180"/>
        <v>64_0</v>
      </c>
      <c r="C1432" s="2">
        <v>45709.138888888891</v>
      </c>
      <c r="D1432" t="s">
        <v>221</v>
      </c>
      <c r="E1432">
        <v>2</v>
      </c>
      <c r="F1432" t="s">
        <v>242</v>
      </c>
      <c r="G1432" t="str">
        <f t="shared" si="181"/>
        <v>Gobiomorphus cotidianus</v>
      </c>
      <c r="H1432" t="str">
        <f t="shared" si="182"/>
        <v>Common_bully</v>
      </c>
      <c r="I1432" t="str">
        <f t="shared" si="183"/>
        <v>Toitoi</v>
      </c>
      <c r="J1432" t="str">
        <f t="shared" si="184"/>
        <v>Native</v>
      </c>
      <c r="K1432" t="str">
        <f t="shared" si="185"/>
        <v>No</v>
      </c>
      <c r="N1432">
        <v>110</v>
      </c>
      <c r="S1432">
        <v>0.5</v>
      </c>
      <c r="T1432">
        <f t="shared" si="186"/>
        <v>118.294</v>
      </c>
    </row>
    <row r="1433" spans="1:20" x14ac:dyDescent="0.55000000000000004">
      <c r="A1433">
        <v>64</v>
      </c>
      <c r="B1433" t="str">
        <f t="shared" si="180"/>
        <v>64_0</v>
      </c>
      <c r="C1433" s="2">
        <v>45709.138888888891</v>
      </c>
      <c r="D1433" t="s">
        <v>221</v>
      </c>
      <c r="E1433">
        <v>2</v>
      </c>
      <c r="F1433" t="s">
        <v>249</v>
      </c>
      <c r="G1433" t="str">
        <f t="shared" si="181"/>
        <v>Anguilla dieffenbachii</v>
      </c>
      <c r="H1433" t="str">
        <f t="shared" si="182"/>
        <v>Long_fin_eel</v>
      </c>
      <c r="I1433" t="str">
        <f t="shared" si="183"/>
        <v>Tuna</v>
      </c>
      <c r="J1433" t="str">
        <f t="shared" si="184"/>
        <v>Native</v>
      </c>
      <c r="K1433" t="str">
        <f t="shared" si="185"/>
        <v>Yes</v>
      </c>
      <c r="M1433">
        <v>600</v>
      </c>
      <c r="N1433">
        <v>400</v>
      </c>
      <c r="O1433">
        <v>1</v>
      </c>
      <c r="T1433" t="str">
        <f t="shared" si="186"/>
        <v/>
      </c>
    </row>
    <row r="1434" spans="1:20" x14ac:dyDescent="0.55000000000000004">
      <c r="A1434">
        <v>64</v>
      </c>
      <c r="B1434" t="str">
        <f t="shared" si="180"/>
        <v>64_0</v>
      </c>
      <c r="C1434" s="2">
        <v>45709.138888888891</v>
      </c>
      <c r="D1434" t="s">
        <v>221</v>
      </c>
      <c r="E1434">
        <v>2</v>
      </c>
      <c r="F1434" t="s">
        <v>242</v>
      </c>
      <c r="G1434" t="str">
        <f t="shared" si="181"/>
        <v>Gobiomorphus cotidianus</v>
      </c>
      <c r="H1434" t="str">
        <f t="shared" si="182"/>
        <v>Common_bully</v>
      </c>
      <c r="I1434" t="str">
        <f t="shared" si="183"/>
        <v>Toitoi</v>
      </c>
      <c r="J1434" t="str">
        <f t="shared" si="184"/>
        <v>Native</v>
      </c>
      <c r="K1434" t="str">
        <f t="shared" si="185"/>
        <v>No</v>
      </c>
      <c r="N1434">
        <v>609</v>
      </c>
      <c r="S1434">
        <v>2.5</v>
      </c>
      <c r="T1434">
        <f t="shared" si="186"/>
        <v>591.47</v>
      </c>
    </row>
    <row r="1435" spans="1:20" x14ac:dyDescent="0.55000000000000004">
      <c r="A1435">
        <v>64</v>
      </c>
      <c r="B1435" t="str">
        <f t="shared" si="180"/>
        <v>64_0</v>
      </c>
      <c r="C1435" s="2">
        <v>45709.138888888891</v>
      </c>
      <c r="D1435" t="s">
        <v>221</v>
      </c>
      <c r="E1435">
        <v>2</v>
      </c>
      <c r="F1435" t="s">
        <v>242</v>
      </c>
      <c r="G1435" t="str">
        <f t="shared" si="181"/>
        <v>Gobiomorphus cotidianus</v>
      </c>
      <c r="H1435" t="str">
        <f t="shared" si="182"/>
        <v>Common_bully</v>
      </c>
      <c r="I1435" t="str">
        <f t="shared" si="183"/>
        <v>Toitoi</v>
      </c>
      <c r="J1435" t="str">
        <f t="shared" si="184"/>
        <v>Native</v>
      </c>
      <c r="K1435" t="str">
        <f t="shared" si="185"/>
        <v>No</v>
      </c>
      <c r="N1435">
        <v>588</v>
      </c>
      <c r="S1435">
        <v>2.5</v>
      </c>
      <c r="T1435">
        <f t="shared" si="186"/>
        <v>591.47</v>
      </c>
    </row>
    <row r="1436" spans="1:20" x14ac:dyDescent="0.55000000000000004">
      <c r="A1436">
        <v>64</v>
      </c>
      <c r="B1436" t="str">
        <f t="shared" si="180"/>
        <v>64_0</v>
      </c>
      <c r="C1436" s="2">
        <v>45709.138888888891</v>
      </c>
      <c r="D1436" t="s">
        <v>221</v>
      </c>
      <c r="E1436">
        <v>2</v>
      </c>
      <c r="F1436" t="s">
        <v>242</v>
      </c>
      <c r="G1436" t="str">
        <f t="shared" si="181"/>
        <v>Gobiomorphus cotidianus</v>
      </c>
      <c r="H1436" t="str">
        <f t="shared" si="182"/>
        <v>Common_bully</v>
      </c>
      <c r="I1436" t="str">
        <f t="shared" si="183"/>
        <v>Toitoi</v>
      </c>
      <c r="J1436" t="str">
        <f t="shared" si="184"/>
        <v>Native</v>
      </c>
      <c r="K1436" t="str">
        <f t="shared" si="185"/>
        <v>No</v>
      </c>
      <c r="N1436">
        <v>611</v>
      </c>
      <c r="S1436">
        <v>2.5</v>
      </c>
      <c r="T1436">
        <f t="shared" si="186"/>
        <v>591.47</v>
      </c>
    </row>
    <row r="1437" spans="1:20" x14ac:dyDescent="0.55000000000000004">
      <c r="A1437">
        <v>64</v>
      </c>
      <c r="B1437" t="str">
        <f t="shared" si="180"/>
        <v>64_0</v>
      </c>
      <c r="C1437" s="2">
        <v>45709.138888888891</v>
      </c>
      <c r="D1437" t="s">
        <v>221</v>
      </c>
      <c r="E1437">
        <v>2</v>
      </c>
      <c r="F1437" t="s">
        <v>242</v>
      </c>
      <c r="G1437" t="str">
        <f t="shared" si="181"/>
        <v>Gobiomorphus cotidianus</v>
      </c>
      <c r="H1437" t="str">
        <f t="shared" si="182"/>
        <v>Common_bully</v>
      </c>
      <c r="I1437" t="str">
        <f t="shared" si="183"/>
        <v>Toitoi</v>
      </c>
      <c r="J1437" t="str">
        <f t="shared" si="184"/>
        <v>Native</v>
      </c>
      <c r="K1437" t="str">
        <f t="shared" si="185"/>
        <v>No</v>
      </c>
      <c r="N1437">
        <f>699-117</f>
        <v>582</v>
      </c>
      <c r="S1437">
        <v>2.5</v>
      </c>
      <c r="T1437">
        <f t="shared" si="186"/>
        <v>591.47</v>
      </c>
    </row>
    <row r="1438" spans="1:20" x14ac:dyDescent="0.55000000000000004">
      <c r="A1438">
        <v>64</v>
      </c>
      <c r="B1438" t="str">
        <f t="shared" si="180"/>
        <v>64_0</v>
      </c>
      <c r="C1438" s="2">
        <v>45709.138888888891</v>
      </c>
      <c r="D1438" t="s">
        <v>221</v>
      </c>
      <c r="E1438">
        <v>2</v>
      </c>
      <c r="F1438" t="s">
        <v>242</v>
      </c>
      <c r="G1438" t="str">
        <f t="shared" si="181"/>
        <v>Gobiomorphus cotidianus</v>
      </c>
      <c r="H1438" t="str">
        <f t="shared" si="182"/>
        <v>Common_bully</v>
      </c>
      <c r="I1438" t="str">
        <f t="shared" si="183"/>
        <v>Toitoi</v>
      </c>
      <c r="J1438" t="str">
        <f t="shared" si="184"/>
        <v>Native</v>
      </c>
      <c r="K1438" t="str">
        <f t="shared" si="185"/>
        <v>No</v>
      </c>
      <c r="N1438">
        <v>448</v>
      </c>
      <c r="S1438">
        <v>2</v>
      </c>
      <c r="T1438">
        <f t="shared" si="186"/>
        <v>473.17599999999999</v>
      </c>
    </row>
    <row r="1439" spans="1:20" x14ac:dyDescent="0.55000000000000004">
      <c r="A1439">
        <v>65</v>
      </c>
      <c r="B1439" t="str">
        <f t="shared" si="180"/>
        <v>65_0</v>
      </c>
      <c r="C1439" s="2">
        <v>45709.42083333333</v>
      </c>
      <c r="D1439" t="s">
        <v>245</v>
      </c>
      <c r="E1439">
        <v>2</v>
      </c>
      <c r="F1439" t="s">
        <v>242</v>
      </c>
      <c r="G1439" t="str">
        <f t="shared" si="181"/>
        <v>Gobiomorphus cotidianus</v>
      </c>
      <c r="H1439" t="str">
        <f t="shared" si="182"/>
        <v>Common_bully</v>
      </c>
      <c r="I1439" t="str">
        <f t="shared" si="183"/>
        <v>Toitoi</v>
      </c>
      <c r="J1439" t="str">
        <f t="shared" si="184"/>
        <v>Native</v>
      </c>
      <c r="K1439" t="str">
        <f t="shared" si="185"/>
        <v>No</v>
      </c>
      <c r="N1439">
        <v>6</v>
      </c>
      <c r="T1439" t="str">
        <f t="shared" si="186"/>
        <v/>
      </c>
    </row>
    <row r="1440" spans="1:20" x14ac:dyDescent="0.55000000000000004">
      <c r="A1440">
        <v>65</v>
      </c>
      <c r="B1440" t="str">
        <f t="shared" si="180"/>
        <v>65_0</v>
      </c>
      <c r="C1440" s="2">
        <v>45709.42083333333</v>
      </c>
      <c r="D1440" t="s">
        <v>221</v>
      </c>
      <c r="E1440">
        <v>2</v>
      </c>
      <c r="F1440" t="s">
        <v>249</v>
      </c>
      <c r="G1440" t="str">
        <f t="shared" si="181"/>
        <v>Anguilla dieffenbachii</v>
      </c>
      <c r="H1440" t="str">
        <f t="shared" si="182"/>
        <v>Long_fin_eel</v>
      </c>
      <c r="I1440" t="str">
        <f t="shared" si="183"/>
        <v>Tuna</v>
      </c>
      <c r="J1440" t="str">
        <f t="shared" si="184"/>
        <v>Native</v>
      </c>
      <c r="K1440" t="str">
        <f t="shared" si="185"/>
        <v>Yes</v>
      </c>
      <c r="M1440">
        <v>600</v>
      </c>
      <c r="N1440">
        <v>600</v>
      </c>
      <c r="O1440">
        <v>1</v>
      </c>
      <c r="T1440" t="str">
        <f t="shared" si="186"/>
        <v/>
      </c>
    </row>
    <row r="1441" spans="1:21" x14ac:dyDescent="0.55000000000000004">
      <c r="A1441">
        <v>65</v>
      </c>
      <c r="B1441" t="str">
        <f t="shared" ref="B1441:B1472" si="187">A1441 &amp; "_0"</f>
        <v>65_0</v>
      </c>
      <c r="C1441" s="2">
        <v>45709.42083333333</v>
      </c>
      <c r="D1441" t="s">
        <v>221</v>
      </c>
      <c r="E1441">
        <v>2</v>
      </c>
      <c r="F1441" t="s">
        <v>249</v>
      </c>
      <c r="G1441" t="str">
        <f t="shared" si="181"/>
        <v>Anguilla dieffenbachii</v>
      </c>
      <c r="H1441" t="str">
        <f t="shared" si="182"/>
        <v>Long_fin_eel</v>
      </c>
      <c r="I1441" t="str">
        <f t="shared" si="183"/>
        <v>Tuna</v>
      </c>
      <c r="J1441" t="str">
        <f t="shared" si="184"/>
        <v>Native</v>
      </c>
      <c r="K1441" t="str">
        <f t="shared" si="185"/>
        <v>Yes</v>
      </c>
      <c r="M1441">
        <v>750</v>
      </c>
      <c r="N1441">
        <v>1500</v>
      </c>
      <c r="O1441">
        <v>1</v>
      </c>
      <c r="T1441" t="str">
        <f t="shared" si="186"/>
        <v/>
      </c>
    </row>
    <row r="1442" spans="1:21" x14ac:dyDescent="0.55000000000000004">
      <c r="A1442">
        <v>65</v>
      </c>
      <c r="B1442" t="str">
        <f t="shared" si="187"/>
        <v>65_0</v>
      </c>
      <c r="C1442" s="2">
        <v>45709.420833275464</v>
      </c>
      <c r="D1442" t="s">
        <v>221</v>
      </c>
      <c r="E1442">
        <v>2</v>
      </c>
      <c r="F1442" t="s">
        <v>239</v>
      </c>
      <c r="G1442" t="str">
        <f t="shared" si="181"/>
        <v>Oncorhynchus mykiss</v>
      </c>
      <c r="H1442" t="str">
        <f t="shared" si="182"/>
        <v>Rainbow_trout</v>
      </c>
      <c r="I1442" t="str">
        <f t="shared" si="183"/>
        <v>Rainbow_trout</v>
      </c>
      <c r="J1442" t="str">
        <f t="shared" si="184"/>
        <v>Nonnative</v>
      </c>
      <c r="K1442" t="str">
        <f t="shared" si="185"/>
        <v>No</v>
      </c>
      <c r="M1442">
        <v>81</v>
      </c>
      <c r="N1442">
        <v>9</v>
      </c>
      <c r="O1442">
        <v>1</v>
      </c>
      <c r="T1442" t="str">
        <f t="shared" si="186"/>
        <v/>
      </c>
    </row>
    <row r="1443" spans="1:21" x14ac:dyDescent="0.55000000000000004">
      <c r="A1443">
        <v>65</v>
      </c>
      <c r="B1443" t="str">
        <f t="shared" si="187"/>
        <v>65_0</v>
      </c>
      <c r="C1443" s="2">
        <v>45709.420833275464</v>
      </c>
      <c r="D1443" t="s">
        <v>221</v>
      </c>
      <c r="E1443">
        <v>2</v>
      </c>
      <c r="F1443" t="s">
        <v>242</v>
      </c>
      <c r="G1443" t="str">
        <f t="shared" si="181"/>
        <v>Gobiomorphus cotidianus</v>
      </c>
      <c r="H1443" t="str">
        <f t="shared" si="182"/>
        <v>Common_bully</v>
      </c>
      <c r="I1443" t="str">
        <f t="shared" si="183"/>
        <v>Toitoi</v>
      </c>
      <c r="J1443" t="str">
        <f t="shared" si="184"/>
        <v>Native</v>
      </c>
      <c r="K1443" t="str">
        <f t="shared" si="185"/>
        <v>No</v>
      </c>
      <c r="N1443">
        <v>306</v>
      </c>
      <c r="S1443">
        <v>1.25</v>
      </c>
      <c r="T1443">
        <f t="shared" si="186"/>
        <v>295.73500000000001</v>
      </c>
    </row>
    <row r="1444" spans="1:21" x14ac:dyDescent="0.55000000000000004">
      <c r="A1444">
        <v>65</v>
      </c>
      <c r="B1444" t="str">
        <f t="shared" si="187"/>
        <v>65_0</v>
      </c>
      <c r="C1444" s="2">
        <v>45709.420833275464</v>
      </c>
      <c r="D1444" t="s">
        <v>221</v>
      </c>
      <c r="E1444">
        <v>2</v>
      </c>
      <c r="F1444" t="s">
        <v>242</v>
      </c>
      <c r="G1444" t="str">
        <f t="shared" si="181"/>
        <v>Gobiomorphus cotidianus</v>
      </c>
      <c r="H1444" t="str">
        <f t="shared" si="182"/>
        <v>Common_bully</v>
      </c>
      <c r="I1444" t="str">
        <f t="shared" si="183"/>
        <v>Toitoi</v>
      </c>
      <c r="J1444" t="str">
        <f t="shared" si="184"/>
        <v>Native</v>
      </c>
      <c r="K1444" t="str">
        <f t="shared" si="185"/>
        <v>No</v>
      </c>
      <c r="N1444">
        <v>600</v>
      </c>
      <c r="S1444">
        <v>2.5</v>
      </c>
      <c r="T1444">
        <f t="shared" si="186"/>
        <v>591.47</v>
      </c>
    </row>
    <row r="1445" spans="1:21" x14ac:dyDescent="0.55000000000000004">
      <c r="A1445">
        <v>65</v>
      </c>
      <c r="B1445" t="str">
        <f t="shared" si="187"/>
        <v>65_0</v>
      </c>
      <c r="C1445" s="2">
        <v>45709.420833275464</v>
      </c>
      <c r="D1445" t="s">
        <v>221</v>
      </c>
      <c r="E1445">
        <v>2</v>
      </c>
      <c r="F1445" t="s">
        <v>242</v>
      </c>
      <c r="G1445" t="str">
        <f t="shared" si="181"/>
        <v>Gobiomorphus cotidianus</v>
      </c>
      <c r="H1445" t="str">
        <f t="shared" si="182"/>
        <v>Common_bully</v>
      </c>
      <c r="I1445" t="str">
        <f t="shared" si="183"/>
        <v>Toitoi</v>
      </c>
      <c r="J1445" t="str">
        <f t="shared" si="184"/>
        <v>Native</v>
      </c>
      <c r="K1445" t="str">
        <f t="shared" si="185"/>
        <v>No</v>
      </c>
      <c r="N1445">
        <v>468</v>
      </c>
      <c r="S1445">
        <v>2</v>
      </c>
      <c r="T1445">
        <f t="shared" si="186"/>
        <v>473.17599999999999</v>
      </c>
    </row>
    <row r="1446" spans="1:21" x14ac:dyDescent="0.55000000000000004">
      <c r="A1446">
        <v>65</v>
      </c>
      <c r="B1446" t="str">
        <f t="shared" si="187"/>
        <v>65_0</v>
      </c>
      <c r="C1446" s="2">
        <v>45709.420833275464</v>
      </c>
      <c r="D1446" t="s">
        <v>221</v>
      </c>
      <c r="E1446">
        <v>2</v>
      </c>
      <c r="F1446" t="s">
        <v>242</v>
      </c>
      <c r="G1446" t="str">
        <f t="shared" si="181"/>
        <v>Gobiomorphus cotidianus</v>
      </c>
      <c r="H1446" t="str">
        <f t="shared" si="182"/>
        <v>Common_bully</v>
      </c>
      <c r="I1446" t="str">
        <f t="shared" si="183"/>
        <v>Toitoi</v>
      </c>
      <c r="J1446" t="str">
        <f t="shared" si="184"/>
        <v>Native</v>
      </c>
      <c r="K1446" t="str">
        <f t="shared" si="185"/>
        <v>No</v>
      </c>
      <c r="N1446">
        <v>216</v>
      </c>
      <c r="S1446">
        <v>1</v>
      </c>
      <c r="T1446">
        <f t="shared" si="186"/>
        <v>236.58799999999999</v>
      </c>
    </row>
    <row r="1447" spans="1:21" x14ac:dyDescent="0.55000000000000004">
      <c r="A1447">
        <v>66</v>
      </c>
      <c r="B1447" t="str">
        <f t="shared" si="187"/>
        <v>66_0</v>
      </c>
      <c r="C1447" s="2">
        <v>45709.513888888891</v>
      </c>
      <c r="D1447" t="s">
        <v>245</v>
      </c>
      <c r="E1447">
        <v>2</v>
      </c>
      <c r="F1447" t="s">
        <v>242</v>
      </c>
      <c r="G1447" t="str">
        <f t="shared" si="181"/>
        <v>Gobiomorphus cotidianus</v>
      </c>
      <c r="H1447" t="str">
        <f t="shared" si="182"/>
        <v>Common_bully</v>
      </c>
      <c r="I1447" t="str">
        <f t="shared" si="183"/>
        <v>Toitoi</v>
      </c>
      <c r="J1447" t="str">
        <f t="shared" si="184"/>
        <v>Native</v>
      </c>
      <c r="K1447" t="str">
        <f t="shared" si="185"/>
        <v>No</v>
      </c>
      <c r="N1447">
        <v>1</v>
      </c>
      <c r="O1447">
        <v>1</v>
      </c>
      <c r="T1447" t="str">
        <f t="shared" si="186"/>
        <v/>
      </c>
    </row>
    <row r="1448" spans="1:21" x14ac:dyDescent="0.55000000000000004">
      <c r="A1448">
        <v>98</v>
      </c>
      <c r="B1448" t="str">
        <f t="shared" si="187"/>
        <v>98_0</v>
      </c>
      <c r="C1448" s="2">
        <v>45603.5625</v>
      </c>
      <c r="D1448" t="s">
        <v>221</v>
      </c>
      <c r="E1448">
        <v>2</v>
      </c>
      <c r="F1448" t="s">
        <v>222</v>
      </c>
      <c r="G1448" t="str">
        <f t="shared" si="181"/>
        <v>Paranephrops planifrons</v>
      </c>
      <c r="H1448" t="str">
        <f t="shared" si="182"/>
        <v>Freshwater_crayfish</v>
      </c>
      <c r="I1448" t="str">
        <f t="shared" si="183"/>
        <v>Kōura</v>
      </c>
      <c r="J1448" t="str">
        <f t="shared" si="184"/>
        <v>Native</v>
      </c>
      <c r="K1448" t="str">
        <f t="shared" si="185"/>
        <v>Yes</v>
      </c>
      <c r="L1448" t="s">
        <v>223</v>
      </c>
      <c r="M1448">
        <v>15.15</v>
      </c>
      <c r="O1448">
        <v>1</v>
      </c>
      <c r="T1448" t="str">
        <f t="shared" si="186"/>
        <v/>
      </c>
    </row>
    <row r="1449" spans="1:21" x14ac:dyDescent="0.55000000000000004">
      <c r="A1449">
        <v>106</v>
      </c>
      <c r="B1449" t="str">
        <f t="shared" si="187"/>
        <v>106_0</v>
      </c>
      <c r="C1449" s="2">
        <v>45603.4375</v>
      </c>
      <c r="D1449" t="s">
        <v>221</v>
      </c>
      <c r="E1449">
        <v>2</v>
      </c>
      <c r="F1449" t="s">
        <v>222</v>
      </c>
      <c r="G1449" t="str">
        <f t="shared" si="181"/>
        <v>Paranephrops planifrons</v>
      </c>
      <c r="H1449" t="str">
        <f t="shared" si="182"/>
        <v>Freshwater_crayfish</v>
      </c>
      <c r="I1449" t="str">
        <f t="shared" si="183"/>
        <v>Kōura</v>
      </c>
      <c r="J1449" t="str">
        <f t="shared" si="184"/>
        <v>Native</v>
      </c>
      <c r="K1449" t="str">
        <f t="shared" si="185"/>
        <v>Yes</v>
      </c>
      <c r="L1449" t="s">
        <v>228</v>
      </c>
      <c r="M1449">
        <v>15</v>
      </c>
      <c r="N1449">
        <v>4</v>
      </c>
      <c r="O1449">
        <v>1</v>
      </c>
      <c r="T1449" t="str">
        <f t="shared" si="186"/>
        <v/>
      </c>
    </row>
    <row r="1450" spans="1:21" x14ac:dyDescent="0.55000000000000004">
      <c r="A1450">
        <v>106</v>
      </c>
      <c r="B1450" t="str">
        <f t="shared" si="187"/>
        <v>106_0</v>
      </c>
      <c r="C1450" s="2">
        <v>45603.4375</v>
      </c>
      <c r="D1450" t="s">
        <v>221</v>
      </c>
      <c r="E1450">
        <v>2</v>
      </c>
      <c r="F1450" t="s">
        <v>222</v>
      </c>
      <c r="G1450" t="str">
        <f t="shared" si="181"/>
        <v>Paranephrops planifrons</v>
      </c>
      <c r="H1450" t="str">
        <f t="shared" si="182"/>
        <v>Freshwater_crayfish</v>
      </c>
      <c r="I1450" t="str">
        <f t="shared" si="183"/>
        <v>Kōura</v>
      </c>
      <c r="J1450" t="str">
        <f t="shared" si="184"/>
        <v>Native</v>
      </c>
      <c r="K1450" t="str">
        <f t="shared" si="185"/>
        <v>Yes</v>
      </c>
      <c r="L1450" t="s">
        <v>228</v>
      </c>
      <c r="M1450">
        <v>15</v>
      </c>
      <c r="N1450">
        <v>3</v>
      </c>
      <c r="O1450">
        <v>1</v>
      </c>
      <c r="T1450" t="str">
        <f t="shared" si="186"/>
        <v/>
      </c>
    </row>
    <row r="1451" spans="1:21" x14ac:dyDescent="0.55000000000000004">
      <c r="A1451">
        <v>106</v>
      </c>
      <c r="B1451" t="str">
        <f t="shared" si="187"/>
        <v>106_0</v>
      </c>
      <c r="C1451" s="2">
        <v>45603.4375</v>
      </c>
      <c r="D1451" t="s">
        <v>221</v>
      </c>
      <c r="E1451">
        <v>2</v>
      </c>
      <c r="F1451" t="s">
        <v>222</v>
      </c>
      <c r="G1451" t="str">
        <f t="shared" si="181"/>
        <v>Paranephrops planifrons</v>
      </c>
      <c r="H1451" t="str">
        <f t="shared" si="182"/>
        <v>Freshwater_crayfish</v>
      </c>
      <c r="I1451" t="str">
        <f t="shared" si="183"/>
        <v>Kōura</v>
      </c>
      <c r="J1451" t="str">
        <f t="shared" si="184"/>
        <v>Native</v>
      </c>
      <c r="K1451" t="str">
        <f t="shared" si="185"/>
        <v>Yes</v>
      </c>
      <c r="L1451" t="s">
        <v>228</v>
      </c>
      <c r="M1451">
        <v>15</v>
      </c>
      <c r="N1451">
        <v>2</v>
      </c>
      <c r="O1451">
        <v>1</v>
      </c>
      <c r="T1451" t="str">
        <f t="shared" si="186"/>
        <v/>
      </c>
    </row>
    <row r="1452" spans="1:21" x14ac:dyDescent="0.55000000000000004">
      <c r="A1452">
        <v>102</v>
      </c>
      <c r="B1452" t="str">
        <f t="shared" si="187"/>
        <v>102_0</v>
      </c>
      <c r="C1452" s="2">
        <v>45603.477083275466</v>
      </c>
      <c r="D1452" t="s">
        <v>221</v>
      </c>
      <c r="E1452">
        <v>2</v>
      </c>
      <c r="F1452" t="s">
        <v>222</v>
      </c>
      <c r="G1452" t="str">
        <f t="shared" si="181"/>
        <v>Paranephrops planifrons</v>
      </c>
      <c r="H1452" t="str">
        <f t="shared" si="182"/>
        <v>Freshwater_crayfish</v>
      </c>
      <c r="I1452" t="str">
        <f t="shared" si="183"/>
        <v>Kōura</v>
      </c>
      <c r="J1452" t="str">
        <f t="shared" si="184"/>
        <v>Native</v>
      </c>
      <c r="K1452" t="str">
        <f t="shared" si="185"/>
        <v>Yes</v>
      </c>
      <c r="L1452" t="s">
        <v>228</v>
      </c>
      <c r="M1452">
        <v>15</v>
      </c>
      <c r="O1452">
        <v>1</v>
      </c>
      <c r="T1452" t="str">
        <f t="shared" si="186"/>
        <v/>
      </c>
      <c r="U1452" t="s">
        <v>256</v>
      </c>
    </row>
    <row r="1453" spans="1:21" x14ac:dyDescent="0.55000000000000004">
      <c r="A1453">
        <v>98</v>
      </c>
      <c r="B1453" t="str">
        <f t="shared" si="187"/>
        <v>98_0</v>
      </c>
      <c r="C1453" s="2">
        <v>45603.5625</v>
      </c>
      <c r="D1453" t="s">
        <v>221</v>
      </c>
      <c r="E1453">
        <v>2</v>
      </c>
      <c r="F1453" t="s">
        <v>222</v>
      </c>
      <c r="G1453" t="str">
        <f t="shared" si="181"/>
        <v>Paranephrops planifrons</v>
      </c>
      <c r="H1453" t="str">
        <f t="shared" si="182"/>
        <v>Freshwater_crayfish</v>
      </c>
      <c r="I1453" t="str">
        <f t="shared" si="183"/>
        <v>Kōura</v>
      </c>
      <c r="J1453" t="str">
        <f t="shared" si="184"/>
        <v>Native</v>
      </c>
      <c r="K1453" t="str">
        <f t="shared" si="185"/>
        <v>Yes</v>
      </c>
      <c r="L1453" t="s">
        <v>228</v>
      </c>
      <c r="M1453">
        <v>13.62</v>
      </c>
      <c r="O1453">
        <v>1</v>
      </c>
      <c r="T1453" t="str">
        <f t="shared" si="186"/>
        <v/>
      </c>
    </row>
    <row r="1454" spans="1:21" x14ac:dyDescent="0.55000000000000004">
      <c r="A1454">
        <v>98</v>
      </c>
      <c r="B1454" t="str">
        <f t="shared" si="187"/>
        <v>98_0</v>
      </c>
      <c r="C1454" s="2">
        <v>45603.5625</v>
      </c>
      <c r="D1454" t="s">
        <v>221</v>
      </c>
      <c r="E1454">
        <v>2</v>
      </c>
      <c r="F1454" t="s">
        <v>222</v>
      </c>
      <c r="G1454" t="str">
        <f t="shared" si="181"/>
        <v>Paranephrops planifrons</v>
      </c>
      <c r="H1454" t="str">
        <f t="shared" si="182"/>
        <v>Freshwater_crayfish</v>
      </c>
      <c r="I1454" t="str">
        <f t="shared" si="183"/>
        <v>Kōura</v>
      </c>
      <c r="J1454" t="str">
        <f t="shared" si="184"/>
        <v>Native</v>
      </c>
      <c r="K1454" t="str">
        <f t="shared" si="185"/>
        <v>Yes</v>
      </c>
      <c r="L1454" t="s">
        <v>228</v>
      </c>
      <c r="M1454">
        <v>13.26</v>
      </c>
      <c r="O1454">
        <v>1</v>
      </c>
      <c r="T1454" t="str">
        <f t="shared" si="186"/>
        <v/>
      </c>
    </row>
    <row r="1455" spans="1:21" x14ac:dyDescent="0.55000000000000004">
      <c r="A1455">
        <v>120</v>
      </c>
      <c r="B1455" t="str">
        <f t="shared" si="187"/>
        <v>120_0</v>
      </c>
      <c r="C1455" s="2">
        <v>45597.429166666669</v>
      </c>
      <c r="D1455" t="s">
        <v>221</v>
      </c>
      <c r="E1455">
        <v>2</v>
      </c>
      <c r="F1455" t="s">
        <v>222</v>
      </c>
      <c r="G1455" t="str">
        <f t="shared" si="181"/>
        <v>Paranephrops planifrons</v>
      </c>
      <c r="H1455" t="str">
        <f t="shared" si="182"/>
        <v>Freshwater_crayfish</v>
      </c>
      <c r="I1455" t="str">
        <f t="shared" si="183"/>
        <v>Kōura</v>
      </c>
      <c r="J1455" t="str">
        <f t="shared" si="184"/>
        <v>Native</v>
      </c>
      <c r="K1455" t="str">
        <f t="shared" si="185"/>
        <v>Yes</v>
      </c>
      <c r="L1455" t="s">
        <v>228</v>
      </c>
      <c r="M1455">
        <v>13</v>
      </c>
      <c r="N1455">
        <v>3</v>
      </c>
      <c r="O1455">
        <v>1</v>
      </c>
      <c r="T1455" t="str">
        <f t="shared" si="186"/>
        <v/>
      </c>
    </row>
    <row r="1456" spans="1:21" x14ac:dyDescent="0.55000000000000004">
      <c r="A1456">
        <v>98</v>
      </c>
      <c r="B1456" t="str">
        <f t="shared" si="187"/>
        <v>98_0</v>
      </c>
      <c r="C1456" s="2">
        <v>45603.5625</v>
      </c>
      <c r="D1456" t="s">
        <v>221</v>
      </c>
      <c r="E1456">
        <v>2</v>
      </c>
      <c r="F1456" t="s">
        <v>222</v>
      </c>
      <c r="G1456" t="str">
        <f t="shared" si="181"/>
        <v>Paranephrops planifrons</v>
      </c>
      <c r="H1456" t="str">
        <f t="shared" si="182"/>
        <v>Freshwater_crayfish</v>
      </c>
      <c r="I1456" t="str">
        <f t="shared" si="183"/>
        <v>Kōura</v>
      </c>
      <c r="J1456" t="str">
        <f t="shared" si="184"/>
        <v>Native</v>
      </c>
      <c r="K1456" t="str">
        <f t="shared" si="185"/>
        <v>Yes</v>
      </c>
      <c r="L1456" t="s">
        <v>228</v>
      </c>
      <c r="M1456">
        <v>12.9</v>
      </c>
      <c r="O1456">
        <v>1</v>
      </c>
      <c r="T1456" t="str">
        <f t="shared" si="186"/>
        <v/>
      </c>
    </row>
    <row r="1457" spans="1:20" x14ac:dyDescent="0.55000000000000004">
      <c r="A1457">
        <v>98</v>
      </c>
      <c r="B1457" t="str">
        <f t="shared" si="187"/>
        <v>98_0</v>
      </c>
      <c r="C1457" s="2">
        <v>45603.5625</v>
      </c>
      <c r="D1457" t="s">
        <v>221</v>
      </c>
      <c r="E1457">
        <v>2</v>
      </c>
      <c r="F1457" t="s">
        <v>222</v>
      </c>
      <c r="G1457" t="str">
        <f t="shared" si="181"/>
        <v>Paranephrops planifrons</v>
      </c>
      <c r="H1457" t="str">
        <f t="shared" si="182"/>
        <v>Freshwater_crayfish</v>
      </c>
      <c r="I1457" t="str">
        <f t="shared" si="183"/>
        <v>Kōura</v>
      </c>
      <c r="J1457" t="str">
        <f t="shared" si="184"/>
        <v>Native</v>
      </c>
      <c r="K1457" t="str">
        <f t="shared" si="185"/>
        <v>Yes</v>
      </c>
      <c r="L1457" t="s">
        <v>228</v>
      </c>
      <c r="M1457">
        <v>12.9</v>
      </c>
      <c r="O1457">
        <v>1</v>
      </c>
      <c r="T1457" t="str">
        <f t="shared" si="186"/>
        <v/>
      </c>
    </row>
    <row r="1458" spans="1:20" x14ac:dyDescent="0.55000000000000004">
      <c r="A1458">
        <v>98</v>
      </c>
      <c r="B1458" t="str">
        <f t="shared" si="187"/>
        <v>98_0</v>
      </c>
      <c r="C1458" s="2">
        <v>45603.5625</v>
      </c>
      <c r="D1458" t="s">
        <v>221</v>
      </c>
      <c r="E1458">
        <v>2</v>
      </c>
      <c r="F1458" t="s">
        <v>222</v>
      </c>
      <c r="G1458" t="str">
        <f t="shared" si="181"/>
        <v>Paranephrops planifrons</v>
      </c>
      <c r="H1458" t="str">
        <f t="shared" si="182"/>
        <v>Freshwater_crayfish</v>
      </c>
      <c r="I1458" t="str">
        <f t="shared" si="183"/>
        <v>Kōura</v>
      </c>
      <c r="J1458" t="str">
        <f t="shared" si="184"/>
        <v>Native</v>
      </c>
      <c r="K1458" t="str">
        <f t="shared" si="185"/>
        <v>Yes</v>
      </c>
      <c r="L1458" t="s">
        <v>223</v>
      </c>
      <c r="M1458">
        <v>12.05</v>
      </c>
      <c r="O1458">
        <v>1</v>
      </c>
      <c r="T1458" t="str">
        <f t="shared" si="186"/>
        <v/>
      </c>
    </row>
    <row r="1459" spans="1:20" x14ac:dyDescent="0.55000000000000004">
      <c r="A1459">
        <v>66</v>
      </c>
      <c r="B1459" t="str">
        <f t="shared" si="187"/>
        <v>66_0</v>
      </c>
      <c r="C1459" s="2">
        <v>45709.513888888891</v>
      </c>
      <c r="D1459" t="s">
        <v>221</v>
      </c>
      <c r="E1459">
        <v>2</v>
      </c>
      <c r="F1459" t="s">
        <v>242</v>
      </c>
      <c r="G1459" t="str">
        <f t="shared" si="181"/>
        <v>Gobiomorphus cotidianus</v>
      </c>
      <c r="H1459" t="str">
        <f t="shared" si="182"/>
        <v>Common_bully</v>
      </c>
      <c r="I1459" t="str">
        <f t="shared" si="183"/>
        <v>Toitoi</v>
      </c>
      <c r="J1459" t="str">
        <f t="shared" si="184"/>
        <v>Native</v>
      </c>
      <c r="K1459" t="str">
        <f t="shared" si="185"/>
        <v>No</v>
      </c>
      <c r="N1459">
        <v>395</v>
      </c>
      <c r="S1459">
        <v>2</v>
      </c>
      <c r="T1459">
        <f t="shared" si="186"/>
        <v>473.17599999999999</v>
      </c>
    </row>
    <row r="1460" spans="1:20" x14ac:dyDescent="0.55000000000000004">
      <c r="A1460">
        <v>66</v>
      </c>
      <c r="B1460" t="str">
        <f t="shared" si="187"/>
        <v>66_0</v>
      </c>
      <c r="C1460" s="2">
        <v>45709.513888888891</v>
      </c>
      <c r="D1460" t="s">
        <v>221</v>
      </c>
      <c r="E1460">
        <v>2</v>
      </c>
      <c r="F1460" t="s">
        <v>316</v>
      </c>
      <c r="G1460" t="str">
        <f t="shared" si="181"/>
        <v>Gambusia affinis</v>
      </c>
      <c r="H1460" t="str">
        <f t="shared" si="182"/>
        <v>Gambusia</v>
      </c>
      <c r="I1460" t="str">
        <f t="shared" si="183"/>
        <v>Mosquitofish</v>
      </c>
      <c r="J1460" t="str">
        <f t="shared" si="184"/>
        <v>Nonnative</v>
      </c>
      <c r="K1460" t="str">
        <f t="shared" si="185"/>
        <v>No</v>
      </c>
      <c r="O1460">
        <v>1</v>
      </c>
      <c r="T1460" t="str">
        <f t="shared" si="186"/>
        <v/>
      </c>
    </row>
    <row r="1461" spans="1:20" x14ac:dyDescent="0.55000000000000004">
      <c r="A1461">
        <v>98</v>
      </c>
      <c r="B1461" t="str">
        <f t="shared" si="187"/>
        <v>98_0</v>
      </c>
      <c r="C1461" s="2">
        <v>45603.5625</v>
      </c>
      <c r="D1461" t="s">
        <v>221</v>
      </c>
      <c r="E1461">
        <v>2</v>
      </c>
      <c r="F1461" t="s">
        <v>222</v>
      </c>
      <c r="G1461" t="str">
        <f t="shared" si="181"/>
        <v>Paranephrops planifrons</v>
      </c>
      <c r="H1461" t="str">
        <f t="shared" si="182"/>
        <v>Freshwater_crayfish</v>
      </c>
      <c r="I1461" t="str">
        <f t="shared" si="183"/>
        <v>Kōura</v>
      </c>
      <c r="J1461" t="str">
        <f t="shared" si="184"/>
        <v>Native</v>
      </c>
      <c r="K1461" t="str">
        <f t="shared" si="185"/>
        <v>Yes</v>
      </c>
      <c r="L1461" t="s">
        <v>228</v>
      </c>
      <c r="M1461">
        <v>12.04</v>
      </c>
      <c r="O1461">
        <v>1</v>
      </c>
      <c r="T1461" t="str">
        <f t="shared" si="186"/>
        <v/>
      </c>
    </row>
    <row r="1462" spans="1:20" x14ac:dyDescent="0.55000000000000004">
      <c r="A1462">
        <v>66</v>
      </c>
      <c r="B1462" t="str">
        <f t="shared" si="187"/>
        <v>66_0</v>
      </c>
      <c r="C1462" s="2">
        <v>45709.513888888891</v>
      </c>
      <c r="D1462" t="s">
        <v>221</v>
      </c>
      <c r="E1462">
        <v>2</v>
      </c>
      <c r="F1462" t="s">
        <v>316</v>
      </c>
      <c r="G1462" t="str">
        <f t="shared" si="181"/>
        <v>Gambusia affinis</v>
      </c>
      <c r="H1462" t="str">
        <f t="shared" si="182"/>
        <v>Gambusia</v>
      </c>
      <c r="I1462" t="str">
        <f t="shared" si="183"/>
        <v>Mosquitofish</v>
      </c>
      <c r="J1462" t="str">
        <f t="shared" si="184"/>
        <v>Nonnative</v>
      </c>
      <c r="K1462" t="str">
        <f t="shared" si="185"/>
        <v>No</v>
      </c>
      <c r="O1462">
        <v>2</v>
      </c>
      <c r="T1462" t="str">
        <f t="shared" si="186"/>
        <v/>
      </c>
    </row>
    <row r="1463" spans="1:20" x14ac:dyDescent="0.55000000000000004">
      <c r="A1463">
        <v>66</v>
      </c>
      <c r="B1463" t="str">
        <f t="shared" si="187"/>
        <v>66_0</v>
      </c>
      <c r="C1463" s="2">
        <v>45709.513888888891</v>
      </c>
      <c r="D1463" t="s">
        <v>221</v>
      </c>
      <c r="E1463">
        <v>2</v>
      </c>
      <c r="F1463" t="s">
        <v>242</v>
      </c>
      <c r="G1463" t="str">
        <f t="shared" si="181"/>
        <v>Gobiomorphus cotidianus</v>
      </c>
      <c r="H1463" t="str">
        <f t="shared" si="182"/>
        <v>Common_bully</v>
      </c>
      <c r="I1463" t="str">
        <f t="shared" si="183"/>
        <v>Toitoi</v>
      </c>
      <c r="J1463" t="str">
        <f t="shared" si="184"/>
        <v>Native</v>
      </c>
      <c r="K1463" t="str">
        <f t="shared" si="185"/>
        <v>No</v>
      </c>
      <c r="N1463">
        <v>241</v>
      </c>
      <c r="S1463">
        <v>1</v>
      </c>
      <c r="T1463">
        <f t="shared" si="186"/>
        <v>236.58799999999999</v>
      </c>
    </row>
    <row r="1464" spans="1:20" x14ac:dyDescent="0.55000000000000004">
      <c r="A1464">
        <v>67</v>
      </c>
      <c r="B1464" t="str">
        <f t="shared" si="187"/>
        <v>67_0</v>
      </c>
      <c r="C1464" s="2">
        <v>45709.402777777781</v>
      </c>
      <c r="D1464" t="s">
        <v>245</v>
      </c>
      <c r="E1464">
        <v>2</v>
      </c>
      <c r="F1464" t="s">
        <v>242</v>
      </c>
      <c r="G1464" t="str">
        <f t="shared" si="181"/>
        <v>Gobiomorphus cotidianus</v>
      </c>
      <c r="H1464" t="str">
        <f t="shared" si="182"/>
        <v>Common_bully</v>
      </c>
      <c r="I1464" t="str">
        <f t="shared" si="183"/>
        <v>Toitoi</v>
      </c>
      <c r="J1464" t="str">
        <f t="shared" si="184"/>
        <v>Native</v>
      </c>
      <c r="K1464" t="str">
        <f t="shared" si="185"/>
        <v>No</v>
      </c>
      <c r="N1464">
        <v>12</v>
      </c>
      <c r="O1464">
        <v>7</v>
      </c>
      <c r="T1464" t="str">
        <f t="shared" si="186"/>
        <v/>
      </c>
    </row>
    <row r="1465" spans="1:20" x14ac:dyDescent="0.55000000000000004">
      <c r="A1465">
        <v>67</v>
      </c>
      <c r="B1465" t="str">
        <f t="shared" si="187"/>
        <v>67_0</v>
      </c>
      <c r="C1465" s="2">
        <v>45709.402777777781</v>
      </c>
      <c r="D1465" t="s">
        <v>221</v>
      </c>
      <c r="E1465">
        <v>2</v>
      </c>
      <c r="F1465" t="s">
        <v>242</v>
      </c>
      <c r="G1465" t="str">
        <f t="shared" si="181"/>
        <v>Gobiomorphus cotidianus</v>
      </c>
      <c r="H1465" t="str">
        <f t="shared" si="182"/>
        <v>Common_bully</v>
      </c>
      <c r="I1465" t="str">
        <f t="shared" si="183"/>
        <v>Toitoi</v>
      </c>
      <c r="J1465" t="str">
        <f t="shared" si="184"/>
        <v>Native</v>
      </c>
      <c r="K1465" t="str">
        <f t="shared" si="185"/>
        <v>No</v>
      </c>
      <c r="N1465">
        <f>223-117</f>
        <v>106</v>
      </c>
      <c r="S1465">
        <v>0.5</v>
      </c>
      <c r="T1465">
        <f t="shared" si="186"/>
        <v>118.294</v>
      </c>
    </row>
    <row r="1466" spans="1:20" x14ac:dyDescent="0.55000000000000004">
      <c r="A1466">
        <v>67</v>
      </c>
      <c r="B1466" t="str">
        <f t="shared" si="187"/>
        <v>67_0</v>
      </c>
      <c r="C1466" s="2">
        <v>45709.402777777781</v>
      </c>
      <c r="D1466" t="s">
        <v>221</v>
      </c>
      <c r="E1466">
        <v>2</v>
      </c>
      <c r="F1466" t="s">
        <v>243</v>
      </c>
      <c r="G1466" t="str">
        <f t="shared" si="181"/>
        <v>Retropinna retropinna</v>
      </c>
      <c r="H1466" t="str">
        <f t="shared" si="182"/>
        <v>Common_smelt</v>
      </c>
      <c r="I1466" t="str">
        <f t="shared" si="183"/>
        <v>Common_smelt</v>
      </c>
      <c r="J1466" t="str">
        <f t="shared" si="184"/>
        <v>Native</v>
      </c>
      <c r="K1466" t="str">
        <f t="shared" si="185"/>
        <v>No</v>
      </c>
      <c r="O1466">
        <v>1</v>
      </c>
      <c r="T1466" t="str">
        <f t="shared" si="186"/>
        <v/>
      </c>
    </row>
    <row r="1467" spans="1:20" x14ac:dyDescent="0.55000000000000004">
      <c r="A1467">
        <v>67</v>
      </c>
      <c r="B1467" t="str">
        <f t="shared" si="187"/>
        <v>67_0</v>
      </c>
      <c r="C1467" s="2">
        <v>45709.402777777781</v>
      </c>
      <c r="D1467" t="s">
        <v>221</v>
      </c>
      <c r="E1467">
        <v>2</v>
      </c>
      <c r="F1467" t="s">
        <v>242</v>
      </c>
      <c r="G1467" t="str">
        <f t="shared" si="181"/>
        <v>Gobiomorphus cotidianus</v>
      </c>
      <c r="H1467" t="str">
        <f t="shared" si="182"/>
        <v>Common_bully</v>
      </c>
      <c r="I1467" t="str">
        <f t="shared" si="183"/>
        <v>Toitoi</v>
      </c>
      <c r="J1467" t="str">
        <f t="shared" si="184"/>
        <v>Native</v>
      </c>
      <c r="K1467" t="str">
        <f t="shared" si="185"/>
        <v>No</v>
      </c>
      <c r="N1467">
        <v>529</v>
      </c>
      <c r="S1467">
        <v>2.5</v>
      </c>
      <c r="T1467">
        <f t="shared" si="186"/>
        <v>591.47</v>
      </c>
    </row>
    <row r="1468" spans="1:20" x14ac:dyDescent="0.55000000000000004">
      <c r="A1468">
        <v>67</v>
      </c>
      <c r="B1468" t="str">
        <f t="shared" si="187"/>
        <v>67_0</v>
      </c>
      <c r="C1468" s="2">
        <v>45709.402777777781</v>
      </c>
      <c r="D1468" t="s">
        <v>221</v>
      </c>
      <c r="E1468">
        <v>2</v>
      </c>
      <c r="F1468" t="s">
        <v>242</v>
      </c>
      <c r="G1468" t="str">
        <f t="shared" si="181"/>
        <v>Gobiomorphus cotidianus</v>
      </c>
      <c r="H1468" t="str">
        <f t="shared" si="182"/>
        <v>Common_bully</v>
      </c>
      <c r="I1468" t="str">
        <f t="shared" si="183"/>
        <v>Toitoi</v>
      </c>
      <c r="J1468" t="str">
        <f t="shared" si="184"/>
        <v>Native</v>
      </c>
      <c r="K1468" t="str">
        <f t="shared" si="185"/>
        <v>No</v>
      </c>
      <c r="N1468">
        <v>193</v>
      </c>
      <c r="S1468">
        <v>1</v>
      </c>
      <c r="T1468">
        <f t="shared" si="186"/>
        <v>236.58799999999999</v>
      </c>
    </row>
    <row r="1469" spans="1:20" x14ac:dyDescent="0.55000000000000004">
      <c r="A1469">
        <v>67</v>
      </c>
      <c r="B1469" t="str">
        <f t="shared" si="187"/>
        <v>67_0</v>
      </c>
      <c r="C1469" s="2">
        <v>45709.402777777781</v>
      </c>
      <c r="D1469" t="s">
        <v>221</v>
      </c>
      <c r="E1469">
        <v>2</v>
      </c>
      <c r="F1469" t="s">
        <v>242</v>
      </c>
      <c r="G1469" t="str">
        <f t="shared" si="181"/>
        <v>Gobiomorphus cotidianus</v>
      </c>
      <c r="H1469" t="str">
        <f t="shared" si="182"/>
        <v>Common_bully</v>
      </c>
      <c r="I1469" t="str">
        <f t="shared" si="183"/>
        <v>Toitoi</v>
      </c>
      <c r="J1469" t="str">
        <f t="shared" si="184"/>
        <v>Native</v>
      </c>
      <c r="K1469" t="str">
        <f t="shared" si="185"/>
        <v>No</v>
      </c>
      <c r="N1469">
        <f>333-117</f>
        <v>216</v>
      </c>
      <c r="S1469">
        <v>1</v>
      </c>
      <c r="T1469">
        <f t="shared" si="186"/>
        <v>236.58799999999999</v>
      </c>
    </row>
    <row r="1470" spans="1:20" x14ac:dyDescent="0.55000000000000004">
      <c r="A1470">
        <v>117</v>
      </c>
      <c r="B1470" t="str">
        <f t="shared" si="187"/>
        <v>117_0</v>
      </c>
      <c r="C1470" s="2">
        <v>45597.520833333336</v>
      </c>
      <c r="D1470" t="s">
        <v>221</v>
      </c>
      <c r="E1470">
        <v>2</v>
      </c>
      <c r="F1470" t="s">
        <v>222</v>
      </c>
      <c r="G1470" t="str">
        <f t="shared" si="181"/>
        <v>Paranephrops planifrons</v>
      </c>
      <c r="H1470" t="str">
        <f t="shared" si="182"/>
        <v>Freshwater_crayfish</v>
      </c>
      <c r="I1470" t="str">
        <f t="shared" si="183"/>
        <v>Kōura</v>
      </c>
      <c r="J1470" t="str">
        <f t="shared" si="184"/>
        <v>Native</v>
      </c>
      <c r="K1470" t="str">
        <f t="shared" si="185"/>
        <v>Yes</v>
      </c>
      <c r="L1470" t="s">
        <v>228</v>
      </c>
      <c r="M1470">
        <v>12</v>
      </c>
      <c r="O1470">
        <v>1</v>
      </c>
      <c r="T1470" t="str">
        <f t="shared" si="186"/>
        <v/>
      </c>
    </row>
    <row r="1471" spans="1:20" x14ac:dyDescent="0.55000000000000004">
      <c r="A1471">
        <v>98</v>
      </c>
      <c r="B1471" t="str">
        <f t="shared" si="187"/>
        <v>98_0</v>
      </c>
      <c r="C1471" s="2">
        <v>45603.5625</v>
      </c>
      <c r="D1471" t="s">
        <v>221</v>
      </c>
      <c r="E1471">
        <v>2</v>
      </c>
      <c r="F1471" t="s">
        <v>222</v>
      </c>
      <c r="G1471" t="str">
        <f t="shared" si="181"/>
        <v>Paranephrops planifrons</v>
      </c>
      <c r="H1471" t="str">
        <f t="shared" si="182"/>
        <v>Freshwater_crayfish</v>
      </c>
      <c r="I1471" t="str">
        <f t="shared" si="183"/>
        <v>Kōura</v>
      </c>
      <c r="J1471" t="str">
        <f t="shared" si="184"/>
        <v>Native</v>
      </c>
      <c r="K1471" t="str">
        <f t="shared" si="185"/>
        <v>Yes</v>
      </c>
      <c r="L1471" t="s">
        <v>228</v>
      </c>
      <c r="M1471">
        <v>9.89</v>
      </c>
      <c r="O1471">
        <v>1</v>
      </c>
      <c r="T1471" t="str">
        <f t="shared" si="186"/>
        <v/>
      </c>
    </row>
    <row r="1472" spans="1:20" x14ac:dyDescent="0.55000000000000004">
      <c r="A1472">
        <v>68</v>
      </c>
      <c r="B1472" t="str">
        <f t="shared" si="187"/>
        <v>68_0</v>
      </c>
      <c r="C1472" s="2">
        <v>45709.493055497682</v>
      </c>
      <c r="D1472" t="s">
        <v>245</v>
      </c>
      <c r="E1472">
        <v>2</v>
      </c>
      <c r="F1472" t="s">
        <v>242</v>
      </c>
      <c r="G1472" t="str">
        <f t="shared" si="181"/>
        <v>Gobiomorphus cotidianus</v>
      </c>
      <c r="H1472" t="str">
        <f t="shared" si="182"/>
        <v>Common_bully</v>
      </c>
      <c r="I1472" t="str">
        <f t="shared" si="183"/>
        <v>Toitoi</v>
      </c>
      <c r="J1472" t="str">
        <f t="shared" si="184"/>
        <v>Native</v>
      </c>
      <c r="K1472" t="str">
        <f t="shared" si="185"/>
        <v>No</v>
      </c>
      <c r="N1472">
        <v>1</v>
      </c>
      <c r="O1472">
        <v>1</v>
      </c>
      <c r="T1472" t="str">
        <f t="shared" si="186"/>
        <v/>
      </c>
    </row>
    <row r="1473" spans="1:21" x14ac:dyDescent="0.55000000000000004">
      <c r="A1473">
        <v>68</v>
      </c>
      <c r="B1473" t="str">
        <f t="shared" ref="B1473:B1476" si="188">A1473 &amp; "_0"</f>
        <v>68_0</v>
      </c>
      <c r="C1473" s="2">
        <v>45709.493055497682</v>
      </c>
      <c r="D1473" t="s">
        <v>221</v>
      </c>
      <c r="E1473">
        <v>2</v>
      </c>
      <c r="F1473" t="s">
        <v>242</v>
      </c>
      <c r="G1473" t="str">
        <f t="shared" si="181"/>
        <v>Gobiomorphus cotidianus</v>
      </c>
      <c r="H1473" t="str">
        <f t="shared" si="182"/>
        <v>Common_bully</v>
      </c>
      <c r="I1473" t="str">
        <f t="shared" si="183"/>
        <v>Toitoi</v>
      </c>
      <c r="J1473" t="str">
        <f t="shared" si="184"/>
        <v>Native</v>
      </c>
      <c r="K1473" t="str">
        <f t="shared" si="185"/>
        <v>No</v>
      </c>
      <c r="N1473">
        <v>4000</v>
      </c>
      <c r="T1473" t="str">
        <f t="shared" si="186"/>
        <v/>
      </c>
    </row>
    <row r="1474" spans="1:21" x14ac:dyDescent="0.55000000000000004">
      <c r="A1474">
        <v>66</v>
      </c>
      <c r="B1474" t="str">
        <f t="shared" si="188"/>
        <v>66_0</v>
      </c>
      <c r="C1474" s="2">
        <v>45709.513888888891</v>
      </c>
      <c r="D1474" t="s">
        <v>221</v>
      </c>
      <c r="E1474">
        <v>2</v>
      </c>
      <c r="F1474" t="s">
        <v>222</v>
      </c>
      <c r="G1474" t="str">
        <f t="shared" si="181"/>
        <v>Paranephrops planifrons</v>
      </c>
      <c r="H1474" t="str">
        <f t="shared" si="182"/>
        <v>Freshwater_crayfish</v>
      </c>
      <c r="I1474" t="str">
        <f t="shared" si="183"/>
        <v>Kōura</v>
      </c>
      <c r="J1474" t="str">
        <f t="shared" si="184"/>
        <v>Native</v>
      </c>
      <c r="K1474" t="str">
        <f t="shared" si="185"/>
        <v>Yes</v>
      </c>
      <c r="L1474" t="s">
        <v>223</v>
      </c>
      <c r="M1474">
        <v>9.81</v>
      </c>
      <c r="N1474">
        <v>1</v>
      </c>
      <c r="O1474">
        <v>1</v>
      </c>
      <c r="T1474" t="str">
        <f t="shared" si="186"/>
        <v/>
      </c>
    </row>
    <row r="1475" spans="1:21" x14ac:dyDescent="0.55000000000000004">
      <c r="A1475">
        <v>98</v>
      </c>
      <c r="B1475" t="str">
        <f t="shared" si="188"/>
        <v>98_0</v>
      </c>
      <c r="C1475" s="2">
        <v>45603.5625</v>
      </c>
      <c r="D1475" t="s">
        <v>221</v>
      </c>
      <c r="E1475">
        <v>2</v>
      </c>
      <c r="F1475" t="s">
        <v>222</v>
      </c>
      <c r="G1475" t="str">
        <f t="shared" si="181"/>
        <v>Paranephrops planifrons</v>
      </c>
      <c r="H1475" t="str">
        <f t="shared" si="182"/>
        <v>Freshwater_crayfish</v>
      </c>
      <c r="I1475" t="str">
        <f t="shared" si="183"/>
        <v>Kōura</v>
      </c>
      <c r="J1475" t="str">
        <f t="shared" si="184"/>
        <v>Native</v>
      </c>
      <c r="K1475" t="str">
        <f t="shared" si="185"/>
        <v>Yes</v>
      </c>
      <c r="M1475">
        <v>8.7200000000000006</v>
      </c>
      <c r="O1475">
        <v>1</v>
      </c>
      <c r="T1475" t="str">
        <f t="shared" si="186"/>
        <v/>
      </c>
    </row>
    <row r="1476" spans="1:21" x14ac:dyDescent="0.55000000000000004">
      <c r="A1476">
        <v>80</v>
      </c>
      <c r="B1476" t="str">
        <f t="shared" si="188"/>
        <v>80_0</v>
      </c>
      <c r="C1476" s="2">
        <v>45673.412499942133</v>
      </c>
      <c r="D1476" t="s">
        <v>221</v>
      </c>
      <c r="E1476">
        <v>2</v>
      </c>
      <c r="F1476" t="s">
        <v>222</v>
      </c>
      <c r="G1476" t="str">
        <f t="shared" si="181"/>
        <v>Paranephrops planifrons</v>
      </c>
      <c r="H1476" t="str">
        <f t="shared" si="182"/>
        <v>Freshwater_crayfish</v>
      </c>
      <c r="I1476" t="str">
        <f t="shared" si="183"/>
        <v>Kōura</v>
      </c>
      <c r="J1476" t="str">
        <f t="shared" si="184"/>
        <v>Native</v>
      </c>
      <c r="K1476" t="str">
        <f t="shared" si="185"/>
        <v>Yes</v>
      </c>
      <c r="L1476" t="s">
        <v>228</v>
      </c>
      <c r="M1476">
        <v>7.02</v>
      </c>
      <c r="N1476">
        <v>0.2</v>
      </c>
      <c r="O1476">
        <v>1</v>
      </c>
      <c r="T1476" t="str">
        <f t="shared" si="186"/>
        <v/>
      </c>
    </row>
    <row r="1477" spans="1:21" x14ac:dyDescent="0.55000000000000004">
      <c r="A1477">
        <v>114</v>
      </c>
      <c r="B1477" t="str">
        <f t="shared" ref="B1477" si="189">A1477 &amp; "_0"</f>
        <v>114_0</v>
      </c>
      <c r="C1477" s="2">
        <v>45597.479166666664</v>
      </c>
      <c r="D1477" t="s">
        <v>221</v>
      </c>
      <c r="E1477">
        <v>2</v>
      </c>
      <c r="F1477" t="s">
        <v>239</v>
      </c>
      <c r="G1477" t="str">
        <f t="shared" ref="G1477" si="190">VLOOKUP($F1477, $W$1:$AB$10, 2, FALSE)</f>
        <v>Oncorhynchus mykiss</v>
      </c>
      <c r="H1477" t="str">
        <f t="shared" ref="H1477" si="191">VLOOKUP($F1477, $W$1:$AB$10, 3, FALSE)</f>
        <v>Rainbow_trout</v>
      </c>
      <c r="I1477" t="str">
        <f t="shared" ref="I1477" si="192">VLOOKUP($F1477, $W$1:$AB$10, 4, FALSE)</f>
        <v>Rainbow_trout</v>
      </c>
      <c r="J1477" t="str">
        <f t="shared" ref="J1477" si="193">VLOOKUP($F1477, $W$1:$AC$10, 5, FALSE)</f>
        <v>Nonnative</v>
      </c>
      <c r="K1477" t="str">
        <f t="shared" ref="K1477" si="194">VLOOKUP($F1477, $W$1:$AB$10, 6, FALSE)</f>
        <v>No</v>
      </c>
      <c r="L1477" t="s">
        <v>228</v>
      </c>
      <c r="M1477">
        <v>560</v>
      </c>
      <c r="N1477">
        <v>1200</v>
      </c>
      <c r="O1477">
        <v>1</v>
      </c>
      <c r="T1477" t="str">
        <f t="shared" ref="T1477" si="195">IF(S1477&lt;&gt;"", S1477*236.588, "")</f>
        <v/>
      </c>
    </row>
    <row r="1478" spans="1:21" x14ac:dyDescent="0.55000000000000004">
      <c r="A1478">
        <v>69</v>
      </c>
      <c r="B1478" t="str">
        <f t="shared" ref="B1478:B1479" si="196">A1478 &amp; "_0"</f>
        <v>69_0</v>
      </c>
      <c r="C1478" s="2">
        <v>45709.0625</v>
      </c>
      <c r="D1478" t="s">
        <v>245</v>
      </c>
      <c r="E1478">
        <v>2</v>
      </c>
      <c r="F1478" t="s">
        <v>242</v>
      </c>
      <c r="G1478" t="str">
        <f t="shared" ref="G1478:G1501" si="197">VLOOKUP($F1478, $W$1:$AB$10, 2, FALSE)</f>
        <v>Gobiomorphus cotidianus</v>
      </c>
      <c r="H1478" t="str">
        <f t="shared" ref="H1478:H1501" si="198">VLOOKUP($F1478, $W$1:$AB$10, 3, FALSE)</f>
        <v>Common_bully</v>
      </c>
      <c r="I1478" t="str">
        <f t="shared" ref="I1478:I1501" si="199">VLOOKUP($F1478, $W$1:$AB$10, 4, FALSE)</f>
        <v>Toitoi</v>
      </c>
      <c r="J1478" t="str">
        <f t="shared" ref="J1478:J1501" si="200">VLOOKUP($F1478, $W$1:$AC$10, 5, FALSE)</f>
        <v>Native</v>
      </c>
      <c r="K1478" t="str">
        <f t="shared" ref="K1478:K1501" si="201">VLOOKUP($F1478, $W$1:$AB$10, 6, FALSE)</f>
        <v>No</v>
      </c>
      <c r="N1478">
        <v>4</v>
      </c>
      <c r="O1478">
        <v>4</v>
      </c>
      <c r="T1478" t="str">
        <f t="shared" ref="T1478:T1501" si="202">IF(S1478&lt;&gt;"", S1478*236.588, "")</f>
        <v/>
      </c>
    </row>
    <row r="1479" spans="1:21" x14ac:dyDescent="0.55000000000000004">
      <c r="A1479">
        <v>69</v>
      </c>
      <c r="B1479" t="str">
        <f t="shared" si="196"/>
        <v>69_0</v>
      </c>
      <c r="C1479" s="2">
        <v>45709.0625</v>
      </c>
      <c r="D1479" t="s">
        <v>221</v>
      </c>
      <c r="E1479">
        <v>2</v>
      </c>
      <c r="F1479" t="s">
        <v>242</v>
      </c>
      <c r="G1479" t="str">
        <f t="shared" si="197"/>
        <v>Gobiomorphus cotidianus</v>
      </c>
      <c r="H1479" t="str">
        <f t="shared" si="198"/>
        <v>Common_bully</v>
      </c>
      <c r="I1479" t="str">
        <f t="shared" si="199"/>
        <v>Toitoi</v>
      </c>
      <c r="J1479" t="str">
        <f t="shared" si="200"/>
        <v>Native</v>
      </c>
      <c r="K1479" t="str">
        <f t="shared" si="201"/>
        <v>No</v>
      </c>
      <c r="N1479">
        <v>605</v>
      </c>
      <c r="S1479">
        <v>2.5</v>
      </c>
      <c r="T1479">
        <f t="shared" si="202"/>
        <v>591.47</v>
      </c>
      <c r="U1479" t="s">
        <v>319</v>
      </c>
    </row>
    <row r="1480" spans="1:21" x14ac:dyDescent="0.55000000000000004">
      <c r="A1480">
        <v>69</v>
      </c>
      <c r="B1480" t="str">
        <f t="shared" ref="B1480:B1483" si="203">A1480 &amp; "_0"</f>
        <v>69_0</v>
      </c>
      <c r="C1480" s="2">
        <v>45709.0625</v>
      </c>
      <c r="D1480" t="s">
        <v>221</v>
      </c>
      <c r="E1480">
        <v>2</v>
      </c>
      <c r="F1480" t="s">
        <v>242</v>
      </c>
      <c r="G1480" t="str">
        <f t="shared" si="197"/>
        <v>Gobiomorphus cotidianus</v>
      </c>
      <c r="H1480" t="str">
        <f t="shared" si="198"/>
        <v>Common_bully</v>
      </c>
      <c r="I1480" t="str">
        <f t="shared" si="199"/>
        <v>Toitoi</v>
      </c>
      <c r="J1480" t="str">
        <f t="shared" si="200"/>
        <v>Native</v>
      </c>
      <c r="K1480" t="str">
        <f t="shared" si="201"/>
        <v>No</v>
      </c>
      <c r="N1480">
        <v>308</v>
      </c>
      <c r="S1480">
        <v>1.5</v>
      </c>
      <c r="T1480">
        <f t="shared" si="202"/>
        <v>354.88200000000001</v>
      </c>
    </row>
    <row r="1481" spans="1:21" x14ac:dyDescent="0.55000000000000004">
      <c r="A1481">
        <v>69</v>
      </c>
      <c r="B1481" t="str">
        <f t="shared" si="203"/>
        <v>69_0</v>
      </c>
      <c r="C1481" s="2">
        <v>45709.0625</v>
      </c>
      <c r="D1481" t="s">
        <v>221</v>
      </c>
      <c r="E1481">
        <v>2</v>
      </c>
      <c r="F1481" t="s">
        <v>243</v>
      </c>
      <c r="G1481" t="str">
        <f t="shared" si="197"/>
        <v>Retropinna retropinna</v>
      </c>
      <c r="H1481" t="str">
        <f t="shared" si="198"/>
        <v>Common_smelt</v>
      </c>
      <c r="I1481" t="str">
        <f t="shared" si="199"/>
        <v>Common_smelt</v>
      </c>
      <c r="J1481" t="str">
        <f t="shared" si="200"/>
        <v>Native</v>
      </c>
      <c r="K1481" t="str">
        <f t="shared" si="201"/>
        <v>No</v>
      </c>
      <c r="O1481">
        <v>2</v>
      </c>
      <c r="T1481" t="str">
        <f t="shared" si="202"/>
        <v/>
      </c>
    </row>
    <row r="1482" spans="1:21" x14ac:dyDescent="0.55000000000000004">
      <c r="A1482">
        <v>69</v>
      </c>
      <c r="B1482" t="str">
        <f t="shared" si="203"/>
        <v>69_0</v>
      </c>
      <c r="C1482" s="2">
        <v>45709.0625</v>
      </c>
      <c r="D1482" t="s">
        <v>221</v>
      </c>
      <c r="E1482">
        <v>2</v>
      </c>
      <c r="F1482" t="s">
        <v>242</v>
      </c>
      <c r="G1482" t="str">
        <f t="shared" si="197"/>
        <v>Gobiomorphus cotidianus</v>
      </c>
      <c r="H1482" t="str">
        <f t="shared" si="198"/>
        <v>Common_bully</v>
      </c>
      <c r="I1482" t="str">
        <f t="shared" si="199"/>
        <v>Toitoi</v>
      </c>
      <c r="J1482" t="str">
        <f t="shared" si="200"/>
        <v>Native</v>
      </c>
      <c r="K1482" t="str">
        <f t="shared" si="201"/>
        <v>No</v>
      </c>
      <c r="N1482">
        <v>528</v>
      </c>
      <c r="S1482">
        <v>2.5</v>
      </c>
      <c r="T1482">
        <f t="shared" si="202"/>
        <v>591.47</v>
      </c>
      <c r="U1482" t="s">
        <v>319</v>
      </c>
    </row>
    <row r="1483" spans="1:21" x14ac:dyDescent="0.55000000000000004">
      <c r="A1483">
        <v>69</v>
      </c>
      <c r="B1483" t="str">
        <f t="shared" si="203"/>
        <v>69_0</v>
      </c>
      <c r="C1483" s="2">
        <v>45709.0625</v>
      </c>
      <c r="D1483" t="s">
        <v>221</v>
      </c>
      <c r="E1483">
        <v>2</v>
      </c>
      <c r="F1483" t="s">
        <v>242</v>
      </c>
      <c r="G1483" t="str">
        <f t="shared" si="197"/>
        <v>Gobiomorphus cotidianus</v>
      </c>
      <c r="H1483" t="str">
        <f t="shared" si="198"/>
        <v>Common_bully</v>
      </c>
      <c r="I1483" t="str">
        <f t="shared" si="199"/>
        <v>Toitoi</v>
      </c>
      <c r="J1483" t="str">
        <f t="shared" si="200"/>
        <v>Native</v>
      </c>
      <c r="K1483" t="str">
        <f t="shared" si="201"/>
        <v>No</v>
      </c>
      <c r="N1483">
        <v>552</v>
      </c>
      <c r="S1483">
        <v>2.5</v>
      </c>
      <c r="T1483">
        <f t="shared" si="202"/>
        <v>591.47</v>
      </c>
    </row>
    <row r="1484" spans="1:21" x14ac:dyDescent="0.55000000000000004">
      <c r="A1484">
        <v>69</v>
      </c>
      <c r="B1484" t="str">
        <f t="shared" ref="B1484:B1486" si="204">A1484 &amp; "_0"</f>
        <v>69_0</v>
      </c>
      <c r="C1484" s="2">
        <v>45709.0625</v>
      </c>
      <c r="D1484" t="s">
        <v>221</v>
      </c>
      <c r="E1484">
        <v>2</v>
      </c>
      <c r="F1484" t="s">
        <v>242</v>
      </c>
      <c r="G1484" t="str">
        <f t="shared" si="197"/>
        <v>Gobiomorphus cotidianus</v>
      </c>
      <c r="H1484" t="str">
        <f t="shared" si="198"/>
        <v>Common_bully</v>
      </c>
      <c r="I1484" t="str">
        <f t="shared" si="199"/>
        <v>Toitoi</v>
      </c>
      <c r="J1484" t="str">
        <f t="shared" si="200"/>
        <v>Native</v>
      </c>
      <c r="K1484" t="str">
        <f t="shared" si="201"/>
        <v>No</v>
      </c>
      <c r="N1484">
        <v>248</v>
      </c>
      <c r="S1484">
        <v>1.25</v>
      </c>
      <c r="T1484">
        <f t="shared" si="202"/>
        <v>295.73500000000001</v>
      </c>
    </row>
    <row r="1485" spans="1:21" x14ac:dyDescent="0.55000000000000004">
      <c r="A1485">
        <v>69</v>
      </c>
      <c r="B1485" t="str">
        <f t="shared" si="204"/>
        <v>69_0</v>
      </c>
      <c r="C1485" s="2">
        <v>45709.0625</v>
      </c>
      <c r="D1485" t="s">
        <v>221</v>
      </c>
      <c r="E1485">
        <v>2</v>
      </c>
      <c r="F1485" t="s">
        <v>229</v>
      </c>
      <c r="G1485" t="str">
        <f t="shared" si="197"/>
        <v>Ameiurus nebulosus</v>
      </c>
      <c r="H1485" t="str">
        <f t="shared" si="198"/>
        <v>Catfish</v>
      </c>
      <c r="I1485" t="str">
        <f t="shared" si="199"/>
        <v>Catfish</v>
      </c>
      <c r="J1485" t="str">
        <f t="shared" si="200"/>
        <v>Nonnative</v>
      </c>
      <c r="K1485" t="str">
        <f t="shared" si="201"/>
        <v>No</v>
      </c>
      <c r="M1485">
        <v>70</v>
      </c>
      <c r="N1485">
        <v>2</v>
      </c>
      <c r="O1485">
        <v>1</v>
      </c>
      <c r="T1485" t="str">
        <f t="shared" si="202"/>
        <v/>
      </c>
    </row>
    <row r="1486" spans="1:21" x14ac:dyDescent="0.55000000000000004">
      <c r="A1486">
        <v>70</v>
      </c>
      <c r="B1486" t="str">
        <f t="shared" si="204"/>
        <v>70_0</v>
      </c>
      <c r="C1486" s="2">
        <v>45709.114583333336</v>
      </c>
      <c r="D1486" t="s">
        <v>245</v>
      </c>
      <c r="E1486">
        <v>2</v>
      </c>
      <c r="F1486" t="s">
        <v>242</v>
      </c>
      <c r="G1486" t="str">
        <f t="shared" si="197"/>
        <v>Gobiomorphus cotidianus</v>
      </c>
      <c r="H1486" t="str">
        <f t="shared" si="198"/>
        <v>Common_bully</v>
      </c>
      <c r="I1486" t="str">
        <f t="shared" si="199"/>
        <v>Toitoi</v>
      </c>
      <c r="J1486" t="str">
        <f t="shared" si="200"/>
        <v>Native</v>
      </c>
      <c r="K1486" t="str">
        <f t="shared" si="201"/>
        <v>No</v>
      </c>
      <c r="N1486">
        <v>20</v>
      </c>
      <c r="O1486">
        <v>15</v>
      </c>
      <c r="T1486" t="str">
        <f t="shared" si="202"/>
        <v/>
      </c>
    </row>
    <row r="1487" spans="1:21" x14ac:dyDescent="0.55000000000000004">
      <c r="A1487">
        <v>70</v>
      </c>
      <c r="B1487" t="str">
        <f t="shared" ref="B1487:B1489" si="205">A1487 &amp; "_0"</f>
        <v>70_0</v>
      </c>
      <c r="C1487" s="2">
        <v>45709.114583333336</v>
      </c>
      <c r="D1487" t="s">
        <v>221</v>
      </c>
      <c r="E1487">
        <v>2</v>
      </c>
      <c r="F1487" t="s">
        <v>242</v>
      </c>
      <c r="G1487" t="str">
        <f t="shared" si="197"/>
        <v>Gobiomorphus cotidianus</v>
      </c>
      <c r="H1487" t="str">
        <f t="shared" si="198"/>
        <v>Common_bully</v>
      </c>
      <c r="I1487" t="str">
        <f t="shared" si="199"/>
        <v>Toitoi</v>
      </c>
      <c r="J1487" t="str">
        <f t="shared" si="200"/>
        <v>Native</v>
      </c>
      <c r="K1487" t="str">
        <f t="shared" si="201"/>
        <v>No</v>
      </c>
      <c r="N1487">
        <v>4000</v>
      </c>
      <c r="T1487" t="str">
        <f t="shared" si="202"/>
        <v/>
      </c>
    </row>
    <row r="1488" spans="1:21" x14ac:dyDescent="0.55000000000000004">
      <c r="A1488">
        <v>70</v>
      </c>
      <c r="B1488" t="str">
        <f t="shared" si="205"/>
        <v>70_0</v>
      </c>
      <c r="C1488" s="2">
        <v>45709.114583333336</v>
      </c>
      <c r="D1488" t="s">
        <v>221</v>
      </c>
      <c r="E1488">
        <v>2</v>
      </c>
      <c r="F1488" t="s">
        <v>242</v>
      </c>
      <c r="G1488" t="str">
        <f t="shared" si="197"/>
        <v>Gobiomorphus cotidianus</v>
      </c>
      <c r="H1488" t="str">
        <f t="shared" si="198"/>
        <v>Common_bully</v>
      </c>
      <c r="I1488" t="str">
        <f t="shared" si="199"/>
        <v>Toitoi</v>
      </c>
      <c r="J1488" t="str">
        <f t="shared" si="200"/>
        <v>Native</v>
      </c>
      <c r="K1488" t="str">
        <f t="shared" si="201"/>
        <v>No</v>
      </c>
      <c r="N1488">
        <v>4500</v>
      </c>
      <c r="T1488" t="str">
        <f t="shared" si="202"/>
        <v/>
      </c>
    </row>
    <row r="1489" spans="1:20" x14ac:dyDescent="0.55000000000000004">
      <c r="A1489">
        <v>71</v>
      </c>
      <c r="B1489" t="str">
        <f t="shared" si="205"/>
        <v>71_0</v>
      </c>
      <c r="C1489" s="2">
        <v>45709.166666666664</v>
      </c>
      <c r="D1489" t="s">
        <v>245</v>
      </c>
      <c r="E1489">
        <v>2</v>
      </c>
      <c r="F1489" t="s">
        <v>242</v>
      </c>
      <c r="G1489" t="str">
        <f t="shared" si="197"/>
        <v>Gobiomorphus cotidianus</v>
      </c>
      <c r="H1489" t="str">
        <f t="shared" si="198"/>
        <v>Common_bully</v>
      </c>
      <c r="I1489" t="str">
        <f t="shared" si="199"/>
        <v>Toitoi</v>
      </c>
      <c r="J1489" t="str">
        <f t="shared" si="200"/>
        <v>Native</v>
      </c>
      <c r="K1489" t="str">
        <f t="shared" si="201"/>
        <v>No</v>
      </c>
      <c r="O1489">
        <v>1</v>
      </c>
      <c r="T1489" t="str">
        <f t="shared" si="202"/>
        <v/>
      </c>
    </row>
    <row r="1490" spans="1:20" x14ac:dyDescent="0.55000000000000004">
      <c r="A1490">
        <v>71</v>
      </c>
      <c r="B1490" t="str">
        <f t="shared" ref="B1490:B1491" si="206">A1490 &amp; "_0"</f>
        <v>71_0</v>
      </c>
      <c r="C1490" s="2">
        <v>45709.166666666664</v>
      </c>
      <c r="D1490" t="s">
        <v>221</v>
      </c>
      <c r="E1490">
        <v>2</v>
      </c>
      <c r="F1490" t="s">
        <v>242</v>
      </c>
      <c r="G1490" t="str">
        <f t="shared" si="197"/>
        <v>Gobiomorphus cotidianus</v>
      </c>
      <c r="H1490" t="str">
        <f t="shared" si="198"/>
        <v>Common_bully</v>
      </c>
      <c r="I1490" t="str">
        <f t="shared" si="199"/>
        <v>Toitoi</v>
      </c>
      <c r="J1490" t="str">
        <f t="shared" si="200"/>
        <v>Native</v>
      </c>
      <c r="K1490" t="str">
        <f t="shared" si="201"/>
        <v>No</v>
      </c>
      <c r="N1490">
        <v>535</v>
      </c>
      <c r="S1490">
        <v>2.5</v>
      </c>
      <c r="T1490">
        <f t="shared" si="202"/>
        <v>591.47</v>
      </c>
    </row>
    <row r="1491" spans="1:20" x14ac:dyDescent="0.55000000000000004">
      <c r="A1491">
        <v>71</v>
      </c>
      <c r="B1491" t="str">
        <f t="shared" si="206"/>
        <v>71_0</v>
      </c>
      <c r="C1491" s="2">
        <v>45709.166666608799</v>
      </c>
      <c r="D1491" t="s">
        <v>221</v>
      </c>
      <c r="E1491">
        <v>2</v>
      </c>
      <c r="F1491" t="s">
        <v>242</v>
      </c>
      <c r="G1491" t="str">
        <f t="shared" si="197"/>
        <v>Gobiomorphus cotidianus</v>
      </c>
      <c r="H1491" t="str">
        <f t="shared" si="198"/>
        <v>Common_bully</v>
      </c>
      <c r="I1491" t="str">
        <f t="shared" si="199"/>
        <v>Toitoi</v>
      </c>
      <c r="J1491" t="str">
        <f t="shared" si="200"/>
        <v>Native</v>
      </c>
      <c r="K1491" t="str">
        <f t="shared" si="201"/>
        <v>No</v>
      </c>
      <c r="N1491">
        <v>340</v>
      </c>
      <c r="S1491">
        <v>1.5</v>
      </c>
      <c r="T1491">
        <f t="shared" si="202"/>
        <v>354.88200000000001</v>
      </c>
    </row>
    <row r="1492" spans="1:20" x14ac:dyDescent="0.55000000000000004">
      <c r="A1492">
        <v>71</v>
      </c>
      <c r="B1492" t="str">
        <f t="shared" ref="B1492:B1497" si="207">A1492 &amp; "_0"</f>
        <v>71_0</v>
      </c>
      <c r="C1492" s="2">
        <v>45709.166666608799</v>
      </c>
      <c r="D1492" t="s">
        <v>221</v>
      </c>
      <c r="E1492">
        <v>2</v>
      </c>
      <c r="F1492" t="s">
        <v>242</v>
      </c>
      <c r="G1492" t="str">
        <f t="shared" si="197"/>
        <v>Gobiomorphus cotidianus</v>
      </c>
      <c r="H1492" t="str">
        <f t="shared" si="198"/>
        <v>Common_bully</v>
      </c>
      <c r="I1492" t="str">
        <f t="shared" si="199"/>
        <v>Toitoi</v>
      </c>
      <c r="J1492" t="str">
        <f t="shared" si="200"/>
        <v>Native</v>
      </c>
      <c r="K1492" t="str">
        <f t="shared" si="201"/>
        <v>No</v>
      </c>
      <c r="N1492">
        <v>240</v>
      </c>
      <c r="S1492">
        <v>1</v>
      </c>
      <c r="T1492">
        <f t="shared" si="202"/>
        <v>236.58799999999999</v>
      </c>
    </row>
    <row r="1493" spans="1:20" x14ac:dyDescent="0.55000000000000004">
      <c r="A1493">
        <v>71</v>
      </c>
      <c r="B1493" t="str">
        <f t="shared" si="207"/>
        <v>71_0</v>
      </c>
      <c r="C1493" s="2">
        <v>45709.166666608799</v>
      </c>
      <c r="D1493" t="s">
        <v>221</v>
      </c>
      <c r="E1493">
        <v>2</v>
      </c>
      <c r="F1493" t="s">
        <v>249</v>
      </c>
      <c r="G1493" t="str">
        <f>VLOOKUP($F1493, $W$1:$AB$10, 2, FALSE)</f>
        <v>Anguilla dieffenbachii</v>
      </c>
      <c r="H1493" t="str">
        <f t="shared" si="198"/>
        <v>Long_fin_eel</v>
      </c>
      <c r="I1493" t="str">
        <f t="shared" si="199"/>
        <v>Tuna</v>
      </c>
      <c r="J1493" t="str">
        <f t="shared" si="200"/>
        <v>Native</v>
      </c>
      <c r="K1493" t="str">
        <f t="shared" si="201"/>
        <v>Yes</v>
      </c>
      <c r="M1493">
        <v>850</v>
      </c>
      <c r="N1493">
        <v>3000</v>
      </c>
      <c r="T1493" t="str">
        <f t="shared" si="202"/>
        <v/>
      </c>
    </row>
    <row r="1494" spans="1:20" x14ac:dyDescent="0.55000000000000004">
      <c r="A1494">
        <v>71</v>
      </c>
      <c r="B1494" t="str">
        <f t="shared" si="207"/>
        <v>71_0</v>
      </c>
      <c r="C1494" s="2">
        <v>45709.166666608799</v>
      </c>
      <c r="D1494" t="s">
        <v>221</v>
      </c>
      <c r="E1494">
        <v>2</v>
      </c>
      <c r="F1494" t="s">
        <v>249</v>
      </c>
      <c r="G1494" t="str">
        <f t="shared" si="197"/>
        <v>Anguilla dieffenbachii</v>
      </c>
      <c r="H1494" t="str">
        <f t="shared" si="198"/>
        <v>Long_fin_eel</v>
      </c>
      <c r="I1494" t="str">
        <f t="shared" si="199"/>
        <v>Tuna</v>
      </c>
      <c r="J1494" t="str">
        <f t="shared" si="200"/>
        <v>Native</v>
      </c>
      <c r="K1494" t="str">
        <f t="shared" si="201"/>
        <v>Yes</v>
      </c>
      <c r="M1494">
        <v>650</v>
      </c>
      <c r="N1494">
        <v>600</v>
      </c>
      <c r="T1494" t="str">
        <f t="shared" si="202"/>
        <v/>
      </c>
    </row>
    <row r="1495" spans="1:20" x14ac:dyDescent="0.55000000000000004">
      <c r="A1495">
        <v>71</v>
      </c>
      <c r="B1495" t="str">
        <f t="shared" si="207"/>
        <v>71_0</v>
      </c>
      <c r="C1495" s="2">
        <v>45709.166666608799</v>
      </c>
      <c r="D1495" t="s">
        <v>221</v>
      </c>
      <c r="E1495">
        <v>2</v>
      </c>
      <c r="F1495" t="s">
        <v>249</v>
      </c>
      <c r="G1495" t="str">
        <f t="shared" si="197"/>
        <v>Anguilla dieffenbachii</v>
      </c>
      <c r="H1495" t="str">
        <f t="shared" si="198"/>
        <v>Long_fin_eel</v>
      </c>
      <c r="I1495" t="str">
        <f t="shared" si="199"/>
        <v>Tuna</v>
      </c>
      <c r="J1495" t="str">
        <f t="shared" si="200"/>
        <v>Native</v>
      </c>
      <c r="K1495" t="str">
        <f t="shared" si="201"/>
        <v>Yes</v>
      </c>
      <c r="M1495">
        <v>600</v>
      </c>
      <c r="N1495">
        <v>500</v>
      </c>
      <c r="T1495" t="str">
        <f t="shared" si="202"/>
        <v/>
      </c>
    </row>
    <row r="1496" spans="1:20" x14ac:dyDescent="0.55000000000000004">
      <c r="A1496">
        <v>71</v>
      </c>
      <c r="B1496" t="str">
        <f t="shared" si="207"/>
        <v>71_0</v>
      </c>
      <c r="C1496" s="2">
        <v>45709.166666608799</v>
      </c>
      <c r="D1496" t="s">
        <v>221</v>
      </c>
      <c r="E1496">
        <v>2</v>
      </c>
      <c r="F1496" t="s">
        <v>242</v>
      </c>
      <c r="G1496" t="str">
        <f t="shared" si="197"/>
        <v>Gobiomorphus cotidianus</v>
      </c>
      <c r="H1496" t="str">
        <f t="shared" si="198"/>
        <v>Common_bully</v>
      </c>
      <c r="I1496" t="str">
        <f t="shared" si="199"/>
        <v>Toitoi</v>
      </c>
      <c r="J1496" t="str">
        <f t="shared" si="200"/>
        <v>Native</v>
      </c>
      <c r="K1496" t="str">
        <f t="shared" si="201"/>
        <v>No</v>
      </c>
      <c r="N1496">
        <f>645-117</f>
        <v>528</v>
      </c>
      <c r="S1496">
        <v>2.5</v>
      </c>
      <c r="T1496">
        <f t="shared" si="202"/>
        <v>591.47</v>
      </c>
    </row>
    <row r="1497" spans="1:20" x14ac:dyDescent="0.55000000000000004">
      <c r="A1497">
        <v>71</v>
      </c>
      <c r="B1497" t="str">
        <f t="shared" si="207"/>
        <v>71_0</v>
      </c>
      <c r="C1497" s="2">
        <v>45709.166666608799</v>
      </c>
      <c r="D1497" t="s">
        <v>221</v>
      </c>
      <c r="E1497">
        <v>2</v>
      </c>
      <c r="F1497" t="s">
        <v>242</v>
      </c>
      <c r="G1497" t="str">
        <f t="shared" si="197"/>
        <v>Gobiomorphus cotidianus</v>
      </c>
      <c r="H1497" t="str">
        <f t="shared" si="198"/>
        <v>Common_bully</v>
      </c>
      <c r="I1497" t="str">
        <f t="shared" si="199"/>
        <v>Toitoi</v>
      </c>
      <c r="J1497" t="str">
        <f t="shared" si="200"/>
        <v>Native</v>
      </c>
      <c r="K1497" t="str">
        <f t="shared" si="201"/>
        <v>No</v>
      </c>
      <c r="N1497">
        <f>571-117</f>
        <v>454</v>
      </c>
      <c r="S1497">
        <v>2</v>
      </c>
      <c r="T1497">
        <f t="shared" si="202"/>
        <v>473.17599999999999</v>
      </c>
    </row>
    <row r="1498" spans="1:20" x14ac:dyDescent="0.55000000000000004">
      <c r="A1498">
        <v>71</v>
      </c>
      <c r="B1498" t="str">
        <f t="shared" ref="B1498" si="208">A1498 &amp; "_0"</f>
        <v>71_0</v>
      </c>
      <c r="C1498" s="2">
        <v>45709.166666608799</v>
      </c>
      <c r="D1498" t="s">
        <v>221</v>
      </c>
      <c r="E1498">
        <v>2</v>
      </c>
      <c r="F1498" t="s">
        <v>242</v>
      </c>
      <c r="G1498" t="str">
        <f t="shared" si="197"/>
        <v>Gobiomorphus cotidianus</v>
      </c>
      <c r="H1498" t="str">
        <f t="shared" si="198"/>
        <v>Common_bully</v>
      </c>
      <c r="I1498" t="str">
        <f t="shared" si="199"/>
        <v>Toitoi</v>
      </c>
      <c r="J1498" t="str">
        <f t="shared" si="200"/>
        <v>Native</v>
      </c>
      <c r="K1498" t="str">
        <f t="shared" si="201"/>
        <v>No</v>
      </c>
      <c r="N1498">
        <v>220</v>
      </c>
      <c r="S1498">
        <v>1</v>
      </c>
      <c r="T1498">
        <f t="shared" si="202"/>
        <v>236.58799999999999</v>
      </c>
    </row>
    <row r="1499" spans="1:20" x14ac:dyDescent="0.55000000000000004">
      <c r="A1499">
        <v>72</v>
      </c>
      <c r="B1499" t="str">
        <f t="shared" ref="B1499" si="209">A1499 &amp; "_0"</f>
        <v>72_0</v>
      </c>
      <c r="C1499" s="2">
        <v>45709.479166666664</v>
      </c>
      <c r="D1499" t="s">
        <v>245</v>
      </c>
      <c r="E1499">
        <v>2</v>
      </c>
      <c r="F1499" t="s">
        <v>242</v>
      </c>
      <c r="G1499" t="str">
        <f t="shared" si="197"/>
        <v>Gobiomorphus cotidianus</v>
      </c>
      <c r="H1499" t="str">
        <f t="shared" si="198"/>
        <v>Common_bully</v>
      </c>
      <c r="I1499" t="str">
        <f t="shared" si="199"/>
        <v>Toitoi</v>
      </c>
      <c r="J1499" t="str">
        <f t="shared" si="200"/>
        <v>Native</v>
      </c>
      <c r="K1499" t="str">
        <f t="shared" si="201"/>
        <v>No</v>
      </c>
      <c r="N1499">
        <v>7</v>
      </c>
      <c r="O1499">
        <v>5</v>
      </c>
      <c r="T1499" t="str">
        <f t="shared" si="202"/>
        <v/>
      </c>
    </row>
    <row r="1500" spans="1:20" x14ac:dyDescent="0.55000000000000004">
      <c r="A1500">
        <v>72</v>
      </c>
      <c r="B1500" t="str">
        <f t="shared" ref="B1500:B1501" si="210">A1500 &amp; "_0"</f>
        <v>72_0</v>
      </c>
      <c r="C1500" s="2">
        <v>45709.479166666664</v>
      </c>
      <c r="D1500" t="s">
        <v>221</v>
      </c>
      <c r="E1500">
        <v>2</v>
      </c>
      <c r="F1500" t="s">
        <v>242</v>
      </c>
      <c r="G1500" t="str">
        <f t="shared" si="197"/>
        <v>Gobiomorphus cotidianus</v>
      </c>
      <c r="H1500" t="str">
        <f t="shared" si="198"/>
        <v>Common_bully</v>
      </c>
      <c r="I1500" t="str">
        <f t="shared" si="199"/>
        <v>Toitoi</v>
      </c>
      <c r="J1500" t="str">
        <f t="shared" si="200"/>
        <v>Native</v>
      </c>
      <c r="K1500" t="str">
        <f t="shared" si="201"/>
        <v>No</v>
      </c>
      <c r="N1500">
        <f>3000-600</f>
        <v>2400</v>
      </c>
      <c r="T1500" t="str">
        <f t="shared" si="202"/>
        <v/>
      </c>
    </row>
    <row r="1501" spans="1:20" x14ac:dyDescent="0.55000000000000004">
      <c r="A1501">
        <v>72</v>
      </c>
      <c r="B1501" t="str">
        <f t="shared" si="210"/>
        <v>72_0</v>
      </c>
      <c r="C1501" s="2">
        <v>45709.479166666664</v>
      </c>
      <c r="D1501" t="s">
        <v>221</v>
      </c>
      <c r="E1501">
        <v>2</v>
      </c>
      <c r="F1501" t="s">
        <v>242</v>
      </c>
      <c r="G1501" t="str">
        <f t="shared" si="197"/>
        <v>Gobiomorphus cotidianus</v>
      </c>
      <c r="H1501" t="str">
        <f t="shared" si="198"/>
        <v>Common_bully</v>
      </c>
      <c r="I1501" t="str">
        <f t="shared" si="199"/>
        <v>Toitoi</v>
      </c>
      <c r="J1501" t="str">
        <f t="shared" si="200"/>
        <v>Native</v>
      </c>
      <c r="K1501" t="str">
        <f t="shared" si="201"/>
        <v>No</v>
      </c>
      <c r="N1501">
        <v>1400</v>
      </c>
      <c r="T1501" t="str">
        <f t="shared" si="202"/>
        <v/>
      </c>
    </row>
  </sheetData>
  <autoFilter ref="A1:U1501" xr:uid="{48B851F2-9B7B-4C4C-86A2-78618CDFAD69}">
    <sortState xmlns:xlrd2="http://schemas.microsoft.com/office/spreadsheetml/2017/richdata2" ref="A2:U1476">
      <sortCondition descending="1" ref="M1:M1501"/>
    </sortState>
  </autoFilter>
  <phoneticPr fontId="2" type="noConversion"/>
  <dataValidations count="1">
    <dataValidation type="list" allowBlank="1" showInputMessage="1" showErrorMessage="1" sqref="F2:F1501" xr:uid="{73E21B1E-8A47-47DC-8C29-3774BA7E703F}">
      <formula1>$W$1:$W$9</formula1>
    </dataValidation>
  </dataValidations>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7355-3309-4C57-B471-5E561D449566}">
  <dimension ref="A1:P109"/>
  <sheetViews>
    <sheetView workbookViewId="0">
      <selection activeCell="L102" sqref="L102"/>
    </sheetView>
  </sheetViews>
  <sheetFormatPr defaultRowHeight="14.4" x14ac:dyDescent="0.55000000000000004"/>
  <cols>
    <col min="3" max="3" width="15.15625" bestFit="1" customWidth="1"/>
    <col min="4" max="4" width="8.41796875" customWidth="1"/>
    <col min="5" max="5" width="19.26171875" bestFit="1" customWidth="1"/>
    <col min="6" max="6" width="7.83984375" customWidth="1"/>
    <col min="7" max="7" width="6.578125" customWidth="1"/>
  </cols>
  <sheetData>
    <row r="1" spans="1:16" x14ac:dyDescent="0.55000000000000004">
      <c r="A1" s="1" t="s">
        <v>0</v>
      </c>
      <c r="B1" s="1" t="s">
        <v>3</v>
      </c>
      <c r="C1" s="1" t="s">
        <v>8</v>
      </c>
      <c r="D1" s="1" t="s">
        <v>203</v>
      </c>
      <c r="E1" s="1" t="s">
        <v>205</v>
      </c>
      <c r="F1" s="1" t="s">
        <v>206</v>
      </c>
      <c r="G1" s="1" t="s">
        <v>209</v>
      </c>
      <c r="H1" s="1" t="s">
        <v>214</v>
      </c>
      <c r="I1" s="1"/>
      <c r="J1" s="1"/>
      <c r="K1" s="1"/>
      <c r="N1" s="31"/>
      <c r="O1" s="32"/>
      <c r="P1" s="31"/>
    </row>
    <row r="2" spans="1:16" x14ac:dyDescent="0.55000000000000004">
      <c r="A2">
        <v>61</v>
      </c>
      <c r="B2" t="str">
        <f t="shared" ref="B2:B10" si="0">A2 &amp; "_0"</f>
        <v>61_0</v>
      </c>
      <c r="C2" s="2">
        <v>45709.458333333336</v>
      </c>
      <c r="D2" t="s">
        <v>245</v>
      </c>
      <c r="E2" t="s">
        <v>288</v>
      </c>
      <c r="H2">
        <v>1</v>
      </c>
      <c r="N2" s="31"/>
      <c r="O2" s="32"/>
      <c r="P2" s="31"/>
    </row>
    <row r="3" spans="1:16" x14ac:dyDescent="0.55000000000000004">
      <c r="A3">
        <v>62</v>
      </c>
      <c r="B3" t="str">
        <f t="shared" si="0"/>
        <v>62_0</v>
      </c>
      <c r="C3" s="2"/>
      <c r="N3" s="31"/>
      <c r="O3" s="32"/>
      <c r="P3" s="31"/>
    </row>
    <row r="4" spans="1:16" x14ac:dyDescent="0.55000000000000004">
      <c r="A4">
        <v>63</v>
      </c>
      <c r="B4" t="str">
        <f t="shared" si="0"/>
        <v>63_0</v>
      </c>
      <c r="C4" s="2">
        <v>45709.083333333336</v>
      </c>
      <c r="D4" t="s">
        <v>245</v>
      </c>
      <c r="E4" t="s">
        <v>288</v>
      </c>
      <c r="H4">
        <v>4</v>
      </c>
      <c r="N4" s="31"/>
      <c r="O4" s="31"/>
      <c r="P4" s="31"/>
    </row>
    <row r="5" spans="1:16" x14ac:dyDescent="0.55000000000000004">
      <c r="A5">
        <v>63</v>
      </c>
      <c r="B5" t="str">
        <f t="shared" si="0"/>
        <v>63_0</v>
      </c>
      <c r="C5" s="2">
        <v>45709.083333333336</v>
      </c>
      <c r="D5" t="s">
        <v>221</v>
      </c>
      <c r="E5" t="s">
        <v>288</v>
      </c>
      <c r="H5">
        <v>14</v>
      </c>
      <c r="N5" s="31"/>
      <c r="O5" s="31"/>
      <c r="P5" s="31"/>
    </row>
    <row r="6" spans="1:16" x14ac:dyDescent="0.55000000000000004">
      <c r="A6">
        <v>64</v>
      </c>
      <c r="B6" t="str">
        <f t="shared" si="0"/>
        <v>64_0</v>
      </c>
      <c r="C6" s="2">
        <v>45709.138888888891</v>
      </c>
      <c r="D6" t="s">
        <v>245</v>
      </c>
      <c r="E6" t="s">
        <v>288</v>
      </c>
      <c r="H6">
        <v>8</v>
      </c>
      <c r="N6" s="31"/>
      <c r="O6" s="31"/>
      <c r="P6" s="31"/>
    </row>
    <row r="7" spans="1:16" x14ac:dyDescent="0.55000000000000004">
      <c r="A7">
        <v>65</v>
      </c>
      <c r="B7" t="str">
        <f t="shared" si="0"/>
        <v>65_0</v>
      </c>
      <c r="C7" s="2"/>
      <c r="N7" s="31"/>
      <c r="O7" s="31"/>
      <c r="P7" s="31"/>
    </row>
    <row r="8" spans="1:16" x14ac:dyDescent="0.55000000000000004">
      <c r="A8">
        <v>66</v>
      </c>
      <c r="B8" t="str">
        <f t="shared" si="0"/>
        <v>66_0</v>
      </c>
      <c r="C8" s="2"/>
      <c r="N8" s="31"/>
      <c r="O8" s="31"/>
      <c r="P8" s="31"/>
    </row>
    <row r="9" spans="1:16" x14ac:dyDescent="0.55000000000000004">
      <c r="A9">
        <v>67</v>
      </c>
      <c r="B9" t="str">
        <f t="shared" si="0"/>
        <v>67_0</v>
      </c>
      <c r="C9" s="2"/>
      <c r="N9" s="31"/>
      <c r="O9" s="31"/>
      <c r="P9" s="31"/>
    </row>
    <row r="10" spans="1:16" x14ac:dyDescent="0.55000000000000004">
      <c r="A10">
        <v>68</v>
      </c>
      <c r="B10" t="str">
        <f t="shared" si="0"/>
        <v>68_0</v>
      </c>
      <c r="C10" s="2"/>
      <c r="N10" s="31"/>
      <c r="O10" s="31"/>
      <c r="P10" s="31"/>
    </row>
    <row r="11" spans="1:16" x14ac:dyDescent="0.55000000000000004">
      <c r="A11">
        <v>69</v>
      </c>
      <c r="B11" t="str">
        <f t="shared" ref="B11:B16" si="1">A11 &amp; "_0"</f>
        <v>69_0</v>
      </c>
      <c r="C11" s="2"/>
      <c r="N11" s="31"/>
      <c r="O11" s="31"/>
      <c r="P11" s="31"/>
    </row>
    <row r="12" spans="1:16" x14ac:dyDescent="0.55000000000000004">
      <c r="A12">
        <v>70</v>
      </c>
      <c r="B12" t="str">
        <f t="shared" si="1"/>
        <v>70_0</v>
      </c>
      <c r="C12" s="2"/>
      <c r="N12" s="31"/>
      <c r="O12" s="31"/>
      <c r="P12" s="31"/>
    </row>
    <row r="13" spans="1:16" x14ac:dyDescent="0.55000000000000004">
      <c r="A13">
        <v>71</v>
      </c>
      <c r="B13" t="str">
        <f t="shared" si="1"/>
        <v>71_0</v>
      </c>
      <c r="C13" s="2"/>
      <c r="N13" s="31"/>
      <c r="O13" s="31"/>
      <c r="P13" s="31"/>
    </row>
    <row r="14" spans="1:16" x14ac:dyDescent="0.55000000000000004">
      <c r="A14">
        <v>72</v>
      </c>
      <c r="B14" t="str">
        <f t="shared" si="1"/>
        <v>72_0</v>
      </c>
      <c r="C14" s="2"/>
      <c r="N14" s="31"/>
      <c r="O14" s="31"/>
      <c r="P14" s="31"/>
    </row>
    <row r="15" spans="1:16" x14ac:dyDescent="0.55000000000000004">
      <c r="A15">
        <v>73</v>
      </c>
      <c r="B15" t="str">
        <f t="shared" si="1"/>
        <v>73_0</v>
      </c>
      <c r="C15" s="2"/>
      <c r="N15" s="31"/>
      <c r="O15" s="31"/>
      <c r="P15" s="31"/>
    </row>
    <row r="16" spans="1:16" x14ac:dyDescent="0.55000000000000004">
      <c r="A16">
        <v>74</v>
      </c>
      <c r="B16" t="str">
        <f t="shared" si="1"/>
        <v>74_0</v>
      </c>
      <c r="C16" s="2"/>
      <c r="N16" s="31"/>
      <c r="O16" s="31"/>
      <c r="P16" s="31"/>
    </row>
    <row r="17" spans="1:16" x14ac:dyDescent="0.55000000000000004">
      <c r="A17">
        <v>75</v>
      </c>
      <c r="B17" t="str">
        <f t="shared" ref="B17:B48" si="2">A17 &amp; "_0"</f>
        <v>75_0</v>
      </c>
      <c r="C17" s="2">
        <v>45673.434027777781</v>
      </c>
      <c r="D17" t="s">
        <v>245</v>
      </c>
      <c r="E17" t="s">
        <v>302</v>
      </c>
      <c r="H17">
        <v>2</v>
      </c>
      <c r="N17" s="31"/>
      <c r="O17" s="32"/>
      <c r="P17" s="31"/>
    </row>
    <row r="18" spans="1:16" x14ac:dyDescent="0.55000000000000004">
      <c r="A18">
        <v>76</v>
      </c>
      <c r="B18" t="str">
        <f t="shared" si="2"/>
        <v>76_0</v>
      </c>
      <c r="C18" s="2">
        <v>45673.348611111112</v>
      </c>
      <c r="D18" t="s">
        <v>221</v>
      </c>
      <c r="E18" t="s">
        <v>302</v>
      </c>
      <c r="H18">
        <v>1</v>
      </c>
      <c r="N18" s="31"/>
      <c r="O18" s="32"/>
      <c r="P18" s="31"/>
    </row>
    <row r="19" spans="1:16" x14ac:dyDescent="0.55000000000000004">
      <c r="A19">
        <v>77</v>
      </c>
      <c r="B19" t="str">
        <f t="shared" si="2"/>
        <v>77_0</v>
      </c>
      <c r="C19" s="2"/>
      <c r="N19" s="31"/>
      <c r="O19" s="32"/>
      <c r="P19" s="31"/>
    </row>
    <row r="20" spans="1:16" x14ac:dyDescent="0.55000000000000004">
      <c r="A20">
        <v>78</v>
      </c>
      <c r="B20" t="str">
        <f t="shared" si="2"/>
        <v>78_0</v>
      </c>
      <c r="C20" s="2">
        <v>45673.451388888891</v>
      </c>
      <c r="D20" t="s">
        <v>245</v>
      </c>
      <c r="E20" t="s">
        <v>302</v>
      </c>
      <c r="H20">
        <v>4</v>
      </c>
      <c r="N20" s="31"/>
      <c r="O20" s="32"/>
      <c r="P20" s="31"/>
    </row>
    <row r="21" spans="1:16" x14ac:dyDescent="0.55000000000000004">
      <c r="A21">
        <v>78</v>
      </c>
      <c r="B21" t="str">
        <f t="shared" si="2"/>
        <v>78_0</v>
      </c>
      <c r="C21" s="2">
        <v>45673.451388888891</v>
      </c>
      <c r="D21" t="s">
        <v>221</v>
      </c>
      <c r="E21" t="s">
        <v>302</v>
      </c>
      <c r="H21">
        <v>3</v>
      </c>
      <c r="N21" s="31"/>
      <c r="O21" s="31"/>
      <c r="P21" s="31"/>
    </row>
    <row r="22" spans="1:16" x14ac:dyDescent="0.55000000000000004">
      <c r="A22">
        <v>79</v>
      </c>
      <c r="B22" t="str">
        <f t="shared" si="2"/>
        <v>79_0</v>
      </c>
      <c r="C22" s="2">
        <v>45674.427777777775</v>
      </c>
      <c r="D22" t="s">
        <v>245</v>
      </c>
      <c r="E22" t="s">
        <v>274</v>
      </c>
      <c r="H22">
        <v>1</v>
      </c>
      <c r="N22" s="31"/>
      <c r="O22" s="31"/>
      <c r="P22" s="31"/>
    </row>
    <row r="23" spans="1:16" x14ac:dyDescent="0.55000000000000004">
      <c r="A23">
        <v>80</v>
      </c>
      <c r="B23" t="str">
        <f t="shared" si="2"/>
        <v>80_0</v>
      </c>
      <c r="C23" s="2">
        <v>45673.412499942133</v>
      </c>
      <c r="D23" t="s">
        <v>221</v>
      </c>
      <c r="E23" t="s">
        <v>274</v>
      </c>
      <c r="H23">
        <v>1</v>
      </c>
      <c r="N23" s="31"/>
      <c r="O23" s="32"/>
      <c r="P23" s="31"/>
    </row>
    <row r="24" spans="1:16" x14ac:dyDescent="0.55000000000000004">
      <c r="A24">
        <v>80</v>
      </c>
      <c r="B24" t="str">
        <f t="shared" si="2"/>
        <v>80_0</v>
      </c>
      <c r="C24" s="2">
        <v>45673.412499942133</v>
      </c>
      <c r="D24" t="s">
        <v>221</v>
      </c>
      <c r="E24" t="s">
        <v>302</v>
      </c>
      <c r="H24">
        <v>1</v>
      </c>
      <c r="N24" s="31"/>
      <c r="O24" s="32"/>
      <c r="P24" s="31"/>
    </row>
    <row r="25" spans="1:16" x14ac:dyDescent="0.55000000000000004">
      <c r="A25">
        <v>81</v>
      </c>
      <c r="B25" t="str">
        <f t="shared" si="2"/>
        <v>81_0</v>
      </c>
      <c r="C25" s="2">
        <v>45674.395833333336</v>
      </c>
      <c r="D25" t="s">
        <v>245</v>
      </c>
      <c r="E25" t="s">
        <v>302</v>
      </c>
      <c r="H25">
        <v>1</v>
      </c>
      <c r="N25" s="31"/>
      <c r="O25" s="32"/>
      <c r="P25" s="31"/>
    </row>
    <row r="26" spans="1:16" x14ac:dyDescent="0.55000000000000004">
      <c r="A26">
        <v>81</v>
      </c>
      <c r="B26" t="str">
        <f t="shared" si="2"/>
        <v>81_0</v>
      </c>
      <c r="C26" s="2">
        <v>45674.395833333336</v>
      </c>
      <c r="D26" t="s">
        <v>221</v>
      </c>
      <c r="E26" t="s">
        <v>302</v>
      </c>
      <c r="H26">
        <v>3</v>
      </c>
      <c r="N26" s="31"/>
      <c r="O26" s="32"/>
      <c r="P26" s="31"/>
    </row>
    <row r="27" spans="1:16" x14ac:dyDescent="0.55000000000000004">
      <c r="A27">
        <v>82</v>
      </c>
      <c r="B27" t="str">
        <f t="shared" si="2"/>
        <v>82_0</v>
      </c>
      <c r="C27" s="2">
        <v>45673.380555555559</v>
      </c>
      <c r="D27" t="s">
        <v>221</v>
      </c>
      <c r="E27" t="s">
        <v>302</v>
      </c>
      <c r="H27">
        <v>2</v>
      </c>
      <c r="N27" s="31"/>
      <c r="O27" s="32"/>
      <c r="P27" s="31"/>
    </row>
    <row r="28" spans="1:16" x14ac:dyDescent="0.55000000000000004">
      <c r="A28">
        <v>83</v>
      </c>
      <c r="B28" t="str">
        <f t="shared" si="2"/>
        <v>83_0</v>
      </c>
      <c r="C28" s="2">
        <v>45674.451388888891</v>
      </c>
      <c r="D28" t="s">
        <v>221</v>
      </c>
      <c r="E28" t="s">
        <v>288</v>
      </c>
      <c r="H28">
        <v>1</v>
      </c>
      <c r="N28" s="31"/>
      <c r="O28" s="31"/>
      <c r="P28" s="31"/>
    </row>
    <row r="29" spans="1:16" x14ac:dyDescent="0.55000000000000004">
      <c r="A29">
        <v>83</v>
      </c>
      <c r="B29" t="str">
        <f t="shared" si="2"/>
        <v>83_0</v>
      </c>
      <c r="C29" s="2">
        <v>45674.451388888891</v>
      </c>
      <c r="D29" t="s">
        <v>221</v>
      </c>
      <c r="E29" t="s">
        <v>302</v>
      </c>
      <c r="H29">
        <v>4</v>
      </c>
      <c r="N29" s="31"/>
      <c r="O29" s="31"/>
      <c r="P29" s="31"/>
    </row>
    <row r="30" spans="1:16" x14ac:dyDescent="0.55000000000000004">
      <c r="A30">
        <v>84</v>
      </c>
      <c r="B30" t="str">
        <f t="shared" si="2"/>
        <v>84_0</v>
      </c>
      <c r="C30" s="2">
        <v>45673.47152777778</v>
      </c>
      <c r="D30" t="s">
        <v>245</v>
      </c>
      <c r="E30" t="s">
        <v>274</v>
      </c>
      <c r="H30">
        <v>1</v>
      </c>
      <c r="N30" s="31"/>
      <c r="O30" s="32"/>
      <c r="P30" s="31"/>
    </row>
    <row r="31" spans="1:16" x14ac:dyDescent="0.55000000000000004">
      <c r="A31">
        <v>84</v>
      </c>
      <c r="B31" t="str">
        <f t="shared" si="2"/>
        <v>84_0</v>
      </c>
      <c r="C31" s="2">
        <v>45673.47152777778</v>
      </c>
      <c r="D31" t="s">
        <v>221</v>
      </c>
      <c r="E31" t="s">
        <v>302</v>
      </c>
      <c r="H31">
        <v>1</v>
      </c>
      <c r="N31" s="31"/>
      <c r="O31" s="31"/>
      <c r="P31" s="31"/>
    </row>
    <row r="32" spans="1:16" x14ac:dyDescent="0.55000000000000004">
      <c r="A32">
        <v>85</v>
      </c>
      <c r="B32" t="str">
        <f t="shared" si="2"/>
        <v>85_0</v>
      </c>
      <c r="C32" s="2">
        <v>45637.409722222219</v>
      </c>
      <c r="D32" t="s">
        <v>245</v>
      </c>
      <c r="E32" t="s">
        <v>302</v>
      </c>
      <c r="H32">
        <v>1</v>
      </c>
      <c r="N32" s="31"/>
      <c r="O32" s="31"/>
      <c r="P32" s="31"/>
    </row>
    <row r="33" spans="1:8" x14ac:dyDescent="0.55000000000000004">
      <c r="A33">
        <v>85</v>
      </c>
      <c r="B33" t="str">
        <f t="shared" si="2"/>
        <v>85_0</v>
      </c>
      <c r="C33" s="2">
        <v>45637.409722222219</v>
      </c>
      <c r="D33" t="s">
        <v>221</v>
      </c>
      <c r="E33" t="s">
        <v>302</v>
      </c>
      <c r="H33">
        <v>10</v>
      </c>
    </row>
    <row r="34" spans="1:8" x14ac:dyDescent="0.55000000000000004">
      <c r="A34">
        <v>85</v>
      </c>
      <c r="B34" t="str">
        <f t="shared" si="2"/>
        <v>85_0</v>
      </c>
      <c r="C34" s="2">
        <v>45637.409722222219</v>
      </c>
      <c r="D34" t="s">
        <v>221</v>
      </c>
      <c r="E34" t="s">
        <v>303</v>
      </c>
      <c r="H34">
        <v>12</v>
      </c>
    </row>
    <row r="35" spans="1:8" x14ac:dyDescent="0.55000000000000004">
      <c r="A35">
        <v>85</v>
      </c>
      <c r="B35" t="str">
        <f t="shared" si="2"/>
        <v>85_0</v>
      </c>
      <c r="C35" s="2">
        <v>45637.409722222219</v>
      </c>
      <c r="D35" t="s">
        <v>221</v>
      </c>
      <c r="E35" t="s">
        <v>302</v>
      </c>
      <c r="H35">
        <v>32</v>
      </c>
    </row>
    <row r="36" spans="1:8" x14ac:dyDescent="0.55000000000000004">
      <c r="A36">
        <v>85</v>
      </c>
      <c r="B36" t="str">
        <f t="shared" si="2"/>
        <v>85_0</v>
      </c>
      <c r="C36" s="2">
        <v>45637.409722222219</v>
      </c>
      <c r="D36" t="s">
        <v>221</v>
      </c>
      <c r="E36" t="s">
        <v>303</v>
      </c>
      <c r="H36">
        <v>4</v>
      </c>
    </row>
    <row r="37" spans="1:8" x14ac:dyDescent="0.55000000000000004">
      <c r="A37">
        <v>86</v>
      </c>
      <c r="B37" t="str">
        <f t="shared" si="2"/>
        <v>86_0</v>
      </c>
      <c r="C37" s="2">
        <v>45637.5</v>
      </c>
      <c r="D37" t="s">
        <v>245</v>
      </c>
      <c r="E37" t="s">
        <v>272</v>
      </c>
      <c r="F37" t="s">
        <v>273</v>
      </c>
      <c r="H37">
        <v>3</v>
      </c>
    </row>
    <row r="38" spans="1:8" x14ac:dyDescent="0.55000000000000004">
      <c r="A38">
        <v>86</v>
      </c>
      <c r="B38" t="str">
        <f t="shared" si="2"/>
        <v>86_0</v>
      </c>
      <c r="C38" s="2">
        <v>45637.5</v>
      </c>
      <c r="D38" t="s">
        <v>245</v>
      </c>
      <c r="E38" t="s">
        <v>302</v>
      </c>
      <c r="H38">
        <v>5</v>
      </c>
    </row>
    <row r="39" spans="1:8" x14ac:dyDescent="0.55000000000000004">
      <c r="A39">
        <v>86</v>
      </c>
      <c r="B39" t="str">
        <f t="shared" si="2"/>
        <v>86_0</v>
      </c>
      <c r="C39" s="2">
        <v>45637.5</v>
      </c>
      <c r="D39" t="s">
        <v>221</v>
      </c>
      <c r="E39" t="s">
        <v>272</v>
      </c>
      <c r="F39" t="s">
        <v>273</v>
      </c>
      <c r="H39">
        <v>5</v>
      </c>
    </row>
    <row r="40" spans="1:8" x14ac:dyDescent="0.55000000000000004">
      <c r="A40">
        <v>86</v>
      </c>
      <c r="B40" t="str">
        <f t="shared" si="2"/>
        <v>86_0</v>
      </c>
      <c r="C40" s="2">
        <v>45637.5</v>
      </c>
      <c r="D40" t="s">
        <v>221</v>
      </c>
      <c r="E40" t="s">
        <v>302</v>
      </c>
      <c r="H40">
        <f>5+3+2+3+2+6+5+4+1</f>
        <v>31</v>
      </c>
    </row>
    <row r="41" spans="1:8" x14ac:dyDescent="0.55000000000000004">
      <c r="A41">
        <v>86</v>
      </c>
      <c r="B41" t="str">
        <f t="shared" si="2"/>
        <v>86_0</v>
      </c>
      <c r="C41" s="2">
        <v>45637.5</v>
      </c>
      <c r="D41" t="s">
        <v>221</v>
      </c>
      <c r="E41" t="s">
        <v>303</v>
      </c>
      <c r="H41">
        <v>3</v>
      </c>
    </row>
    <row r="42" spans="1:8" x14ac:dyDescent="0.55000000000000004">
      <c r="A42">
        <v>87</v>
      </c>
      <c r="B42" t="str">
        <f t="shared" si="2"/>
        <v>87_0</v>
      </c>
      <c r="C42" s="2">
        <v>45637.625</v>
      </c>
      <c r="D42" t="s">
        <v>245</v>
      </c>
      <c r="E42" t="s">
        <v>272</v>
      </c>
      <c r="F42" t="s">
        <v>273</v>
      </c>
      <c r="H42">
        <v>1</v>
      </c>
    </row>
    <row r="43" spans="1:8" x14ac:dyDescent="0.55000000000000004">
      <c r="A43">
        <v>87</v>
      </c>
      <c r="B43" t="str">
        <f t="shared" si="2"/>
        <v>87_0</v>
      </c>
      <c r="C43" s="2">
        <v>45637.625</v>
      </c>
      <c r="D43" t="s">
        <v>245</v>
      </c>
      <c r="E43" t="s">
        <v>302</v>
      </c>
      <c r="H43">
        <v>1</v>
      </c>
    </row>
    <row r="44" spans="1:8" x14ac:dyDescent="0.55000000000000004">
      <c r="A44">
        <v>87</v>
      </c>
      <c r="B44" t="str">
        <f t="shared" si="2"/>
        <v>87_0</v>
      </c>
      <c r="C44" s="2">
        <v>45637.625</v>
      </c>
      <c r="D44" t="s">
        <v>245</v>
      </c>
      <c r="E44" t="s">
        <v>303</v>
      </c>
      <c r="H44">
        <v>2</v>
      </c>
    </row>
    <row r="45" spans="1:8" x14ac:dyDescent="0.55000000000000004">
      <c r="A45">
        <v>87</v>
      </c>
      <c r="B45" t="str">
        <f t="shared" si="2"/>
        <v>87_0</v>
      </c>
      <c r="C45" s="2">
        <v>45637.625</v>
      </c>
      <c r="D45" t="s">
        <v>245</v>
      </c>
      <c r="E45" t="s">
        <v>274</v>
      </c>
      <c r="H45">
        <v>1</v>
      </c>
    </row>
    <row r="46" spans="1:8" x14ac:dyDescent="0.55000000000000004">
      <c r="A46">
        <v>87</v>
      </c>
      <c r="B46" t="str">
        <f t="shared" si="2"/>
        <v>87_0</v>
      </c>
      <c r="C46" s="2">
        <v>45637.625</v>
      </c>
      <c r="D46" t="s">
        <v>221</v>
      </c>
      <c r="E46" t="s">
        <v>302</v>
      </c>
      <c r="H46">
        <v>4</v>
      </c>
    </row>
    <row r="47" spans="1:8" x14ac:dyDescent="0.55000000000000004">
      <c r="A47">
        <v>87</v>
      </c>
      <c r="B47" t="str">
        <f t="shared" si="2"/>
        <v>87_0</v>
      </c>
      <c r="C47" s="2">
        <v>45637.625</v>
      </c>
      <c r="D47" t="s">
        <v>221</v>
      </c>
      <c r="E47" t="s">
        <v>303</v>
      </c>
      <c r="H47">
        <v>10</v>
      </c>
    </row>
    <row r="48" spans="1:8" x14ac:dyDescent="0.55000000000000004">
      <c r="A48">
        <v>88</v>
      </c>
      <c r="B48" t="str">
        <f t="shared" si="2"/>
        <v>88_0</v>
      </c>
      <c r="C48" s="2">
        <v>45638.4375</v>
      </c>
      <c r="D48" t="s">
        <v>221</v>
      </c>
      <c r="E48" t="s">
        <v>302</v>
      </c>
      <c r="H48">
        <v>12</v>
      </c>
    </row>
    <row r="49" spans="1:8" x14ac:dyDescent="0.55000000000000004">
      <c r="A49">
        <v>89</v>
      </c>
      <c r="B49" t="str">
        <f t="shared" ref="B49:B80" si="3">A49 &amp; "_0"</f>
        <v>89_0</v>
      </c>
      <c r="C49" s="2">
        <v>45637.541666666664</v>
      </c>
      <c r="D49" t="s">
        <v>245</v>
      </c>
      <c r="E49" t="s">
        <v>272</v>
      </c>
      <c r="F49" t="s">
        <v>273</v>
      </c>
      <c r="H49">
        <v>14</v>
      </c>
    </row>
    <row r="50" spans="1:8" x14ac:dyDescent="0.55000000000000004">
      <c r="A50">
        <v>89</v>
      </c>
      <c r="B50" t="str">
        <f t="shared" si="3"/>
        <v>89_0</v>
      </c>
      <c r="C50" s="2">
        <v>45637.541666666664</v>
      </c>
      <c r="D50" t="s">
        <v>245</v>
      </c>
      <c r="E50" t="s">
        <v>302</v>
      </c>
      <c r="H50">
        <v>1</v>
      </c>
    </row>
    <row r="51" spans="1:8" x14ac:dyDescent="0.55000000000000004">
      <c r="A51">
        <v>89</v>
      </c>
      <c r="B51" t="str">
        <f t="shared" si="3"/>
        <v>89_0</v>
      </c>
      <c r="C51" s="2">
        <v>45637.541666666664</v>
      </c>
      <c r="D51" t="s">
        <v>221</v>
      </c>
      <c r="E51" t="s">
        <v>302</v>
      </c>
      <c r="H51">
        <v>2</v>
      </c>
    </row>
    <row r="52" spans="1:8" x14ac:dyDescent="0.55000000000000004">
      <c r="A52">
        <v>89</v>
      </c>
      <c r="B52" t="str">
        <f t="shared" si="3"/>
        <v>89_0</v>
      </c>
      <c r="C52" s="2">
        <v>45637.541666666664</v>
      </c>
      <c r="D52" t="s">
        <v>221</v>
      </c>
      <c r="E52" t="s">
        <v>303</v>
      </c>
      <c r="H52">
        <v>3</v>
      </c>
    </row>
    <row r="53" spans="1:8" x14ac:dyDescent="0.55000000000000004">
      <c r="A53">
        <v>89</v>
      </c>
      <c r="B53" t="str">
        <f t="shared" si="3"/>
        <v>89_0</v>
      </c>
      <c r="C53" s="2">
        <v>45637.541666608799</v>
      </c>
      <c r="D53" t="s">
        <v>221</v>
      </c>
      <c r="E53" t="s">
        <v>272</v>
      </c>
      <c r="F53" t="s">
        <v>273</v>
      </c>
      <c r="H53">
        <v>3</v>
      </c>
    </row>
    <row r="54" spans="1:8" x14ac:dyDescent="0.55000000000000004">
      <c r="A54">
        <v>90</v>
      </c>
      <c r="B54" t="str">
        <f t="shared" si="3"/>
        <v>90_0</v>
      </c>
      <c r="C54" s="2">
        <v>45637.583333333336</v>
      </c>
      <c r="D54" t="s">
        <v>245</v>
      </c>
      <c r="E54" t="s">
        <v>272</v>
      </c>
      <c r="F54" t="s">
        <v>273</v>
      </c>
      <c r="H54">
        <v>6</v>
      </c>
    </row>
    <row r="55" spans="1:8" x14ac:dyDescent="0.55000000000000004">
      <c r="A55">
        <v>90</v>
      </c>
      <c r="B55" t="str">
        <f t="shared" si="3"/>
        <v>90_0</v>
      </c>
      <c r="C55" s="2">
        <v>45637.583333333336</v>
      </c>
      <c r="D55" t="s">
        <v>245</v>
      </c>
      <c r="E55" t="s">
        <v>302</v>
      </c>
      <c r="H55">
        <v>1</v>
      </c>
    </row>
    <row r="56" spans="1:8" x14ac:dyDescent="0.55000000000000004">
      <c r="A56">
        <v>90</v>
      </c>
      <c r="B56" t="str">
        <f t="shared" si="3"/>
        <v>90_0</v>
      </c>
      <c r="C56" s="2">
        <v>45637.583333333336</v>
      </c>
      <c r="D56" t="s">
        <v>221</v>
      </c>
      <c r="E56" t="s">
        <v>272</v>
      </c>
      <c r="F56" t="s">
        <v>273</v>
      </c>
      <c r="H56">
        <v>8</v>
      </c>
    </row>
    <row r="57" spans="1:8" x14ac:dyDescent="0.55000000000000004">
      <c r="A57">
        <v>90</v>
      </c>
      <c r="B57" t="str">
        <f t="shared" si="3"/>
        <v>90_0</v>
      </c>
      <c r="C57" s="2">
        <v>45637.583333333336</v>
      </c>
      <c r="D57" t="s">
        <v>221</v>
      </c>
      <c r="E57" t="s">
        <v>303</v>
      </c>
      <c r="H57">
        <v>2</v>
      </c>
    </row>
    <row r="58" spans="1:8" x14ac:dyDescent="0.55000000000000004">
      <c r="A58">
        <v>91</v>
      </c>
      <c r="B58" t="str">
        <f t="shared" si="3"/>
        <v>91_0</v>
      </c>
      <c r="C58" s="2">
        <v>45638.5</v>
      </c>
      <c r="D58" t="s">
        <v>221</v>
      </c>
      <c r="E58" t="s">
        <v>302</v>
      </c>
      <c r="H58">
        <v>1</v>
      </c>
    </row>
    <row r="59" spans="1:8" x14ac:dyDescent="0.55000000000000004">
      <c r="A59">
        <v>92</v>
      </c>
      <c r="B59" t="str">
        <f t="shared" si="3"/>
        <v>92_0</v>
      </c>
      <c r="C59" s="2">
        <v>45638.456944386577</v>
      </c>
      <c r="D59" t="s">
        <v>221</v>
      </c>
      <c r="E59" t="s">
        <v>274</v>
      </c>
      <c r="H59">
        <v>1</v>
      </c>
    </row>
    <row r="60" spans="1:8" x14ac:dyDescent="0.55000000000000004">
      <c r="A60">
        <v>92</v>
      </c>
      <c r="B60" t="str">
        <f t="shared" si="3"/>
        <v>92_0</v>
      </c>
      <c r="C60" s="2">
        <v>45638.456944386577</v>
      </c>
      <c r="D60" t="s">
        <v>221</v>
      </c>
      <c r="E60" t="s">
        <v>302</v>
      </c>
      <c r="H60">
        <v>1</v>
      </c>
    </row>
    <row r="61" spans="1:8" x14ac:dyDescent="0.55000000000000004">
      <c r="A61">
        <v>92</v>
      </c>
      <c r="B61" t="str">
        <f t="shared" si="3"/>
        <v>92_0</v>
      </c>
      <c r="C61" s="2">
        <v>45638.456944386577</v>
      </c>
      <c r="D61" t="s">
        <v>221</v>
      </c>
      <c r="E61" t="s">
        <v>272</v>
      </c>
      <c r="F61" t="s">
        <v>273</v>
      </c>
      <c r="H61">
        <v>1</v>
      </c>
    </row>
    <row r="62" spans="1:8" x14ac:dyDescent="0.55000000000000004">
      <c r="A62">
        <v>93</v>
      </c>
      <c r="B62" t="str">
        <f t="shared" si="3"/>
        <v>93_0</v>
      </c>
      <c r="C62" s="2">
        <v>45637.465277777781</v>
      </c>
      <c r="D62" t="s">
        <v>245</v>
      </c>
      <c r="E62" t="s">
        <v>274</v>
      </c>
      <c r="H62">
        <v>1</v>
      </c>
    </row>
    <row r="63" spans="1:8" x14ac:dyDescent="0.55000000000000004">
      <c r="A63">
        <v>93</v>
      </c>
      <c r="B63" t="str">
        <f t="shared" si="3"/>
        <v>93_0</v>
      </c>
      <c r="C63" s="2">
        <v>45637.465277777781</v>
      </c>
      <c r="D63" t="s">
        <v>245</v>
      </c>
      <c r="E63" t="s">
        <v>302</v>
      </c>
      <c r="H63">
        <v>2</v>
      </c>
    </row>
    <row r="64" spans="1:8" x14ac:dyDescent="0.55000000000000004">
      <c r="A64">
        <v>93</v>
      </c>
      <c r="B64" t="str">
        <f t="shared" si="3"/>
        <v>93_0</v>
      </c>
      <c r="C64" s="2">
        <v>45637.465277777781</v>
      </c>
      <c r="D64" t="s">
        <v>245</v>
      </c>
      <c r="E64" t="s">
        <v>272</v>
      </c>
      <c r="F64" t="s">
        <v>273</v>
      </c>
      <c r="H64">
        <v>38</v>
      </c>
    </row>
    <row r="65" spans="1:8" x14ac:dyDescent="0.55000000000000004">
      <c r="A65">
        <v>93</v>
      </c>
      <c r="B65" t="str">
        <f t="shared" si="3"/>
        <v>93_0</v>
      </c>
      <c r="C65" s="2">
        <v>45637.465277777781</v>
      </c>
      <c r="D65" t="s">
        <v>221</v>
      </c>
      <c r="E65" t="s">
        <v>272</v>
      </c>
      <c r="F65" t="s">
        <v>273</v>
      </c>
      <c r="H65">
        <v>7</v>
      </c>
    </row>
    <row r="66" spans="1:8" x14ac:dyDescent="0.55000000000000004">
      <c r="A66">
        <v>93</v>
      </c>
      <c r="B66" t="str">
        <f t="shared" si="3"/>
        <v>93_0</v>
      </c>
      <c r="C66" s="2">
        <v>45637.465277777781</v>
      </c>
      <c r="D66" t="s">
        <v>221</v>
      </c>
      <c r="E66" t="s">
        <v>303</v>
      </c>
      <c r="H66">
        <v>1</v>
      </c>
    </row>
    <row r="67" spans="1:8" x14ac:dyDescent="0.55000000000000004">
      <c r="A67">
        <v>94</v>
      </c>
      <c r="B67" t="str">
        <f t="shared" si="3"/>
        <v>94_0</v>
      </c>
      <c r="C67" s="2">
        <v>45638.5625</v>
      </c>
      <c r="D67" t="s">
        <v>221</v>
      </c>
      <c r="E67" t="s">
        <v>302</v>
      </c>
      <c r="H67">
        <v>2</v>
      </c>
    </row>
    <row r="68" spans="1:8" x14ac:dyDescent="0.55000000000000004">
      <c r="A68">
        <v>95</v>
      </c>
      <c r="B68" t="str">
        <f t="shared" si="3"/>
        <v>95_0</v>
      </c>
      <c r="C68" s="2">
        <v>45638.520833333336</v>
      </c>
      <c r="D68" t="s">
        <v>221</v>
      </c>
      <c r="E68" t="s">
        <v>275</v>
      </c>
      <c r="H68">
        <v>4</v>
      </c>
    </row>
    <row r="69" spans="1:8" x14ac:dyDescent="0.55000000000000004">
      <c r="A69">
        <v>96</v>
      </c>
      <c r="B69" t="str">
        <f t="shared" si="3"/>
        <v>96_0</v>
      </c>
      <c r="C69" s="2"/>
    </row>
    <row r="70" spans="1:8" x14ac:dyDescent="0.55000000000000004">
      <c r="A70">
        <v>97</v>
      </c>
      <c r="B70" t="str">
        <f t="shared" si="3"/>
        <v>97_0</v>
      </c>
      <c r="C70" s="2"/>
    </row>
    <row r="71" spans="1:8" x14ac:dyDescent="0.55000000000000004">
      <c r="A71">
        <v>98</v>
      </c>
      <c r="B71" t="str">
        <f t="shared" si="3"/>
        <v>98_0</v>
      </c>
      <c r="C71" s="2"/>
    </row>
    <row r="72" spans="1:8" x14ac:dyDescent="0.55000000000000004">
      <c r="A72">
        <v>99</v>
      </c>
      <c r="B72" t="str">
        <f t="shared" si="3"/>
        <v>99_0</v>
      </c>
      <c r="C72" s="2">
        <v>45603.395833333336</v>
      </c>
      <c r="E72" t="s">
        <v>302</v>
      </c>
      <c r="H72">
        <v>3</v>
      </c>
    </row>
    <row r="73" spans="1:8" x14ac:dyDescent="0.55000000000000004">
      <c r="A73">
        <v>100</v>
      </c>
      <c r="B73" t="str">
        <f t="shared" si="3"/>
        <v>100_0</v>
      </c>
      <c r="C73" s="2">
        <v>45604.4375</v>
      </c>
      <c r="D73" t="s">
        <v>245</v>
      </c>
      <c r="E73" t="s">
        <v>302</v>
      </c>
      <c r="H73">
        <v>2</v>
      </c>
    </row>
    <row r="74" spans="1:8" x14ac:dyDescent="0.55000000000000004">
      <c r="A74">
        <v>100</v>
      </c>
      <c r="B74" t="str">
        <f t="shared" si="3"/>
        <v>100_0</v>
      </c>
      <c r="C74" s="2">
        <v>45604.4375</v>
      </c>
      <c r="D74" t="s">
        <v>221</v>
      </c>
      <c r="E74" t="s">
        <v>302</v>
      </c>
      <c r="H74">
        <v>1</v>
      </c>
    </row>
    <row r="75" spans="1:8" x14ac:dyDescent="0.55000000000000004">
      <c r="A75">
        <v>101</v>
      </c>
      <c r="B75" t="str">
        <f t="shared" si="3"/>
        <v>101_0</v>
      </c>
      <c r="C75" s="2">
        <v>45603.5</v>
      </c>
      <c r="D75" t="s">
        <v>245</v>
      </c>
      <c r="E75" t="s">
        <v>272</v>
      </c>
      <c r="F75" t="s">
        <v>273</v>
      </c>
      <c r="H75">
        <v>1</v>
      </c>
    </row>
    <row r="76" spans="1:8" x14ac:dyDescent="0.55000000000000004">
      <c r="A76">
        <v>101</v>
      </c>
      <c r="B76" t="str">
        <f t="shared" si="3"/>
        <v>101_0</v>
      </c>
      <c r="C76" s="2">
        <v>45603.5</v>
      </c>
      <c r="D76" t="s">
        <v>221</v>
      </c>
      <c r="E76" t="s">
        <v>272</v>
      </c>
      <c r="F76" t="s">
        <v>273</v>
      </c>
      <c r="H76">
        <v>2</v>
      </c>
    </row>
    <row r="77" spans="1:8" x14ac:dyDescent="0.55000000000000004">
      <c r="A77">
        <v>102</v>
      </c>
      <c r="B77" t="str">
        <f t="shared" si="3"/>
        <v>102_0</v>
      </c>
      <c r="C77" s="2">
        <v>45603.477083275466</v>
      </c>
      <c r="D77" t="s">
        <v>221</v>
      </c>
      <c r="E77" t="s">
        <v>302</v>
      </c>
      <c r="H77">
        <v>1</v>
      </c>
    </row>
    <row r="78" spans="1:8" x14ac:dyDescent="0.55000000000000004">
      <c r="A78">
        <v>103</v>
      </c>
      <c r="B78" t="str">
        <f t="shared" si="3"/>
        <v>103_0</v>
      </c>
      <c r="C78" s="2">
        <v>45604.486111053244</v>
      </c>
      <c r="D78" t="s">
        <v>221</v>
      </c>
      <c r="E78" t="s">
        <v>302</v>
      </c>
      <c r="H78">
        <v>8</v>
      </c>
    </row>
    <row r="79" spans="1:8" x14ac:dyDescent="0.55000000000000004">
      <c r="A79">
        <v>104</v>
      </c>
      <c r="B79" t="str">
        <f t="shared" si="3"/>
        <v>104_0</v>
      </c>
      <c r="C79" s="2">
        <v>45604.416666608799</v>
      </c>
      <c r="D79" t="s">
        <v>221</v>
      </c>
      <c r="E79" t="s">
        <v>272</v>
      </c>
      <c r="F79" t="s">
        <v>273</v>
      </c>
      <c r="H79">
        <v>1</v>
      </c>
    </row>
    <row r="80" spans="1:8" x14ac:dyDescent="0.55000000000000004">
      <c r="A80">
        <v>104</v>
      </c>
      <c r="B80" t="str">
        <f t="shared" si="3"/>
        <v>104_0</v>
      </c>
      <c r="C80" s="2">
        <v>45604.416666608799</v>
      </c>
      <c r="D80" t="s">
        <v>221</v>
      </c>
      <c r="E80" t="s">
        <v>302</v>
      </c>
      <c r="H80">
        <v>2</v>
      </c>
    </row>
    <row r="81" spans="1:8" x14ac:dyDescent="0.55000000000000004">
      <c r="A81">
        <v>105</v>
      </c>
      <c r="B81" t="str">
        <f t="shared" ref="B81:B87" si="4">A81 &amp; "_0"</f>
        <v>105_0</v>
      </c>
      <c r="C81" s="2">
        <v>45603.541666608799</v>
      </c>
      <c r="D81" t="s">
        <v>221</v>
      </c>
      <c r="E81" t="s">
        <v>302</v>
      </c>
      <c r="H81">
        <v>1</v>
      </c>
    </row>
    <row r="82" spans="1:8" x14ac:dyDescent="0.55000000000000004">
      <c r="A82">
        <v>106</v>
      </c>
      <c r="B82" t="str">
        <f t="shared" si="4"/>
        <v>106_0</v>
      </c>
      <c r="C82" s="2">
        <v>45603.4375</v>
      </c>
      <c r="D82" t="s">
        <v>221</v>
      </c>
      <c r="E82" t="s">
        <v>302</v>
      </c>
      <c r="H82">
        <v>6</v>
      </c>
    </row>
    <row r="83" spans="1:8" x14ac:dyDescent="0.55000000000000004">
      <c r="A83">
        <v>106</v>
      </c>
      <c r="B83" t="str">
        <f t="shared" si="4"/>
        <v>106_0</v>
      </c>
      <c r="C83" s="2">
        <v>45603.4375</v>
      </c>
      <c r="D83" t="s">
        <v>221</v>
      </c>
      <c r="E83" t="s">
        <v>302</v>
      </c>
      <c r="H83">
        <v>22</v>
      </c>
    </row>
    <row r="84" spans="1:8" x14ac:dyDescent="0.55000000000000004">
      <c r="A84">
        <v>107</v>
      </c>
      <c r="B84" t="str">
        <f t="shared" si="4"/>
        <v>107_0</v>
      </c>
      <c r="C84" s="2">
        <v>45604.388888888891</v>
      </c>
      <c r="D84" t="s">
        <v>221</v>
      </c>
      <c r="E84" t="s">
        <v>302</v>
      </c>
      <c r="H84">
        <v>2</v>
      </c>
    </row>
    <row r="85" spans="1:8" x14ac:dyDescent="0.55000000000000004">
      <c r="A85">
        <v>108</v>
      </c>
      <c r="B85" t="str">
        <f t="shared" si="4"/>
        <v>108_0</v>
      </c>
      <c r="C85" s="2">
        <v>45604.458333333336</v>
      </c>
      <c r="D85" t="s">
        <v>221</v>
      </c>
      <c r="E85" t="s">
        <v>302</v>
      </c>
      <c r="H85">
        <v>15</v>
      </c>
    </row>
    <row r="86" spans="1:8" x14ac:dyDescent="0.55000000000000004">
      <c r="A86">
        <v>108</v>
      </c>
      <c r="B86" t="str">
        <f t="shared" si="4"/>
        <v>108_0</v>
      </c>
      <c r="C86" s="2">
        <v>45604.458333333336</v>
      </c>
      <c r="D86" t="s">
        <v>221</v>
      </c>
      <c r="E86" t="s">
        <v>302</v>
      </c>
      <c r="H86">
        <v>3</v>
      </c>
    </row>
    <row r="87" spans="1:8" x14ac:dyDescent="0.55000000000000004">
      <c r="A87">
        <v>109</v>
      </c>
      <c r="B87" t="str">
        <f t="shared" si="4"/>
        <v>109_0</v>
      </c>
      <c r="C87" s="2"/>
    </row>
    <row r="88" spans="1:8" x14ac:dyDescent="0.55000000000000004">
      <c r="A88">
        <v>109</v>
      </c>
      <c r="B88" t="str">
        <f>A88 &amp; "_1"</f>
        <v>109_1</v>
      </c>
      <c r="C88" s="2">
        <v>45680.416666608799</v>
      </c>
      <c r="D88" t="s">
        <v>221</v>
      </c>
      <c r="E88" t="s">
        <v>302</v>
      </c>
      <c r="H88">
        <v>17</v>
      </c>
    </row>
    <row r="89" spans="1:8" x14ac:dyDescent="0.55000000000000004">
      <c r="A89">
        <v>110</v>
      </c>
      <c r="B89" t="str">
        <f>A89 &amp; "_0"</f>
        <v>110_0</v>
      </c>
      <c r="C89" s="2"/>
    </row>
    <row r="90" spans="1:8" x14ac:dyDescent="0.55000000000000004">
      <c r="A90">
        <v>111</v>
      </c>
      <c r="B90" t="str">
        <f>A90 &amp; "_0"</f>
        <v>111_0</v>
      </c>
      <c r="C90" s="2"/>
    </row>
    <row r="91" spans="1:8" x14ac:dyDescent="0.55000000000000004">
      <c r="A91">
        <v>111</v>
      </c>
      <c r="B91" t="str">
        <f>A91 &amp; "_1"</f>
        <v>111_1</v>
      </c>
      <c r="C91" s="2">
        <v>45680.589583333334</v>
      </c>
      <c r="D91" t="s">
        <v>221</v>
      </c>
      <c r="E91" t="s">
        <v>302</v>
      </c>
      <c r="H91">
        <v>15</v>
      </c>
    </row>
    <row r="92" spans="1:8" x14ac:dyDescent="0.55000000000000004">
      <c r="A92">
        <v>112</v>
      </c>
      <c r="B92" t="str">
        <f t="shared" ref="B92:B97" si="5">A92 &amp; "_0"</f>
        <v>112_0</v>
      </c>
      <c r="C92" s="2">
        <v>45680.5</v>
      </c>
      <c r="D92" t="s">
        <v>245</v>
      </c>
      <c r="E92" t="s">
        <v>302</v>
      </c>
      <c r="H92">
        <v>3</v>
      </c>
    </row>
    <row r="93" spans="1:8" x14ac:dyDescent="0.55000000000000004">
      <c r="A93">
        <v>112</v>
      </c>
      <c r="B93" t="str">
        <f t="shared" si="5"/>
        <v>112_0</v>
      </c>
      <c r="C93" s="2">
        <v>45680.5</v>
      </c>
      <c r="D93" t="s">
        <v>221</v>
      </c>
      <c r="E93" t="s">
        <v>302</v>
      </c>
      <c r="H93">
        <v>15</v>
      </c>
    </row>
    <row r="94" spans="1:8" x14ac:dyDescent="0.55000000000000004">
      <c r="A94">
        <v>113</v>
      </c>
      <c r="B94" t="str">
        <f t="shared" si="5"/>
        <v>113_0</v>
      </c>
      <c r="C94" s="2">
        <v>45680.387499999997</v>
      </c>
      <c r="D94" t="s">
        <v>221</v>
      </c>
      <c r="E94" t="s">
        <v>302</v>
      </c>
      <c r="H94">
        <v>11</v>
      </c>
    </row>
    <row r="95" spans="1:8" x14ac:dyDescent="0.55000000000000004">
      <c r="A95">
        <v>114</v>
      </c>
      <c r="B95" t="str">
        <f t="shared" si="5"/>
        <v>114_0</v>
      </c>
      <c r="C95" s="2"/>
    </row>
    <row r="96" spans="1:8" x14ac:dyDescent="0.55000000000000004">
      <c r="A96">
        <v>115</v>
      </c>
      <c r="B96" t="str">
        <f t="shared" si="5"/>
        <v>115_0</v>
      </c>
      <c r="C96" s="2">
        <v>45597.590277777781</v>
      </c>
      <c r="E96" t="s">
        <v>302</v>
      </c>
      <c r="H96">
        <v>1</v>
      </c>
    </row>
    <row r="97" spans="1:8" x14ac:dyDescent="0.55000000000000004">
      <c r="A97">
        <v>115</v>
      </c>
      <c r="B97" t="str">
        <f t="shared" si="5"/>
        <v>115_0</v>
      </c>
      <c r="C97" s="2">
        <v>45598.590277777781</v>
      </c>
      <c r="E97" t="s">
        <v>272</v>
      </c>
      <c r="F97" t="s">
        <v>273</v>
      </c>
      <c r="H97">
        <v>1</v>
      </c>
    </row>
    <row r="98" spans="1:8" x14ac:dyDescent="0.55000000000000004">
      <c r="A98">
        <v>115</v>
      </c>
      <c r="B98" t="str">
        <f>A98 &amp; "_1"</f>
        <v>115_1</v>
      </c>
      <c r="C98" s="2">
        <v>45680.548611053244</v>
      </c>
      <c r="D98" t="s">
        <v>245</v>
      </c>
      <c r="E98" t="s">
        <v>302</v>
      </c>
      <c r="H98">
        <v>1</v>
      </c>
    </row>
    <row r="99" spans="1:8" x14ac:dyDescent="0.55000000000000004">
      <c r="A99">
        <v>115</v>
      </c>
      <c r="B99" t="str">
        <f>A99 &amp; "_1"</f>
        <v>115_1</v>
      </c>
      <c r="C99" s="2">
        <v>45680.548611053244</v>
      </c>
      <c r="D99" t="s">
        <v>221</v>
      </c>
      <c r="E99" t="s">
        <v>302</v>
      </c>
      <c r="H99">
        <v>11</v>
      </c>
    </row>
    <row r="100" spans="1:8" x14ac:dyDescent="0.55000000000000004">
      <c r="A100">
        <v>116</v>
      </c>
      <c r="B100" t="str">
        <f>A100 &amp; "_0"</f>
        <v>116_0</v>
      </c>
      <c r="C100" s="2">
        <v>45597.555555555555</v>
      </c>
      <c r="E100" t="s">
        <v>272</v>
      </c>
      <c r="F100" t="s">
        <v>273</v>
      </c>
      <c r="H100">
        <v>1</v>
      </c>
    </row>
    <row r="101" spans="1:8" x14ac:dyDescent="0.55000000000000004">
      <c r="A101">
        <v>116</v>
      </c>
      <c r="B101" t="str">
        <f>A101 &amp; "_0"</f>
        <v>116_0</v>
      </c>
      <c r="C101" s="2">
        <v>45597.555555555555</v>
      </c>
      <c r="E101" t="s">
        <v>302</v>
      </c>
      <c r="H101">
        <v>2</v>
      </c>
    </row>
    <row r="102" spans="1:8" x14ac:dyDescent="0.55000000000000004">
      <c r="A102">
        <v>116</v>
      </c>
      <c r="B102" t="str">
        <f>A102 &amp; "_1"</f>
        <v>116_1</v>
      </c>
      <c r="C102" s="2"/>
    </row>
    <row r="103" spans="1:8" x14ac:dyDescent="0.55000000000000004">
      <c r="A103">
        <v>117</v>
      </c>
      <c r="B103" t="str">
        <f>A103 &amp; "_0"</f>
        <v>117_0</v>
      </c>
      <c r="C103" s="2"/>
    </row>
    <row r="104" spans="1:8" x14ac:dyDescent="0.55000000000000004">
      <c r="A104">
        <v>117</v>
      </c>
      <c r="B104" t="str">
        <f>A104 &amp; "_1"</f>
        <v>117_1</v>
      </c>
      <c r="C104" s="2">
        <v>45680.458333333336</v>
      </c>
      <c r="D104" t="s">
        <v>221</v>
      </c>
      <c r="E104" t="s">
        <v>302</v>
      </c>
      <c r="H104">
        <v>17</v>
      </c>
    </row>
    <row r="105" spans="1:8" x14ac:dyDescent="0.55000000000000004">
      <c r="A105">
        <v>118</v>
      </c>
      <c r="B105" t="str">
        <f>A105 &amp; "_0"</f>
        <v>118_0</v>
      </c>
      <c r="C105" s="2"/>
    </row>
    <row r="106" spans="1:8" x14ac:dyDescent="0.55000000000000004">
      <c r="A106">
        <v>119</v>
      </c>
      <c r="B106" t="str">
        <f>A106 &amp; "_0"</f>
        <v>119_0</v>
      </c>
      <c r="C106" s="2">
        <v>45597.395833333336</v>
      </c>
      <c r="E106" t="s">
        <v>302</v>
      </c>
      <c r="H106">
        <v>2</v>
      </c>
    </row>
    <row r="107" spans="1:8" x14ac:dyDescent="0.55000000000000004">
      <c r="A107">
        <v>119</v>
      </c>
      <c r="B107" t="str">
        <f>A107 &amp; "_1"</f>
        <v>119_1</v>
      </c>
      <c r="C107" s="2">
        <v>45680.458333333336</v>
      </c>
      <c r="D107" t="s">
        <v>221</v>
      </c>
      <c r="E107" t="s">
        <v>302</v>
      </c>
      <c r="H107">
        <v>17</v>
      </c>
    </row>
    <row r="108" spans="1:8" x14ac:dyDescent="0.55000000000000004">
      <c r="A108">
        <v>120</v>
      </c>
      <c r="B108" t="str">
        <f>A108 &amp; "_0"</f>
        <v>120_0</v>
      </c>
      <c r="C108" s="2">
        <v>45597.429166666669</v>
      </c>
      <c r="E108" t="s">
        <v>302</v>
      </c>
      <c r="H108">
        <v>3</v>
      </c>
    </row>
    <row r="109" spans="1:8" x14ac:dyDescent="0.55000000000000004">
      <c r="C109" s="2"/>
    </row>
  </sheetData>
  <autoFilter ref="A1:H1" xr:uid="{291B7355-3309-4C57-B471-5E561D449566}">
    <sortState xmlns:xlrd2="http://schemas.microsoft.com/office/spreadsheetml/2017/richdata2" ref="A2:H86">
      <sortCondition ref="A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9B6A-0551-4785-B21D-C60C6A31CD5F}">
  <dimension ref="A1:G2273"/>
  <sheetViews>
    <sheetView zoomScale="85" zoomScaleNormal="85" workbookViewId="0">
      <pane xSplit="1" ySplit="1" topLeftCell="B95" activePane="bottomRight" state="frozen"/>
      <selection pane="topRight" activeCell="B1" sqref="B1"/>
      <selection pane="bottomLeft" activeCell="A2" sqref="A2"/>
      <selection pane="bottomRight" activeCell="L1915" sqref="L1915"/>
    </sheetView>
  </sheetViews>
  <sheetFormatPr defaultRowHeight="14.4" x14ac:dyDescent="0.55000000000000004"/>
  <cols>
    <col min="2" max="2" width="14.734375" bestFit="1" customWidth="1"/>
    <col min="4" max="4" width="19.68359375" bestFit="1" customWidth="1"/>
    <col min="5" max="5" width="14.15625" bestFit="1" customWidth="1"/>
    <col min="6" max="6" width="16.41796875" customWidth="1"/>
  </cols>
  <sheetData>
    <row r="1" spans="1:7" x14ac:dyDescent="0.55000000000000004">
      <c r="A1" s="1" t="s">
        <v>0</v>
      </c>
      <c r="B1" s="1" t="s">
        <v>3</v>
      </c>
      <c r="C1" s="1" t="s">
        <v>122</v>
      </c>
      <c r="D1" s="1" t="s">
        <v>123</v>
      </c>
      <c r="E1" s="1" t="s">
        <v>124</v>
      </c>
      <c r="F1" s="1" t="s">
        <v>125</v>
      </c>
      <c r="G1" s="1" t="s">
        <v>12</v>
      </c>
    </row>
    <row r="2" spans="1:7" x14ac:dyDescent="0.55000000000000004">
      <c r="A2">
        <v>61</v>
      </c>
      <c r="B2" t="str">
        <f>A2 &amp; "_0"</f>
        <v>61_0</v>
      </c>
      <c r="C2" t="s">
        <v>126</v>
      </c>
      <c r="D2" t="s">
        <v>127</v>
      </c>
      <c r="E2" t="s">
        <v>128</v>
      </c>
      <c r="F2" s="1"/>
      <c r="G2" t="s">
        <v>129</v>
      </c>
    </row>
    <row r="3" spans="1:7" x14ac:dyDescent="0.55000000000000004">
      <c r="A3">
        <v>61</v>
      </c>
      <c r="B3" t="str">
        <f t="shared" ref="B3:B66" si="0">A3 &amp; "_0"</f>
        <v>61_0</v>
      </c>
      <c r="C3" t="s">
        <v>126</v>
      </c>
      <c r="D3" s="11" t="s">
        <v>130</v>
      </c>
      <c r="E3" t="s">
        <v>131</v>
      </c>
      <c r="F3">
        <v>0</v>
      </c>
    </row>
    <row r="4" spans="1:7" x14ac:dyDescent="0.55000000000000004">
      <c r="A4">
        <v>61</v>
      </c>
      <c r="B4" t="str">
        <f t="shared" si="0"/>
        <v>61_0</v>
      </c>
      <c r="C4" t="s">
        <v>126</v>
      </c>
      <c r="D4" t="s">
        <v>132</v>
      </c>
      <c r="E4" t="s">
        <v>133</v>
      </c>
    </row>
    <row r="5" spans="1:7" x14ac:dyDescent="0.55000000000000004">
      <c r="A5">
        <v>61</v>
      </c>
      <c r="B5" t="str">
        <f t="shared" si="0"/>
        <v>61_0</v>
      </c>
      <c r="C5" t="s">
        <v>126</v>
      </c>
      <c r="D5" t="s">
        <v>134</v>
      </c>
      <c r="E5" t="s">
        <v>133</v>
      </c>
      <c r="F5">
        <v>0.6</v>
      </c>
    </row>
    <row r="6" spans="1:7" x14ac:dyDescent="0.55000000000000004">
      <c r="A6">
        <v>61</v>
      </c>
      <c r="B6" t="str">
        <f t="shared" si="0"/>
        <v>61_0</v>
      </c>
      <c r="C6" t="s">
        <v>126</v>
      </c>
      <c r="D6" t="s">
        <v>135</v>
      </c>
      <c r="E6" t="s">
        <v>136</v>
      </c>
      <c r="F6">
        <f>F5/10</f>
        <v>0.06</v>
      </c>
      <c r="G6" t="s">
        <v>137</v>
      </c>
    </row>
    <row r="7" spans="1:7" x14ac:dyDescent="0.55000000000000004">
      <c r="A7">
        <v>61</v>
      </c>
      <c r="B7" t="str">
        <f t="shared" si="0"/>
        <v>61_0</v>
      </c>
      <c r="C7" t="s">
        <v>126</v>
      </c>
      <c r="D7" s="2" t="s">
        <v>138</v>
      </c>
      <c r="E7" t="s">
        <v>139</v>
      </c>
      <c r="F7">
        <v>50</v>
      </c>
    </row>
    <row r="8" spans="1:7" x14ac:dyDescent="0.55000000000000004">
      <c r="A8">
        <v>61</v>
      </c>
      <c r="B8" t="str">
        <f t="shared" si="0"/>
        <v>61_0</v>
      </c>
      <c r="C8" t="s">
        <v>126</v>
      </c>
      <c r="D8" s="2" t="s">
        <v>140</v>
      </c>
      <c r="F8" t="s">
        <v>172</v>
      </c>
    </row>
    <row r="9" spans="1:7" x14ac:dyDescent="0.55000000000000004">
      <c r="A9">
        <v>61</v>
      </c>
      <c r="B9" t="str">
        <f t="shared" si="0"/>
        <v>61_0</v>
      </c>
      <c r="C9" t="s">
        <v>126</v>
      </c>
      <c r="D9" s="2" t="s">
        <v>141</v>
      </c>
      <c r="E9" t="s">
        <v>139</v>
      </c>
      <c r="F9">
        <v>0</v>
      </c>
    </row>
    <row r="10" spans="1:7" x14ac:dyDescent="0.55000000000000004">
      <c r="A10">
        <v>61</v>
      </c>
      <c r="B10" t="str">
        <f t="shared" si="0"/>
        <v>61_0</v>
      </c>
      <c r="C10" t="s">
        <v>126</v>
      </c>
      <c r="D10" t="s">
        <v>142</v>
      </c>
      <c r="E10" t="s">
        <v>139</v>
      </c>
      <c r="F10">
        <v>0</v>
      </c>
    </row>
    <row r="11" spans="1:7" x14ac:dyDescent="0.55000000000000004">
      <c r="A11">
        <v>61</v>
      </c>
      <c r="B11" t="str">
        <f t="shared" si="0"/>
        <v>61_0</v>
      </c>
      <c r="C11" t="s">
        <v>126</v>
      </c>
      <c r="D11" t="s">
        <v>143</v>
      </c>
      <c r="E11" t="s">
        <v>131</v>
      </c>
      <c r="F11">
        <v>0</v>
      </c>
    </row>
    <row r="12" spans="1:7" x14ac:dyDescent="0.55000000000000004">
      <c r="A12">
        <v>61</v>
      </c>
      <c r="B12" t="str">
        <f t="shared" si="0"/>
        <v>61_0</v>
      </c>
      <c r="C12" t="s">
        <v>126</v>
      </c>
      <c r="D12" t="s">
        <v>144</v>
      </c>
      <c r="E12" t="s">
        <v>139</v>
      </c>
      <c r="F12">
        <v>0</v>
      </c>
    </row>
    <row r="13" spans="1:7" x14ac:dyDescent="0.55000000000000004">
      <c r="A13">
        <v>61</v>
      </c>
      <c r="B13" t="str">
        <f t="shared" si="0"/>
        <v>61_0</v>
      </c>
      <c r="C13" t="s">
        <v>126</v>
      </c>
      <c r="D13" t="s">
        <v>145</v>
      </c>
      <c r="E13" t="s">
        <v>139</v>
      </c>
      <c r="F13">
        <v>0</v>
      </c>
    </row>
    <row r="14" spans="1:7" x14ac:dyDescent="0.55000000000000004">
      <c r="A14">
        <v>61</v>
      </c>
      <c r="B14" t="str">
        <f t="shared" si="0"/>
        <v>61_0</v>
      </c>
      <c r="C14" t="s">
        <v>126</v>
      </c>
      <c r="D14" t="s">
        <v>146</v>
      </c>
      <c r="E14" t="s">
        <v>139</v>
      </c>
      <c r="F14">
        <v>0</v>
      </c>
    </row>
    <row r="15" spans="1:7" x14ac:dyDescent="0.55000000000000004">
      <c r="A15">
        <v>61</v>
      </c>
      <c r="B15" t="str">
        <f t="shared" si="0"/>
        <v>61_0</v>
      </c>
      <c r="C15" t="s">
        <v>126</v>
      </c>
      <c r="D15" t="s">
        <v>147</v>
      </c>
      <c r="E15" t="s">
        <v>139</v>
      </c>
      <c r="F15">
        <v>0</v>
      </c>
    </row>
    <row r="16" spans="1:7" x14ac:dyDescent="0.55000000000000004">
      <c r="A16">
        <v>61</v>
      </c>
      <c r="B16" t="str">
        <f t="shared" si="0"/>
        <v>61_0</v>
      </c>
      <c r="C16" t="s">
        <v>126</v>
      </c>
      <c r="D16" t="s">
        <v>148</v>
      </c>
      <c r="E16" t="s">
        <v>139</v>
      </c>
      <c r="F16">
        <v>90</v>
      </c>
    </row>
    <row r="17" spans="1:6" x14ac:dyDescent="0.55000000000000004">
      <c r="A17">
        <v>61</v>
      </c>
      <c r="B17" t="str">
        <f t="shared" si="0"/>
        <v>61_0</v>
      </c>
      <c r="C17" t="s">
        <v>126</v>
      </c>
      <c r="D17" t="s">
        <v>149</v>
      </c>
      <c r="E17" t="s">
        <v>139</v>
      </c>
      <c r="F17">
        <v>10</v>
      </c>
    </row>
    <row r="18" spans="1:6" x14ac:dyDescent="0.55000000000000004">
      <c r="A18">
        <v>61</v>
      </c>
      <c r="B18" t="str">
        <f t="shared" si="0"/>
        <v>61_0</v>
      </c>
      <c r="C18" t="s">
        <v>126</v>
      </c>
      <c r="D18" t="s">
        <v>150</v>
      </c>
      <c r="E18" t="s">
        <v>139</v>
      </c>
      <c r="F18">
        <v>0</v>
      </c>
    </row>
    <row r="19" spans="1:6" x14ac:dyDescent="0.55000000000000004">
      <c r="A19">
        <v>61</v>
      </c>
      <c r="B19" t="str">
        <f t="shared" si="0"/>
        <v>61_0</v>
      </c>
      <c r="C19" t="s">
        <v>126</v>
      </c>
      <c r="D19" t="s">
        <v>151</v>
      </c>
      <c r="E19" t="s">
        <v>139</v>
      </c>
      <c r="F19">
        <v>0</v>
      </c>
    </row>
    <row r="20" spans="1:6" x14ac:dyDescent="0.55000000000000004">
      <c r="A20">
        <v>61</v>
      </c>
      <c r="B20" t="str">
        <f t="shared" si="0"/>
        <v>61_0</v>
      </c>
      <c r="C20" t="s">
        <v>126</v>
      </c>
      <c r="D20" t="s">
        <v>152</v>
      </c>
      <c r="E20" t="s">
        <v>153</v>
      </c>
    </row>
    <row r="21" spans="1:6" x14ac:dyDescent="0.55000000000000004">
      <c r="A21">
        <v>61</v>
      </c>
      <c r="B21" t="str">
        <f t="shared" si="0"/>
        <v>61_0</v>
      </c>
      <c r="C21" t="s">
        <v>154</v>
      </c>
      <c r="D21" t="s">
        <v>155</v>
      </c>
      <c r="E21" t="s">
        <v>156</v>
      </c>
      <c r="F21">
        <v>25.3</v>
      </c>
    </row>
    <row r="22" spans="1:6" x14ac:dyDescent="0.55000000000000004">
      <c r="A22">
        <v>61</v>
      </c>
      <c r="B22" t="str">
        <f t="shared" si="0"/>
        <v>61_0</v>
      </c>
      <c r="C22" t="s">
        <v>154</v>
      </c>
      <c r="D22" t="s">
        <v>157</v>
      </c>
      <c r="E22" t="s">
        <v>158</v>
      </c>
      <c r="F22">
        <v>5.25</v>
      </c>
    </row>
    <row r="23" spans="1:6" x14ac:dyDescent="0.55000000000000004">
      <c r="A23">
        <v>61</v>
      </c>
      <c r="B23" t="str">
        <f t="shared" si="0"/>
        <v>61_0</v>
      </c>
      <c r="C23" t="s">
        <v>154</v>
      </c>
      <c r="D23" t="s">
        <v>159</v>
      </c>
      <c r="E23" t="s">
        <v>139</v>
      </c>
      <c r="F23">
        <v>63.9</v>
      </c>
    </row>
    <row r="24" spans="1:6" x14ac:dyDescent="0.55000000000000004">
      <c r="A24">
        <v>61</v>
      </c>
      <c r="B24" t="str">
        <f t="shared" si="0"/>
        <v>61_0</v>
      </c>
      <c r="C24" t="s">
        <v>154</v>
      </c>
      <c r="D24" t="s">
        <v>160</v>
      </c>
      <c r="E24" t="s">
        <v>161</v>
      </c>
      <c r="F24">
        <v>445.8</v>
      </c>
    </row>
    <row r="25" spans="1:6" x14ac:dyDescent="0.55000000000000004">
      <c r="A25">
        <v>61</v>
      </c>
      <c r="B25" t="str">
        <f t="shared" si="0"/>
        <v>61_0</v>
      </c>
      <c r="C25" t="s">
        <v>154</v>
      </c>
      <c r="D25" t="s">
        <v>162</v>
      </c>
      <c r="F25">
        <v>3.78</v>
      </c>
    </row>
    <row r="26" spans="1:6" x14ac:dyDescent="0.55000000000000004">
      <c r="A26">
        <v>61</v>
      </c>
      <c r="B26" t="str">
        <f t="shared" si="0"/>
        <v>61_0</v>
      </c>
      <c r="C26" t="s">
        <v>163</v>
      </c>
      <c r="D26" t="s">
        <v>164</v>
      </c>
      <c r="E26" t="s">
        <v>139</v>
      </c>
      <c r="F26">
        <v>0</v>
      </c>
    </row>
    <row r="27" spans="1:6" x14ac:dyDescent="0.55000000000000004">
      <c r="A27">
        <v>61</v>
      </c>
      <c r="B27" t="str">
        <f t="shared" si="0"/>
        <v>61_0</v>
      </c>
      <c r="C27" t="s">
        <v>163</v>
      </c>
      <c r="D27" t="s">
        <v>165</v>
      </c>
    </row>
    <row r="28" spans="1:6" x14ac:dyDescent="0.55000000000000004">
      <c r="A28">
        <v>61</v>
      </c>
      <c r="B28" t="str">
        <f t="shared" si="0"/>
        <v>61_0</v>
      </c>
      <c r="C28" t="s">
        <v>163</v>
      </c>
      <c r="D28" t="s">
        <v>166</v>
      </c>
      <c r="E28" t="s">
        <v>139</v>
      </c>
      <c r="F28">
        <v>0</v>
      </c>
    </row>
    <row r="29" spans="1:6" x14ac:dyDescent="0.55000000000000004">
      <c r="A29">
        <v>61</v>
      </c>
      <c r="B29" t="str">
        <f t="shared" si="0"/>
        <v>61_0</v>
      </c>
      <c r="C29" t="s">
        <v>163</v>
      </c>
      <c r="D29" t="s">
        <v>167</v>
      </c>
    </row>
    <row r="30" spans="1:6" x14ac:dyDescent="0.55000000000000004">
      <c r="A30">
        <v>61</v>
      </c>
      <c r="B30" t="str">
        <f t="shared" si="0"/>
        <v>61_0</v>
      </c>
      <c r="C30" t="s">
        <v>163</v>
      </c>
      <c r="D30" t="s">
        <v>168</v>
      </c>
      <c r="E30" t="s">
        <v>131</v>
      </c>
      <c r="F30">
        <v>0</v>
      </c>
    </row>
    <row r="31" spans="1:6" x14ac:dyDescent="0.55000000000000004">
      <c r="A31">
        <v>61</v>
      </c>
      <c r="B31" t="str">
        <f t="shared" si="0"/>
        <v>61_0</v>
      </c>
      <c r="C31" t="s">
        <v>163</v>
      </c>
      <c r="D31" t="s">
        <v>169</v>
      </c>
    </row>
    <row r="32" spans="1:6" x14ac:dyDescent="0.55000000000000004">
      <c r="A32">
        <v>61</v>
      </c>
      <c r="B32" t="str">
        <f t="shared" si="0"/>
        <v>61_0</v>
      </c>
      <c r="C32" t="s">
        <v>163</v>
      </c>
      <c r="D32" t="s">
        <v>170</v>
      </c>
      <c r="E32" t="s">
        <v>139</v>
      </c>
      <c r="F32">
        <v>10</v>
      </c>
    </row>
    <row r="33" spans="1:7" x14ac:dyDescent="0.55000000000000004">
      <c r="A33">
        <v>61</v>
      </c>
      <c r="B33" t="str">
        <f t="shared" si="0"/>
        <v>61_0</v>
      </c>
      <c r="C33" t="s">
        <v>163</v>
      </c>
      <c r="D33" t="s">
        <v>171</v>
      </c>
    </row>
    <row r="34" spans="1:7" x14ac:dyDescent="0.55000000000000004">
      <c r="A34">
        <v>62</v>
      </c>
      <c r="B34" t="str">
        <f t="shared" si="0"/>
        <v>62_0</v>
      </c>
      <c r="C34" t="s">
        <v>126</v>
      </c>
      <c r="D34" t="s">
        <v>127</v>
      </c>
      <c r="E34" t="s">
        <v>128</v>
      </c>
      <c r="F34" s="1"/>
      <c r="G34" t="s">
        <v>129</v>
      </c>
    </row>
    <row r="35" spans="1:7" x14ac:dyDescent="0.55000000000000004">
      <c r="A35">
        <v>62</v>
      </c>
      <c r="B35" t="str">
        <f t="shared" si="0"/>
        <v>62_0</v>
      </c>
      <c r="C35" t="s">
        <v>126</v>
      </c>
      <c r="D35" s="11" t="s">
        <v>130</v>
      </c>
      <c r="E35" t="s">
        <v>131</v>
      </c>
      <c r="F35">
        <v>1</v>
      </c>
    </row>
    <row r="36" spans="1:7" x14ac:dyDescent="0.55000000000000004">
      <c r="A36">
        <v>62</v>
      </c>
      <c r="B36" t="str">
        <f t="shared" si="0"/>
        <v>62_0</v>
      </c>
      <c r="C36" t="s">
        <v>126</v>
      </c>
      <c r="D36" t="s">
        <v>132</v>
      </c>
      <c r="E36" t="s">
        <v>133</v>
      </c>
    </row>
    <row r="37" spans="1:7" x14ac:dyDescent="0.55000000000000004">
      <c r="A37">
        <v>62</v>
      </c>
      <c r="B37" t="str">
        <f t="shared" si="0"/>
        <v>62_0</v>
      </c>
      <c r="C37" t="s">
        <v>126</v>
      </c>
      <c r="D37" t="s">
        <v>134</v>
      </c>
      <c r="E37" t="s">
        <v>133</v>
      </c>
      <c r="F37">
        <v>1.7</v>
      </c>
    </row>
    <row r="38" spans="1:7" x14ac:dyDescent="0.55000000000000004">
      <c r="A38">
        <v>62</v>
      </c>
      <c r="B38" t="str">
        <f t="shared" si="0"/>
        <v>62_0</v>
      </c>
      <c r="C38" t="s">
        <v>126</v>
      </c>
      <c r="D38" t="s">
        <v>135</v>
      </c>
      <c r="E38" t="s">
        <v>136</v>
      </c>
      <c r="F38">
        <f>F37/10</f>
        <v>0.16999999999999998</v>
      </c>
      <c r="G38" t="s">
        <v>137</v>
      </c>
    </row>
    <row r="39" spans="1:7" x14ac:dyDescent="0.55000000000000004">
      <c r="A39">
        <v>62</v>
      </c>
      <c r="B39" t="str">
        <f t="shared" si="0"/>
        <v>62_0</v>
      </c>
      <c r="C39" t="s">
        <v>126</v>
      </c>
      <c r="D39" s="2" t="s">
        <v>138</v>
      </c>
      <c r="E39" t="s">
        <v>139</v>
      </c>
      <c r="F39">
        <v>100</v>
      </c>
    </row>
    <row r="40" spans="1:7" x14ac:dyDescent="0.55000000000000004">
      <c r="A40">
        <v>62</v>
      </c>
      <c r="B40" t="str">
        <f t="shared" si="0"/>
        <v>62_0</v>
      </c>
      <c r="C40" t="s">
        <v>126</v>
      </c>
      <c r="D40" s="2" t="s">
        <v>140</v>
      </c>
      <c r="F40" t="s">
        <v>172</v>
      </c>
    </row>
    <row r="41" spans="1:7" x14ac:dyDescent="0.55000000000000004">
      <c r="A41">
        <v>62</v>
      </c>
      <c r="B41" t="str">
        <f t="shared" si="0"/>
        <v>62_0</v>
      </c>
      <c r="C41" t="s">
        <v>126</v>
      </c>
      <c r="D41" s="2" t="s">
        <v>141</v>
      </c>
      <c r="E41" t="s">
        <v>139</v>
      </c>
      <c r="F41">
        <v>100</v>
      </c>
    </row>
    <row r="42" spans="1:7" x14ac:dyDescent="0.55000000000000004">
      <c r="A42">
        <v>62</v>
      </c>
      <c r="B42" t="str">
        <f t="shared" si="0"/>
        <v>62_0</v>
      </c>
      <c r="C42" t="s">
        <v>126</v>
      </c>
      <c r="D42" t="s">
        <v>142</v>
      </c>
      <c r="E42" t="s">
        <v>139</v>
      </c>
      <c r="F42">
        <v>0</v>
      </c>
    </row>
    <row r="43" spans="1:7" x14ac:dyDescent="0.55000000000000004">
      <c r="A43">
        <v>62</v>
      </c>
      <c r="B43" t="str">
        <f t="shared" si="0"/>
        <v>62_0</v>
      </c>
      <c r="C43" t="s">
        <v>126</v>
      </c>
      <c r="D43" t="s">
        <v>143</v>
      </c>
      <c r="E43" t="s">
        <v>131</v>
      </c>
      <c r="F43">
        <v>0</v>
      </c>
    </row>
    <row r="44" spans="1:7" x14ac:dyDescent="0.55000000000000004">
      <c r="A44">
        <v>62</v>
      </c>
      <c r="B44" t="str">
        <f t="shared" si="0"/>
        <v>62_0</v>
      </c>
      <c r="C44" t="s">
        <v>126</v>
      </c>
      <c r="D44" t="s">
        <v>144</v>
      </c>
      <c r="E44" t="s">
        <v>139</v>
      </c>
      <c r="F44">
        <v>0</v>
      </c>
    </row>
    <row r="45" spans="1:7" x14ac:dyDescent="0.55000000000000004">
      <c r="A45">
        <v>62</v>
      </c>
      <c r="B45" t="str">
        <f t="shared" si="0"/>
        <v>62_0</v>
      </c>
      <c r="C45" t="s">
        <v>126</v>
      </c>
      <c r="D45" t="s">
        <v>145</v>
      </c>
      <c r="E45" t="s">
        <v>139</v>
      </c>
      <c r="F45">
        <v>40</v>
      </c>
    </row>
    <row r="46" spans="1:7" x14ac:dyDescent="0.55000000000000004">
      <c r="A46">
        <v>62</v>
      </c>
      <c r="B46" t="str">
        <f t="shared" si="0"/>
        <v>62_0</v>
      </c>
      <c r="C46" t="s">
        <v>126</v>
      </c>
      <c r="D46" t="s">
        <v>146</v>
      </c>
      <c r="E46" t="s">
        <v>139</v>
      </c>
      <c r="F46">
        <v>0</v>
      </c>
    </row>
    <row r="47" spans="1:7" x14ac:dyDescent="0.55000000000000004">
      <c r="A47">
        <v>62</v>
      </c>
      <c r="B47" t="str">
        <f t="shared" si="0"/>
        <v>62_0</v>
      </c>
      <c r="C47" t="s">
        <v>126</v>
      </c>
      <c r="D47" t="s">
        <v>147</v>
      </c>
      <c r="E47" t="s">
        <v>139</v>
      </c>
      <c r="F47">
        <v>0</v>
      </c>
    </row>
    <row r="48" spans="1:7" x14ac:dyDescent="0.55000000000000004">
      <c r="A48">
        <v>62</v>
      </c>
      <c r="B48" t="str">
        <f t="shared" si="0"/>
        <v>62_0</v>
      </c>
      <c r="C48" t="s">
        <v>126</v>
      </c>
      <c r="D48" t="s">
        <v>148</v>
      </c>
      <c r="E48" t="s">
        <v>139</v>
      </c>
      <c r="F48">
        <v>60</v>
      </c>
    </row>
    <row r="49" spans="1:6" x14ac:dyDescent="0.55000000000000004">
      <c r="A49">
        <v>62</v>
      </c>
      <c r="B49" t="str">
        <f t="shared" si="0"/>
        <v>62_0</v>
      </c>
      <c r="C49" t="s">
        <v>126</v>
      </c>
      <c r="D49" t="s">
        <v>149</v>
      </c>
      <c r="E49" t="s">
        <v>139</v>
      </c>
      <c r="F49">
        <v>0</v>
      </c>
    </row>
    <row r="50" spans="1:6" x14ac:dyDescent="0.55000000000000004">
      <c r="A50">
        <v>62</v>
      </c>
      <c r="B50" t="str">
        <f t="shared" si="0"/>
        <v>62_0</v>
      </c>
      <c r="C50" t="s">
        <v>126</v>
      </c>
      <c r="D50" t="s">
        <v>150</v>
      </c>
      <c r="E50" t="s">
        <v>139</v>
      </c>
      <c r="F50">
        <v>0</v>
      </c>
    </row>
    <row r="51" spans="1:6" x14ac:dyDescent="0.55000000000000004">
      <c r="A51">
        <v>62</v>
      </c>
      <c r="B51" t="str">
        <f t="shared" si="0"/>
        <v>62_0</v>
      </c>
      <c r="C51" t="s">
        <v>126</v>
      </c>
      <c r="D51" t="s">
        <v>151</v>
      </c>
      <c r="E51" t="s">
        <v>139</v>
      </c>
      <c r="F51">
        <v>0</v>
      </c>
    </row>
    <row r="52" spans="1:6" x14ac:dyDescent="0.55000000000000004">
      <c r="A52">
        <v>62</v>
      </c>
      <c r="B52" t="str">
        <f t="shared" si="0"/>
        <v>62_0</v>
      </c>
      <c r="C52" t="s">
        <v>126</v>
      </c>
      <c r="D52" t="s">
        <v>152</v>
      </c>
      <c r="E52" t="s">
        <v>153</v>
      </c>
    </row>
    <row r="53" spans="1:6" x14ac:dyDescent="0.55000000000000004">
      <c r="A53">
        <v>62</v>
      </c>
      <c r="B53" t="str">
        <f t="shared" si="0"/>
        <v>62_0</v>
      </c>
      <c r="C53" t="s">
        <v>154</v>
      </c>
      <c r="D53" t="s">
        <v>155</v>
      </c>
      <c r="E53" t="s">
        <v>156</v>
      </c>
      <c r="F53">
        <v>22.9</v>
      </c>
    </row>
    <row r="54" spans="1:6" x14ac:dyDescent="0.55000000000000004">
      <c r="A54">
        <v>62</v>
      </c>
      <c r="B54" t="str">
        <f t="shared" si="0"/>
        <v>62_0</v>
      </c>
      <c r="C54" t="s">
        <v>154</v>
      </c>
      <c r="D54" t="s">
        <v>157</v>
      </c>
      <c r="E54" t="s">
        <v>158</v>
      </c>
      <c r="F54">
        <v>7.85</v>
      </c>
    </row>
    <row r="55" spans="1:6" x14ac:dyDescent="0.55000000000000004">
      <c r="A55">
        <v>62</v>
      </c>
      <c r="B55" t="str">
        <f t="shared" si="0"/>
        <v>62_0</v>
      </c>
      <c r="C55" t="s">
        <v>154</v>
      </c>
      <c r="D55" t="s">
        <v>159</v>
      </c>
      <c r="E55" t="s">
        <v>139</v>
      </c>
      <c r="F55">
        <v>91.3</v>
      </c>
    </row>
    <row r="56" spans="1:6" x14ac:dyDescent="0.55000000000000004">
      <c r="A56">
        <v>62</v>
      </c>
      <c r="B56" t="str">
        <f t="shared" si="0"/>
        <v>62_0</v>
      </c>
      <c r="C56" t="s">
        <v>154</v>
      </c>
      <c r="D56" t="s">
        <v>160</v>
      </c>
      <c r="E56" t="s">
        <v>161</v>
      </c>
      <c r="F56">
        <v>192.6</v>
      </c>
    </row>
    <row r="57" spans="1:6" x14ac:dyDescent="0.55000000000000004">
      <c r="A57">
        <v>62</v>
      </c>
      <c r="B57" t="str">
        <f t="shared" si="0"/>
        <v>62_0</v>
      </c>
      <c r="C57" t="s">
        <v>154</v>
      </c>
      <c r="D57" t="s">
        <v>162</v>
      </c>
      <c r="F57">
        <v>7.03</v>
      </c>
    </row>
    <row r="58" spans="1:6" x14ac:dyDescent="0.55000000000000004">
      <c r="A58">
        <v>62</v>
      </c>
      <c r="B58" t="str">
        <f t="shared" si="0"/>
        <v>62_0</v>
      </c>
      <c r="C58" t="s">
        <v>163</v>
      </c>
      <c r="D58" t="s">
        <v>164</v>
      </c>
      <c r="E58" t="s">
        <v>139</v>
      </c>
      <c r="F58">
        <v>0</v>
      </c>
    </row>
    <row r="59" spans="1:6" x14ac:dyDescent="0.55000000000000004">
      <c r="A59">
        <v>62</v>
      </c>
      <c r="B59" t="str">
        <f t="shared" si="0"/>
        <v>62_0</v>
      </c>
      <c r="C59" t="s">
        <v>163</v>
      </c>
      <c r="D59" t="s">
        <v>165</v>
      </c>
    </row>
    <row r="60" spans="1:6" x14ac:dyDescent="0.55000000000000004">
      <c r="A60">
        <v>62</v>
      </c>
      <c r="B60" t="str">
        <f t="shared" si="0"/>
        <v>62_0</v>
      </c>
      <c r="C60" t="s">
        <v>163</v>
      </c>
      <c r="D60" t="s">
        <v>166</v>
      </c>
      <c r="E60" t="s">
        <v>139</v>
      </c>
      <c r="F60">
        <v>0</v>
      </c>
    </row>
    <row r="61" spans="1:6" x14ac:dyDescent="0.55000000000000004">
      <c r="A61">
        <v>62</v>
      </c>
      <c r="B61" t="str">
        <f t="shared" si="0"/>
        <v>62_0</v>
      </c>
      <c r="C61" t="s">
        <v>163</v>
      </c>
      <c r="D61" t="s">
        <v>167</v>
      </c>
    </row>
    <row r="62" spans="1:6" x14ac:dyDescent="0.55000000000000004">
      <c r="A62">
        <v>62</v>
      </c>
      <c r="B62" t="str">
        <f t="shared" si="0"/>
        <v>62_0</v>
      </c>
      <c r="C62" t="s">
        <v>163</v>
      </c>
      <c r="D62" t="s">
        <v>168</v>
      </c>
      <c r="E62" t="s">
        <v>131</v>
      </c>
      <c r="F62">
        <v>0</v>
      </c>
    </row>
    <row r="63" spans="1:6" x14ac:dyDescent="0.55000000000000004">
      <c r="A63">
        <v>62</v>
      </c>
      <c r="B63" t="str">
        <f t="shared" si="0"/>
        <v>62_0</v>
      </c>
      <c r="C63" t="s">
        <v>163</v>
      </c>
      <c r="D63" t="s">
        <v>169</v>
      </c>
    </row>
    <row r="64" spans="1:6" x14ac:dyDescent="0.55000000000000004">
      <c r="A64">
        <v>62</v>
      </c>
      <c r="B64" t="str">
        <f t="shared" si="0"/>
        <v>62_0</v>
      </c>
      <c r="C64" t="s">
        <v>163</v>
      </c>
      <c r="D64" t="s">
        <v>170</v>
      </c>
      <c r="E64" t="s">
        <v>139</v>
      </c>
      <c r="F64">
        <v>20</v>
      </c>
    </row>
    <row r="65" spans="1:7" x14ac:dyDescent="0.55000000000000004">
      <c r="A65">
        <v>62</v>
      </c>
      <c r="B65" t="str">
        <f t="shared" si="0"/>
        <v>62_0</v>
      </c>
      <c r="C65" t="s">
        <v>163</v>
      </c>
      <c r="D65" t="s">
        <v>171</v>
      </c>
    </row>
    <row r="66" spans="1:7" x14ac:dyDescent="0.55000000000000004">
      <c r="A66">
        <v>63</v>
      </c>
      <c r="B66" t="str">
        <f t="shared" si="0"/>
        <v>63_0</v>
      </c>
      <c r="C66" t="s">
        <v>126</v>
      </c>
      <c r="D66" t="s">
        <v>127</v>
      </c>
      <c r="E66" t="s">
        <v>128</v>
      </c>
      <c r="F66" s="1"/>
      <c r="G66" t="s">
        <v>129</v>
      </c>
    </row>
    <row r="67" spans="1:7" x14ac:dyDescent="0.55000000000000004">
      <c r="A67">
        <v>63</v>
      </c>
      <c r="B67" t="str">
        <f t="shared" ref="B67:B130" si="1">A67 &amp; "_0"</f>
        <v>63_0</v>
      </c>
      <c r="C67" t="s">
        <v>126</v>
      </c>
      <c r="D67" s="11" t="s">
        <v>130</v>
      </c>
      <c r="E67" t="s">
        <v>131</v>
      </c>
      <c r="F67">
        <v>1</v>
      </c>
    </row>
    <row r="68" spans="1:7" x14ac:dyDescent="0.55000000000000004">
      <c r="A68">
        <v>63</v>
      </c>
      <c r="B68" t="str">
        <f t="shared" si="1"/>
        <v>63_0</v>
      </c>
      <c r="C68" t="s">
        <v>126</v>
      </c>
      <c r="D68" t="s">
        <v>132</v>
      </c>
      <c r="E68" t="s">
        <v>133</v>
      </c>
      <c r="F68">
        <v>3.4</v>
      </c>
    </row>
    <row r="69" spans="1:7" x14ac:dyDescent="0.55000000000000004">
      <c r="A69">
        <v>63</v>
      </c>
      <c r="B69" t="str">
        <f t="shared" si="1"/>
        <v>63_0</v>
      </c>
      <c r="C69" t="s">
        <v>126</v>
      </c>
      <c r="D69" t="s">
        <v>134</v>
      </c>
      <c r="E69" t="s">
        <v>133</v>
      </c>
      <c r="F69">
        <v>0.48</v>
      </c>
    </row>
    <row r="70" spans="1:7" x14ac:dyDescent="0.55000000000000004">
      <c r="A70">
        <v>63</v>
      </c>
      <c r="B70" t="str">
        <f t="shared" si="1"/>
        <v>63_0</v>
      </c>
      <c r="C70" t="s">
        <v>126</v>
      </c>
      <c r="D70" t="s">
        <v>135</v>
      </c>
      <c r="E70" t="s">
        <v>136</v>
      </c>
      <c r="F70">
        <f>F69/10</f>
        <v>4.8000000000000001E-2</v>
      </c>
      <c r="G70" t="s">
        <v>137</v>
      </c>
    </row>
    <row r="71" spans="1:7" x14ac:dyDescent="0.55000000000000004">
      <c r="A71">
        <v>63</v>
      </c>
      <c r="B71" t="str">
        <f t="shared" si="1"/>
        <v>63_0</v>
      </c>
      <c r="C71" t="s">
        <v>126</v>
      </c>
      <c r="D71" s="2" t="s">
        <v>138</v>
      </c>
      <c r="E71" t="s">
        <v>139</v>
      </c>
      <c r="F71">
        <v>100</v>
      </c>
    </row>
    <row r="72" spans="1:7" x14ac:dyDescent="0.55000000000000004">
      <c r="A72">
        <v>63</v>
      </c>
      <c r="B72" t="str">
        <f t="shared" si="1"/>
        <v>63_0</v>
      </c>
      <c r="C72" t="s">
        <v>126</v>
      </c>
      <c r="D72" s="2" t="s">
        <v>140</v>
      </c>
      <c r="F72" t="s">
        <v>172</v>
      </c>
    </row>
    <row r="73" spans="1:7" x14ac:dyDescent="0.55000000000000004">
      <c r="A73">
        <v>63</v>
      </c>
      <c r="B73" t="str">
        <f t="shared" si="1"/>
        <v>63_0</v>
      </c>
      <c r="C73" t="s">
        <v>126</v>
      </c>
      <c r="D73" s="2" t="s">
        <v>141</v>
      </c>
      <c r="E73" t="s">
        <v>139</v>
      </c>
      <c r="F73">
        <v>100</v>
      </c>
    </row>
    <row r="74" spans="1:7" x14ac:dyDescent="0.55000000000000004">
      <c r="A74">
        <v>63</v>
      </c>
      <c r="B74" t="str">
        <f t="shared" si="1"/>
        <v>63_0</v>
      </c>
      <c r="C74" t="s">
        <v>126</v>
      </c>
      <c r="D74" t="s">
        <v>142</v>
      </c>
      <c r="E74" t="s">
        <v>139</v>
      </c>
      <c r="F74">
        <v>0</v>
      </c>
    </row>
    <row r="75" spans="1:7" x14ac:dyDescent="0.55000000000000004">
      <c r="A75">
        <v>63</v>
      </c>
      <c r="B75" t="str">
        <f t="shared" si="1"/>
        <v>63_0</v>
      </c>
      <c r="C75" t="s">
        <v>126</v>
      </c>
      <c r="D75" t="s">
        <v>143</v>
      </c>
      <c r="E75" t="s">
        <v>131</v>
      </c>
      <c r="F75">
        <v>0</v>
      </c>
    </row>
    <row r="76" spans="1:7" x14ac:dyDescent="0.55000000000000004">
      <c r="A76">
        <v>63</v>
      </c>
      <c r="B76" t="str">
        <f t="shared" si="1"/>
        <v>63_0</v>
      </c>
      <c r="C76" t="s">
        <v>126</v>
      </c>
      <c r="D76" t="s">
        <v>144</v>
      </c>
      <c r="E76" t="s">
        <v>139</v>
      </c>
      <c r="F76">
        <v>0</v>
      </c>
    </row>
    <row r="77" spans="1:7" x14ac:dyDescent="0.55000000000000004">
      <c r="A77">
        <v>63</v>
      </c>
      <c r="B77" t="str">
        <f t="shared" si="1"/>
        <v>63_0</v>
      </c>
      <c r="C77" t="s">
        <v>126</v>
      </c>
      <c r="D77" t="s">
        <v>145</v>
      </c>
      <c r="E77" t="s">
        <v>139</v>
      </c>
      <c r="F77">
        <v>10</v>
      </c>
    </row>
    <row r="78" spans="1:7" x14ac:dyDescent="0.55000000000000004">
      <c r="A78">
        <v>63</v>
      </c>
      <c r="B78" t="str">
        <f t="shared" si="1"/>
        <v>63_0</v>
      </c>
      <c r="C78" t="s">
        <v>126</v>
      </c>
      <c r="D78" t="s">
        <v>146</v>
      </c>
      <c r="E78" t="s">
        <v>139</v>
      </c>
      <c r="F78">
        <v>0</v>
      </c>
    </row>
    <row r="79" spans="1:7" x14ac:dyDescent="0.55000000000000004">
      <c r="A79">
        <v>63</v>
      </c>
      <c r="B79" t="str">
        <f t="shared" si="1"/>
        <v>63_0</v>
      </c>
      <c r="C79" t="s">
        <v>126</v>
      </c>
      <c r="D79" t="s">
        <v>147</v>
      </c>
      <c r="E79" t="s">
        <v>139</v>
      </c>
      <c r="F79">
        <v>0</v>
      </c>
    </row>
    <row r="80" spans="1:7" x14ac:dyDescent="0.55000000000000004">
      <c r="A80">
        <v>63</v>
      </c>
      <c r="B80" t="str">
        <f t="shared" si="1"/>
        <v>63_0</v>
      </c>
      <c r="C80" t="s">
        <v>126</v>
      </c>
      <c r="D80" t="s">
        <v>148</v>
      </c>
      <c r="E80" t="s">
        <v>139</v>
      </c>
      <c r="F80">
        <v>90</v>
      </c>
    </row>
    <row r="81" spans="1:6" x14ac:dyDescent="0.55000000000000004">
      <c r="A81">
        <v>63</v>
      </c>
      <c r="B81" t="str">
        <f t="shared" si="1"/>
        <v>63_0</v>
      </c>
      <c r="C81" t="s">
        <v>126</v>
      </c>
      <c r="D81" t="s">
        <v>149</v>
      </c>
      <c r="E81" t="s">
        <v>139</v>
      </c>
      <c r="F81">
        <v>0</v>
      </c>
    </row>
    <row r="82" spans="1:6" x14ac:dyDescent="0.55000000000000004">
      <c r="A82">
        <v>63</v>
      </c>
      <c r="B82" t="str">
        <f t="shared" si="1"/>
        <v>63_0</v>
      </c>
      <c r="C82" t="s">
        <v>126</v>
      </c>
      <c r="D82" t="s">
        <v>150</v>
      </c>
      <c r="E82" t="s">
        <v>139</v>
      </c>
      <c r="F82">
        <v>0</v>
      </c>
    </row>
    <row r="83" spans="1:6" x14ac:dyDescent="0.55000000000000004">
      <c r="A83">
        <v>63</v>
      </c>
      <c r="B83" t="str">
        <f t="shared" si="1"/>
        <v>63_0</v>
      </c>
      <c r="C83" t="s">
        <v>126</v>
      </c>
      <c r="D83" t="s">
        <v>151</v>
      </c>
      <c r="E83" t="s">
        <v>139</v>
      </c>
      <c r="F83">
        <v>0</v>
      </c>
    </row>
    <row r="84" spans="1:6" x14ac:dyDescent="0.55000000000000004">
      <c r="A84">
        <v>63</v>
      </c>
      <c r="B84" t="str">
        <f t="shared" si="1"/>
        <v>63_0</v>
      </c>
      <c r="C84" t="s">
        <v>126</v>
      </c>
      <c r="D84" t="s">
        <v>152</v>
      </c>
      <c r="E84" t="s">
        <v>153</v>
      </c>
    </row>
    <row r="85" spans="1:6" x14ac:dyDescent="0.55000000000000004">
      <c r="A85">
        <v>63</v>
      </c>
      <c r="B85" t="str">
        <f t="shared" si="1"/>
        <v>63_0</v>
      </c>
      <c r="C85" t="s">
        <v>154</v>
      </c>
      <c r="D85" t="s">
        <v>155</v>
      </c>
      <c r="E85" t="s">
        <v>156</v>
      </c>
      <c r="F85">
        <v>22.4</v>
      </c>
    </row>
    <row r="86" spans="1:6" x14ac:dyDescent="0.55000000000000004">
      <c r="A86">
        <v>63</v>
      </c>
      <c r="B86" t="str">
        <f t="shared" si="1"/>
        <v>63_0</v>
      </c>
      <c r="C86" t="s">
        <v>154</v>
      </c>
      <c r="D86" t="s">
        <v>157</v>
      </c>
      <c r="E86" t="s">
        <v>158</v>
      </c>
      <c r="F86">
        <v>6.89</v>
      </c>
    </row>
    <row r="87" spans="1:6" x14ac:dyDescent="0.55000000000000004">
      <c r="A87">
        <v>63</v>
      </c>
      <c r="B87" t="str">
        <f t="shared" si="1"/>
        <v>63_0</v>
      </c>
      <c r="C87" t="s">
        <v>154</v>
      </c>
      <c r="D87" t="s">
        <v>159</v>
      </c>
      <c r="E87" t="s">
        <v>139</v>
      </c>
      <c r="F87">
        <v>79.3</v>
      </c>
    </row>
    <row r="88" spans="1:6" x14ac:dyDescent="0.55000000000000004">
      <c r="A88">
        <v>63</v>
      </c>
      <c r="B88" t="str">
        <f t="shared" si="1"/>
        <v>63_0</v>
      </c>
      <c r="C88" t="s">
        <v>154</v>
      </c>
      <c r="D88" t="s">
        <v>160</v>
      </c>
      <c r="E88" t="s">
        <v>161</v>
      </c>
      <c r="F88">
        <v>181.7</v>
      </c>
    </row>
    <row r="89" spans="1:6" x14ac:dyDescent="0.55000000000000004">
      <c r="A89">
        <v>63</v>
      </c>
      <c r="B89" t="str">
        <f t="shared" si="1"/>
        <v>63_0</v>
      </c>
      <c r="C89" t="s">
        <v>154</v>
      </c>
      <c r="D89" t="s">
        <v>162</v>
      </c>
      <c r="F89">
        <v>7.02</v>
      </c>
    </row>
    <row r="90" spans="1:6" x14ac:dyDescent="0.55000000000000004">
      <c r="A90">
        <v>63</v>
      </c>
      <c r="B90" t="str">
        <f t="shared" si="1"/>
        <v>63_0</v>
      </c>
      <c r="C90" t="s">
        <v>163</v>
      </c>
      <c r="D90" t="s">
        <v>164</v>
      </c>
      <c r="E90" t="s">
        <v>139</v>
      </c>
      <c r="F90">
        <v>0</v>
      </c>
    </row>
    <row r="91" spans="1:6" x14ac:dyDescent="0.55000000000000004">
      <c r="A91">
        <v>63</v>
      </c>
      <c r="B91" t="str">
        <f t="shared" si="1"/>
        <v>63_0</v>
      </c>
      <c r="C91" t="s">
        <v>163</v>
      </c>
      <c r="D91" t="s">
        <v>165</v>
      </c>
    </row>
    <row r="92" spans="1:6" x14ac:dyDescent="0.55000000000000004">
      <c r="A92">
        <v>63</v>
      </c>
      <c r="B92" t="str">
        <f t="shared" si="1"/>
        <v>63_0</v>
      </c>
      <c r="C92" t="s">
        <v>163</v>
      </c>
      <c r="D92" t="s">
        <v>166</v>
      </c>
      <c r="E92" t="s">
        <v>139</v>
      </c>
      <c r="F92">
        <v>0</v>
      </c>
    </row>
    <row r="93" spans="1:6" x14ac:dyDescent="0.55000000000000004">
      <c r="A93">
        <v>63</v>
      </c>
      <c r="B93" t="str">
        <f t="shared" si="1"/>
        <v>63_0</v>
      </c>
      <c r="C93" t="s">
        <v>163</v>
      </c>
      <c r="D93" t="s">
        <v>167</v>
      </c>
    </row>
    <row r="94" spans="1:6" x14ac:dyDescent="0.55000000000000004">
      <c r="A94">
        <v>63</v>
      </c>
      <c r="B94" t="str">
        <f t="shared" si="1"/>
        <v>63_0</v>
      </c>
      <c r="C94" t="s">
        <v>163</v>
      </c>
      <c r="D94" t="s">
        <v>168</v>
      </c>
      <c r="E94" t="s">
        <v>131</v>
      </c>
      <c r="F94">
        <v>1</v>
      </c>
    </row>
    <row r="95" spans="1:6" x14ac:dyDescent="0.55000000000000004">
      <c r="A95">
        <v>63</v>
      </c>
      <c r="B95" t="str">
        <f t="shared" si="1"/>
        <v>63_0</v>
      </c>
      <c r="C95" t="s">
        <v>163</v>
      </c>
      <c r="D95" t="s">
        <v>169</v>
      </c>
      <c r="F95" t="s">
        <v>310</v>
      </c>
    </row>
    <row r="96" spans="1:6" x14ac:dyDescent="0.55000000000000004">
      <c r="A96">
        <v>63</v>
      </c>
      <c r="B96" t="str">
        <f t="shared" si="1"/>
        <v>63_0</v>
      </c>
      <c r="C96" t="s">
        <v>163</v>
      </c>
      <c r="D96" t="s">
        <v>170</v>
      </c>
      <c r="E96" t="s">
        <v>139</v>
      </c>
      <c r="F96">
        <v>3</v>
      </c>
    </row>
    <row r="97" spans="1:7" x14ac:dyDescent="0.55000000000000004">
      <c r="A97">
        <v>63</v>
      </c>
      <c r="B97" t="str">
        <f t="shared" si="1"/>
        <v>63_0</v>
      </c>
      <c r="C97" t="s">
        <v>163</v>
      </c>
      <c r="D97" t="s">
        <v>171</v>
      </c>
    </row>
    <row r="98" spans="1:7" x14ac:dyDescent="0.55000000000000004">
      <c r="A98">
        <v>64</v>
      </c>
      <c r="B98" t="str">
        <f t="shared" si="1"/>
        <v>64_0</v>
      </c>
      <c r="C98" t="s">
        <v>126</v>
      </c>
      <c r="D98" t="s">
        <v>127</v>
      </c>
      <c r="E98" t="s">
        <v>128</v>
      </c>
      <c r="F98" s="1"/>
      <c r="G98" t="s">
        <v>129</v>
      </c>
    </row>
    <row r="99" spans="1:7" x14ac:dyDescent="0.55000000000000004">
      <c r="A99">
        <v>64</v>
      </c>
      <c r="B99" t="str">
        <f t="shared" si="1"/>
        <v>64_0</v>
      </c>
      <c r="C99" t="s">
        <v>126</v>
      </c>
      <c r="D99" s="11" t="s">
        <v>130</v>
      </c>
      <c r="E99" t="s">
        <v>131</v>
      </c>
      <c r="F99">
        <v>1</v>
      </c>
    </row>
    <row r="100" spans="1:7" x14ac:dyDescent="0.55000000000000004">
      <c r="A100">
        <v>64</v>
      </c>
      <c r="B100" t="str">
        <f t="shared" si="1"/>
        <v>64_0</v>
      </c>
      <c r="C100" t="s">
        <v>126</v>
      </c>
      <c r="D100" t="s">
        <v>132</v>
      </c>
      <c r="E100" t="s">
        <v>133</v>
      </c>
    </row>
    <row r="101" spans="1:7" x14ac:dyDescent="0.55000000000000004">
      <c r="A101">
        <v>64</v>
      </c>
      <c r="B101" t="str">
        <f t="shared" si="1"/>
        <v>64_0</v>
      </c>
      <c r="C101" t="s">
        <v>126</v>
      </c>
      <c r="D101" t="s">
        <v>134</v>
      </c>
      <c r="E101" t="s">
        <v>133</v>
      </c>
      <c r="F101">
        <v>0.5</v>
      </c>
    </row>
    <row r="102" spans="1:7" x14ac:dyDescent="0.55000000000000004">
      <c r="A102">
        <v>64</v>
      </c>
      <c r="B102" t="str">
        <f t="shared" si="1"/>
        <v>64_0</v>
      </c>
      <c r="C102" t="s">
        <v>126</v>
      </c>
      <c r="D102" t="s">
        <v>135</v>
      </c>
      <c r="E102" t="s">
        <v>136</v>
      </c>
      <c r="F102">
        <f>F101/10</f>
        <v>0.05</v>
      </c>
      <c r="G102" t="s">
        <v>137</v>
      </c>
    </row>
    <row r="103" spans="1:7" x14ac:dyDescent="0.55000000000000004">
      <c r="A103">
        <v>64</v>
      </c>
      <c r="B103" t="str">
        <f t="shared" si="1"/>
        <v>64_0</v>
      </c>
      <c r="C103" t="s">
        <v>126</v>
      </c>
      <c r="D103" s="2" t="s">
        <v>138</v>
      </c>
      <c r="E103" t="s">
        <v>139</v>
      </c>
      <c r="F103">
        <v>50</v>
      </c>
    </row>
    <row r="104" spans="1:7" x14ac:dyDescent="0.55000000000000004">
      <c r="A104">
        <v>64</v>
      </c>
      <c r="B104" t="str">
        <f t="shared" si="1"/>
        <v>64_0</v>
      </c>
      <c r="C104" t="s">
        <v>126</v>
      </c>
      <c r="D104" s="2" t="s">
        <v>140</v>
      </c>
      <c r="F104" t="s">
        <v>297</v>
      </c>
    </row>
    <row r="105" spans="1:7" x14ac:dyDescent="0.55000000000000004">
      <c r="A105">
        <v>64</v>
      </c>
      <c r="B105" t="str">
        <f t="shared" si="1"/>
        <v>64_0</v>
      </c>
      <c r="C105" t="s">
        <v>126</v>
      </c>
      <c r="D105" s="2" t="s">
        <v>141</v>
      </c>
      <c r="E105" t="s">
        <v>139</v>
      </c>
      <c r="F105">
        <v>50</v>
      </c>
    </row>
    <row r="106" spans="1:7" x14ac:dyDescent="0.55000000000000004">
      <c r="A106">
        <v>64</v>
      </c>
      <c r="B106" t="str">
        <f t="shared" si="1"/>
        <v>64_0</v>
      </c>
      <c r="C106" t="s">
        <v>126</v>
      </c>
      <c r="D106" t="s">
        <v>142</v>
      </c>
      <c r="E106" t="s">
        <v>139</v>
      </c>
      <c r="F106">
        <v>0</v>
      </c>
    </row>
    <row r="107" spans="1:7" x14ac:dyDescent="0.55000000000000004">
      <c r="A107">
        <v>64</v>
      </c>
      <c r="B107" t="str">
        <f t="shared" si="1"/>
        <v>64_0</v>
      </c>
      <c r="C107" t="s">
        <v>126</v>
      </c>
      <c r="D107" t="s">
        <v>143</v>
      </c>
      <c r="E107" t="s">
        <v>131</v>
      </c>
      <c r="F107">
        <v>0</v>
      </c>
    </row>
    <row r="108" spans="1:7" x14ac:dyDescent="0.55000000000000004">
      <c r="A108">
        <v>64</v>
      </c>
      <c r="B108" t="str">
        <f t="shared" si="1"/>
        <v>64_0</v>
      </c>
      <c r="C108" t="s">
        <v>126</v>
      </c>
      <c r="D108" t="s">
        <v>144</v>
      </c>
      <c r="E108" t="s">
        <v>139</v>
      </c>
      <c r="F108">
        <v>0</v>
      </c>
    </row>
    <row r="109" spans="1:7" x14ac:dyDescent="0.55000000000000004">
      <c r="A109">
        <v>64</v>
      </c>
      <c r="B109" t="str">
        <f t="shared" si="1"/>
        <v>64_0</v>
      </c>
      <c r="C109" t="s">
        <v>126</v>
      </c>
      <c r="D109" t="s">
        <v>145</v>
      </c>
      <c r="E109" t="s">
        <v>139</v>
      </c>
      <c r="F109">
        <v>0</v>
      </c>
    </row>
    <row r="110" spans="1:7" x14ac:dyDescent="0.55000000000000004">
      <c r="A110">
        <v>64</v>
      </c>
      <c r="B110" t="str">
        <f t="shared" si="1"/>
        <v>64_0</v>
      </c>
      <c r="C110" t="s">
        <v>126</v>
      </c>
      <c r="D110" t="s">
        <v>146</v>
      </c>
      <c r="E110" t="s">
        <v>139</v>
      </c>
      <c r="F110">
        <v>0</v>
      </c>
    </row>
    <row r="111" spans="1:7" x14ac:dyDescent="0.55000000000000004">
      <c r="A111">
        <v>64</v>
      </c>
      <c r="B111" t="str">
        <f t="shared" si="1"/>
        <v>64_0</v>
      </c>
      <c r="C111" t="s">
        <v>126</v>
      </c>
      <c r="D111" t="s">
        <v>147</v>
      </c>
      <c r="E111" t="s">
        <v>139</v>
      </c>
      <c r="F111">
        <v>0</v>
      </c>
    </row>
    <row r="112" spans="1:7" x14ac:dyDescent="0.55000000000000004">
      <c r="A112">
        <v>64</v>
      </c>
      <c r="B112" t="str">
        <f t="shared" si="1"/>
        <v>64_0</v>
      </c>
      <c r="C112" t="s">
        <v>126</v>
      </c>
      <c r="D112" t="s">
        <v>148</v>
      </c>
      <c r="E112" t="s">
        <v>139</v>
      </c>
      <c r="F112">
        <v>100</v>
      </c>
    </row>
    <row r="113" spans="1:6" x14ac:dyDescent="0.55000000000000004">
      <c r="A113">
        <v>64</v>
      </c>
      <c r="B113" t="str">
        <f t="shared" si="1"/>
        <v>64_0</v>
      </c>
      <c r="C113" t="s">
        <v>126</v>
      </c>
      <c r="D113" t="s">
        <v>149</v>
      </c>
      <c r="E113" t="s">
        <v>139</v>
      </c>
      <c r="F113">
        <v>0</v>
      </c>
    </row>
    <row r="114" spans="1:6" x14ac:dyDescent="0.55000000000000004">
      <c r="A114">
        <v>64</v>
      </c>
      <c r="B114" t="str">
        <f t="shared" si="1"/>
        <v>64_0</v>
      </c>
      <c r="C114" t="s">
        <v>126</v>
      </c>
      <c r="D114" t="s">
        <v>150</v>
      </c>
      <c r="E114" t="s">
        <v>139</v>
      </c>
      <c r="F114">
        <v>0</v>
      </c>
    </row>
    <row r="115" spans="1:6" x14ac:dyDescent="0.55000000000000004">
      <c r="A115">
        <v>64</v>
      </c>
      <c r="B115" t="str">
        <f t="shared" si="1"/>
        <v>64_0</v>
      </c>
      <c r="C115" t="s">
        <v>126</v>
      </c>
      <c r="D115" t="s">
        <v>151</v>
      </c>
      <c r="E115" t="s">
        <v>139</v>
      </c>
      <c r="F115">
        <v>0</v>
      </c>
    </row>
    <row r="116" spans="1:6" x14ac:dyDescent="0.55000000000000004">
      <c r="A116">
        <v>64</v>
      </c>
      <c r="B116" t="str">
        <f t="shared" si="1"/>
        <v>64_0</v>
      </c>
      <c r="C116" t="s">
        <v>126</v>
      </c>
      <c r="D116" t="s">
        <v>152</v>
      </c>
      <c r="E116" t="s">
        <v>153</v>
      </c>
    </row>
    <row r="117" spans="1:6" x14ac:dyDescent="0.55000000000000004">
      <c r="A117">
        <v>64</v>
      </c>
      <c r="B117" t="str">
        <f t="shared" si="1"/>
        <v>64_0</v>
      </c>
      <c r="C117" t="s">
        <v>154</v>
      </c>
      <c r="D117" t="s">
        <v>155</v>
      </c>
      <c r="E117" t="s">
        <v>156</v>
      </c>
      <c r="F117">
        <v>21.8</v>
      </c>
    </row>
    <row r="118" spans="1:6" x14ac:dyDescent="0.55000000000000004">
      <c r="A118">
        <v>64</v>
      </c>
      <c r="B118" t="str">
        <f t="shared" si="1"/>
        <v>64_0</v>
      </c>
      <c r="C118" t="s">
        <v>154</v>
      </c>
      <c r="D118" t="s">
        <v>157</v>
      </c>
      <c r="E118" t="s">
        <v>158</v>
      </c>
      <c r="F118">
        <v>8</v>
      </c>
    </row>
    <row r="119" spans="1:6" x14ac:dyDescent="0.55000000000000004">
      <c r="A119">
        <v>64</v>
      </c>
      <c r="B119" t="str">
        <f t="shared" si="1"/>
        <v>64_0</v>
      </c>
      <c r="C119" t="s">
        <v>154</v>
      </c>
      <c r="D119" t="s">
        <v>159</v>
      </c>
      <c r="E119" t="s">
        <v>139</v>
      </c>
      <c r="F119">
        <v>91</v>
      </c>
    </row>
    <row r="120" spans="1:6" x14ac:dyDescent="0.55000000000000004">
      <c r="A120">
        <v>64</v>
      </c>
      <c r="B120" t="str">
        <f t="shared" si="1"/>
        <v>64_0</v>
      </c>
      <c r="C120" t="s">
        <v>154</v>
      </c>
      <c r="D120" t="s">
        <v>160</v>
      </c>
      <c r="E120" t="s">
        <v>161</v>
      </c>
      <c r="F120">
        <v>145.69999999999999</v>
      </c>
    </row>
    <row r="121" spans="1:6" x14ac:dyDescent="0.55000000000000004">
      <c r="A121">
        <v>64</v>
      </c>
      <c r="B121" t="str">
        <f t="shared" si="1"/>
        <v>64_0</v>
      </c>
      <c r="C121" t="s">
        <v>154</v>
      </c>
      <c r="D121" t="s">
        <v>162</v>
      </c>
      <c r="F121">
        <v>7.04</v>
      </c>
    </row>
    <row r="122" spans="1:6" x14ac:dyDescent="0.55000000000000004">
      <c r="A122">
        <v>64</v>
      </c>
      <c r="B122" t="str">
        <f t="shared" si="1"/>
        <v>64_0</v>
      </c>
      <c r="C122" t="s">
        <v>163</v>
      </c>
      <c r="D122" t="s">
        <v>164</v>
      </c>
      <c r="E122" t="s">
        <v>139</v>
      </c>
      <c r="F122">
        <v>0</v>
      </c>
    </row>
    <row r="123" spans="1:6" x14ac:dyDescent="0.55000000000000004">
      <c r="A123">
        <v>64</v>
      </c>
      <c r="B123" t="str">
        <f t="shared" si="1"/>
        <v>64_0</v>
      </c>
      <c r="C123" t="s">
        <v>163</v>
      </c>
      <c r="D123" t="s">
        <v>165</v>
      </c>
    </row>
    <row r="124" spans="1:6" x14ac:dyDescent="0.55000000000000004">
      <c r="A124">
        <v>64</v>
      </c>
      <c r="B124" t="str">
        <f t="shared" si="1"/>
        <v>64_0</v>
      </c>
      <c r="C124" t="s">
        <v>163</v>
      </c>
      <c r="D124" t="s">
        <v>166</v>
      </c>
      <c r="E124" t="s">
        <v>139</v>
      </c>
      <c r="F124">
        <v>0</v>
      </c>
    </row>
    <row r="125" spans="1:6" x14ac:dyDescent="0.55000000000000004">
      <c r="A125">
        <v>64</v>
      </c>
      <c r="B125" t="str">
        <f t="shared" si="1"/>
        <v>64_0</v>
      </c>
      <c r="C125" t="s">
        <v>163</v>
      </c>
      <c r="D125" t="s">
        <v>167</v>
      </c>
    </row>
    <row r="126" spans="1:6" x14ac:dyDescent="0.55000000000000004">
      <c r="A126">
        <v>64</v>
      </c>
      <c r="B126" t="str">
        <f t="shared" si="1"/>
        <v>64_0</v>
      </c>
      <c r="C126" t="s">
        <v>163</v>
      </c>
      <c r="D126" t="s">
        <v>168</v>
      </c>
      <c r="E126" t="s">
        <v>131</v>
      </c>
      <c r="F126">
        <v>0</v>
      </c>
    </row>
    <row r="127" spans="1:6" x14ac:dyDescent="0.55000000000000004">
      <c r="A127">
        <v>64</v>
      </c>
      <c r="B127" t="str">
        <f t="shared" si="1"/>
        <v>64_0</v>
      </c>
      <c r="C127" t="s">
        <v>163</v>
      </c>
      <c r="D127" t="s">
        <v>169</v>
      </c>
    </row>
    <row r="128" spans="1:6" x14ac:dyDescent="0.55000000000000004">
      <c r="A128">
        <v>64</v>
      </c>
      <c r="B128" t="str">
        <f t="shared" si="1"/>
        <v>64_0</v>
      </c>
      <c r="C128" t="s">
        <v>163</v>
      </c>
      <c r="D128" t="s">
        <v>170</v>
      </c>
      <c r="E128" t="s">
        <v>139</v>
      </c>
      <c r="F128">
        <v>3</v>
      </c>
    </row>
    <row r="129" spans="1:7" x14ac:dyDescent="0.55000000000000004">
      <c r="A129">
        <v>64</v>
      </c>
      <c r="B129" t="str">
        <f t="shared" si="1"/>
        <v>64_0</v>
      </c>
      <c r="C129" t="s">
        <v>163</v>
      </c>
      <c r="D129" t="s">
        <v>171</v>
      </c>
    </row>
    <row r="130" spans="1:7" x14ac:dyDescent="0.55000000000000004">
      <c r="A130">
        <v>65</v>
      </c>
      <c r="B130" t="str">
        <f t="shared" si="1"/>
        <v>65_0</v>
      </c>
      <c r="C130" t="s">
        <v>126</v>
      </c>
      <c r="D130" t="s">
        <v>127</v>
      </c>
      <c r="E130" t="s">
        <v>128</v>
      </c>
      <c r="F130" s="1"/>
      <c r="G130" t="s">
        <v>129</v>
      </c>
    </row>
    <row r="131" spans="1:7" x14ac:dyDescent="0.55000000000000004">
      <c r="A131">
        <v>65</v>
      </c>
      <c r="B131" t="str">
        <f t="shared" ref="B131:B194" si="2">A131 &amp; "_0"</f>
        <v>65_0</v>
      </c>
      <c r="C131" t="s">
        <v>126</v>
      </c>
      <c r="D131" s="11" t="s">
        <v>130</v>
      </c>
      <c r="E131" t="s">
        <v>131</v>
      </c>
      <c r="F131">
        <v>1</v>
      </c>
    </row>
    <row r="132" spans="1:7" x14ac:dyDescent="0.55000000000000004">
      <c r="A132">
        <v>65</v>
      </c>
      <c r="B132" t="str">
        <f t="shared" si="2"/>
        <v>65_0</v>
      </c>
      <c r="C132" t="s">
        <v>126</v>
      </c>
      <c r="D132" t="s">
        <v>132</v>
      </c>
      <c r="E132" t="s">
        <v>133</v>
      </c>
    </row>
    <row r="133" spans="1:7" x14ac:dyDescent="0.55000000000000004">
      <c r="A133">
        <v>65</v>
      </c>
      <c r="B133" t="str">
        <f t="shared" si="2"/>
        <v>65_0</v>
      </c>
      <c r="C133" t="s">
        <v>126</v>
      </c>
      <c r="D133" t="s">
        <v>134</v>
      </c>
      <c r="E133" t="s">
        <v>133</v>
      </c>
      <c r="F133">
        <v>0.4</v>
      </c>
    </row>
    <row r="134" spans="1:7" x14ac:dyDescent="0.55000000000000004">
      <c r="A134">
        <v>65</v>
      </c>
      <c r="B134" t="str">
        <f t="shared" si="2"/>
        <v>65_0</v>
      </c>
      <c r="C134" t="s">
        <v>126</v>
      </c>
      <c r="D134" t="s">
        <v>135</v>
      </c>
      <c r="E134" t="s">
        <v>136</v>
      </c>
      <c r="F134">
        <f>F133/10</f>
        <v>0.04</v>
      </c>
      <c r="G134" t="s">
        <v>137</v>
      </c>
    </row>
    <row r="135" spans="1:7" x14ac:dyDescent="0.55000000000000004">
      <c r="A135">
        <v>65</v>
      </c>
      <c r="B135" t="str">
        <f t="shared" si="2"/>
        <v>65_0</v>
      </c>
      <c r="C135" t="s">
        <v>126</v>
      </c>
      <c r="D135" s="2" t="s">
        <v>138</v>
      </c>
      <c r="E135" t="s">
        <v>139</v>
      </c>
      <c r="F135">
        <v>100</v>
      </c>
    </row>
    <row r="136" spans="1:7" x14ac:dyDescent="0.55000000000000004">
      <c r="A136">
        <v>65</v>
      </c>
      <c r="B136" t="str">
        <f t="shared" si="2"/>
        <v>65_0</v>
      </c>
      <c r="C136" t="s">
        <v>126</v>
      </c>
      <c r="D136" s="2" t="s">
        <v>140</v>
      </c>
      <c r="F136" t="s">
        <v>297</v>
      </c>
    </row>
    <row r="137" spans="1:7" x14ac:dyDescent="0.55000000000000004">
      <c r="A137">
        <v>65</v>
      </c>
      <c r="B137" t="str">
        <f t="shared" si="2"/>
        <v>65_0</v>
      </c>
      <c r="C137" t="s">
        <v>126</v>
      </c>
      <c r="D137" s="2" t="s">
        <v>141</v>
      </c>
      <c r="E137" t="s">
        <v>139</v>
      </c>
      <c r="F137">
        <v>100</v>
      </c>
    </row>
    <row r="138" spans="1:7" x14ac:dyDescent="0.55000000000000004">
      <c r="A138">
        <v>65</v>
      </c>
      <c r="B138" t="str">
        <f t="shared" si="2"/>
        <v>65_0</v>
      </c>
      <c r="C138" t="s">
        <v>126</v>
      </c>
      <c r="D138" t="s">
        <v>142</v>
      </c>
      <c r="E138" t="s">
        <v>139</v>
      </c>
      <c r="F138">
        <v>0</v>
      </c>
    </row>
    <row r="139" spans="1:7" x14ac:dyDescent="0.55000000000000004">
      <c r="A139">
        <v>65</v>
      </c>
      <c r="B139" t="str">
        <f t="shared" si="2"/>
        <v>65_0</v>
      </c>
      <c r="C139" t="s">
        <v>126</v>
      </c>
      <c r="D139" t="s">
        <v>143</v>
      </c>
      <c r="E139" t="s">
        <v>131</v>
      </c>
      <c r="F139">
        <v>0</v>
      </c>
    </row>
    <row r="140" spans="1:7" x14ac:dyDescent="0.55000000000000004">
      <c r="A140">
        <v>65</v>
      </c>
      <c r="B140" t="str">
        <f t="shared" si="2"/>
        <v>65_0</v>
      </c>
      <c r="C140" t="s">
        <v>126</v>
      </c>
      <c r="D140" t="s">
        <v>144</v>
      </c>
      <c r="E140" t="s">
        <v>139</v>
      </c>
      <c r="F140">
        <v>10</v>
      </c>
    </row>
    <row r="141" spans="1:7" x14ac:dyDescent="0.55000000000000004">
      <c r="A141">
        <v>65</v>
      </c>
      <c r="B141" t="str">
        <f t="shared" si="2"/>
        <v>65_0</v>
      </c>
      <c r="C141" t="s">
        <v>126</v>
      </c>
      <c r="D141" t="s">
        <v>145</v>
      </c>
      <c r="E141" t="s">
        <v>139</v>
      </c>
      <c r="F141">
        <v>0</v>
      </c>
    </row>
    <row r="142" spans="1:7" x14ac:dyDescent="0.55000000000000004">
      <c r="A142">
        <v>65</v>
      </c>
      <c r="B142" t="str">
        <f t="shared" si="2"/>
        <v>65_0</v>
      </c>
      <c r="C142" t="s">
        <v>126</v>
      </c>
      <c r="D142" t="s">
        <v>146</v>
      </c>
      <c r="E142" t="s">
        <v>139</v>
      </c>
      <c r="F142">
        <v>0</v>
      </c>
    </row>
    <row r="143" spans="1:7" x14ac:dyDescent="0.55000000000000004">
      <c r="A143">
        <v>65</v>
      </c>
      <c r="B143" t="str">
        <f t="shared" si="2"/>
        <v>65_0</v>
      </c>
      <c r="C143" t="s">
        <v>126</v>
      </c>
      <c r="D143" t="s">
        <v>147</v>
      </c>
      <c r="E143" t="s">
        <v>139</v>
      </c>
      <c r="F143">
        <v>0</v>
      </c>
    </row>
    <row r="144" spans="1:7" x14ac:dyDescent="0.55000000000000004">
      <c r="A144">
        <v>65</v>
      </c>
      <c r="B144" t="str">
        <f t="shared" si="2"/>
        <v>65_0</v>
      </c>
      <c r="C144" t="s">
        <v>126</v>
      </c>
      <c r="D144" t="s">
        <v>148</v>
      </c>
      <c r="E144" t="s">
        <v>139</v>
      </c>
      <c r="F144">
        <v>90</v>
      </c>
    </row>
    <row r="145" spans="1:6" x14ac:dyDescent="0.55000000000000004">
      <c r="A145">
        <v>65</v>
      </c>
      <c r="B145" t="str">
        <f t="shared" si="2"/>
        <v>65_0</v>
      </c>
      <c r="C145" t="s">
        <v>126</v>
      </c>
      <c r="D145" t="s">
        <v>149</v>
      </c>
      <c r="E145" t="s">
        <v>139</v>
      </c>
      <c r="F145">
        <v>0</v>
      </c>
    </row>
    <row r="146" spans="1:6" x14ac:dyDescent="0.55000000000000004">
      <c r="A146">
        <v>65</v>
      </c>
      <c r="B146" t="str">
        <f t="shared" si="2"/>
        <v>65_0</v>
      </c>
      <c r="C146" t="s">
        <v>126</v>
      </c>
      <c r="D146" t="s">
        <v>150</v>
      </c>
      <c r="E146" t="s">
        <v>139</v>
      </c>
      <c r="F146">
        <v>0</v>
      </c>
    </row>
    <row r="147" spans="1:6" x14ac:dyDescent="0.55000000000000004">
      <c r="A147">
        <v>65</v>
      </c>
      <c r="B147" t="str">
        <f t="shared" si="2"/>
        <v>65_0</v>
      </c>
      <c r="C147" t="s">
        <v>126</v>
      </c>
      <c r="D147" t="s">
        <v>151</v>
      </c>
      <c r="E147" t="s">
        <v>139</v>
      </c>
      <c r="F147">
        <v>0</v>
      </c>
    </row>
    <row r="148" spans="1:6" x14ac:dyDescent="0.55000000000000004">
      <c r="A148">
        <v>65</v>
      </c>
      <c r="B148" t="str">
        <f t="shared" si="2"/>
        <v>65_0</v>
      </c>
      <c r="C148" t="s">
        <v>126</v>
      </c>
      <c r="D148" t="s">
        <v>152</v>
      </c>
      <c r="E148" t="s">
        <v>153</v>
      </c>
    </row>
    <row r="149" spans="1:6" x14ac:dyDescent="0.55000000000000004">
      <c r="A149">
        <v>65</v>
      </c>
      <c r="B149" t="str">
        <f t="shared" si="2"/>
        <v>65_0</v>
      </c>
      <c r="C149" t="s">
        <v>154</v>
      </c>
      <c r="D149" t="s">
        <v>155</v>
      </c>
      <c r="E149" t="s">
        <v>156</v>
      </c>
      <c r="F149">
        <v>23.9</v>
      </c>
    </row>
    <row r="150" spans="1:6" x14ac:dyDescent="0.55000000000000004">
      <c r="A150">
        <v>65</v>
      </c>
      <c r="B150" t="str">
        <f t="shared" si="2"/>
        <v>65_0</v>
      </c>
      <c r="C150" t="s">
        <v>154</v>
      </c>
      <c r="D150" t="s">
        <v>157</v>
      </c>
      <c r="E150" t="s">
        <v>158</v>
      </c>
      <c r="F150">
        <v>9.9</v>
      </c>
    </row>
    <row r="151" spans="1:6" x14ac:dyDescent="0.55000000000000004">
      <c r="A151">
        <v>65</v>
      </c>
      <c r="B151" t="str">
        <f t="shared" si="2"/>
        <v>65_0</v>
      </c>
      <c r="C151" t="s">
        <v>154</v>
      </c>
      <c r="D151" t="s">
        <v>159</v>
      </c>
      <c r="E151" t="s">
        <v>139</v>
      </c>
      <c r="F151">
        <v>117.6</v>
      </c>
    </row>
    <row r="152" spans="1:6" x14ac:dyDescent="0.55000000000000004">
      <c r="A152">
        <v>65</v>
      </c>
      <c r="B152" t="str">
        <f t="shared" si="2"/>
        <v>65_0</v>
      </c>
      <c r="C152" t="s">
        <v>154</v>
      </c>
      <c r="D152" t="s">
        <v>160</v>
      </c>
      <c r="E152" t="s">
        <v>161</v>
      </c>
      <c r="F152">
        <v>169.6</v>
      </c>
    </row>
    <row r="153" spans="1:6" x14ac:dyDescent="0.55000000000000004">
      <c r="A153">
        <v>65</v>
      </c>
      <c r="B153" t="str">
        <f t="shared" si="2"/>
        <v>65_0</v>
      </c>
      <c r="C153" t="s">
        <v>154</v>
      </c>
      <c r="D153" t="s">
        <v>162</v>
      </c>
      <c r="F153">
        <v>7.02</v>
      </c>
    </row>
    <row r="154" spans="1:6" x14ac:dyDescent="0.55000000000000004">
      <c r="A154">
        <v>65</v>
      </c>
      <c r="B154" t="str">
        <f t="shared" si="2"/>
        <v>65_0</v>
      </c>
      <c r="C154" t="s">
        <v>163</v>
      </c>
      <c r="D154" t="s">
        <v>164</v>
      </c>
      <c r="E154" t="s">
        <v>139</v>
      </c>
      <c r="F154">
        <v>0</v>
      </c>
    </row>
    <row r="155" spans="1:6" x14ac:dyDescent="0.55000000000000004">
      <c r="A155">
        <v>65</v>
      </c>
      <c r="B155" t="str">
        <f t="shared" si="2"/>
        <v>65_0</v>
      </c>
      <c r="C155" t="s">
        <v>163</v>
      </c>
      <c r="D155" t="s">
        <v>165</v>
      </c>
    </row>
    <row r="156" spans="1:6" x14ac:dyDescent="0.55000000000000004">
      <c r="A156">
        <v>65</v>
      </c>
      <c r="B156" t="str">
        <f t="shared" si="2"/>
        <v>65_0</v>
      </c>
      <c r="C156" t="s">
        <v>163</v>
      </c>
      <c r="D156" t="s">
        <v>166</v>
      </c>
      <c r="E156" t="s">
        <v>139</v>
      </c>
      <c r="F156">
        <v>10</v>
      </c>
    </row>
    <row r="157" spans="1:6" x14ac:dyDescent="0.55000000000000004">
      <c r="A157">
        <v>65</v>
      </c>
      <c r="B157" t="str">
        <f t="shared" si="2"/>
        <v>65_0</v>
      </c>
      <c r="C157" t="s">
        <v>163</v>
      </c>
      <c r="D157" t="s">
        <v>167</v>
      </c>
      <c r="F157" t="s">
        <v>311</v>
      </c>
    </row>
    <row r="158" spans="1:6" x14ac:dyDescent="0.55000000000000004">
      <c r="A158">
        <v>65</v>
      </c>
      <c r="B158" t="str">
        <f t="shared" si="2"/>
        <v>65_0</v>
      </c>
      <c r="C158" t="s">
        <v>163</v>
      </c>
      <c r="D158" t="s">
        <v>168</v>
      </c>
      <c r="E158" t="s">
        <v>131</v>
      </c>
    </row>
    <row r="159" spans="1:6" x14ac:dyDescent="0.55000000000000004">
      <c r="A159">
        <v>65</v>
      </c>
      <c r="B159" t="str">
        <f t="shared" si="2"/>
        <v>65_0</v>
      </c>
      <c r="C159" t="s">
        <v>163</v>
      </c>
      <c r="D159" t="s">
        <v>169</v>
      </c>
    </row>
    <row r="160" spans="1:6" x14ac:dyDescent="0.55000000000000004">
      <c r="A160">
        <v>65</v>
      </c>
      <c r="B160" t="str">
        <f t="shared" si="2"/>
        <v>65_0</v>
      </c>
      <c r="C160" t="s">
        <v>163</v>
      </c>
      <c r="D160" t="s">
        <v>170</v>
      </c>
      <c r="E160" t="s">
        <v>139</v>
      </c>
      <c r="F160">
        <v>20</v>
      </c>
    </row>
    <row r="161" spans="1:7" x14ac:dyDescent="0.55000000000000004">
      <c r="A161">
        <v>65</v>
      </c>
      <c r="B161" t="str">
        <f t="shared" si="2"/>
        <v>65_0</v>
      </c>
      <c r="C161" t="s">
        <v>163</v>
      </c>
      <c r="D161" t="s">
        <v>171</v>
      </c>
    </row>
    <row r="162" spans="1:7" x14ac:dyDescent="0.55000000000000004">
      <c r="A162">
        <v>66</v>
      </c>
      <c r="B162" t="str">
        <f t="shared" si="2"/>
        <v>66_0</v>
      </c>
      <c r="C162" t="s">
        <v>126</v>
      </c>
      <c r="D162" t="s">
        <v>127</v>
      </c>
      <c r="E162" t="s">
        <v>128</v>
      </c>
      <c r="F162" s="1"/>
      <c r="G162" t="s">
        <v>129</v>
      </c>
    </row>
    <row r="163" spans="1:7" x14ac:dyDescent="0.55000000000000004">
      <c r="A163">
        <v>66</v>
      </c>
      <c r="B163" t="str">
        <f t="shared" si="2"/>
        <v>66_0</v>
      </c>
      <c r="C163" t="s">
        <v>126</v>
      </c>
      <c r="D163" s="11" t="s">
        <v>130</v>
      </c>
      <c r="E163" t="s">
        <v>131</v>
      </c>
      <c r="F163">
        <v>1</v>
      </c>
    </row>
    <row r="164" spans="1:7" x14ac:dyDescent="0.55000000000000004">
      <c r="A164">
        <v>66</v>
      </c>
      <c r="B164" t="str">
        <f t="shared" si="2"/>
        <v>66_0</v>
      </c>
      <c r="C164" t="s">
        <v>126</v>
      </c>
      <c r="D164" t="s">
        <v>132</v>
      </c>
      <c r="E164" t="s">
        <v>133</v>
      </c>
    </row>
    <row r="165" spans="1:7" x14ac:dyDescent="0.55000000000000004">
      <c r="A165">
        <v>66</v>
      </c>
      <c r="B165" t="str">
        <f t="shared" si="2"/>
        <v>66_0</v>
      </c>
      <c r="C165" t="s">
        <v>126</v>
      </c>
      <c r="D165" t="s">
        <v>134</v>
      </c>
      <c r="E165" t="s">
        <v>133</v>
      </c>
      <c r="F165">
        <v>0.6</v>
      </c>
    </row>
    <row r="166" spans="1:7" x14ac:dyDescent="0.55000000000000004">
      <c r="A166">
        <v>66</v>
      </c>
      <c r="B166" t="str">
        <f t="shared" si="2"/>
        <v>66_0</v>
      </c>
      <c r="C166" t="s">
        <v>126</v>
      </c>
      <c r="D166" t="s">
        <v>135</v>
      </c>
      <c r="E166" t="s">
        <v>136</v>
      </c>
      <c r="F166">
        <f>F165/10</f>
        <v>0.06</v>
      </c>
      <c r="G166" t="s">
        <v>137</v>
      </c>
    </row>
    <row r="167" spans="1:7" x14ac:dyDescent="0.55000000000000004">
      <c r="A167">
        <v>66</v>
      </c>
      <c r="B167" t="str">
        <f t="shared" si="2"/>
        <v>66_0</v>
      </c>
      <c r="C167" t="s">
        <v>126</v>
      </c>
      <c r="D167" s="2" t="s">
        <v>138</v>
      </c>
      <c r="E167" t="s">
        <v>139</v>
      </c>
      <c r="F167">
        <v>100</v>
      </c>
    </row>
    <row r="168" spans="1:7" x14ac:dyDescent="0.55000000000000004">
      <c r="A168">
        <v>66</v>
      </c>
      <c r="B168" t="str">
        <f t="shared" si="2"/>
        <v>66_0</v>
      </c>
      <c r="C168" t="s">
        <v>126</v>
      </c>
      <c r="D168" s="2" t="s">
        <v>140</v>
      </c>
      <c r="F168" t="s">
        <v>172</v>
      </c>
    </row>
    <row r="169" spans="1:7" x14ac:dyDescent="0.55000000000000004">
      <c r="A169">
        <v>66</v>
      </c>
      <c r="B169" t="str">
        <f t="shared" si="2"/>
        <v>66_0</v>
      </c>
      <c r="C169" t="s">
        <v>126</v>
      </c>
      <c r="D169" s="2" t="s">
        <v>141</v>
      </c>
      <c r="E169" t="s">
        <v>139</v>
      </c>
      <c r="F169">
        <v>0</v>
      </c>
    </row>
    <row r="170" spans="1:7" x14ac:dyDescent="0.55000000000000004">
      <c r="A170">
        <v>66</v>
      </c>
      <c r="B170" t="str">
        <f t="shared" si="2"/>
        <v>66_0</v>
      </c>
      <c r="C170" t="s">
        <v>126</v>
      </c>
      <c r="D170" t="s">
        <v>142</v>
      </c>
      <c r="E170" t="s">
        <v>139</v>
      </c>
      <c r="F170">
        <v>0</v>
      </c>
    </row>
    <row r="171" spans="1:7" x14ac:dyDescent="0.55000000000000004">
      <c r="A171">
        <v>66</v>
      </c>
      <c r="B171" t="str">
        <f t="shared" si="2"/>
        <v>66_0</v>
      </c>
      <c r="C171" t="s">
        <v>126</v>
      </c>
      <c r="D171" t="s">
        <v>143</v>
      </c>
      <c r="E171" t="s">
        <v>131</v>
      </c>
      <c r="F171">
        <v>0</v>
      </c>
    </row>
    <row r="172" spans="1:7" x14ac:dyDescent="0.55000000000000004">
      <c r="A172">
        <v>66</v>
      </c>
      <c r="B172" t="str">
        <f t="shared" si="2"/>
        <v>66_0</v>
      </c>
      <c r="C172" t="s">
        <v>126</v>
      </c>
      <c r="D172" t="s">
        <v>144</v>
      </c>
      <c r="E172" t="s">
        <v>139</v>
      </c>
      <c r="F172">
        <v>60</v>
      </c>
    </row>
    <row r="173" spans="1:7" x14ac:dyDescent="0.55000000000000004">
      <c r="A173">
        <v>66</v>
      </c>
      <c r="B173" t="str">
        <f t="shared" si="2"/>
        <v>66_0</v>
      </c>
      <c r="C173" t="s">
        <v>126</v>
      </c>
      <c r="D173" t="s">
        <v>145</v>
      </c>
      <c r="E173" t="s">
        <v>139</v>
      </c>
      <c r="F173">
        <v>0</v>
      </c>
    </row>
    <row r="174" spans="1:7" x14ac:dyDescent="0.55000000000000004">
      <c r="A174">
        <v>66</v>
      </c>
      <c r="B174" t="str">
        <f t="shared" si="2"/>
        <v>66_0</v>
      </c>
      <c r="C174" t="s">
        <v>126</v>
      </c>
      <c r="D174" t="s">
        <v>146</v>
      </c>
      <c r="E174" t="s">
        <v>139</v>
      </c>
      <c r="F174">
        <v>10</v>
      </c>
    </row>
    <row r="175" spans="1:7" x14ac:dyDescent="0.55000000000000004">
      <c r="A175">
        <v>66</v>
      </c>
      <c r="B175" t="str">
        <f t="shared" si="2"/>
        <v>66_0</v>
      </c>
      <c r="C175" t="s">
        <v>126</v>
      </c>
      <c r="D175" t="s">
        <v>147</v>
      </c>
      <c r="E175" t="s">
        <v>139</v>
      </c>
      <c r="F175">
        <v>0</v>
      </c>
    </row>
    <row r="176" spans="1:7" x14ac:dyDescent="0.55000000000000004">
      <c r="A176">
        <v>66</v>
      </c>
      <c r="B176" t="str">
        <f t="shared" si="2"/>
        <v>66_0</v>
      </c>
      <c r="C176" t="s">
        <v>126</v>
      </c>
      <c r="D176" t="s">
        <v>148</v>
      </c>
      <c r="E176" t="s">
        <v>139</v>
      </c>
      <c r="F176">
        <v>30</v>
      </c>
    </row>
    <row r="177" spans="1:6" x14ac:dyDescent="0.55000000000000004">
      <c r="A177">
        <v>66</v>
      </c>
      <c r="B177" t="str">
        <f t="shared" si="2"/>
        <v>66_0</v>
      </c>
      <c r="C177" t="s">
        <v>126</v>
      </c>
      <c r="D177" t="s">
        <v>149</v>
      </c>
      <c r="E177" t="s">
        <v>139</v>
      </c>
      <c r="F177">
        <v>0</v>
      </c>
    </row>
    <row r="178" spans="1:6" x14ac:dyDescent="0.55000000000000004">
      <c r="A178">
        <v>66</v>
      </c>
      <c r="B178" t="str">
        <f t="shared" si="2"/>
        <v>66_0</v>
      </c>
      <c r="C178" t="s">
        <v>126</v>
      </c>
      <c r="D178" t="s">
        <v>150</v>
      </c>
      <c r="E178" t="s">
        <v>139</v>
      </c>
      <c r="F178">
        <v>0</v>
      </c>
    </row>
    <row r="179" spans="1:6" x14ac:dyDescent="0.55000000000000004">
      <c r="A179">
        <v>66</v>
      </c>
      <c r="B179" t="str">
        <f t="shared" si="2"/>
        <v>66_0</v>
      </c>
      <c r="C179" t="s">
        <v>126</v>
      </c>
      <c r="D179" t="s">
        <v>151</v>
      </c>
      <c r="E179" t="s">
        <v>139</v>
      </c>
      <c r="F179">
        <v>0</v>
      </c>
    </row>
    <row r="180" spans="1:6" x14ac:dyDescent="0.55000000000000004">
      <c r="A180">
        <v>66</v>
      </c>
      <c r="B180" t="str">
        <f t="shared" si="2"/>
        <v>66_0</v>
      </c>
      <c r="C180" t="s">
        <v>126</v>
      </c>
      <c r="D180" t="s">
        <v>152</v>
      </c>
      <c r="E180" t="s">
        <v>153</v>
      </c>
    </row>
    <row r="181" spans="1:6" x14ac:dyDescent="0.55000000000000004">
      <c r="A181">
        <v>66</v>
      </c>
      <c r="B181" t="str">
        <f t="shared" si="2"/>
        <v>66_0</v>
      </c>
      <c r="C181" t="s">
        <v>154</v>
      </c>
      <c r="D181" t="s">
        <v>155</v>
      </c>
      <c r="E181" t="s">
        <v>156</v>
      </c>
      <c r="F181">
        <v>24</v>
      </c>
    </row>
    <row r="182" spans="1:6" x14ac:dyDescent="0.55000000000000004">
      <c r="A182">
        <v>66</v>
      </c>
      <c r="B182" t="str">
        <f t="shared" si="2"/>
        <v>66_0</v>
      </c>
      <c r="C182" t="s">
        <v>154</v>
      </c>
      <c r="D182" t="s">
        <v>157</v>
      </c>
      <c r="E182" t="s">
        <v>158</v>
      </c>
      <c r="F182">
        <v>11.05</v>
      </c>
    </row>
    <row r="183" spans="1:6" x14ac:dyDescent="0.55000000000000004">
      <c r="A183">
        <v>66</v>
      </c>
      <c r="B183" t="str">
        <f t="shared" si="2"/>
        <v>66_0</v>
      </c>
      <c r="C183" t="s">
        <v>154</v>
      </c>
      <c r="D183" t="s">
        <v>159</v>
      </c>
      <c r="E183" t="s">
        <v>139</v>
      </c>
      <c r="F183">
        <v>131.9</v>
      </c>
    </row>
    <row r="184" spans="1:6" x14ac:dyDescent="0.55000000000000004">
      <c r="A184">
        <v>66</v>
      </c>
      <c r="B184" t="str">
        <f t="shared" si="2"/>
        <v>66_0</v>
      </c>
      <c r="C184" t="s">
        <v>154</v>
      </c>
      <c r="D184" t="s">
        <v>160</v>
      </c>
      <c r="E184" t="s">
        <v>161</v>
      </c>
      <c r="F184">
        <v>215.2</v>
      </c>
    </row>
    <row r="185" spans="1:6" x14ac:dyDescent="0.55000000000000004">
      <c r="A185">
        <v>66</v>
      </c>
      <c r="B185" t="str">
        <f t="shared" si="2"/>
        <v>66_0</v>
      </c>
      <c r="C185" t="s">
        <v>154</v>
      </c>
      <c r="D185" t="s">
        <v>162</v>
      </c>
      <c r="F185">
        <v>7.69</v>
      </c>
    </row>
    <row r="186" spans="1:6" x14ac:dyDescent="0.55000000000000004">
      <c r="A186">
        <v>66</v>
      </c>
      <c r="B186" t="str">
        <f t="shared" si="2"/>
        <v>66_0</v>
      </c>
      <c r="C186" t="s">
        <v>163</v>
      </c>
      <c r="D186" t="s">
        <v>164</v>
      </c>
      <c r="E186" t="s">
        <v>139</v>
      </c>
      <c r="F186">
        <v>0</v>
      </c>
    </row>
    <row r="187" spans="1:6" x14ac:dyDescent="0.55000000000000004">
      <c r="A187">
        <v>66</v>
      </c>
      <c r="B187" t="str">
        <f t="shared" si="2"/>
        <v>66_0</v>
      </c>
      <c r="C187" t="s">
        <v>163</v>
      </c>
      <c r="D187" t="s">
        <v>165</v>
      </c>
    </row>
    <row r="188" spans="1:6" x14ac:dyDescent="0.55000000000000004">
      <c r="A188">
        <v>66</v>
      </c>
      <c r="B188" t="str">
        <f t="shared" si="2"/>
        <v>66_0</v>
      </c>
      <c r="C188" t="s">
        <v>163</v>
      </c>
      <c r="D188" t="s">
        <v>166</v>
      </c>
      <c r="E188" t="s">
        <v>139</v>
      </c>
      <c r="F188">
        <v>0</v>
      </c>
    </row>
    <row r="189" spans="1:6" x14ac:dyDescent="0.55000000000000004">
      <c r="A189">
        <v>66</v>
      </c>
      <c r="B189" t="str">
        <f t="shared" si="2"/>
        <v>66_0</v>
      </c>
      <c r="C189" t="s">
        <v>163</v>
      </c>
      <c r="D189" t="s">
        <v>167</v>
      </c>
    </row>
    <row r="190" spans="1:6" x14ac:dyDescent="0.55000000000000004">
      <c r="A190">
        <v>66</v>
      </c>
      <c r="B190" t="str">
        <f t="shared" si="2"/>
        <v>66_0</v>
      </c>
      <c r="C190" t="s">
        <v>163</v>
      </c>
      <c r="D190" t="s">
        <v>168</v>
      </c>
      <c r="E190" t="s">
        <v>131</v>
      </c>
      <c r="F190">
        <v>1</v>
      </c>
    </row>
    <row r="191" spans="1:6" x14ac:dyDescent="0.55000000000000004">
      <c r="A191">
        <v>66</v>
      </c>
      <c r="B191" t="str">
        <f t="shared" si="2"/>
        <v>66_0</v>
      </c>
      <c r="C191" t="s">
        <v>163</v>
      </c>
      <c r="D191" t="s">
        <v>169</v>
      </c>
      <c r="F191" t="s">
        <v>312</v>
      </c>
    </row>
    <row r="192" spans="1:6" x14ac:dyDescent="0.55000000000000004">
      <c r="A192">
        <v>66</v>
      </c>
      <c r="B192" t="str">
        <f t="shared" si="2"/>
        <v>66_0</v>
      </c>
      <c r="C192" t="s">
        <v>163</v>
      </c>
      <c r="D192" t="s">
        <v>170</v>
      </c>
      <c r="E192" t="s">
        <v>139</v>
      </c>
      <c r="F192">
        <v>0</v>
      </c>
    </row>
    <row r="193" spans="1:7" x14ac:dyDescent="0.55000000000000004">
      <c r="A193">
        <v>66</v>
      </c>
      <c r="B193" t="str">
        <f t="shared" si="2"/>
        <v>66_0</v>
      </c>
      <c r="C193" t="s">
        <v>163</v>
      </c>
      <c r="D193" t="s">
        <v>171</v>
      </c>
    </row>
    <row r="194" spans="1:7" x14ac:dyDescent="0.55000000000000004">
      <c r="A194">
        <v>67</v>
      </c>
      <c r="B194" t="str">
        <f t="shared" si="2"/>
        <v>67_0</v>
      </c>
      <c r="C194" t="s">
        <v>126</v>
      </c>
      <c r="D194" t="s">
        <v>127</v>
      </c>
      <c r="E194" t="s">
        <v>128</v>
      </c>
      <c r="F194" s="1"/>
      <c r="G194" t="s">
        <v>129</v>
      </c>
    </row>
    <row r="195" spans="1:7" x14ac:dyDescent="0.55000000000000004">
      <c r="A195">
        <v>67</v>
      </c>
      <c r="B195" t="str">
        <f t="shared" ref="B195:B258" si="3">A195 &amp; "_0"</f>
        <v>67_0</v>
      </c>
      <c r="C195" t="s">
        <v>126</v>
      </c>
      <c r="D195" s="11" t="s">
        <v>130</v>
      </c>
      <c r="E195" t="s">
        <v>131</v>
      </c>
      <c r="F195">
        <v>1</v>
      </c>
    </row>
    <row r="196" spans="1:7" x14ac:dyDescent="0.55000000000000004">
      <c r="A196">
        <v>67</v>
      </c>
      <c r="B196" t="str">
        <f t="shared" si="3"/>
        <v>67_0</v>
      </c>
      <c r="C196" t="s">
        <v>126</v>
      </c>
      <c r="D196" t="s">
        <v>132</v>
      </c>
      <c r="E196" t="s">
        <v>133</v>
      </c>
    </row>
    <row r="197" spans="1:7" x14ac:dyDescent="0.55000000000000004">
      <c r="A197">
        <v>67</v>
      </c>
      <c r="B197" t="str">
        <f t="shared" si="3"/>
        <v>67_0</v>
      </c>
      <c r="C197" t="s">
        <v>126</v>
      </c>
      <c r="D197" t="s">
        <v>134</v>
      </c>
      <c r="E197" t="s">
        <v>133</v>
      </c>
      <c r="F197">
        <v>0.5</v>
      </c>
    </row>
    <row r="198" spans="1:7" x14ac:dyDescent="0.55000000000000004">
      <c r="A198">
        <v>67</v>
      </c>
      <c r="B198" t="str">
        <f t="shared" si="3"/>
        <v>67_0</v>
      </c>
      <c r="C198" t="s">
        <v>126</v>
      </c>
      <c r="D198" t="s">
        <v>135</v>
      </c>
      <c r="E198" t="s">
        <v>136</v>
      </c>
      <c r="F198">
        <f>F197/10</f>
        <v>0.05</v>
      </c>
      <c r="G198" t="s">
        <v>137</v>
      </c>
    </row>
    <row r="199" spans="1:7" x14ac:dyDescent="0.55000000000000004">
      <c r="A199">
        <v>67</v>
      </c>
      <c r="B199" t="str">
        <f t="shared" si="3"/>
        <v>67_0</v>
      </c>
      <c r="C199" t="s">
        <v>126</v>
      </c>
      <c r="D199" s="2" t="s">
        <v>138</v>
      </c>
      <c r="E199" t="s">
        <v>139</v>
      </c>
      <c r="F199">
        <v>0</v>
      </c>
    </row>
    <row r="200" spans="1:7" x14ac:dyDescent="0.55000000000000004">
      <c r="A200">
        <v>67</v>
      </c>
      <c r="B200" t="str">
        <f t="shared" si="3"/>
        <v>67_0</v>
      </c>
      <c r="C200" t="s">
        <v>126</v>
      </c>
      <c r="D200" s="2" t="s">
        <v>140</v>
      </c>
    </row>
    <row r="201" spans="1:7" x14ac:dyDescent="0.55000000000000004">
      <c r="A201">
        <v>67</v>
      </c>
      <c r="B201" t="str">
        <f t="shared" si="3"/>
        <v>67_0</v>
      </c>
      <c r="C201" t="s">
        <v>126</v>
      </c>
      <c r="D201" s="2" t="s">
        <v>141</v>
      </c>
      <c r="E201" t="s">
        <v>139</v>
      </c>
      <c r="F201">
        <v>0</v>
      </c>
    </row>
    <row r="202" spans="1:7" x14ac:dyDescent="0.55000000000000004">
      <c r="A202">
        <v>67</v>
      </c>
      <c r="B202" t="str">
        <f t="shared" si="3"/>
        <v>67_0</v>
      </c>
      <c r="C202" t="s">
        <v>126</v>
      </c>
      <c r="D202" t="s">
        <v>142</v>
      </c>
      <c r="E202" t="s">
        <v>139</v>
      </c>
      <c r="F202">
        <v>0</v>
      </c>
    </row>
    <row r="203" spans="1:7" x14ac:dyDescent="0.55000000000000004">
      <c r="A203">
        <v>67</v>
      </c>
      <c r="B203" t="str">
        <f t="shared" si="3"/>
        <v>67_0</v>
      </c>
      <c r="C203" t="s">
        <v>126</v>
      </c>
      <c r="D203" t="s">
        <v>143</v>
      </c>
      <c r="E203" t="s">
        <v>131</v>
      </c>
      <c r="F203">
        <v>0</v>
      </c>
    </row>
    <row r="204" spans="1:7" x14ac:dyDescent="0.55000000000000004">
      <c r="A204">
        <v>67</v>
      </c>
      <c r="B204" t="str">
        <f t="shared" si="3"/>
        <v>67_0</v>
      </c>
      <c r="C204" t="s">
        <v>126</v>
      </c>
      <c r="D204" t="s">
        <v>144</v>
      </c>
      <c r="E204" t="s">
        <v>139</v>
      </c>
      <c r="F204">
        <v>0</v>
      </c>
    </row>
    <row r="205" spans="1:7" x14ac:dyDescent="0.55000000000000004">
      <c r="A205">
        <v>67</v>
      </c>
      <c r="B205" t="str">
        <f t="shared" si="3"/>
        <v>67_0</v>
      </c>
      <c r="C205" t="s">
        <v>126</v>
      </c>
      <c r="D205" t="s">
        <v>145</v>
      </c>
      <c r="E205" t="s">
        <v>139</v>
      </c>
      <c r="F205">
        <v>0</v>
      </c>
    </row>
    <row r="206" spans="1:7" x14ac:dyDescent="0.55000000000000004">
      <c r="A206">
        <v>67</v>
      </c>
      <c r="B206" t="str">
        <f t="shared" si="3"/>
        <v>67_0</v>
      </c>
      <c r="C206" t="s">
        <v>126</v>
      </c>
      <c r="D206" t="s">
        <v>146</v>
      </c>
      <c r="E206" t="s">
        <v>139</v>
      </c>
      <c r="F206">
        <v>0</v>
      </c>
    </row>
    <row r="207" spans="1:7" x14ac:dyDescent="0.55000000000000004">
      <c r="A207">
        <v>67</v>
      </c>
      <c r="B207" t="str">
        <f t="shared" si="3"/>
        <v>67_0</v>
      </c>
      <c r="C207" t="s">
        <v>126</v>
      </c>
      <c r="D207" t="s">
        <v>147</v>
      </c>
      <c r="E207" t="s">
        <v>139</v>
      </c>
      <c r="F207">
        <v>0</v>
      </c>
    </row>
    <row r="208" spans="1:7" x14ac:dyDescent="0.55000000000000004">
      <c r="A208">
        <v>67</v>
      </c>
      <c r="B208" t="str">
        <f t="shared" si="3"/>
        <v>67_0</v>
      </c>
      <c r="C208" t="s">
        <v>126</v>
      </c>
      <c r="D208" t="s">
        <v>148</v>
      </c>
      <c r="E208" t="s">
        <v>139</v>
      </c>
      <c r="F208">
        <v>100</v>
      </c>
    </row>
    <row r="209" spans="1:6" x14ac:dyDescent="0.55000000000000004">
      <c r="A209">
        <v>67</v>
      </c>
      <c r="B209" t="str">
        <f t="shared" si="3"/>
        <v>67_0</v>
      </c>
      <c r="C209" t="s">
        <v>126</v>
      </c>
      <c r="D209" t="s">
        <v>149</v>
      </c>
      <c r="E209" t="s">
        <v>139</v>
      </c>
      <c r="F209">
        <v>0</v>
      </c>
    </row>
    <row r="210" spans="1:6" x14ac:dyDescent="0.55000000000000004">
      <c r="A210">
        <v>67</v>
      </c>
      <c r="B210" t="str">
        <f t="shared" si="3"/>
        <v>67_0</v>
      </c>
      <c r="C210" t="s">
        <v>126</v>
      </c>
      <c r="D210" t="s">
        <v>150</v>
      </c>
      <c r="E210" t="s">
        <v>139</v>
      </c>
      <c r="F210">
        <v>0</v>
      </c>
    </row>
    <row r="211" spans="1:6" x14ac:dyDescent="0.55000000000000004">
      <c r="A211">
        <v>67</v>
      </c>
      <c r="B211" t="str">
        <f t="shared" si="3"/>
        <v>67_0</v>
      </c>
      <c r="C211" t="s">
        <v>126</v>
      </c>
      <c r="D211" t="s">
        <v>151</v>
      </c>
      <c r="E211" t="s">
        <v>139</v>
      </c>
      <c r="F211">
        <v>0</v>
      </c>
    </row>
    <row r="212" spans="1:6" x14ac:dyDescent="0.55000000000000004">
      <c r="A212">
        <v>67</v>
      </c>
      <c r="B212" t="str">
        <f t="shared" si="3"/>
        <v>67_0</v>
      </c>
      <c r="C212" t="s">
        <v>126</v>
      </c>
      <c r="D212" t="s">
        <v>152</v>
      </c>
      <c r="E212" t="s">
        <v>153</v>
      </c>
    </row>
    <row r="213" spans="1:6" x14ac:dyDescent="0.55000000000000004">
      <c r="A213">
        <v>67</v>
      </c>
      <c r="B213" t="str">
        <f t="shared" si="3"/>
        <v>67_0</v>
      </c>
      <c r="C213" t="s">
        <v>154</v>
      </c>
      <c r="D213" t="s">
        <v>155</v>
      </c>
      <c r="E213" t="s">
        <v>156</v>
      </c>
      <c r="F213">
        <v>23.1</v>
      </c>
    </row>
    <row r="214" spans="1:6" x14ac:dyDescent="0.55000000000000004">
      <c r="A214">
        <v>67</v>
      </c>
      <c r="B214" t="str">
        <f t="shared" si="3"/>
        <v>67_0</v>
      </c>
      <c r="C214" t="s">
        <v>154</v>
      </c>
      <c r="D214" t="s">
        <v>157</v>
      </c>
      <c r="E214" t="s">
        <v>158</v>
      </c>
      <c r="F214">
        <v>10.25</v>
      </c>
    </row>
    <row r="215" spans="1:6" x14ac:dyDescent="0.55000000000000004">
      <c r="A215">
        <v>67</v>
      </c>
      <c r="B215" t="str">
        <f t="shared" si="3"/>
        <v>67_0</v>
      </c>
      <c r="C215" t="s">
        <v>154</v>
      </c>
      <c r="D215" t="s">
        <v>159</v>
      </c>
      <c r="E215" t="s">
        <v>139</v>
      </c>
      <c r="F215">
        <v>120.3</v>
      </c>
    </row>
    <row r="216" spans="1:6" x14ac:dyDescent="0.55000000000000004">
      <c r="A216">
        <v>67</v>
      </c>
      <c r="B216" t="str">
        <f t="shared" si="3"/>
        <v>67_0</v>
      </c>
      <c r="C216" t="s">
        <v>154</v>
      </c>
      <c r="D216" t="s">
        <v>160</v>
      </c>
      <c r="E216" t="s">
        <v>161</v>
      </c>
      <c r="F216">
        <v>157.1</v>
      </c>
    </row>
    <row r="217" spans="1:6" x14ac:dyDescent="0.55000000000000004">
      <c r="A217">
        <v>67</v>
      </c>
      <c r="B217" t="str">
        <f t="shared" si="3"/>
        <v>67_0</v>
      </c>
      <c r="C217" t="s">
        <v>154</v>
      </c>
      <c r="D217" t="s">
        <v>162</v>
      </c>
      <c r="F217">
        <v>7.51</v>
      </c>
    </row>
    <row r="218" spans="1:6" x14ac:dyDescent="0.55000000000000004">
      <c r="A218">
        <v>67</v>
      </c>
      <c r="B218" t="str">
        <f t="shared" si="3"/>
        <v>67_0</v>
      </c>
      <c r="C218" t="s">
        <v>163</v>
      </c>
      <c r="D218" t="s">
        <v>164</v>
      </c>
      <c r="E218" t="s">
        <v>139</v>
      </c>
      <c r="F218">
        <v>0</v>
      </c>
    </row>
    <row r="219" spans="1:6" x14ac:dyDescent="0.55000000000000004">
      <c r="A219">
        <v>67</v>
      </c>
      <c r="B219" t="str">
        <f t="shared" si="3"/>
        <v>67_0</v>
      </c>
      <c r="C219" t="s">
        <v>163</v>
      </c>
      <c r="D219" t="s">
        <v>165</v>
      </c>
    </row>
    <row r="220" spans="1:6" x14ac:dyDescent="0.55000000000000004">
      <c r="A220">
        <v>67</v>
      </c>
      <c r="B220" t="str">
        <f t="shared" si="3"/>
        <v>67_0</v>
      </c>
      <c r="C220" t="s">
        <v>163</v>
      </c>
      <c r="D220" t="s">
        <v>166</v>
      </c>
      <c r="E220" t="s">
        <v>139</v>
      </c>
      <c r="F220">
        <v>0</v>
      </c>
    </row>
    <row r="221" spans="1:6" x14ac:dyDescent="0.55000000000000004">
      <c r="A221">
        <v>67</v>
      </c>
      <c r="B221" t="str">
        <f t="shared" si="3"/>
        <v>67_0</v>
      </c>
      <c r="C221" t="s">
        <v>163</v>
      </c>
      <c r="D221" t="s">
        <v>167</v>
      </c>
    </row>
    <row r="222" spans="1:6" x14ac:dyDescent="0.55000000000000004">
      <c r="A222">
        <v>67</v>
      </c>
      <c r="B222" t="str">
        <f t="shared" si="3"/>
        <v>67_0</v>
      </c>
      <c r="C222" t="s">
        <v>163</v>
      </c>
      <c r="D222" t="s">
        <v>168</v>
      </c>
      <c r="E222" t="s">
        <v>131</v>
      </c>
      <c r="F222">
        <v>0</v>
      </c>
    </row>
    <row r="223" spans="1:6" x14ac:dyDescent="0.55000000000000004">
      <c r="A223">
        <v>67</v>
      </c>
      <c r="B223" t="str">
        <f t="shared" si="3"/>
        <v>67_0</v>
      </c>
      <c r="C223" t="s">
        <v>163</v>
      </c>
      <c r="D223" t="s">
        <v>169</v>
      </c>
    </row>
    <row r="224" spans="1:6" x14ac:dyDescent="0.55000000000000004">
      <c r="A224">
        <v>67</v>
      </c>
      <c r="B224" t="str">
        <f t="shared" si="3"/>
        <v>67_0</v>
      </c>
      <c r="C224" t="s">
        <v>163</v>
      </c>
      <c r="D224" t="s">
        <v>170</v>
      </c>
      <c r="E224" t="s">
        <v>139</v>
      </c>
      <c r="F224">
        <v>0</v>
      </c>
    </row>
    <row r="225" spans="1:7" x14ac:dyDescent="0.55000000000000004">
      <c r="A225">
        <v>67</v>
      </c>
      <c r="B225" t="str">
        <f t="shared" si="3"/>
        <v>67_0</v>
      </c>
      <c r="C225" t="s">
        <v>163</v>
      </c>
      <c r="D225" t="s">
        <v>171</v>
      </c>
    </row>
    <row r="226" spans="1:7" x14ac:dyDescent="0.55000000000000004">
      <c r="A226">
        <v>68</v>
      </c>
      <c r="B226" t="str">
        <f t="shared" si="3"/>
        <v>68_0</v>
      </c>
      <c r="C226" t="s">
        <v>126</v>
      </c>
      <c r="D226" t="s">
        <v>127</v>
      </c>
      <c r="E226" t="s">
        <v>128</v>
      </c>
      <c r="F226" s="1"/>
      <c r="G226" t="s">
        <v>129</v>
      </c>
    </row>
    <row r="227" spans="1:7" x14ac:dyDescent="0.55000000000000004">
      <c r="A227">
        <v>68</v>
      </c>
      <c r="B227" t="str">
        <f t="shared" si="3"/>
        <v>68_0</v>
      </c>
      <c r="C227" t="s">
        <v>126</v>
      </c>
      <c r="D227" s="11" t="s">
        <v>130</v>
      </c>
      <c r="E227" t="s">
        <v>131</v>
      </c>
      <c r="F227">
        <v>1</v>
      </c>
    </row>
    <row r="228" spans="1:7" x14ac:dyDescent="0.55000000000000004">
      <c r="A228">
        <v>68</v>
      </c>
      <c r="B228" t="str">
        <f t="shared" si="3"/>
        <v>68_0</v>
      </c>
      <c r="C228" t="s">
        <v>126</v>
      </c>
      <c r="D228" t="s">
        <v>132</v>
      </c>
      <c r="E228" t="s">
        <v>133</v>
      </c>
    </row>
    <row r="229" spans="1:7" x14ac:dyDescent="0.55000000000000004">
      <c r="A229">
        <v>68</v>
      </c>
      <c r="B229" t="str">
        <f t="shared" si="3"/>
        <v>68_0</v>
      </c>
      <c r="C229" t="s">
        <v>126</v>
      </c>
      <c r="D229" t="s">
        <v>134</v>
      </c>
      <c r="E229" t="s">
        <v>133</v>
      </c>
      <c r="F229">
        <v>0.6</v>
      </c>
    </row>
    <row r="230" spans="1:7" x14ac:dyDescent="0.55000000000000004">
      <c r="A230">
        <v>68</v>
      </c>
      <c r="B230" t="str">
        <f t="shared" si="3"/>
        <v>68_0</v>
      </c>
      <c r="C230" t="s">
        <v>126</v>
      </c>
      <c r="D230" t="s">
        <v>135</v>
      </c>
      <c r="E230" t="s">
        <v>136</v>
      </c>
      <c r="F230">
        <f>F229/10</f>
        <v>0.06</v>
      </c>
      <c r="G230" t="s">
        <v>137</v>
      </c>
    </row>
    <row r="231" spans="1:7" x14ac:dyDescent="0.55000000000000004">
      <c r="A231">
        <v>68</v>
      </c>
      <c r="B231" t="str">
        <f t="shared" si="3"/>
        <v>68_0</v>
      </c>
      <c r="C231" t="s">
        <v>126</v>
      </c>
      <c r="D231" s="2" t="s">
        <v>138</v>
      </c>
      <c r="E231" t="s">
        <v>139</v>
      </c>
      <c r="F231">
        <v>100</v>
      </c>
    </row>
    <row r="232" spans="1:7" x14ac:dyDescent="0.55000000000000004">
      <c r="A232">
        <v>68</v>
      </c>
      <c r="B232" t="str">
        <f t="shared" si="3"/>
        <v>68_0</v>
      </c>
      <c r="C232" t="s">
        <v>126</v>
      </c>
      <c r="D232" s="2" t="s">
        <v>140</v>
      </c>
      <c r="F232" t="s">
        <v>313</v>
      </c>
    </row>
    <row r="233" spans="1:7" x14ac:dyDescent="0.55000000000000004">
      <c r="A233">
        <v>68</v>
      </c>
      <c r="B233" t="str">
        <f t="shared" si="3"/>
        <v>68_0</v>
      </c>
      <c r="C233" t="s">
        <v>126</v>
      </c>
      <c r="D233" s="2" t="s">
        <v>141</v>
      </c>
      <c r="E233" t="s">
        <v>139</v>
      </c>
      <c r="F233">
        <v>100</v>
      </c>
    </row>
    <row r="234" spans="1:7" x14ac:dyDescent="0.55000000000000004">
      <c r="A234">
        <v>68</v>
      </c>
      <c r="B234" t="str">
        <f t="shared" si="3"/>
        <v>68_0</v>
      </c>
      <c r="C234" t="s">
        <v>126</v>
      </c>
      <c r="D234" t="s">
        <v>142</v>
      </c>
      <c r="E234" t="s">
        <v>139</v>
      </c>
      <c r="F234">
        <v>0</v>
      </c>
    </row>
    <row r="235" spans="1:7" x14ac:dyDescent="0.55000000000000004">
      <c r="A235">
        <v>68</v>
      </c>
      <c r="B235" t="str">
        <f t="shared" si="3"/>
        <v>68_0</v>
      </c>
      <c r="C235" t="s">
        <v>126</v>
      </c>
      <c r="D235" t="s">
        <v>143</v>
      </c>
      <c r="E235" t="s">
        <v>131</v>
      </c>
      <c r="F235">
        <v>0</v>
      </c>
    </row>
    <row r="236" spans="1:7" x14ac:dyDescent="0.55000000000000004">
      <c r="A236">
        <v>68</v>
      </c>
      <c r="B236" t="str">
        <f t="shared" si="3"/>
        <v>68_0</v>
      </c>
      <c r="C236" t="s">
        <v>126</v>
      </c>
      <c r="D236" t="s">
        <v>144</v>
      </c>
      <c r="E236" t="s">
        <v>139</v>
      </c>
      <c r="F236">
        <v>0</v>
      </c>
    </row>
    <row r="237" spans="1:7" x14ac:dyDescent="0.55000000000000004">
      <c r="A237">
        <v>68</v>
      </c>
      <c r="B237" t="str">
        <f t="shared" si="3"/>
        <v>68_0</v>
      </c>
      <c r="C237" t="s">
        <v>126</v>
      </c>
      <c r="D237" t="s">
        <v>145</v>
      </c>
      <c r="E237" t="s">
        <v>139</v>
      </c>
      <c r="F237">
        <v>40</v>
      </c>
    </row>
    <row r="238" spans="1:7" x14ac:dyDescent="0.55000000000000004">
      <c r="A238">
        <v>68</v>
      </c>
      <c r="B238" t="str">
        <f t="shared" si="3"/>
        <v>68_0</v>
      </c>
      <c r="C238" t="s">
        <v>126</v>
      </c>
      <c r="D238" t="s">
        <v>146</v>
      </c>
      <c r="E238" t="s">
        <v>139</v>
      </c>
      <c r="F238">
        <v>0</v>
      </c>
    </row>
    <row r="239" spans="1:7" x14ac:dyDescent="0.55000000000000004">
      <c r="A239">
        <v>68</v>
      </c>
      <c r="B239" t="str">
        <f t="shared" si="3"/>
        <v>68_0</v>
      </c>
      <c r="C239" t="s">
        <v>126</v>
      </c>
      <c r="D239" t="s">
        <v>147</v>
      </c>
      <c r="E239" t="s">
        <v>139</v>
      </c>
      <c r="F239">
        <v>0</v>
      </c>
    </row>
    <row r="240" spans="1:7" x14ac:dyDescent="0.55000000000000004">
      <c r="A240">
        <v>68</v>
      </c>
      <c r="B240" t="str">
        <f t="shared" si="3"/>
        <v>68_0</v>
      </c>
      <c r="C240" t="s">
        <v>126</v>
      </c>
      <c r="D240" t="s">
        <v>148</v>
      </c>
      <c r="E240" t="s">
        <v>139</v>
      </c>
      <c r="F240">
        <v>60</v>
      </c>
    </row>
    <row r="241" spans="1:6" x14ac:dyDescent="0.55000000000000004">
      <c r="A241">
        <v>68</v>
      </c>
      <c r="B241" t="str">
        <f t="shared" si="3"/>
        <v>68_0</v>
      </c>
      <c r="C241" t="s">
        <v>126</v>
      </c>
      <c r="D241" t="s">
        <v>149</v>
      </c>
      <c r="E241" t="s">
        <v>139</v>
      </c>
      <c r="F241">
        <v>0</v>
      </c>
    </row>
    <row r="242" spans="1:6" x14ac:dyDescent="0.55000000000000004">
      <c r="A242">
        <v>68</v>
      </c>
      <c r="B242" t="str">
        <f t="shared" si="3"/>
        <v>68_0</v>
      </c>
      <c r="C242" t="s">
        <v>126</v>
      </c>
      <c r="D242" t="s">
        <v>150</v>
      </c>
      <c r="E242" t="s">
        <v>139</v>
      </c>
      <c r="F242">
        <v>0</v>
      </c>
    </row>
    <row r="243" spans="1:6" x14ac:dyDescent="0.55000000000000004">
      <c r="A243">
        <v>68</v>
      </c>
      <c r="B243" t="str">
        <f t="shared" si="3"/>
        <v>68_0</v>
      </c>
      <c r="C243" t="s">
        <v>126</v>
      </c>
      <c r="D243" t="s">
        <v>151</v>
      </c>
      <c r="E243" t="s">
        <v>139</v>
      </c>
      <c r="F243">
        <v>0</v>
      </c>
    </row>
    <row r="244" spans="1:6" x14ac:dyDescent="0.55000000000000004">
      <c r="A244">
        <v>68</v>
      </c>
      <c r="B244" t="str">
        <f t="shared" si="3"/>
        <v>68_0</v>
      </c>
      <c r="C244" t="s">
        <v>126</v>
      </c>
      <c r="D244" t="s">
        <v>152</v>
      </c>
      <c r="E244" t="s">
        <v>153</v>
      </c>
    </row>
    <row r="245" spans="1:6" x14ac:dyDescent="0.55000000000000004">
      <c r="A245">
        <v>68</v>
      </c>
      <c r="B245" t="str">
        <f t="shared" si="3"/>
        <v>68_0</v>
      </c>
      <c r="C245" t="s">
        <v>154</v>
      </c>
      <c r="D245" t="s">
        <v>155</v>
      </c>
      <c r="E245" t="s">
        <v>156</v>
      </c>
      <c r="F245">
        <v>23.4</v>
      </c>
    </row>
    <row r="246" spans="1:6" x14ac:dyDescent="0.55000000000000004">
      <c r="A246">
        <v>68</v>
      </c>
      <c r="B246" t="str">
        <f t="shared" si="3"/>
        <v>68_0</v>
      </c>
      <c r="C246" t="s">
        <v>154</v>
      </c>
      <c r="D246" t="s">
        <v>157</v>
      </c>
      <c r="E246" t="s">
        <v>158</v>
      </c>
      <c r="F246">
        <v>9.83</v>
      </c>
    </row>
    <row r="247" spans="1:6" x14ac:dyDescent="0.55000000000000004">
      <c r="A247">
        <v>68</v>
      </c>
      <c r="B247" t="str">
        <f t="shared" si="3"/>
        <v>68_0</v>
      </c>
      <c r="C247" t="s">
        <v>154</v>
      </c>
      <c r="D247" t="s">
        <v>159</v>
      </c>
      <c r="E247" t="s">
        <v>139</v>
      </c>
      <c r="F247">
        <v>115.3</v>
      </c>
    </row>
    <row r="248" spans="1:6" x14ac:dyDescent="0.55000000000000004">
      <c r="A248">
        <v>68</v>
      </c>
      <c r="B248" t="str">
        <f t="shared" si="3"/>
        <v>68_0</v>
      </c>
      <c r="C248" t="s">
        <v>154</v>
      </c>
      <c r="D248" t="s">
        <v>160</v>
      </c>
      <c r="E248" t="s">
        <v>161</v>
      </c>
      <c r="F248">
        <v>185.2</v>
      </c>
    </row>
    <row r="249" spans="1:6" x14ac:dyDescent="0.55000000000000004">
      <c r="A249">
        <v>68</v>
      </c>
      <c r="B249" t="str">
        <f t="shared" si="3"/>
        <v>68_0</v>
      </c>
      <c r="C249" t="s">
        <v>154</v>
      </c>
      <c r="D249" t="s">
        <v>162</v>
      </c>
      <c r="F249">
        <v>7.49</v>
      </c>
    </row>
    <row r="250" spans="1:6" x14ac:dyDescent="0.55000000000000004">
      <c r="A250">
        <v>68</v>
      </c>
      <c r="B250" t="str">
        <f t="shared" si="3"/>
        <v>68_0</v>
      </c>
      <c r="C250" t="s">
        <v>163</v>
      </c>
      <c r="D250" t="s">
        <v>164</v>
      </c>
      <c r="E250" t="s">
        <v>139</v>
      </c>
      <c r="F250">
        <v>0</v>
      </c>
    </row>
    <row r="251" spans="1:6" x14ac:dyDescent="0.55000000000000004">
      <c r="A251">
        <v>68</v>
      </c>
      <c r="B251" t="str">
        <f t="shared" si="3"/>
        <v>68_0</v>
      </c>
      <c r="C251" t="s">
        <v>163</v>
      </c>
      <c r="D251" t="s">
        <v>165</v>
      </c>
    </row>
    <row r="252" spans="1:6" x14ac:dyDescent="0.55000000000000004">
      <c r="A252">
        <v>68</v>
      </c>
      <c r="B252" t="str">
        <f t="shared" si="3"/>
        <v>68_0</v>
      </c>
      <c r="C252" t="s">
        <v>163</v>
      </c>
      <c r="D252" t="s">
        <v>166</v>
      </c>
      <c r="E252" t="s">
        <v>139</v>
      </c>
      <c r="F252">
        <v>0</v>
      </c>
    </row>
    <row r="253" spans="1:6" x14ac:dyDescent="0.55000000000000004">
      <c r="A253">
        <v>68</v>
      </c>
      <c r="B253" t="str">
        <f t="shared" si="3"/>
        <v>68_0</v>
      </c>
      <c r="C253" t="s">
        <v>163</v>
      </c>
      <c r="D253" t="s">
        <v>167</v>
      </c>
    </row>
    <row r="254" spans="1:6" x14ac:dyDescent="0.55000000000000004">
      <c r="A254">
        <v>68</v>
      </c>
      <c r="B254" t="str">
        <f t="shared" si="3"/>
        <v>68_0</v>
      </c>
      <c r="C254" t="s">
        <v>163</v>
      </c>
      <c r="D254" t="s">
        <v>168</v>
      </c>
      <c r="E254" t="s">
        <v>131</v>
      </c>
      <c r="F254">
        <v>0</v>
      </c>
    </row>
    <row r="255" spans="1:6" x14ac:dyDescent="0.55000000000000004">
      <c r="A255">
        <v>68</v>
      </c>
      <c r="B255" t="str">
        <f t="shared" si="3"/>
        <v>68_0</v>
      </c>
      <c r="C255" t="s">
        <v>163</v>
      </c>
      <c r="D255" t="s">
        <v>169</v>
      </c>
    </row>
    <row r="256" spans="1:6" x14ac:dyDescent="0.55000000000000004">
      <c r="A256">
        <v>68</v>
      </c>
      <c r="B256" t="str">
        <f t="shared" si="3"/>
        <v>68_0</v>
      </c>
      <c r="C256" t="s">
        <v>163</v>
      </c>
      <c r="D256" t="s">
        <v>170</v>
      </c>
      <c r="E256" t="s">
        <v>139</v>
      </c>
      <c r="F256">
        <v>0</v>
      </c>
    </row>
    <row r="257" spans="1:7" x14ac:dyDescent="0.55000000000000004">
      <c r="A257">
        <v>68</v>
      </c>
      <c r="B257" t="str">
        <f t="shared" si="3"/>
        <v>68_0</v>
      </c>
      <c r="C257" t="s">
        <v>163</v>
      </c>
      <c r="D257" t="s">
        <v>171</v>
      </c>
    </row>
    <row r="258" spans="1:7" x14ac:dyDescent="0.55000000000000004">
      <c r="A258">
        <v>69</v>
      </c>
      <c r="B258" t="str">
        <f t="shared" si="3"/>
        <v>69_0</v>
      </c>
      <c r="C258" t="s">
        <v>126</v>
      </c>
      <c r="D258" t="s">
        <v>127</v>
      </c>
      <c r="E258" t="s">
        <v>128</v>
      </c>
      <c r="F258" s="1"/>
      <c r="G258" t="s">
        <v>129</v>
      </c>
    </row>
    <row r="259" spans="1:7" x14ac:dyDescent="0.55000000000000004">
      <c r="A259">
        <v>69</v>
      </c>
      <c r="B259" t="str">
        <f t="shared" ref="B259:B322" si="4">A259 &amp; "_0"</f>
        <v>69_0</v>
      </c>
      <c r="C259" t="s">
        <v>126</v>
      </c>
      <c r="D259" s="11" t="s">
        <v>130</v>
      </c>
      <c r="E259" t="s">
        <v>131</v>
      </c>
      <c r="F259">
        <v>1</v>
      </c>
    </row>
    <row r="260" spans="1:7" x14ac:dyDescent="0.55000000000000004">
      <c r="A260">
        <v>69</v>
      </c>
      <c r="B260" t="str">
        <f t="shared" si="4"/>
        <v>69_0</v>
      </c>
      <c r="C260" t="s">
        <v>126</v>
      </c>
      <c r="D260" t="s">
        <v>132</v>
      </c>
      <c r="E260" t="s">
        <v>133</v>
      </c>
    </row>
    <row r="261" spans="1:7" x14ac:dyDescent="0.55000000000000004">
      <c r="A261">
        <v>69</v>
      </c>
      <c r="B261" t="str">
        <f t="shared" si="4"/>
        <v>69_0</v>
      </c>
      <c r="C261" t="s">
        <v>126</v>
      </c>
      <c r="D261" t="s">
        <v>134</v>
      </c>
      <c r="E261" t="s">
        <v>133</v>
      </c>
      <c r="F261">
        <v>0.45</v>
      </c>
    </row>
    <row r="262" spans="1:7" x14ac:dyDescent="0.55000000000000004">
      <c r="A262">
        <v>69</v>
      </c>
      <c r="B262" t="str">
        <f t="shared" si="4"/>
        <v>69_0</v>
      </c>
      <c r="C262" t="s">
        <v>126</v>
      </c>
      <c r="D262" t="s">
        <v>135</v>
      </c>
      <c r="E262" t="s">
        <v>136</v>
      </c>
      <c r="F262">
        <f>F261/10</f>
        <v>4.4999999999999998E-2</v>
      </c>
      <c r="G262" t="s">
        <v>137</v>
      </c>
    </row>
    <row r="263" spans="1:7" x14ac:dyDescent="0.55000000000000004">
      <c r="A263">
        <v>69</v>
      </c>
      <c r="B263" t="str">
        <f t="shared" si="4"/>
        <v>69_0</v>
      </c>
      <c r="C263" t="s">
        <v>126</v>
      </c>
      <c r="D263" s="2" t="s">
        <v>138</v>
      </c>
      <c r="E263" t="s">
        <v>139</v>
      </c>
      <c r="F263">
        <v>0</v>
      </c>
    </row>
    <row r="264" spans="1:7" x14ac:dyDescent="0.55000000000000004">
      <c r="A264">
        <v>69</v>
      </c>
      <c r="B264" t="str">
        <f t="shared" si="4"/>
        <v>69_0</v>
      </c>
      <c r="C264" t="s">
        <v>126</v>
      </c>
      <c r="D264" s="2" t="s">
        <v>140</v>
      </c>
    </row>
    <row r="265" spans="1:7" x14ac:dyDescent="0.55000000000000004">
      <c r="A265">
        <v>69</v>
      </c>
      <c r="B265" t="str">
        <f t="shared" si="4"/>
        <v>69_0</v>
      </c>
      <c r="C265" t="s">
        <v>126</v>
      </c>
      <c r="D265" s="2" t="s">
        <v>141</v>
      </c>
      <c r="E265" t="s">
        <v>139</v>
      </c>
      <c r="F265">
        <v>0</v>
      </c>
    </row>
    <row r="266" spans="1:7" x14ac:dyDescent="0.55000000000000004">
      <c r="A266">
        <v>69</v>
      </c>
      <c r="B266" t="str">
        <f t="shared" si="4"/>
        <v>69_0</v>
      </c>
      <c r="C266" t="s">
        <v>126</v>
      </c>
      <c r="D266" t="s">
        <v>142</v>
      </c>
      <c r="E266" t="s">
        <v>139</v>
      </c>
      <c r="F266">
        <v>0</v>
      </c>
    </row>
    <row r="267" spans="1:7" x14ac:dyDescent="0.55000000000000004">
      <c r="A267">
        <v>69</v>
      </c>
      <c r="B267" t="str">
        <f t="shared" si="4"/>
        <v>69_0</v>
      </c>
      <c r="C267" t="s">
        <v>126</v>
      </c>
      <c r="D267" t="s">
        <v>143</v>
      </c>
      <c r="E267" t="s">
        <v>131</v>
      </c>
      <c r="F267">
        <v>0</v>
      </c>
    </row>
    <row r="268" spans="1:7" x14ac:dyDescent="0.55000000000000004">
      <c r="A268">
        <v>69</v>
      </c>
      <c r="B268" t="str">
        <f t="shared" si="4"/>
        <v>69_0</v>
      </c>
      <c r="C268" t="s">
        <v>126</v>
      </c>
      <c r="D268" t="s">
        <v>144</v>
      </c>
      <c r="E268" t="s">
        <v>139</v>
      </c>
      <c r="F268">
        <v>10</v>
      </c>
    </row>
    <row r="269" spans="1:7" x14ac:dyDescent="0.55000000000000004">
      <c r="A269">
        <v>69</v>
      </c>
      <c r="B269" t="str">
        <f t="shared" si="4"/>
        <v>69_0</v>
      </c>
      <c r="C269" t="s">
        <v>126</v>
      </c>
      <c r="D269" t="s">
        <v>145</v>
      </c>
      <c r="E269" t="s">
        <v>139</v>
      </c>
      <c r="F269">
        <v>0</v>
      </c>
    </row>
    <row r="270" spans="1:7" x14ac:dyDescent="0.55000000000000004">
      <c r="A270">
        <v>69</v>
      </c>
      <c r="B270" t="str">
        <f t="shared" si="4"/>
        <v>69_0</v>
      </c>
      <c r="C270" t="s">
        <v>126</v>
      </c>
      <c r="D270" t="s">
        <v>146</v>
      </c>
      <c r="E270" t="s">
        <v>139</v>
      </c>
      <c r="F270">
        <v>0</v>
      </c>
    </row>
    <row r="271" spans="1:7" x14ac:dyDescent="0.55000000000000004">
      <c r="A271">
        <v>69</v>
      </c>
      <c r="B271" t="str">
        <f t="shared" si="4"/>
        <v>69_0</v>
      </c>
      <c r="C271" t="s">
        <v>126</v>
      </c>
      <c r="D271" t="s">
        <v>147</v>
      </c>
      <c r="E271" t="s">
        <v>139</v>
      </c>
      <c r="F271">
        <v>0</v>
      </c>
    </row>
    <row r="272" spans="1:7" x14ac:dyDescent="0.55000000000000004">
      <c r="A272">
        <v>69</v>
      </c>
      <c r="B272" t="str">
        <f t="shared" si="4"/>
        <v>69_0</v>
      </c>
      <c r="C272" t="s">
        <v>126</v>
      </c>
      <c r="D272" t="s">
        <v>148</v>
      </c>
      <c r="E272" t="s">
        <v>139</v>
      </c>
      <c r="F272">
        <v>60</v>
      </c>
    </row>
    <row r="273" spans="1:7" x14ac:dyDescent="0.55000000000000004">
      <c r="A273">
        <v>69</v>
      </c>
      <c r="B273" t="str">
        <f t="shared" si="4"/>
        <v>69_0</v>
      </c>
      <c r="C273" t="s">
        <v>126</v>
      </c>
      <c r="D273" t="s">
        <v>149</v>
      </c>
      <c r="E273" t="s">
        <v>139</v>
      </c>
      <c r="F273">
        <v>0</v>
      </c>
    </row>
    <row r="274" spans="1:7" x14ac:dyDescent="0.55000000000000004">
      <c r="A274">
        <v>69</v>
      </c>
      <c r="B274" t="str">
        <f t="shared" si="4"/>
        <v>69_0</v>
      </c>
      <c r="C274" t="s">
        <v>126</v>
      </c>
      <c r="D274" t="s">
        <v>150</v>
      </c>
      <c r="E274" t="s">
        <v>139</v>
      </c>
      <c r="F274">
        <v>0</v>
      </c>
    </row>
    <row r="275" spans="1:7" x14ac:dyDescent="0.55000000000000004">
      <c r="A275">
        <v>69</v>
      </c>
      <c r="B275" t="str">
        <f t="shared" si="4"/>
        <v>69_0</v>
      </c>
      <c r="C275" t="s">
        <v>126</v>
      </c>
      <c r="D275" t="s">
        <v>151</v>
      </c>
      <c r="E275" t="s">
        <v>139</v>
      </c>
      <c r="F275">
        <v>30</v>
      </c>
      <c r="G275" t="s">
        <v>174</v>
      </c>
    </row>
    <row r="276" spans="1:7" x14ac:dyDescent="0.55000000000000004">
      <c r="A276">
        <v>69</v>
      </c>
      <c r="B276" t="str">
        <f t="shared" si="4"/>
        <v>69_0</v>
      </c>
      <c r="C276" t="s">
        <v>126</v>
      </c>
      <c r="D276" t="s">
        <v>152</v>
      </c>
      <c r="E276" t="s">
        <v>153</v>
      </c>
    </row>
    <row r="277" spans="1:7" x14ac:dyDescent="0.55000000000000004">
      <c r="A277">
        <v>69</v>
      </c>
      <c r="B277" t="str">
        <f t="shared" si="4"/>
        <v>69_0</v>
      </c>
      <c r="C277" t="s">
        <v>154</v>
      </c>
      <c r="D277" t="s">
        <v>155</v>
      </c>
      <c r="E277" t="s">
        <v>156</v>
      </c>
      <c r="F277">
        <v>23.4</v>
      </c>
    </row>
    <row r="278" spans="1:7" x14ac:dyDescent="0.55000000000000004">
      <c r="A278">
        <v>69</v>
      </c>
      <c r="B278" t="str">
        <f t="shared" si="4"/>
        <v>69_0</v>
      </c>
      <c r="C278" t="s">
        <v>154</v>
      </c>
      <c r="D278" t="s">
        <v>157</v>
      </c>
      <c r="E278" t="s">
        <v>158</v>
      </c>
      <c r="F278">
        <v>7.82</v>
      </c>
    </row>
    <row r="279" spans="1:7" x14ac:dyDescent="0.55000000000000004">
      <c r="A279">
        <v>69</v>
      </c>
      <c r="B279" t="str">
        <f t="shared" si="4"/>
        <v>69_0</v>
      </c>
      <c r="C279" t="s">
        <v>154</v>
      </c>
      <c r="D279" t="s">
        <v>159</v>
      </c>
      <c r="E279" t="s">
        <v>139</v>
      </c>
      <c r="F279">
        <v>91.8</v>
      </c>
    </row>
    <row r="280" spans="1:7" x14ac:dyDescent="0.55000000000000004">
      <c r="A280">
        <v>69</v>
      </c>
      <c r="B280" t="str">
        <f t="shared" si="4"/>
        <v>69_0</v>
      </c>
      <c r="C280" t="s">
        <v>154</v>
      </c>
      <c r="D280" t="s">
        <v>160</v>
      </c>
      <c r="E280" t="s">
        <v>161</v>
      </c>
      <c r="F280">
        <v>188.6</v>
      </c>
    </row>
    <row r="281" spans="1:7" x14ac:dyDescent="0.55000000000000004">
      <c r="A281">
        <v>69</v>
      </c>
      <c r="B281" t="str">
        <f t="shared" si="4"/>
        <v>69_0</v>
      </c>
      <c r="C281" t="s">
        <v>154</v>
      </c>
      <c r="D281" t="s">
        <v>162</v>
      </c>
      <c r="F281">
        <v>7</v>
      </c>
    </row>
    <row r="282" spans="1:7" x14ac:dyDescent="0.55000000000000004">
      <c r="A282">
        <v>69</v>
      </c>
      <c r="B282" t="str">
        <f t="shared" si="4"/>
        <v>69_0</v>
      </c>
      <c r="C282" t="s">
        <v>163</v>
      </c>
      <c r="D282" t="s">
        <v>164</v>
      </c>
      <c r="E282" t="s">
        <v>139</v>
      </c>
      <c r="F282">
        <v>0</v>
      </c>
    </row>
    <row r="283" spans="1:7" x14ac:dyDescent="0.55000000000000004">
      <c r="A283">
        <v>69</v>
      </c>
      <c r="B283" t="str">
        <f t="shared" si="4"/>
        <v>69_0</v>
      </c>
      <c r="C283" t="s">
        <v>163</v>
      </c>
      <c r="D283" t="s">
        <v>165</v>
      </c>
    </row>
    <row r="284" spans="1:7" x14ac:dyDescent="0.55000000000000004">
      <c r="A284">
        <v>69</v>
      </c>
      <c r="B284" t="str">
        <f t="shared" si="4"/>
        <v>69_0</v>
      </c>
      <c r="C284" t="s">
        <v>163</v>
      </c>
      <c r="D284" t="s">
        <v>166</v>
      </c>
      <c r="E284" t="s">
        <v>139</v>
      </c>
      <c r="F284">
        <v>0</v>
      </c>
    </row>
    <row r="285" spans="1:7" x14ac:dyDescent="0.55000000000000004">
      <c r="A285">
        <v>69</v>
      </c>
      <c r="B285" t="str">
        <f t="shared" si="4"/>
        <v>69_0</v>
      </c>
      <c r="C285" t="s">
        <v>163</v>
      </c>
      <c r="D285" t="s">
        <v>167</v>
      </c>
    </row>
    <row r="286" spans="1:7" x14ac:dyDescent="0.55000000000000004">
      <c r="A286">
        <v>69</v>
      </c>
      <c r="B286" t="str">
        <f t="shared" si="4"/>
        <v>69_0</v>
      </c>
      <c r="C286" t="s">
        <v>163</v>
      </c>
      <c r="D286" t="s">
        <v>168</v>
      </c>
      <c r="E286" t="s">
        <v>131</v>
      </c>
      <c r="F286">
        <v>0</v>
      </c>
    </row>
    <row r="287" spans="1:7" x14ac:dyDescent="0.55000000000000004">
      <c r="A287">
        <v>69</v>
      </c>
      <c r="B287" t="str">
        <f t="shared" si="4"/>
        <v>69_0</v>
      </c>
      <c r="C287" t="s">
        <v>163</v>
      </c>
      <c r="D287" t="s">
        <v>169</v>
      </c>
    </row>
    <row r="288" spans="1:7" x14ac:dyDescent="0.55000000000000004">
      <c r="A288">
        <v>69</v>
      </c>
      <c r="B288" t="str">
        <f t="shared" si="4"/>
        <v>69_0</v>
      </c>
      <c r="C288" t="s">
        <v>163</v>
      </c>
      <c r="D288" t="s">
        <v>170</v>
      </c>
      <c r="E288" t="s">
        <v>139</v>
      </c>
      <c r="F288">
        <v>10</v>
      </c>
    </row>
    <row r="289" spans="1:7" x14ac:dyDescent="0.55000000000000004">
      <c r="A289">
        <v>69</v>
      </c>
      <c r="B289" t="str">
        <f t="shared" si="4"/>
        <v>69_0</v>
      </c>
      <c r="C289" t="s">
        <v>163</v>
      </c>
      <c r="D289" t="s">
        <v>171</v>
      </c>
    </row>
    <row r="290" spans="1:7" x14ac:dyDescent="0.55000000000000004">
      <c r="A290">
        <v>70</v>
      </c>
      <c r="B290" t="str">
        <f t="shared" si="4"/>
        <v>70_0</v>
      </c>
      <c r="C290" t="s">
        <v>126</v>
      </c>
      <c r="D290" t="s">
        <v>127</v>
      </c>
      <c r="E290" t="s">
        <v>128</v>
      </c>
      <c r="F290" s="1"/>
      <c r="G290" t="s">
        <v>129</v>
      </c>
    </row>
    <row r="291" spans="1:7" x14ac:dyDescent="0.55000000000000004">
      <c r="A291">
        <v>70</v>
      </c>
      <c r="B291" t="str">
        <f t="shared" si="4"/>
        <v>70_0</v>
      </c>
      <c r="C291" t="s">
        <v>126</v>
      </c>
      <c r="D291" s="11" t="s">
        <v>130</v>
      </c>
      <c r="E291" t="s">
        <v>131</v>
      </c>
      <c r="F291">
        <v>1</v>
      </c>
    </row>
    <row r="292" spans="1:7" x14ac:dyDescent="0.55000000000000004">
      <c r="A292">
        <v>70</v>
      </c>
      <c r="B292" t="str">
        <f t="shared" si="4"/>
        <v>70_0</v>
      </c>
      <c r="C292" t="s">
        <v>126</v>
      </c>
      <c r="D292" t="s">
        <v>132</v>
      </c>
      <c r="E292" t="s">
        <v>133</v>
      </c>
    </row>
    <row r="293" spans="1:7" x14ac:dyDescent="0.55000000000000004">
      <c r="A293">
        <v>70</v>
      </c>
      <c r="B293" t="str">
        <f t="shared" si="4"/>
        <v>70_0</v>
      </c>
      <c r="C293" t="s">
        <v>126</v>
      </c>
      <c r="D293" t="s">
        <v>134</v>
      </c>
      <c r="E293" t="s">
        <v>133</v>
      </c>
      <c r="F293">
        <v>0.5</v>
      </c>
    </row>
    <row r="294" spans="1:7" x14ac:dyDescent="0.55000000000000004">
      <c r="A294">
        <v>70</v>
      </c>
      <c r="B294" t="str">
        <f t="shared" si="4"/>
        <v>70_0</v>
      </c>
      <c r="C294" t="s">
        <v>126</v>
      </c>
      <c r="D294" t="s">
        <v>135</v>
      </c>
      <c r="E294" t="s">
        <v>136</v>
      </c>
      <c r="F294">
        <f>F293/10</f>
        <v>0.05</v>
      </c>
      <c r="G294" t="s">
        <v>137</v>
      </c>
    </row>
    <row r="295" spans="1:7" x14ac:dyDescent="0.55000000000000004">
      <c r="A295">
        <v>70</v>
      </c>
      <c r="B295" t="str">
        <f t="shared" si="4"/>
        <v>70_0</v>
      </c>
      <c r="C295" t="s">
        <v>126</v>
      </c>
      <c r="D295" s="2" t="s">
        <v>138</v>
      </c>
      <c r="E295" t="s">
        <v>139</v>
      </c>
      <c r="F295">
        <v>100</v>
      </c>
    </row>
    <row r="296" spans="1:7" x14ac:dyDescent="0.55000000000000004">
      <c r="A296">
        <v>70</v>
      </c>
      <c r="B296" t="str">
        <f t="shared" si="4"/>
        <v>70_0</v>
      </c>
      <c r="C296" t="s">
        <v>126</v>
      </c>
      <c r="D296" s="2" t="s">
        <v>140</v>
      </c>
      <c r="F296" t="s">
        <v>172</v>
      </c>
    </row>
    <row r="297" spans="1:7" x14ac:dyDescent="0.55000000000000004">
      <c r="A297">
        <v>70</v>
      </c>
      <c r="B297" t="str">
        <f t="shared" si="4"/>
        <v>70_0</v>
      </c>
      <c r="C297" t="s">
        <v>126</v>
      </c>
      <c r="D297" s="2" t="s">
        <v>141</v>
      </c>
      <c r="E297" t="s">
        <v>139</v>
      </c>
      <c r="F297">
        <v>0</v>
      </c>
    </row>
    <row r="298" spans="1:7" x14ac:dyDescent="0.55000000000000004">
      <c r="A298">
        <v>70</v>
      </c>
      <c r="B298" t="str">
        <f t="shared" si="4"/>
        <v>70_0</v>
      </c>
      <c r="C298" t="s">
        <v>126</v>
      </c>
      <c r="D298" t="s">
        <v>142</v>
      </c>
      <c r="E298" t="s">
        <v>139</v>
      </c>
      <c r="F298">
        <v>0</v>
      </c>
    </row>
    <row r="299" spans="1:7" x14ac:dyDescent="0.55000000000000004">
      <c r="A299">
        <v>70</v>
      </c>
      <c r="B299" t="str">
        <f t="shared" si="4"/>
        <v>70_0</v>
      </c>
      <c r="C299" t="s">
        <v>126</v>
      </c>
      <c r="D299" t="s">
        <v>143</v>
      </c>
      <c r="E299" t="s">
        <v>131</v>
      </c>
      <c r="F299">
        <v>0</v>
      </c>
    </row>
    <row r="300" spans="1:7" x14ac:dyDescent="0.55000000000000004">
      <c r="A300">
        <v>70</v>
      </c>
      <c r="B300" t="str">
        <f t="shared" si="4"/>
        <v>70_0</v>
      </c>
      <c r="C300" t="s">
        <v>126</v>
      </c>
      <c r="D300" t="s">
        <v>144</v>
      </c>
      <c r="E300" t="s">
        <v>139</v>
      </c>
      <c r="F300">
        <v>0</v>
      </c>
    </row>
    <row r="301" spans="1:7" x14ac:dyDescent="0.55000000000000004">
      <c r="A301">
        <v>70</v>
      </c>
      <c r="B301" t="str">
        <f t="shared" si="4"/>
        <v>70_0</v>
      </c>
      <c r="C301" t="s">
        <v>126</v>
      </c>
      <c r="D301" t="s">
        <v>145</v>
      </c>
      <c r="E301" t="s">
        <v>139</v>
      </c>
      <c r="F301">
        <v>5</v>
      </c>
    </row>
    <row r="302" spans="1:7" x14ac:dyDescent="0.55000000000000004">
      <c r="A302">
        <v>70</v>
      </c>
      <c r="B302" t="str">
        <f t="shared" si="4"/>
        <v>70_0</v>
      </c>
      <c r="C302" t="s">
        <v>126</v>
      </c>
      <c r="D302" t="s">
        <v>146</v>
      </c>
      <c r="E302" t="s">
        <v>139</v>
      </c>
      <c r="F302">
        <v>0</v>
      </c>
    </row>
    <row r="303" spans="1:7" x14ac:dyDescent="0.55000000000000004">
      <c r="A303">
        <v>70</v>
      </c>
      <c r="B303" t="str">
        <f t="shared" si="4"/>
        <v>70_0</v>
      </c>
      <c r="C303" t="s">
        <v>126</v>
      </c>
      <c r="D303" t="s">
        <v>147</v>
      </c>
      <c r="E303" t="s">
        <v>139</v>
      </c>
      <c r="F303">
        <v>0</v>
      </c>
    </row>
    <row r="304" spans="1:7" x14ac:dyDescent="0.55000000000000004">
      <c r="A304">
        <v>70</v>
      </c>
      <c r="B304" t="str">
        <f t="shared" si="4"/>
        <v>70_0</v>
      </c>
      <c r="C304" t="s">
        <v>126</v>
      </c>
      <c r="D304" t="s">
        <v>148</v>
      </c>
      <c r="E304" t="s">
        <v>139</v>
      </c>
      <c r="F304">
        <v>95</v>
      </c>
    </row>
    <row r="305" spans="1:6" x14ac:dyDescent="0.55000000000000004">
      <c r="A305">
        <v>70</v>
      </c>
      <c r="B305" t="str">
        <f t="shared" si="4"/>
        <v>70_0</v>
      </c>
      <c r="C305" t="s">
        <v>126</v>
      </c>
      <c r="D305" t="s">
        <v>149</v>
      </c>
      <c r="E305" t="s">
        <v>139</v>
      </c>
      <c r="F305">
        <v>0</v>
      </c>
    </row>
    <row r="306" spans="1:6" x14ac:dyDescent="0.55000000000000004">
      <c r="A306">
        <v>70</v>
      </c>
      <c r="B306" t="str">
        <f t="shared" si="4"/>
        <v>70_0</v>
      </c>
      <c r="C306" t="s">
        <v>126</v>
      </c>
      <c r="D306" t="s">
        <v>150</v>
      </c>
      <c r="E306" t="s">
        <v>139</v>
      </c>
      <c r="F306">
        <v>0</v>
      </c>
    </row>
    <row r="307" spans="1:6" x14ac:dyDescent="0.55000000000000004">
      <c r="A307">
        <v>70</v>
      </c>
      <c r="B307" t="str">
        <f t="shared" si="4"/>
        <v>70_0</v>
      </c>
      <c r="C307" t="s">
        <v>126</v>
      </c>
      <c r="D307" t="s">
        <v>151</v>
      </c>
      <c r="E307" t="s">
        <v>139</v>
      </c>
      <c r="F307">
        <v>0</v>
      </c>
    </row>
    <row r="308" spans="1:6" x14ac:dyDescent="0.55000000000000004">
      <c r="A308">
        <v>70</v>
      </c>
      <c r="B308" t="str">
        <f t="shared" si="4"/>
        <v>70_0</v>
      </c>
      <c r="C308" t="s">
        <v>126</v>
      </c>
      <c r="D308" t="s">
        <v>152</v>
      </c>
      <c r="E308" t="s">
        <v>153</v>
      </c>
    </row>
    <row r="309" spans="1:6" x14ac:dyDescent="0.55000000000000004">
      <c r="A309">
        <v>70</v>
      </c>
      <c r="B309" t="str">
        <f t="shared" si="4"/>
        <v>70_0</v>
      </c>
      <c r="C309" t="s">
        <v>154</v>
      </c>
      <c r="D309" t="s">
        <v>155</v>
      </c>
      <c r="E309" t="s">
        <v>156</v>
      </c>
      <c r="F309">
        <v>22.4</v>
      </c>
    </row>
    <row r="310" spans="1:6" x14ac:dyDescent="0.55000000000000004">
      <c r="A310">
        <v>70</v>
      </c>
      <c r="B310" t="str">
        <f t="shared" si="4"/>
        <v>70_0</v>
      </c>
      <c r="C310" t="s">
        <v>154</v>
      </c>
      <c r="D310" t="s">
        <v>157</v>
      </c>
      <c r="E310" t="s">
        <v>158</v>
      </c>
      <c r="F310">
        <v>7.25</v>
      </c>
    </row>
    <row r="311" spans="1:6" x14ac:dyDescent="0.55000000000000004">
      <c r="A311">
        <v>70</v>
      </c>
      <c r="B311" t="str">
        <f t="shared" si="4"/>
        <v>70_0</v>
      </c>
      <c r="C311" t="s">
        <v>154</v>
      </c>
      <c r="D311" t="s">
        <v>159</v>
      </c>
      <c r="E311" t="s">
        <v>139</v>
      </c>
      <c r="F311">
        <v>83.5</v>
      </c>
    </row>
    <row r="312" spans="1:6" x14ac:dyDescent="0.55000000000000004">
      <c r="A312">
        <v>70</v>
      </c>
      <c r="B312" t="str">
        <f t="shared" si="4"/>
        <v>70_0</v>
      </c>
      <c r="C312" t="s">
        <v>154</v>
      </c>
      <c r="D312" t="s">
        <v>160</v>
      </c>
      <c r="E312" t="s">
        <v>161</v>
      </c>
      <c r="F312">
        <v>174.8</v>
      </c>
    </row>
    <row r="313" spans="1:6" x14ac:dyDescent="0.55000000000000004">
      <c r="A313">
        <v>70</v>
      </c>
      <c r="B313" t="str">
        <f t="shared" si="4"/>
        <v>70_0</v>
      </c>
      <c r="C313" t="s">
        <v>154</v>
      </c>
      <c r="D313" t="s">
        <v>162</v>
      </c>
      <c r="F313">
        <v>7.04</v>
      </c>
    </row>
    <row r="314" spans="1:6" x14ac:dyDescent="0.55000000000000004">
      <c r="A314">
        <v>70</v>
      </c>
      <c r="B314" t="str">
        <f t="shared" si="4"/>
        <v>70_0</v>
      </c>
      <c r="C314" t="s">
        <v>163</v>
      </c>
      <c r="D314" t="s">
        <v>164</v>
      </c>
      <c r="E314" t="s">
        <v>139</v>
      </c>
      <c r="F314">
        <v>0</v>
      </c>
    </row>
    <row r="315" spans="1:6" x14ac:dyDescent="0.55000000000000004">
      <c r="A315">
        <v>70</v>
      </c>
      <c r="B315" t="str">
        <f t="shared" si="4"/>
        <v>70_0</v>
      </c>
      <c r="C315" t="s">
        <v>163</v>
      </c>
      <c r="D315" t="s">
        <v>165</v>
      </c>
    </row>
    <row r="316" spans="1:6" x14ac:dyDescent="0.55000000000000004">
      <c r="A316">
        <v>70</v>
      </c>
      <c r="B316" t="str">
        <f t="shared" si="4"/>
        <v>70_0</v>
      </c>
      <c r="C316" t="s">
        <v>163</v>
      </c>
      <c r="D316" t="s">
        <v>166</v>
      </c>
      <c r="E316" t="s">
        <v>139</v>
      </c>
      <c r="F316">
        <v>0</v>
      </c>
    </row>
    <row r="317" spans="1:6" x14ac:dyDescent="0.55000000000000004">
      <c r="A317">
        <v>70</v>
      </c>
      <c r="B317" t="str">
        <f t="shared" si="4"/>
        <v>70_0</v>
      </c>
      <c r="C317" t="s">
        <v>163</v>
      </c>
      <c r="D317" t="s">
        <v>167</v>
      </c>
    </row>
    <row r="318" spans="1:6" x14ac:dyDescent="0.55000000000000004">
      <c r="A318">
        <v>70</v>
      </c>
      <c r="B318" t="str">
        <f t="shared" si="4"/>
        <v>70_0</v>
      </c>
      <c r="C318" t="s">
        <v>163</v>
      </c>
      <c r="D318" t="s">
        <v>168</v>
      </c>
      <c r="E318" t="s">
        <v>131</v>
      </c>
      <c r="F318">
        <v>0</v>
      </c>
    </row>
    <row r="319" spans="1:6" x14ac:dyDescent="0.55000000000000004">
      <c r="A319">
        <v>70</v>
      </c>
      <c r="B319" t="str">
        <f t="shared" si="4"/>
        <v>70_0</v>
      </c>
      <c r="C319" t="s">
        <v>163</v>
      </c>
      <c r="D319" t="s">
        <v>169</v>
      </c>
    </row>
    <row r="320" spans="1:6" x14ac:dyDescent="0.55000000000000004">
      <c r="A320">
        <v>70</v>
      </c>
      <c r="B320" t="str">
        <f t="shared" si="4"/>
        <v>70_0</v>
      </c>
      <c r="C320" t="s">
        <v>163</v>
      </c>
      <c r="D320" t="s">
        <v>170</v>
      </c>
      <c r="E320" t="s">
        <v>139</v>
      </c>
      <c r="F320">
        <v>0</v>
      </c>
    </row>
    <row r="321" spans="1:7" x14ac:dyDescent="0.55000000000000004">
      <c r="A321">
        <v>70</v>
      </c>
      <c r="B321" t="str">
        <f t="shared" si="4"/>
        <v>70_0</v>
      </c>
      <c r="C321" t="s">
        <v>163</v>
      </c>
      <c r="D321" t="s">
        <v>171</v>
      </c>
    </row>
    <row r="322" spans="1:7" x14ac:dyDescent="0.55000000000000004">
      <c r="A322">
        <v>71</v>
      </c>
      <c r="B322" t="str">
        <f t="shared" si="4"/>
        <v>71_0</v>
      </c>
      <c r="C322" t="s">
        <v>126</v>
      </c>
      <c r="D322" t="s">
        <v>127</v>
      </c>
      <c r="E322" t="s">
        <v>128</v>
      </c>
      <c r="F322" s="1"/>
      <c r="G322" t="s">
        <v>129</v>
      </c>
    </row>
    <row r="323" spans="1:7" x14ac:dyDescent="0.55000000000000004">
      <c r="A323">
        <v>71</v>
      </c>
      <c r="B323" t="str">
        <f t="shared" ref="B323:B386" si="5">A323 &amp; "_0"</f>
        <v>71_0</v>
      </c>
      <c r="C323" t="s">
        <v>126</v>
      </c>
      <c r="D323" s="11" t="s">
        <v>130</v>
      </c>
      <c r="E323" t="s">
        <v>131</v>
      </c>
      <c r="F323">
        <v>1</v>
      </c>
    </row>
    <row r="324" spans="1:7" x14ac:dyDescent="0.55000000000000004">
      <c r="A324">
        <v>71</v>
      </c>
      <c r="B324" t="str">
        <f t="shared" si="5"/>
        <v>71_0</v>
      </c>
      <c r="C324" t="s">
        <v>126</v>
      </c>
      <c r="D324" t="s">
        <v>132</v>
      </c>
      <c r="E324" t="s">
        <v>133</v>
      </c>
    </row>
    <row r="325" spans="1:7" x14ac:dyDescent="0.55000000000000004">
      <c r="A325">
        <v>71</v>
      </c>
      <c r="B325" t="str">
        <f t="shared" si="5"/>
        <v>71_0</v>
      </c>
      <c r="C325" t="s">
        <v>126</v>
      </c>
      <c r="D325" t="s">
        <v>134</v>
      </c>
      <c r="E325" t="s">
        <v>133</v>
      </c>
      <c r="F325">
        <v>0.5</v>
      </c>
    </row>
    <row r="326" spans="1:7" x14ac:dyDescent="0.55000000000000004">
      <c r="A326">
        <v>71</v>
      </c>
      <c r="B326" t="str">
        <f t="shared" si="5"/>
        <v>71_0</v>
      </c>
      <c r="C326" t="s">
        <v>126</v>
      </c>
      <c r="D326" t="s">
        <v>135</v>
      </c>
      <c r="E326" t="s">
        <v>136</v>
      </c>
      <c r="F326">
        <f>F325/10</f>
        <v>0.05</v>
      </c>
      <c r="G326" t="s">
        <v>137</v>
      </c>
    </row>
    <row r="327" spans="1:7" x14ac:dyDescent="0.55000000000000004">
      <c r="A327">
        <v>71</v>
      </c>
      <c r="B327" t="str">
        <f t="shared" si="5"/>
        <v>71_0</v>
      </c>
      <c r="C327" t="s">
        <v>126</v>
      </c>
      <c r="D327" s="2" t="s">
        <v>138</v>
      </c>
      <c r="E327" t="s">
        <v>139</v>
      </c>
      <c r="F327">
        <v>100</v>
      </c>
    </row>
    <row r="328" spans="1:7" x14ac:dyDescent="0.55000000000000004">
      <c r="A328">
        <v>71</v>
      </c>
      <c r="B328" t="str">
        <f t="shared" si="5"/>
        <v>71_0</v>
      </c>
      <c r="C328" t="s">
        <v>126</v>
      </c>
      <c r="D328" s="2" t="s">
        <v>140</v>
      </c>
      <c r="F328" t="s">
        <v>297</v>
      </c>
    </row>
    <row r="329" spans="1:7" x14ac:dyDescent="0.55000000000000004">
      <c r="A329">
        <v>71</v>
      </c>
      <c r="B329" t="str">
        <f t="shared" si="5"/>
        <v>71_0</v>
      </c>
      <c r="C329" t="s">
        <v>126</v>
      </c>
      <c r="D329" s="2" t="s">
        <v>141</v>
      </c>
      <c r="E329" t="s">
        <v>139</v>
      </c>
      <c r="F329">
        <v>100</v>
      </c>
    </row>
    <row r="330" spans="1:7" x14ac:dyDescent="0.55000000000000004">
      <c r="A330">
        <v>71</v>
      </c>
      <c r="B330" t="str">
        <f t="shared" si="5"/>
        <v>71_0</v>
      </c>
      <c r="C330" t="s">
        <v>126</v>
      </c>
      <c r="D330" t="s">
        <v>142</v>
      </c>
      <c r="E330" t="s">
        <v>139</v>
      </c>
      <c r="F330">
        <v>0</v>
      </c>
    </row>
    <row r="331" spans="1:7" x14ac:dyDescent="0.55000000000000004">
      <c r="A331">
        <v>71</v>
      </c>
      <c r="B331" t="str">
        <f t="shared" si="5"/>
        <v>71_0</v>
      </c>
      <c r="C331" t="s">
        <v>126</v>
      </c>
      <c r="D331" t="s">
        <v>143</v>
      </c>
      <c r="E331" t="s">
        <v>131</v>
      </c>
      <c r="F331">
        <v>0</v>
      </c>
    </row>
    <row r="332" spans="1:7" x14ac:dyDescent="0.55000000000000004">
      <c r="A332">
        <v>71</v>
      </c>
      <c r="B332" t="str">
        <f t="shared" si="5"/>
        <v>71_0</v>
      </c>
      <c r="C332" t="s">
        <v>126</v>
      </c>
      <c r="D332" t="s">
        <v>144</v>
      </c>
      <c r="E332" t="s">
        <v>139</v>
      </c>
      <c r="F332">
        <v>0</v>
      </c>
    </row>
    <row r="333" spans="1:7" x14ac:dyDescent="0.55000000000000004">
      <c r="A333">
        <v>71</v>
      </c>
      <c r="B333" t="str">
        <f t="shared" si="5"/>
        <v>71_0</v>
      </c>
      <c r="C333" t="s">
        <v>126</v>
      </c>
      <c r="D333" t="s">
        <v>145</v>
      </c>
      <c r="E333" t="s">
        <v>139</v>
      </c>
      <c r="F333">
        <v>0</v>
      </c>
    </row>
    <row r="334" spans="1:7" x14ac:dyDescent="0.55000000000000004">
      <c r="A334">
        <v>71</v>
      </c>
      <c r="B334" t="str">
        <f t="shared" si="5"/>
        <v>71_0</v>
      </c>
      <c r="C334" t="s">
        <v>126</v>
      </c>
      <c r="D334" t="s">
        <v>146</v>
      </c>
      <c r="E334" t="s">
        <v>139</v>
      </c>
      <c r="F334">
        <v>0</v>
      </c>
    </row>
    <row r="335" spans="1:7" x14ac:dyDescent="0.55000000000000004">
      <c r="A335">
        <v>71</v>
      </c>
      <c r="B335" t="str">
        <f t="shared" si="5"/>
        <v>71_0</v>
      </c>
      <c r="C335" t="s">
        <v>126</v>
      </c>
      <c r="D335" t="s">
        <v>147</v>
      </c>
      <c r="E335" t="s">
        <v>139</v>
      </c>
      <c r="F335">
        <v>0</v>
      </c>
    </row>
    <row r="336" spans="1:7" x14ac:dyDescent="0.55000000000000004">
      <c r="A336">
        <v>71</v>
      </c>
      <c r="B336" t="str">
        <f t="shared" si="5"/>
        <v>71_0</v>
      </c>
      <c r="C336" t="s">
        <v>126</v>
      </c>
      <c r="D336" t="s">
        <v>148</v>
      </c>
      <c r="E336" t="s">
        <v>139</v>
      </c>
      <c r="F336">
        <v>100</v>
      </c>
    </row>
    <row r="337" spans="1:6" x14ac:dyDescent="0.55000000000000004">
      <c r="A337">
        <v>71</v>
      </c>
      <c r="B337" t="str">
        <f t="shared" si="5"/>
        <v>71_0</v>
      </c>
      <c r="C337" t="s">
        <v>126</v>
      </c>
      <c r="D337" t="s">
        <v>149</v>
      </c>
      <c r="E337" t="s">
        <v>139</v>
      </c>
      <c r="F337">
        <v>0</v>
      </c>
    </row>
    <row r="338" spans="1:6" x14ac:dyDescent="0.55000000000000004">
      <c r="A338">
        <v>71</v>
      </c>
      <c r="B338" t="str">
        <f t="shared" si="5"/>
        <v>71_0</v>
      </c>
      <c r="C338" t="s">
        <v>126</v>
      </c>
      <c r="D338" t="s">
        <v>150</v>
      </c>
      <c r="E338" t="s">
        <v>139</v>
      </c>
      <c r="F338">
        <v>0</v>
      </c>
    </row>
    <row r="339" spans="1:6" x14ac:dyDescent="0.55000000000000004">
      <c r="A339">
        <v>71</v>
      </c>
      <c r="B339" t="str">
        <f t="shared" si="5"/>
        <v>71_0</v>
      </c>
      <c r="C339" t="s">
        <v>126</v>
      </c>
      <c r="D339" t="s">
        <v>151</v>
      </c>
      <c r="E339" t="s">
        <v>139</v>
      </c>
      <c r="F339">
        <v>0</v>
      </c>
    </row>
    <row r="340" spans="1:6" x14ac:dyDescent="0.55000000000000004">
      <c r="A340">
        <v>71</v>
      </c>
      <c r="B340" t="str">
        <f t="shared" si="5"/>
        <v>71_0</v>
      </c>
      <c r="C340" t="s">
        <v>126</v>
      </c>
      <c r="D340" t="s">
        <v>152</v>
      </c>
      <c r="E340" t="s">
        <v>153</v>
      </c>
    </row>
    <row r="341" spans="1:6" x14ac:dyDescent="0.55000000000000004">
      <c r="A341">
        <v>71</v>
      </c>
      <c r="B341" t="str">
        <f t="shared" si="5"/>
        <v>71_0</v>
      </c>
      <c r="C341" t="s">
        <v>154</v>
      </c>
      <c r="D341" t="s">
        <v>155</v>
      </c>
      <c r="E341" t="s">
        <v>156</v>
      </c>
      <c r="F341">
        <v>21.8</v>
      </c>
    </row>
    <row r="342" spans="1:6" x14ac:dyDescent="0.55000000000000004">
      <c r="A342">
        <v>71</v>
      </c>
      <c r="B342" t="str">
        <f t="shared" si="5"/>
        <v>71_0</v>
      </c>
      <c r="C342" t="s">
        <v>154</v>
      </c>
      <c r="D342" t="s">
        <v>157</v>
      </c>
      <c r="E342" t="s">
        <v>158</v>
      </c>
      <c r="F342">
        <v>7.61</v>
      </c>
    </row>
    <row r="343" spans="1:6" x14ac:dyDescent="0.55000000000000004">
      <c r="A343">
        <v>71</v>
      </c>
      <c r="B343" t="str">
        <f t="shared" si="5"/>
        <v>71_0</v>
      </c>
      <c r="C343" t="s">
        <v>154</v>
      </c>
      <c r="D343" t="s">
        <v>159</v>
      </c>
      <c r="E343" t="s">
        <v>139</v>
      </c>
      <c r="F343">
        <v>86.8</v>
      </c>
    </row>
    <row r="344" spans="1:6" x14ac:dyDescent="0.55000000000000004">
      <c r="A344">
        <v>71</v>
      </c>
      <c r="B344" t="str">
        <f t="shared" si="5"/>
        <v>71_0</v>
      </c>
      <c r="C344" t="s">
        <v>154</v>
      </c>
      <c r="D344" t="s">
        <v>160</v>
      </c>
      <c r="E344" t="s">
        <v>161</v>
      </c>
      <c r="F344">
        <v>149.1</v>
      </c>
    </row>
    <row r="345" spans="1:6" x14ac:dyDescent="0.55000000000000004">
      <c r="A345">
        <v>71</v>
      </c>
      <c r="B345" t="str">
        <f t="shared" si="5"/>
        <v>71_0</v>
      </c>
      <c r="C345" t="s">
        <v>154</v>
      </c>
      <c r="D345" t="s">
        <v>162</v>
      </c>
      <c r="F345">
        <v>7.51</v>
      </c>
    </row>
    <row r="346" spans="1:6" x14ac:dyDescent="0.55000000000000004">
      <c r="A346">
        <v>71</v>
      </c>
      <c r="B346" t="str">
        <f t="shared" si="5"/>
        <v>71_0</v>
      </c>
      <c r="C346" t="s">
        <v>163</v>
      </c>
      <c r="D346" t="s">
        <v>164</v>
      </c>
      <c r="E346" t="s">
        <v>139</v>
      </c>
      <c r="F346">
        <v>0</v>
      </c>
    </row>
    <row r="347" spans="1:6" x14ac:dyDescent="0.55000000000000004">
      <c r="A347">
        <v>71</v>
      </c>
      <c r="B347" t="str">
        <f t="shared" si="5"/>
        <v>71_0</v>
      </c>
      <c r="C347" t="s">
        <v>163</v>
      </c>
      <c r="D347" t="s">
        <v>165</v>
      </c>
    </row>
    <row r="348" spans="1:6" x14ac:dyDescent="0.55000000000000004">
      <c r="A348">
        <v>71</v>
      </c>
      <c r="B348" t="str">
        <f t="shared" si="5"/>
        <v>71_0</v>
      </c>
      <c r="C348" t="s">
        <v>163</v>
      </c>
      <c r="D348" t="s">
        <v>166</v>
      </c>
      <c r="E348" t="s">
        <v>139</v>
      </c>
      <c r="F348">
        <v>0</v>
      </c>
    </row>
    <row r="349" spans="1:6" x14ac:dyDescent="0.55000000000000004">
      <c r="A349">
        <v>71</v>
      </c>
      <c r="B349" t="str">
        <f t="shared" si="5"/>
        <v>71_0</v>
      </c>
      <c r="C349" t="s">
        <v>163</v>
      </c>
      <c r="D349" t="s">
        <v>167</v>
      </c>
    </row>
    <row r="350" spans="1:6" x14ac:dyDescent="0.55000000000000004">
      <c r="A350">
        <v>71</v>
      </c>
      <c r="B350" t="str">
        <f t="shared" si="5"/>
        <v>71_0</v>
      </c>
      <c r="C350" t="s">
        <v>163</v>
      </c>
      <c r="D350" t="s">
        <v>168</v>
      </c>
      <c r="E350" t="s">
        <v>131</v>
      </c>
      <c r="F350">
        <v>0</v>
      </c>
    </row>
    <row r="351" spans="1:6" x14ac:dyDescent="0.55000000000000004">
      <c r="A351">
        <v>71</v>
      </c>
      <c r="B351" t="str">
        <f t="shared" si="5"/>
        <v>71_0</v>
      </c>
      <c r="C351" t="s">
        <v>163</v>
      </c>
      <c r="D351" t="s">
        <v>169</v>
      </c>
    </row>
    <row r="352" spans="1:6" x14ac:dyDescent="0.55000000000000004">
      <c r="A352">
        <v>71</v>
      </c>
      <c r="B352" t="str">
        <f t="shared" si="5"/>
        <v>71_0</v>
      </c>
      <c r="C352" t="s">
        <v>163</v>
      </c>
      <c r="D352" t="s">
        <v>170</v>
      </c>
      <c r="E352" t="s">
        <v>139</v>
      </c>
      <c r="F352">
        <v>30</v>
      </c>
    </row>
    <row r="353" spans="1:7" x14ac:dyDescent="0.55000000000000004">
      <c r="A353">
        <v>71</v>
      </c>
      <c r="B353" t="str">
        <f t="shared" si="5"/>
        <v>71_0</v>
      </c>
      <c r="C353" t="s">
        <v>163</v>
      </c>
      <c r="D353" t="s">
        <v>171</v>
      </c>
    </row>
    <row r="354" spans="1:7" x14ac:dyDescent="0.55000000000000004">
      <c r="A354">
        <v>72</v>
      </c>
      <c r="B354" t="str">
        <f t="shared" si="5"/>
        <v>72_0</v>
      </c>
      <c r="C354" t="s">
        <v>126</v>
      </c>
      <c r="D354" t="s">
        <v>127</v>
      </c>
      <c r="E354" t="s">
        <v>128</v>
      </c>
      <c r="F354" s="1"/>
      <c r="G354" t="s">
        <v>129</v>
      </c>
    </row>
    <row r="355" spans="1:7" x14ac:dyDescent="0.55000000000000004">
      <c r="A355">
        <v>72</v>
      </c>
      <c r="B355" t="str">
        <f t="shared" si="5"/>
        <v>72_0</v>
      </c>
      <c r="C355" t="s">
        <v>126</v>
      </c>
      <c r="D355" s="11" t="s">
        <v>130</v>
      </c>
      <c r="E355" t="s">
        <v>131</v>
      </c>
      <c r="F355">
        <v>1</v>
      </c>
    </row>
    <row r="356" spans="1:7" x14ac:dyDescent="0.55000000000000004">
      <c r="A356">
        <v>72</v>
      </c>
      <c r="B356" t="str">
        <f t="shared" si="5"/>
        <v>72_0</v>
      </c>
      <c r="C356" t="s">
        <v>126</v>
      </c>
      <c r="D356" t="s">
        <v>132</v>
      </c>
      <c r="E356" t="s">
        <v>133</v>
      </c>
    </row>
    <row r="357" spans="1:7" x14ac:dyDescent="0.55000000000000004">
      <c r="A357">
        <v>72</v>
      </c>
      <c r="B357" t="str">
        <f t="shared" si="5"/>
        <v>72_0</v>
      </c>
      <c r="C357" t="s">
        <v>126</v>
      </c>
      <c r="D357" t="s">
        <v>134</v>
      </c>
      <c r="E357" t="s">
        <v>133</v>
      </c>
      <c r="F357">
        <v>0.5</v>
      </c>
    </row>
    <row r="358" spans="1:7" x14ac:dyDescent="0.55000000000000004">
      <c r="A358">
        <v>72</v>
      </c>
      <c r="B358" t="str">
        <f t="shared" si="5"/>
        <v>72_0</v>
      </c>
      <c r="C358" t="s">
        <v>126</v>
      </c>
      <c r="D358" t="s">
        <v>135</v>
      </c>
      <c r="E358" t="s">
        <v>136</v>
      </c>
      <c r="F358">
        <f>F357/10</f>
        <v>0.05</v>
      </c>
      <c r="G358" t="s">
        <v>137</v>
      </c>
    </row>
    <row r="359" spans="1:7" x14ac:dyDescent="0.55000000000000004">
      <c r="A359">
        <v>72</v>
      </c>
      <c r="B359" t="str">
        <f t="shared" si="5"/>
        <v>72_0</v>
      </c>
      <c r="C359" t="s">
        <v>126</v>
      </c>
      <c r="D359" s="2" t="s">
        <v>138</v>
      </c>
      <c r="E359" t="s">
        <v>139</v>
      </c>
      <c r="F359">
        <v>10</v>
      </c>
    </row>
    <row r="360" spans="1:7" x14ac:dyDescent="0.55000000000000004">
      <c r="A360">
        <v>72</v>
      </c>
      <c r="B360" t="str">
        <f t="shared" si="5"/>
        <v>72_0</v>
      </c>
      <c r="C360" t="s">
        <v>126</v>
      </c>
      <c r="D360" s="2" t="s">
        <v>140</v>
      </c>
      <c r="F360" t="s">
        <v>297</v>
      </c>
    </row>
    <row r="361" spans="1:7" x14ac:dyDescent="0.55000000000000004">
      <c r="A361">
        <v>72</v>
      </c>
      <c r="B361" t="str">
        <f t="shared" si="5"/>
        <v>72_0</v>
      </c>
      <c r="C361" t="s">
        <v>126</v>
      </c>
      <c r="D361" s="2" t="s">
        <v>141</v>
      </c>
      <c r="E361" t="s">
        <v>139</v>
      </c>
      <c r="F361">
        <v>10</v>
      </c>
    </row>
    <row r="362" spans="1:7" x14ac:dyDescent="0.55000000000000004">
      <c r="A362">
        <v>72</v>
      </c>
      <c r="B362" t="str">
        <f t="shared" si="5"/>
        <v>72_0</v>
      </c>
      <c r="C362" t="s">
        <v>126</v>
      </c>
      <c r="D362" t="s">
        <v>142</v>
      </c>
      <c r="E362" t="s">
        <v>139</v>
      </c>
      <c r="F362">
        <v>0</v>
      </c>
    </row>
    <row r="363" spans="1:7" x14ac:dyDescent="0.55000000000000004">
      <c r="A363">
        <v>72</v>
      </c>
      <c r="B363" t="str">
        <f t="shared" si="5"/>
        <v>72_0</v>
      </c>
      <c r="C363" t="s">
        <v>126</v>
      </c>
      <c r="D363" t="s">
        <v>143</v>
      </c>
      <c r="E363" t="s">
        <v>131</v>
      </c>
      <c r="F363">
        <v>0</v>
      </c>
    </row>
    <row r="364" spans="1:7" x14ac:dyDescent="0.55000000000000004">
      <c r="A364">
        <v>72</v>
      </c>
      <c r="B364" t="str">
        <f t="shared" si="5"/>
        <v>72_0</v>
      </c>
      <c r="C364" t="s">
        <v>126</v>
      </c>
      <c r="D364" t="s">
        <v>144</v>
      </c>
      <c r="E364" t="s">
        <v>139</v>
      </c>
      <c r="F364">
        <v>0</v>
      </c>
    </row>
    <row r="365" spans="1:7" x14ac:dyDescent="0.55000000000000004">
      <c r="A365">
        <v>72</v>
      </c>
      <c r="B365" t="str">
        <f t="shared" si="5"/>
        <v>72_0</v>
      </c>
      <c r="C365" t="s">
        <v>126</v>
      </c>
      <c r="D365" t="s">
        <v>145</v>
      </c>
      <c r="E365" t="s">
        <v>139</v>
      </c>
      <c r="F365">
        <v>0</v>
      </c>
    </row>
    <row r="366" spans="1:7" x14ac:dyDescent="0.55000000000000004">
      <c r="A366">
        <v>72</v>
      </c>
      <c r="B366" t="str">
        <f t="shared" si="5"/>
        <v>72_0</v>
      </c>
      <c r="C366" t="s">
        <v>126</v>
      </c>
      <c r="D366" t="s">
        <v>146</v>
      </c>
      <c r="E366" t="s">
        <v>139</v>
      </c>
      <c r="F366">
        <v>0</v>
      </c>
    </row>
    <row r="367" spans="1:7" x14ac:dyDescent="0.55000000000000004">
      <c r="A367">
        <v>72</v>
      </c>
      <c r="B367" t="str">
        <f t="shared" si="5"/>
        <v>72_0</v>
      </c>
      <c r="C367" t="s">
        <v>126</v>
      </c>
      <c r="D367" t="s">
        <v>147</v>
      </c>
      <c r="E367" t="s">
        <v>139</v>
      </c>
      <c r="F367">
        <v>0</v>
      </c>
    </row>
    <row r="368" spans="1:7" x14ac:dyDescent="0.55000000000000004">
      <c r="A368">
        <v>72</v>
      </c>
      <c r="B368" t="str">
        <f t="shared" si="5"/>
        <v>72_0</v>
      </c>
      <c r="C368" t="s">
        <v>126</v>
      </c>
      <c r="D368" t="s">
        <v>148</v>
      </c>
      <c r="E368" t="s">
        <v>139</v>
      </c>
      <c r="F368">
        <v>100</v>
      </c>
    </row>
    <row r="369" spans="1:6" x14ac:dyDescent="0.55000000000000004">
      <c r="A369">
        <v>72</v>
      </c>
      <c r="B369" t="str">
        <f t="shared" si="5"/>
        <v>72_0</v>
      </c>
      <c r="C369" t="s">
        <v>126</v>
      </c>
      <c r="D369" t="s">
        <v>149</v>
      </c>
      <c r="E369" t="s">
        <v>139</v>
      </c>
      <c r="F369">
        <v>0</v>
      </c>
    </row>
    <row r="370" spans="1:6" x14ac:dyDescent="0.55000000000000004">
      <c r="A370">
        <v>72</v>
      </c>
      <c r="B370" t="str">
        <f t="shared" si="5"/>
        <v>72_0</v>
      </c>
      <c r="C370" t="s">
        <v>126</v>
      </c>
      <c r="D370" t="s">
        <v>150</v>
      </c>
      <c r="E370" t="s">
        <v>139</v>
      </c>
      <c r="F370">
        <v>0</v>
      </c>
    </row>
    <row r="371" spans="1:6" x14ac:dyDescent="0.55000000000000004">
      <c r="A371">
        <v>72</v>
      </c>
      <c r="B371" t="str">
        <f t="shared" si="5"/>
        <v>72_0</v>
      </c>
      <c r="C371" t="s">
        <v>126</v>
      </c>
      <c r="D371" t="s">
        <v>151</v>
      </c>
      <c r="E371" t="s">
        <v>139</v>
      </c>
      <c r="F371">
        <v>0</v>
      </c>
    </row>
    <row r="372" spans="1:6" x14ac:dyDescent="0.55000000000000004">
      <c r="A372">
        <v>72</v>
      </c>
      <c r="B372" t="str">
        <f t="shared" si="5"/>
        <v>72_0</v>
      </c>
      <c r="C372" t="s">
        <v>126</v>
      </c>
      <c r="D372" t="s">
        <v>152</v>
      </c>
      <c r="E372" t="s">
        <v>153</v>
      </c>
    </row>
    <row r="373" spans="1:6" x14ac:dyDescent="0.55000000000000004">
      <c r="A373">
        <v>72</v>
      </c>
      <c r="B373" t="str">
        <f t="shared" si="5"/>
        <v>72_0</v>
      </c>
      <c r="C373" t="s">
        <v>154</v>
      </c>
      <c r="D373" t="s">
        <v>155</v>
      </c>
      <c r="E373" t="s">
        <v>156</v>
      </c>
      <c r="F373">
        <v>23.4</v>
      </c>
    </row>
    <row r="374" spans="1:6" x14ac:dyDescent="0.55000000000000004">
      <c r="A374">
        <v>72</v>
      </c>
      <c r="B374" t="str">
        <f t="shared" si="5"/>
        <v>72_0</v>
      </c>
      <c r="C374" t="s">
        <v>154</v>
      </c>
      <c r="D374" t="s">
        <v>157</v>
      </c>
      <c r="E374" t="s">
        <v>158</v>
      </c>
      <c r="F374">
        <v>10.19</v>
      </c>
    </row>
    <row r="375" spans="1:6" x14ac:dyDescent="0.55000000000000004">
      <c r="A375">
        <v>72</v>
      </c>
      <c r="B375" t="str">
        <f t="shared" si="5"/>
        <v>72_0</v>
      </c>
      <c r="C375" t="s">
        <v>154</v>
      </c>
      <c r="D375" t="s">
        <v>159</v>
      </c>
      <c r="E375" t="s">
        <v>139</v>
      </c>
      <c r="F375">
        <v>119.6</v>
      </c>
    </row>
    <row r="376" spans="1:6" x14ac:dyDescent="0.55000000000000004">
      <c r="A376">
        <v>72</v>
      </c>
      <c r="B376" t="str">
        <f t="shared" si="5"/>
        <v>72_0</v>
      </c>
      <c r="C376" t="s">
        <v>154</v>
      </c>
      <c r="D376" t="s">
        <v>160</v>
      </c>
      <c r="E376" t="s">
        <v>161</v>
      </c>
      <c r="F376">
        <v>176.7</v>
      </c>
    </row>
    <row r="377" spans="1:6" x14ac:dyDescent="0.55000000000000004">
      <c r="A377">
        <v>72</v>
      </c>
      <c r="B377" t="str">
        <f t="shared" si="5"/>
        <v>72_0</v>
      </c>
      <c r="C377" t="s">
        <v>154</v>
      </c>
      <c r="D377" t="s">
        <v>162</v>
      </c>
      <c r="F377">
        <v>7.19</v>
      </c>
    </row>
    <row r="378" spans="1:6" x14ac:dyDescent="0.55000000000000004">
      <c r="A378">
        <v>72</v>
      </c>
      <c r="B378" t="str">
        <f t="shared" si="5"/>
        <v>72_0</v>
      </c>
      <c r="C378" t="s">
        <v>163</v>
      </c>
      <c r="D378" t="s">
        <v>164</v>
      </c>
      <c r="E378" t="s">
        <v>139</v>
      </c>
      <c r="F378">
        <v>0</v>
      </c>
    </row>
    <row r="379" spans="1:6" x14ac:dyDescent="0.55000000000000004">
      <c r="A379">
        <v>72</v>
      </c>
      <c r="B379" t="str">
        <f t="shared" si="5"/>
        <v>72_0</v>
      </c>
      <c r="C379" t="s">
        <v>163</v>
      </c>
      <c r="D379" t="s">
        <v>165</v>
      </c>
    </row>
    <row r="380" spans="1:6" x14ac:dyDescent="0.55000000000000004">
      <c r="A380">
        <v>72</v>
      </c>
      <c r="B380" t="str">
        <f t="shared" si="5"/>
        <v>72_0</v>
      </c>
      <c r="C380" t="s">
        <v>163</v>
      </c>
      <c r="D380" t="s">
        <v>166</v>
      </c>
      <c r="E380" t="s">
        <v>139</v>
      </c>
      <c r="F380">
        <v>0</v>
      </c>
    </row>
    <row r="381" spans="1:6" x14ac:dyDescent="0.55000000000000004">
      <c r="A381">
        <v>72</v>
      </c>
      <c r="B381" t="str">
        <f t="shared" si="5"/>
        <v>72_0</v>
      </c>
      <c r="C381" t="s">
        <v>163</v>
      </c>
      <c r="D381" t="s">
        <v>167</v>
      </c>
    </row>
    <row r="382" spans="1:6" x14ac:dyDescent="0.55000000000000004">
      <c r="A382">
        <v>72</v>
      </c>
      <c r="B382" t="str">
        <f t="shared" si="5"/>
        <v>72_0</v>
      </c>
      <c r="C382" t="s">
        <v>163</v>
      </c>
      <c r="D382" t="s">
        <v>168</v>
      </c>
      <c r="E382" t="s">
        <v>131</v>
      </c>
      <c r="F382">
        <v>0</v>
      </c>
    </row>
    <row r="383" spans="1:6" x14ac:dyDescent="0.55000000000000004">
      <c r="A383">
        <v>72</v>
      </c>
      <c r="B383" t="str">
        <f t="shared" si="5"/>
        <v>72_0</v>
      </c>
      <c r="C383" t="s">
        <v>163</v>
      </c>
      <c r="D383" t="s">
        <v>169</v>
      </c>
    </row>
    <row r="384" spans="1:6" x14ac:dyDescent="0.55000000000000004">
      <c r="A384">
        <v>72</v>
      </c>
      <c r="B384" t="str">
        <f t="shared" si="5"/>
        <v>72_0</v>
      </c>
      <c r="C384" t="s">
        <v>163</v>
      </c>
      <c r="D384" t="s">
        <v>170</v>
      </c>
      <c r="E384" t="s">
        <v>139</v>
      </c>
      <c r="F384">
        <v>4</v>
      </c>
    </row>
    <row r="385" spans="1:7" x14ac:dyDescent="0.55000000000000004">
      <c r="A385">
        <v>72</v>
      </c>
      <c r="B385" t="str">
        <f t="shared" si="5"/>
        <v>72_0</v>
      </c>
      <c r="C385" t="s">
        <v>163</v>
      </c>
      <c r="D385" t="s">
        <v>171</v>
      </c>
    </row>
    <row r="386" spans="1:7" x14ac:dyDescent="0.55000000000000004">
      <c r="A386">
        <v>73</v>
      </c>
      <c r="B386" t="str">
        <f t="shared" si="5"/>
        <v>73_0</v>
      </c>
      <c r="C386" t="s">
        <v>126</v>
      </c>
      <c r="D386" t="s">
        <v>127</v>
      </c>
      <c r="E386" t="s">
        <v>128</v>
      </c>
      <c r="F386" s="1"/>
      <c r="G386" t="s">
        <v>129</v>
      </c>
    </row>
    <row r="387" spans="1:7" x14ac:dyDescent="0.55000000000000004">
      <c r="A387">
        <v>73</v>
      </c>
      <c r="B387" t="str">
        <f t="shared" ref="B387:B450" si="6">A387 &amp; "_0"</f>
        <v>73_0</v>
      </c>
      <c r="C387" t="s">
        <v>126</v>
      </c>
      <c r="D387" s="11" t="s">
        <v>130</v>
      </c>
      <c r="E387" t="s">
        <v>131</v>
      </c>
      <c r="F387">
        <v>1</v>
      </c>
    </row>
    <row r="388" spans="1:7" x14ac:dyDescent="0.55000000000000004">
      <c r="A388">
        <v>73</v>
      </c>
      <c r="B388" t="str">
        <f t="shared" si="6"/>
        <v>73_0</v>
      </c>
      <c r="C388" t="s">
        <v>126</v>
      </c>
      <c r="D388" t="s">
        <v>132</v>
      </c>
      <c r="E388" t="s">
        <v>133</v>
      </c>
    </row>
    <row r="389" spans="1:7" x14ac:dyDescent="0.55000000000000004">
      <c r="A389">
        <v>73</v>
      </c>
      <c r="B389" t="str">
        <f t="shared" si="6"/>
        <v>73_0</v>
      </c>
      <c r="C389" t="s">
        <v>126</v>
      </c>
      <c r="D389" t="s">
        <v>134</v>
      </c>
      <c r="E389" t="s">
        <v>133</v>
      </c>
      <c r="F389">
        <v>0.75</v>
      </c>
    </row>
    <row r="390" spans="1:7" x14ac:dyDescent="0.55000000000000004">
      <c r="A390">
        <v>73</v>
      </c>
      <c r="B390" t="str">
        <f t="shared" si="6"/>
        <v>73_0</v>
      </c>
      <c r="C390" t="s">
        <v>126</v>
      </c>
      <c r="D390" t="s">
        <v>135</v>
      </c>
      <c r="E390" t="s">
        <v>136</v>
      </c>
      <c r="F390">
        <f>F389/10</f>
        <v>7.4999999999999997E-2</v>
      </c>
      <c r="G390" t="s">
        <v>137</v>
      </c>
    </row>
    <row r="391" spans="1:7" x14ac:dyDescent="0.55000000000000004">
      <c r="A391">
        <v>73</v>
      </c>
      <c r="B391" t="str">
        <f t="shared" si="6"/>
        <v>73_0</v>
      </c>
      <c r="C391" t="s">
        <v>126</v>
      </c>
      <c r="D391" s="2" t="s">
        <v>138</v>
      </c>
      <c r="E391" t="s">
        <v>139</v>
      </c>
      <c r="F391">
        <v>100</v>
      </c>
    </row>
    <row r="392" spans="1:7" x14ac:dyDescent="0.55000000000000004">
      <c r="A392">
        <v>73</v>
      </c>
      <c r="B392" t="str">
        <f t="shared" si="6"/>
        <v>73_0</v>
      </c>
      <c r="C392" t="s">
        <v>126</v>
      </c>
      <c r="D392" s="2" t="s">
        <v>140</v>
      </c>
      <c r="F392" t="s">
        <v>172</v>
      </c>
    </row>
    <row r="393" spans="1:7" x14ac:dyDescent="0.55000000000000004">
      <c r="A393">
        <v>73</v>
      </c>
      <c r="B393" t="str">
        <f t="shared" si="6"/>
        <v>73_0</v>
      </c>
      <c r="C393" t="s">
        <v>126</v>
      </c>
      <c r="D393" s="2" t="s">
        <v>141</v>
      </c>
      <c r="E393" t="s">
        <v>139</v>
      </c>
      <c r="F393">
        <v>0</v>
      </c>
    </row>
    <row r="394" spans="1:7" x14ac:dyDescent="0.55000000000000004">
      <c r="A394">
        <v>73</v>
      </c>
      <c r="B394" t="str">
        <f t="shared" si="6"/>
        <v>73_0</v>
      </c>
      <c r="C394" t="s">
        <v>126</v>
      </c>
      <c r="D394" t="s">
        <v>142</v>
      </c>
      <c r="E394" t="s">
        <v>139</v>
      </c>
      <c r="F394">
        <v>0</v>
      </c>
    </row>
    <row r="395" spans="1:7" x14ac:dyDescent="0.55000000000000004">
      <c r="A395">
        <v>73</v>
      </c>
      <c r="B395" t="str">
        <f t="shared" si="6"/>
        <v>73_0</v>
      </c>
      <c r="C395" t="s">
        <v>126</v>
      </c>
      <c r="D395" t="s">
        <v>143</v>
      </c>
      <c r="E395" t="s">
        <v>131</v>
      </c>
      <c r="F395">
        <v>0</v>
      </c>
    </row>
    <row r="396" spans="1:7" x14ac:dyDescent="0.55000000000000004">
      <c r="A396">
        <v>73</v>
      </c>
      <c r="B396" t="str">
        <f t="shared" si="6"/>
        <v>73_0</v>
      </c>
      <c r="C396" t="s">
        <v>126</v>
      </c>
      <c r="D396" t="s">
        <v>144</v>
      </c>
      <c r="E396" t="s">
        <v>139</v>
      </c>
      <c r="F396">
        <v>0</v>
      </c>
    </row>
    <row r="397" spans="1:7" x14ac:dyDescent="0.55000000000000004">
      <c r="A397">
        <v>73</v>
      </c>
      <c r="B397" t="str">
        <f t="shared" si="6"/>
        <v>73_0</v>
      </c>
      <c r="C397" t="s">
        <v>126</v>
      </c>
      <c r="D397" t="s">
        <v>145</v>
      </c>
      <c r="E397" t="s">
        <v>139</v>
      </c>
      <c r="F397">
        <v>0</v>
      </c>
    </row>
    <row r="398" spans="1:7" x14ac:dyDescent="0.55000000000000004">
      <c r="A398">
        <v>73</v>
      </c>
      <c r="B398" t="str">
        <f t="shared" si="6"/>
        <v>73_0</v>
      </c>
      <c r="C398" t="s">
        <v>126</v>
      </c>
      <c r="D398" t="s">
        <v>146</v>
      </c>
      <c r="E398" t="s">
        <v>139</v>
      </c>
      <c r="F398">
        <v>70</v>
      </c>
    </row>
    <row r="399" spans="1:7" x14ac:dyDescent="0.55000000000000004">
      <c r="A399">
        <v>73</v>
      </c>
      <c r="B399" t="str">
        <f t="shared" si="6"/>
        <v>73_0</v>
      </c>
      <c r="C399" t="s">
        <v>126</v>
      </c>
      <c r="D399" t="s">
        <v>147</v>
      </c>
      <c r="E399" t="s">
        <v>139</v>
      </c>
      <c r="F399">
        <v>10</v>
      </c>
    </row>
    <row r="400" spans="1:7" x14ac:dyDescent="0.55000000000000004">
      <c r="A400">
        <v>73</v>
      </c>
      <c r="B400" t="str">
        <f t="shared" si="6"/>
        <v>73_0</v>
      </c>
      <c r="C400" t="s">
        <v>126</v>
      </c>
      <c r="D400" t="s">
        <v>148</v>
      </c>
      <c r="E400" t="s">
        <v>139</v>
      </c>
      <c r="F400">
        <v>20</v>
      </c>
    </row>
    <row r="401" spans="1:6" x14ac:dyDescent="0.55000000000000004">
      <c r="A401">
        <v>73</v>
      </c>
      <c r="B401" t="str">
        <f t="shared" si="6"/>
        <v>73_0</v>
      </c>
      <c r="C401" t="s">
        <v>126</v>
      </c>
      <c r="D401" t="s">
        <v>149</v>
      </c>
      <c r="E401" t="s">
        <v>139</v>
      </c>
      <c r="F401">
        <v>0</v>
      </c>
    </row>
    <row r="402" spans="1:6" x14ac:dyDescent="0.55000000000000004">
      <c r="A402">
        <v>73</v>
      </c>
      <c r="B402" t="str">
        <f t="shared" si="6"/>
        <v>73_0</v>
      </c>
      <c r="C402" t="s">
        <v>126</v>
      </c>
      <c r="D402" t="s">
        <v>150</v>
      </c>
      <c r="E402" t="s">
        <v>139</v>
      </c>
      <c r="F402">
        <v>0</v>
      </c>
    </row>
    <row r="403" spans="1:6" x14ac:dyDescent="0.55000000000000004">
      <c r="A403">
        <v>73</v>
      </c>
      <c r="B403" t="str">
        <f t="shared" si="6"/>
        <v>73_0</v>
      </c>
      <c r="C403" t="s">
        <v>126</v>
      </c>
      <c r="D403" t="s">
        <v>151</v>
      </c>
      <c r="E403" t="s">
        <v>139</v>
      </c>
      <c r="F403">
        <v>0</v>
      </c>
    </row>
    <row r="404" spans="1:6" x14ac:dyDescent="0.55000000000000004">
      <c r="A404">
        <v>73</v>
      </c>
      <c r="B404" t="str">
        <f t="shared" si="6"/>
        <v>73_0</v>
      </c>
      <c r="C404" t="s">
        <v>126</v>
      </c>
      <c r="D404" t="s">
        <v>152</v>
      </c>
      <c r="E404" t="s">
        <v>153</v>
      </c>
      <c r="F404">
        <f>Rock_sizes_Periphyton_biomass!B3</f>
        <v>10.505000000000001</v>
      </c>
    </row>
    <row r="405" spans="1:6" x14ac:dyDescent="0.55000000000000004">
      <c r="A405">
        <v>73</v>
      </c>
      <c r="B405" t="str">
        <f t="shared" si="6"/>
        <v>73_0</v>
      </c>
      <c r="C405" t="s">
        <v>154</v>
      </c>
      <c r="D405" t="s">
        <v>155</v>
      </c>
      <c r="E405" t="s">
        <v>156</v>
      </c>
      <c r="F405">
        <v>20.7</v>
      </c>
    </row>
    <row r="406" spans="1:6" x14ac:dyDescent="0.55000000000000004">
      <c r="A406">
        <v>73</v>
      </c>
      <c r="B406" t="str">
        <f t="shared" si="6"/>
        <v>73_0</v>
      </c>
      <c r="C406" t="s">
        <v>154</v>
      </c>
      <c r="D406" t="s">
        <v>157</v>
      </c>
      <c r="E406" t="s">
        <v>158</v>
      </c>
      <c r="F406">
        <v>10.42</v>
      </c>
    </row>
    <row r="407" spans="1:6" x14ac:dyDescent="0.55000000000000004">
      <c r="A407">
        <v>73</v>
      </c>
      <c r="B407" t="str">
        <f t="shared" si="6"/>
        <v>73_0</v>
      </c>
      <c r="C407" t="s">
        <v>154</v>
      </c>
      <c r="D407" t="s">
        <v>159</v>
      </c>
      <c r="E407" t="s">
        <v>139</v>
      </c>
      <c r="F407">
        <v>116.1</v>
      </c>
    </row>
    <row r="408" spans="1:6" x14ac:dyDescent="0.55000000000000004">
      <c r="A408">
        <v>73</v>
      </c>
      <c r="B408" t="str">
        <f t="shared" si="6"/>
        <v>73_0</v>
      </c>
      <c r="C408" t="s">
        <v>154</v>
      </c>
      <c r="D408" t="s">
        <v>160</v>
      </c>
      <c r="E408" t="s">
        <v>161</v>
      </c>
      <c r="F408">
        <v>144</v>
      </c>
    </row>
    <row r="409" spans="1:6" x14ac:dyDescent="0.55000000000000004">
      <c r="A409">
        <v>73</v>
      </c>
      <c r="B409" t="str">
        <f t="shared" si="6"/>
        <v>73_0</v>
      </c>
      <c r="C409" t="s">
        <v>154</v>
      </c>
      <c r="D409" t="s">
        <v>162</v>
      </c>
      <c r="F409">
        <v>9.01</v>
      </c>
    </row>
    <row r="410" spans="1:6" x14ac:dyDescent="0.55000000000000004">
      <c r="A410">
        <v>73</v>
      </c>
      <c r="B410" t="str">
        <f t="shared" si="6"/>
        <v>73_0</v>
      </c>
      <c r="C410" t="s">
        <v>163</v>
      </c>
      <c r="D410" t="s">
        <v>164</v>
      </c>
      <c r="E410" t="s">
        <v>139</v>
      </c>
      <c r="F410">
        <v>0</v>
      </c>
    </row>
    <row r="411" spans="1:6" x14ac:dyDescent="0.55000000000000004">
      <c r="A411">
        <v>73</v>
      </c>
      <c r="B411" t="str">
        <f t="shared" si="6"/>
        <v>73_0</v>
      </c>
      <c r="C411" t="s">
        <v>163</v>
      </c>
      <c r="D411" t="s">
        <v>165</v>
      </c>
    </row>
    <row r="412" spans="1:6" x14ac:dyDescent="0.55000000000000004">
      <c r="A412">
        <v>73</v>
      </c>
      <c r="B412" t="str">
        <f t="shared" si="6"/>
        <v>73_0</v>
      </c>
      <c r="C412" t="s">
        <v>163</v>
      </c>
      <c r="D412" t="s">
        <v>166</v>
      </c>
      <c r="E412" t="s">
        <v>139</v>
      </c>
      <c r="F412">
        <v>0</v>
      </c>
    </row>
    <row r="413" spans="1:6" x14ac:dyDescent="0.55000000000000004">
      <c r="A413">
        <v>73</v>
      </c>
      <c r="B413" t="str">
        <f t="shared" si="6"/>
        <v>73_0</v>
      </c>
      <c r="C413" t="s">
        <v>163</v>
      </c>
      <c r="D413" t="s">
        <v>167</v>
      </c>
    </row>
    <row r="414" spans="1:6" x14ac:dyDescent="0.55000000000000004">
      <c r="A414">
        <v>73</v>
      </c>
      <c r="B414" t="str">
        <f t="shared" si="6"/>
        <v>73_0</v>
      </c>
      <c r="C414" t="s">
        <v>163</v>
      </c>
      <c r="D414" t="s">
        <v>168</v>
      </c>
      <c r="E414" t="s">
        <v>131</v>
      </c>
      <c r="F414">
        <v>1</v>
      </c>
    </row>
    <row r="415" spans="1:6" x14ac:dyDescent="0.55000000000000004">
      <c r="A415">
        <v>73</v>
      </c>
      <c r="B415" t="str">
        <f t="shared" si="6"/>
        <v>73_0</v>
      </c>
      <c r="C415" t="s">
        <v>163</v>
      </c>
      <c r="D415" t="s">
        <v>169</v>
      </c>
      <c r="F415" t="s">
        <v>173</v>
      </c>
    </row>
    <row r="416" spans="1:6" x14ac:dyDescent="0.55000000000000004">
      <c r="A416">
        <v>73</v>
      </c>
      <c r="B416" t="str">
        <f t="shared" si="6"/>
        <v>73_0</v>
      </c>
      <c r="C416" t="s">
        <v>163</v>
      </c>
      <c r="D416" t="s">
        <v>170</v>
      </c>
      <c r="E416" t="s">
        <v>139</v>
      </c>
      <c r="F416">
        <v>1</v>
      </c>
    </row>
    <row r="417" spans="1:7" x14ac:dyDescent="0.55000000000000004">
      <c r="A417">
        <v>73</v>
      </c>
      <c r="B417" t="str">
        <f t="shared" si="6"/>
        <v>73_0</v>
      </c>
      <c r="C417" t="s">
        <v>163</v>
      </c>
      <c r="D417" t="s">
        <v>171</v>
      </c>
    </row>
    <row r="418" spans="1:7" x14ac:dyDescent="0.55000000000000004">
      <c r="A418">
        <v>74</v>
      </c>
      <c r="B418" t="str">
        <f t="shared" si="6"/>
        <v>74_0</v>
      </c>
      <c r="C418" t="s">
        <v>126</v>
      </c>
      <c r="D418" t="s">
        <v>127</v>
      </c>
      <c r="E418" t="s">
        <v>128</v>
      </c>
      <c r="F418" s="1"/>
      <c r="G418" t="s">
        <v>129</v>
      </c>
    </row>
    <row r="419" spans="1:7" x14ac:dyDescent="0.55000000000000004">
      <c r="A419">
        <v>74</v>
      </c>
      <c r="B419" t="str">
        <f t="shared" si="6"/>
        <v>74_0</v>
      </c>
      <c r="C419" t="s">
        <v>126</v>
      </c>
      <c r="D419" s="11" t="s">
        <v>130</v>
      </c>
      <c r="E419" t="s">
        <v>131</v>
      </c>
      <c r="F419">
        <v>1</v>
      </c>
    </row>
    <row r="420" spans="1:7" x14ac:dyDescent="0.55000000000000004">
      <c r="A420">
        <v>74</v>
      </c>
      <c r="B420" t="str">
        <f t="shared" si="6"/>
        <v>74_0</v>
      </c>
      <c r="C420" t="s">
        <v>126</v>
      </c>
      <c r="D420" t="s">
        <v>132</v>
      </c>
      <c r="E420" t="s">
        <v>133</v>
      </c>
    </row>
    <row r="421" spans="1:7" x14ac:dyDescent="0.55000000000000004">
      <c r="A421">
        <v>74</v>
      </c>
      <c r="B421" t="str">
        <f t="shared" si="6"/>
        <v>74_0</v>
      </c>
      <c r="C421" t="s">
        <v>126</v>
      </c>
      <c r="D421" t="s">
        <v>134</v>
      </c>
      <c r="E421" t="s">
        <v>133</v>
      </c>
      <c r="F421">
        <v>0.7</v>
      </c>
    </row>
    <row r="422" spans="1:7" x14ac:dyDescent="0.55000000000000004">
      <c r="A422">
        <v>74</v>
      </c>
      <c r="B422" t="str">
        <f t="shared" si="6"/>
        <v>74_0</v>
      </c>
      <c r="C422" t="s">
        <v>126</v>
      </c>
      <c r="D422" t="s">
        <v>135</v>
      </c>
      <c r="E422" t="s">
        <v>136</v>
      </c>
      <c r="F422">
        <f>F421/10</f>
        <v>6.9999999999999993E-2</v>
      </c>
      <c r="G422" t="s">
        <v>137</v>
      </c>
    </row>
    <row r="423" spans="1:7" x14ac:dyDescent="0.55000000000000004">
      <c r="A423">
        <v>74</v>
      </c>
      <c r="B423" t="str">
        <f t="shared" si="6"/>
        <v>74_0</v>
      </c>
      <c r="C423" t="s">
        <v>126</v>
      </c>
      <c r="D423" s="2" t="s">
        <v>138</v>
      </c>
      <c r="E423" t="s">
        <v>139</v>
      </c>
      <c r="F423">
        <v>100</v>
      </c>
    </row>
    <row r="424" spans="1:7" x14ac:dyDescent="0.55000000000000004">
      <c r="A424">
        <v>74</v>
      </c>
      <c r="B424" t="str">
        <f t="shared" si="6"/>
        <v>74_0</v>
      </c>
      <c r="C424" t="s">
        <v>126</v>
      </c>
      <c r="D424" s="2" t="s">
        <v>140</v>
      </c>
      <c r="F424" t="s">
        <v>172</v>
      </c>
    </row>
    <row r="425" spans="1:7" x14ac:dyDescent="0.55000000000000004">
      <c r="A425">
        <v>74</v>
      </c>
      <c r="B425" t="str">
        <f t="shared" si="6"/>
        <v>74_0</v>
      </c>
      <c r="C425" t="s">
        <v>126</v>
      </c>
      <c r="D425" s="2" t="s">
        <v>141</v>
      </c>
      <c r="E425" t="s">
        <v>139</v>
      </c>
      <c r="F425">
        <v>100</v>
      </c>
    </row>
    <row r="426" spans="1:7" x14ac:dyDescent="0.55000000000000004">
      <c r="A426">
        <v>74</v>
      </c>
      <c r="B426" t="str">
        <f t="shared" si="6"/>
        <v>74_0</v>
      </c>
      <c r="C426" t="s">
        <v>126</v>
      </c>
      <c r="D426" t="s">
        <v>142</v>
      </c>
      <c r="E426" t="s">
        <v>139</v>
      </c>
      <c r="F426">
        <v>0</v>
      </c>
    </row>
    <row r="427" spans="1:7" x14ac:dyDescent="0.55000000000000004">
      <c r="A427">
        <v>74</v>
      </c>
      <c r="B427" t="str">
        <f t="shared" si="6"/>
        <v>74_0</v>
      </c>
      <c r="C427" t="s">
        <v>126</v>
      </c>
      <c r="D427" t="s">
        <v>143</v>
      </c>
      <c r="E427" t="s">
        <v>131</v>
      </c>
      <c r="F427">
        <v>0</v>
      </c>
    </row>
    <row r="428" spans="1:7" x14ac:dyDescent="0.55000000000000004">
      <c r="A428">
        <v>74</v>
      </c>
      <c r="B428" t="str">
        <f t="shared" si="6"/>
        <v>74_0</v>
      </c>
      <c r="C428" t="s">
        <v>126</v>
      </c>
      <c r="D428" t="s">
        <v>144</v>
      </c>
      <c r="E428" t="s">
        <v>139</v>
      </c>
      <c r="F428">
        <v>0</v>
      </c>
    </row>
    <row r="429" spans="1:7" x14ac:dyDescent="0.55000000000000004">
      <c r="A429">
        <v>74</v>
      </c>
      <c r="B429" t="str">
        <f t="shared" si="6"/>
        <v>74_0</v>
      </c>
      <c r="C429" t="s">
        <v>126</v>
      </c>
      <c r="D429" t="s">
        <v>145</v>
      </c>
      <c r="E429" t="s">
        <v>139</v>
      </c>
      <c r="F429">
        <v>10</v>
      </c>
    </row>
    <row r="430" spans="1:7" x14ac:dyDescent="0.55000000000000004">
      <c r="A430">
        <v>74</v>
      </c>
      <c r="B430" t="str">
        <f t="shared" si="6"/>
        <v>74_0</v>
      </c>
      <c r="C430" t="s">
        <v>126</v>
      </c>
      <c r="D430" t="s">
        <v>146</v>
      </c>
      <c r="E430" t="s">
        <v>139</v>
      </c>
      <c r="F430">
        <v>0</v>
      </c>
    </row>
    <row r="431" spans="1:7" x14ac:dyDescent="0.55000000000000004">
      <c r="A431">
        <v>74</v>
      </c>
      <c r="B431" t="str">
        <f t="shared" si="6"/>
        <v>74_0</v>
      </c>
      <c r="C431" t="s">
        <v>126</v>
      </c>
      <c r="D431" t="s">
        <v>147</v>
      </c>
      <c r="E431" t="s">
        <v>139</v>
      </c>
      <c r="F431">
        <v>0</v>
      </c>
    </row>
    <row r="432" spans="1:7" x14ac:dyDescent="0.55000000000000004">
      <c r="A432">
        <v>74</v>
      </c>
      <c r="B432" t="str">
        <f t="shared" si="6"/>
        <v>74_0</v>
      </c>
      <c r="C432" t="s">
        <v>126</v>
      </c>
      <c r="D432" t="s">
        <v>148</v>
      </c>
      <c r="E432" t="s">
        <v>139</v>
      </c>
      <c r="F432">
        <v>80</v>
      </c>
    </row>
    <row r="433" spans="1:7" x14ac:dyDescent="0.55000000000000004">
      <c r="A433">
        <v>74</v>
      </c>
      <c r="B433" t="str">
        <f t="shared" si="6"/>
        <v>74_0</v>
      </c>
      <c r="C433" t="s">
        <v>126</v>
      </c>
      <c r="D433" t="s">
        <v>149</v>
      </c>
      <c r="E433" t="s">
        <v>139</v>
      </c>
      <c r="F433">
        <v>0</v>
      </c>
    </row>
    <row r="434" spans="1:7" x14ac:dyDescent="0.55000000000000004">
      <c r="A434">
        <v>74</v>
      </c>
      <c r="B434" t="str">
        <f t="shared" si="6"/>
        <v>74_0</v>
      </c>
      <c r="C434" t="s">
        <v>126</v>
      </c>
      <c r="D434" t="s">
        <v>150</v>
      </c>
      <c r="E434" t="s">
        <v>139</v>
      </c>
      <c r="F434">
        <v>0</v>
      </c>
    </row>
    <row r="435" spans="1:7" x14ac:dyDescent="0.55000000000000004">
      <c r="A435">
        <v>74</v>
      </c>
      <c r="B435" t="str">
        <f t="shared" si="6"/>
        <v>74_0</v>
      </c>
      <c r="C435" t="s">
        <v>126</v>
      </c>
      <c r="D435" t="s">
        <v>151</v>
      </c>
      <c r="E435" t="s">
        <v>139</v>
      </c>
      <c r="F435">
        <v>10</v>
      </c>
      <c r="G435" t="s">
        <v>174</v>
      </c>
    </row>
    <row r="436" spans="1:7" x14ac:dyDescent="0.55000000000000004">
      <c r="A436">
        <v>74</v>
      </c>
      <c r="B436" t="str">
        <f t="shared" si="6"/>
        <v>74_0</v>
      </c>
      <c r="C436" t="s">
        <v>126</v>
      </c>
      <c r="D436" t="s">
        <v>152</v>
      </c>
      <c r="E436" t="s">
        <v>153</v>
      </c>
    </row>
    <row r="437" spans="1:7" x14ac:dyDescent="0.55000000000000004">
      <c r="A437">
        <v>74</v>
      </c>
      <c r="B437" t="str">
        <f t="shared" si="6"/>
        <v>74_0</v>
      </c>
      <c r="C437" t="s">
        <v>154</v>
      </c>
      <c r="D437" t="s">
        <v>155</v>
      </c>
      <c r="E437" t="s">
        <v>156</v>
      </c>
      <c r="F437">
        <v>21.5</v>
      </c>
    </row>
    <row r="438" spans="1:7" x14ac:dyDescent="0.55000000000000004">
      <c r="A438">
        <v>74</v>
      </c>
      <c r="B438" t="str">
        <f t="shared" si="6"/>
        <v>74_0</v>
      </c>
      <c r="C438" t="s">
        <v>154</v>
      </c>
      <c r="D438" t="s">
        <v>157</v>
      </c>
      <c r="E438" t="s">
        <v>158</v>
      </c>
      <c r="F438">
        <v>9.89</v>
      </c>
    </row>
    <row r="439" spans="1:7" x14ac:dyDescent="0.55000000000000004">
      <c r="A439">
        <v>74</v>
      </c>
      <c r="B439" t="str">
        <f t="shared" si="6"/>
        <v>74_0</v>
      </c>
      <c r="C439" t="s">
        <v>154</v>
      </c>
      <c r="D439" t="s">
        <v>159</v>
      </c>
      <c r="E439" t="s">
        <v>139</v>
      </c>
      <c r="F439">
        <v>112.1</v>
      </c>
    </row>
    <row r="440" spans="1:7" x14ac:dyDescent="0.55000000000000004">
      <c r="A440">
        <v>74</v>
      </c>
      <c r="B440" t="str">
        <f t="shared" si="6"/>
        <v>74_0</v>
      </c>
      <c r="C440" t="s">
        <v>154</v>
      </c>
      <c r="D440" t="s">
        <v>160</v>
      </c>
      <c r="E440" t="s">
        <v>161</v>
      </c>
      <c r="F440">
        <v>146.9</v>
      </c>
    </row>
    <row r="441" spans="1:7" x14ac:dyDescent="0.55000000000000004">
      <c r="A441">
        <v>74</v>
      </c>
      <c r="B441" t="str">
        <f t="shared" si="6"/>
        <v>74_0</v>
      </c>
      <c r="C441" t="s">
        <v>154</v>
      </c>
      <c r="D441" t="s">
        <v>162</v>
      </c>
      <c r="F441">
        <v>9.02</v>
      </c>
    </row>
    <row r="442" spans="1:7" x14ac:dyDescent="0.55000000000000004">
      <c r="A442">
        <v>74</v>
      </c>
      <c r="B442" t="str">
        <f t="shared" si="6"/>
        <v>74_0</v>
      </c>
      <c r="C442" t="s">
        <v>163</v>
      </c>
      <c r="D442" t="s">
        <v>164</v>
      </c>
      <c r="E442" t="s">
        <v>139</v>
      </c>
      <c r="F442">
        <v>0</v>
      </c>
    </row>
    <row r="443" spans="1:7" x14ac:dyDescent="0.55000000000000004">
      <c r="A443">
        <v>74</v>
      </c>
      <c r="B443" t="str">
        <f t="shared" si="6"/>
        <v>74_0</v>
      </c>
      <c r="C443" t="s">
        <v>163</v>
      </c>
      <c r="D443" t="s">
        <v>165</v>
      </c>
    </row>
    <row r="444" spans="1:7" x14ac:dyDescent="0.55000000000000004">
      <c r="A444">
        <v>74</v>
      </c>
      <c r="B444" t="str">
        <f t="shared" si="6"/>
        <v>74_0</v>
      </c>
      <c r="C444" t="s">
        <v>163</v>
      </c>
      <c r="D444" t="s">
        <v>166</v>
      </c>
      <c r="E444" t="s">
        <v>139</v>
      </c>
      <c r="F444">
        <v>0</v>
      </c>
    </row>
    <row r="445" spans="1:7" x14ac:dyDescent="0.55000000000000004">
      <c r="A445">
        <v>74</v>
      </c>
      <c r="B445" t="str">
        <f t="shared" si="6"/>
        <v>74_0</v>
      </c>
      <c r="C445" t="s">
        <v>163</v>
      </c>
      <c r="D445" t="s">
        <v>167</v>
      </c>
    </row>
    <row r="446" spans="1:7" x14ac:dyDescent="0.55000000000000004">
      <c r="A446">
        <v>74</v>
      </c>
      <c r="B446" t="str">
        <f t="shared" si="6"/>
        <v>74_0</v>
      </c>
      <c r="C446" t="s">
        <v>163</v>
      </c>
      <c r="D446" t="s">
        <v>168</v>
      </c>
      <c r="E446" t="s">
        <v>131</v>
      </c>
      <c r="F446">
        <v>0</v>
      </c>
    </row>
    <row r="447" spans="1:7" x14ac:dyDescent="0.55000000000000004">
      <c r="A447">
        <v>74</v>
      </c>
      <c r="B447" t="str">
        <f t="shared" si="6"/>
        <v>74_0</v>
      </c>
      <c r="C447" t="s">
        <v>163</v>
      </c>
      <c r="D447" t="s">
        <v>169</v>
      </c>
    </row>
    <row r="448" spans="1:7" x14ac:dyDescent="0.55000000000000004">
      <c r="A448">
        <v>74</v>
      </c>
      <c r="B448" t="str">
        <f t="shared" si="6"/>
        <v>74_0</v>
      </c>
      <c r="C448" t="s">
        <v>163</v>
      </c>
      <c r="D448" t="s">
        <v>170</v>
      </c>
      <c r="E448" t="s">
        <v>139</v>
      </c>
      <c r="F448">
        <v>0</v>
      </c>
    </row>
    <row r="449" spans="1:7" x14ac:dyDescent="0.55000000000000004">
      <c r="A449">
        <v>74</v>
      </c>
      <c r="B449" t="str">
        <f t="shared" si="6"/>
        <v>74_0</v>
      </c>
      <c r="C449" t="s">
        <v>163</v>
      </c>
      <c r="D449" t="s">
        <v>171</v>
      </c>
    </row>
    <row r="450" spans="1:7" x14ac:dyDescent="0.55000000000000004">
      <c r="A450">
        <v>75</v>
      </c>
      <c r="B450" t="str">
        <f t="shared" si="6"/>
        <v>75_0</v>
      </c>
      <c r="C450" t="s">
        <v>126</v>
      </c>
      <c r="D450" t="s">
        <v>127</v>
      </c>
      <c r="E450" t="s">
        <v>128</v>
      </c>
      <c r="F450" s="1"/>
      <c r="G450" t="s">
        <v>129</v>
      </c>
    </row>
    <row r="451" spans="1:7" x14ac:dyDescent="0.55000000000000004">
      <c r="A451">
        <v>75</v>
      </c>
      <c r="B451" t="str">
        <f t="shared" ref="B451:B514" si="7">A451 &amp; "_0"</f>
        <v>75_0</v>
      </c>
      <c r="C451" t="s">
        <v>126</v>
      </c>
      <c r="D451" s="11" t="s">
        <v>130</v>
      </c>
      <c r="E451" t="s">
        <v>131</v>
      </c>
      <c r="F451">
        <v>0</v>
      </c>
    </row>
    <row r="452" spans="1:7" x14ac:dyDescent="0.55000000000000004">
      <c r="A452">
        <v>75</v>
      </c>
      <c r="B452" t="str">
        <f t="shared" si="7"/>
        <v>75_0</v>
      </c>
      <c r="C452" t="s">
        <v>126</v>
      </c>
      <c r="D452" t="s">
        <v>132</v>
      </c>
      <c r="E452" t="s">
        <v>133</v>
      </c>
      <c r="F452">
        <v>3.5</v>
      </c>
      <c r="G452" t="s">
        <v>175</v>
      </c>
    </row>
    <row r="453" spans="1:7" x14ac:dyDescent="0.55000000000000004">
      <c r="A453">
        <v>75</v>
      </c>
      <c r="B453" t="str">
        <f t="shared" si="7"/>
        <v>75_0</v>
      </c>
      <c r="C453" t="s">
        <v>126</v>
      </c>
      <c r="D453" t="s">
        <v>134</v>
      </c>
      <c r="E453" t="s">
        <v>133</v>
      </c>
      <c r="F453">
        <v>8</v>
      </c>
    </row>
    <row r="454" spans="1:7" x14ac:dyDescent="0.55000000000000004">
      <c r="A454">
        <v>75</v>
      </c>
      <c r="B454" t="str">
        <f t="shared" si="7"/>
        <v>75_0</v>
      </c>
      <c r="C454" t="s">
        <v>126</v>
      </c>
      <c r="D454" t="s">
        <v>135</v>
      </c>
      <c r="E454" t="s">
        <v>136</v>
      </c>
      <c r="F454">
        <f>F453/10</f>
        <v>0.8</v>
      </c>
      <c r="G454" t="s">
        <v>137</v>
      </c>
    </row>
    <row r="455" spans="1:7" x14ac:dyDescent="0.55000000000000004">
      <c r="A455">
        <v>75</v>
      </c>
      <c r="B455" t="str">
        <f t="shared" si="7"/>
        <v>75_0</v>
      </c>
      <c r="C455" t="s">
        <v>126</v>
      </c>
      <c r="D455" s="2" t="s">
        <v>138</v>
      </c>
      <c r="E455" t="s">
        <v>139</v>
      </c>
      <c r="F455">
        <v>100</v>
      </c>
    </row>
    <row r="456" spans="1:7" x14ac:dyDescent="0.55000000000000004">
      <c r="A456">
        <v>75</v>
      </c>
      <c r="B456" t="str">
        <f t="shared" si="7"/>
        <v>75_0</v>
      </c>
      <c r="C456" t="s">
        <v>126</v>
      </c>
      <c r="D456" s="2" t="s">
        <v>140</v>
      </c>
      <c r="F456" t="s">
        <v>172</v>
      </c>
    </row>
    <row r="457" spans="1:7" x14ac:dyDescent="0.55000000000000004">
      <c r="A457">
        <v>75</v>
      </c>
      <c r="B457" t="str">
        <f t="shared" si="7"/>
        <v>75_0</v>
      </c>
      <c r="C457" t="s">
        <v>126</v>
      </c>
      <c r="D457" s="2" t="s">
        <v>141</v>
      </c>
      <c r="E457" t="s">
        <v>139</v>
      </c>
      <c r="F457">
        <v>100</v>
      </c>
    </row>
    <row r="458" spans="1:7" x14ac:dyDescent="0.55000000000000004">
      <c r="A458">
        <v>75</v>
      </c>
      <c r="B458" t="str">
        <f t="shared" si="7"/>
        <v>75_0</v>
      </c>
      <c r="C458" t="s">
        <v>126</v>
      </c>
      <c r="D458" t="s">
        <v>142</v>
      </c>
      <c r="E458" t="s">
        <v>139</v>
      </c>
      <c r="F458">
        <v>0</v>
      </c>
    </row>
    <row r="459" spans="1:7" x14ac:dyDescent="0.55000000000000004">
      <c r="A459">
        <v>75</v>
      </c>
      <c r="B459" t="str">
        <f t="shared" si="7"/>
        <v>75_0</v>
      </c>
      <c r="C459" t="s">
        <v>126</v>
      </c>
      <c r="D459" t="s">
        <v>143</v>
      </c>
      <c r="E459" t="s">
        <v>131</v>
      </c>
      <c r="F459">
        <v>0</v>
      </c>
    </row>
    <row r="460" spans="1:7" x14ac:dyDescent="0.55000000000000004">
      <c r="A460">
        <v>75</v>
      </c>
      <c r="B460" t="str">
        <f t="shared" si="7"/>
        <v>75_0</v>
      </c>
      <c r="C460" t="s">
        <v>126</v>
      </c>
      <c r="D460" t="s">
        <v>144</v>
      </c>
      <c r="E460" t="s">
        <v>139</v>
      </c>
      <c r="F460">
        <v>100</v>
      </c>
    </row>
    <row r="461" spans="1:7" x14ac:dyDescent="0.55000000000000004">
      <c r="A461">
        <v>75</v>
      </c>
      <c r="B461" t="str">
        <f t="shared" si="7"/>
        <v>75_0</v>
      </c>
      <c r="C461" t="s">
        <v>126</v>
      </c>
      <c r="D461" t="s">
        <v>145</v>
      </c>
      <c r="E461" t="s">
        <v>139</v>
      </c>
      <c r="F461">
        <v>0</v>
      </c>
    </row>
    <row r="462" spans="1:7" x14ac:dyDescent="0.55000000000000004">
      <c r="A462">
        <v>75</v>
      </c>
      <c r="B462" t="str">
        <f t="shared" si="7"/>
        <v>75_0</v>
      </c>
      <c r="C462" t="s">
        <v>126</v>
      </c>
      <c r="D462" t="s">
        <v>146</v>
      </c>
      <c r="E462" t="s">
        <v>139</v>
      </c>
      <c r="F462">
        <v>0</v>
      </c>
    </row>
    <row r="463" spans="1:7" x14ac:dyDescent="0.55000000000000004">
      <c r="A463">
        <v>75</v>
      </c>
      <c r="B463" t="str">
        <f t="shared" si="7"/>
        <v>75_0</v>
      </c>
      <c r="C463" t="s">
        <v>126</v>
      </c>
      <c r="D463" t="s">
        <v>147</v>
      </c>
      <c r="E463" t="s">
        <v>139</v>
      </c>
      <c r="F463">
        <v>0</v>
      </c>
    </row>
    <row r="464" spans="1:7" x14ac:dyDescent="0.55000000000000004">
      <c r="A464">
        <v>75</v>
      </c>
      <c r="B464" t="str">
        <f t="shared" si="7"/>
        <v>75_0</v>
      </c>
      <c r="C464" t="s">
        <v>126</v>
      </c>
      <c r="D464" t="s">
        <v>148</v>
      </c>
      <c r="E464" t="s">
        <v>139</v>
      </c>
      <c r="F464">
        <v>0</v>
      </c>
    </row>
    <row r="465" spans="1:6" x14ac:dyDescent="0.55000000000000004">
      <c r="A465">
        <v>75</v>
      </c>
      <c r="B465" t="str">
        <f t="shared" si="7"/>
        <v>75_0</v>
      </c>
      <c r="C465" t="s">
        <v>126</v>
      </c>
      <c r="D465" t="s">
        <v>149</v>
      </c>
      <c r="E465" t="s">
        <v>139</v>
      </c>
      <c r="F465">
        <v>0</v>
      </c>
    </row>
    <row r="466" spans="1:6" x14ac:dyDescent="0.55000000000000004">
      <c r="A466">
        <v>75</v>
      </c>
      <c r="B466" t="str">
        <f t="shared" si="7"/>
        <v>75_0</v>
      </c>
      <c r="C466" t="s">
        <v>126</v>
      </c>
      <c r="D466" t="s">
        <v>150</v>
      </c>
      <c r="E466" t="s">
        <v>139</v>
      </c>
      <c r="F466">
        <v>0</v>
      </c>
    </row>
    <row r="467" spans="1:6" x14ac:dyDescent="0.55000000000000004">
      <c r="A467">
        <v>75</v>
      </c>
      <c r="B467" t="str">
        <f t="shared" si="7"/>
        <v>75_0</v>
      </c>
      <c r="C467" t="s">
        <v>126</v>
      </c>
      <c r="D467" t="s">
        <v>151</v>
      </c>
      <c r="E467" t="s">
        <v>139</v>
      </c>
      <c r="F467">
        <v>0</v>
      </c>
    </row>
    <row r="468" spans="1:6" x14ac:dyDescent="0.55000000000000004">
      <c r="A468">
        <v>75</v>
      </c>
      <c r="B468" t="str">
        <f t="shared" si="7"/>
        <v>75_0</v>
      </c>
      <c r="C468" t="s">
        <v>126</v>
      </c>
      <c r="D468" t="s">
        <v>152</v>
      </c>
      <c r="E468" t="s">
        <v>153</v>
      </c>
    </row>
    <row r="469" spans="1:6" x14ac:dyDescent="0.55000000000000004">
      <c r="A469">
        <v>75</v>
      </c>
      <c r="B469" t="str">
        <f t="shared" si="7"/>
        <v>75_0</v>
      </c>
      <c r="C469" t="s">
        <v>154</v>
      </c>
      <c r="D469" t="s">
        <v>155</v>
      </c>
      <c r="E469" t="s">
        <v>156</v>
      </c>
      <c r="F469">
        <v>22.3</v>
      </c>
    </row>
    <row r="470" spans="1:6" x14ac:dyDescent="0.55000000000000004">
      <c r="A470">
        <v>75</v>
      </c>
      <c r="B470" t="str">
        <f t="shared" si="7"/>
        <v>75_0</v>
      </c>
      <c r="C470" t="s">
        <v>154</v>
      </c>
      <c r="D470" t="s">
        <v>157</v>
      </c>
      <c r="E470" t="s">
        <v>158</v>
      </c>
      <c r="F470">
        <v>9.74</v>
      </c>
    </row>
    <row r="471" spans="1:6" x14ac:dyDescent="0.55000000000000004">
      <c r="A471">
        <v>75</v>
      </c>
      <c r="B471" t="str">
        <f t="shared" si="7"/>
        <v>75_0</v>
      </c>
      <c r="C471" t="s">
        <v>154</v>
      </c>
      <c r="D471" t="s">
        <v>159</v>
      </c>
      <c r="E471" t="s">
        <v>139</v>
      </c>
      <c r="F471">
        <v>111.6</v>
      </c>
    </row>
    <row r="472" spans="1:6" x14ac:dyDescent="0.55000000000000004">
      <c r="A472">
        <v>75</v>
      </c>
      <c r="B472" t="str">
        <f t="shared" si="7"/>
        <v>75_0</v>
      </c>
      <c r="C472" t="s">
        <v>154</v>
      </c>
      <c r="D472" t="s">
        <v>160</v>
      </c>
      <c r="E472" t="s">
        <v>161</v>
      </c>
      <c r="F472">
        <v>153.4</v>
      </c>
    </row>
    <row r="473" spans="1:6" x14ac:dyDescent="0.55000000000000004">
      <c r="A473">
        <v>75</v>
      </c>
      <c r="B473" t="str">
        <f t="shared" si="7"/>
        <v>75_0</v>
      </c>
      <c r="C473" t="s">
        <v>154</v>
      </c>
      <c r="D473" t="s">
        <v>162</v>
      </c>
      <c r="F473">
        <v>8.08</v>
      </c>
    </row>
    <row r="474" spans="1:6" x14ac:dyDescent="0.55000000000000004">
      <c r="A474">
        <v>75</v>
      </c>
      <c r="B474" t="str">
        <f t="shared" si="7"/>
        <v>75_0</v>
      </c>
      <c r="C474" t="s">
        <v>163</v>
      </c>
      <c r="D474" t="s">
        <v>164</v>
      </c>
      <c r="E474" t="s">
        <v>139</v>
      </c>
      <c r="F474">
        <v>0</v>
      </c>
    </row>
    <row r="475" spans="1:6" x14ac:dyDescent="0.55000000000000004">
      <c r="A475">
        <v>75</v>
      </c>
      <c r="B475" t="str">
        <f t="shared" si="7"/>
        <v>75_0</v>
      </c>
      <c r="C475" t="s">
        <v>163</v>
      </c>
      <c r="D475" t="s">
        <v>165</v>
      </c>
    </row>
    <row r="476" spans="1:6" x14ac:dyDescent="0.55000000000000004">
      <c r="A476">
        <v>75</v>
      </c>
      <c r="B476" t="str">
        <f t="shared" si="7"/>
        <v>75_0</v>
      </c>
      <c r="C476" t="s">
        <v>163</v>
      </c>
      <c r="D476" t="s">
        <v>166</v>
      </c>
      <c r="E476" t="s">
        <v>139</v>
      </c>
      <c r="F476">
        <v>0</v>
      </c>
    </row>
    <row r="477" spans="1:6" x14ac:dyDescent="0.55000000000000004">
      <c r="A477">
        <v>75</v>
      </c>
      <c r="B477" t="str">
        <f t="shared" si="7"/>
        <v>75_0</v>
      </c>
      <c r="C477" t="s">
        <v>163</v>
      </c>
      <c r="D477" t="s">
        <v>167</v>
      </c>
    </row>
    <row r="478" spans="1:6" x14ac:dyDescent="0.55000000000000004">
      <c r="A478">
        <v>75</v>
      </c>
      <c r="B478" t="str">
        <f t="shared" si="7"/>
        <v>75_0</v>
      </c>
      <c r="C478" t="s">
        <v>163</v>
      </c>
      <c r="D478" t="s">
        <v>168</v>
      </c>
      <c r="E478" t="s">
        <v>131</v>
      </c>
      <c r="F478">
        <v>0</v>
      </c>
    </row>
    <row r="479" spans="1:6" x14ac:dyDescent="0.55000000000000004">
      <c r="A479">
        <v>75</v>
      </c>
      <c r="B479" t="str">
        <f t="shared" si="7"/>
        <v>75_0</v>
      </c>
      <c r="C479" t="s">
        <v>163</v>
      </c>
      <c r="D479" t="s">
        <v>169</v>
      </c>
    </row>
    <row r="480" spans="1:6" x14ac:dyDescent="0.55000000000000004">
      <c r="A480">
        <v>75</v>
      </c>
      <c r="B480" t="str">
        <f t="shared" si="7"/>
        <v>75_0</v>
      </c>
      <c r="C480" t="s">
        <v>163</v>
      </c>
      <c r="D480" t="s">
        <v>170</v>
      </c>
      <c r="E480" t="s">
        <v>139</v>
      </c>
      <c r="F480">
        <v>2</v>
      </c>
    </row>
    <row r="481" spans="1:7" x14ac:dyDescent="0.55000000000000004">
      <c r="A481">
        <v>75</v>
      </c>
      <c r="B481" t="str">
        <f t="shared" si="7"/>
        <v>75_0</v>
      </c>
      <c r="C481" t="s">
        <v>163</v>
      </c>
      <c r="D481" t="s">
        <v>171</v>
      </c>
    </row>
    <row r="482" spans="1:7" x14ac:dyDescent="0.55000000000000004">
      <c r="A482">
        <v>76</v>
      </c>
      <c r="B482" t="str">
        <f t="shared" si="7"/>
        <v>76_0</v>
      </c>
      <c r="C482" t="s">
        <v>126</v>
      </c>
      <c r="D482" t="s">
        <v>127</v>
      </c>
      <c r="E482" t="s">
        <v>128</v>
      </c>
      <c r="F482" s="1"/>
      <c r="G482" t="s">
        <v>129</v>
      </c>
    </row>
    <row r="483" spans="1:7" x14ac:dyDescent="0.55000000000000004">
      <c r="A483">
        <v>76</v>
      </c>
      <c r="B483" t="str">
        <f t="shared" si="7"/>
        <v>76_0</v>
      </c>
      <c r="C483" t="s">
        <v>126</v>
      </c>
      <c r="D483" s="11" t="s">
        <v>130</v>
      </c>
      <c r="E483" t="s">
        <v>131</v>
      </c>
      <c r="F483">
        <v>1</v>
      </c>
    </row>
    <row r="484" spans="1:7" x14ac:dyDescent="0.55000000000000004">
      <c r="A484">
        <v>76</v>
      </c>
      <c r="B484" t="str">
        <f t="shared" si="7"/>
        <v>76_0</v>
      </c>
      <c r="C484" t="s">
        <v>126</v>
      </c>
      <c r="D484" t="s">
        <v>132</v>
      </c>
      <c r="E484" t="s">
        <v>133</v>
      </c>
    </row>
    <row r="485" spans="1:7" x14ac:dyDescent="0.55000000000000004">
      <c r="A485">
        <v>76</v>
      </c>
      <c r="B485" t="str">
        <f t="shared" si="7"/>
        <v>76_0</v>
      </c>
      <c r="C485" t="s">
        <v>126</v>
      </c>
      <c r="D485" t="s">
        <v>134</v>
      </c>
      <c r="E485" t="s">
        <v>133</v>
      </c>
      <c r="F485">
        <v>0.6</v>
      </c>
    </row>
    <row r="486" spans="1:7" x14ac:dyDescent="0.55000000000000004">
      <c r="A486">
        <v>76</v>
      </c>
      <c r="B486" t="str">
        <f t="shared" si="7"/>
        <v>76_0</v>
      </c>
      <c r="C486" t="s">
        <v>126</v>
      </c>
      <c r="D486" t="s">
        <v>135</v>
      </c>
      <c r="E486" t="s">
        <v>136</v>
      </c>
      <c r="F486">
        <f>F485/10</f>
        <v>0.06</v>
      </c>
      <c r="G486" t="s">
        <v>137</v>
      </c>
    </row>
    <row r="487" spans="1:7" x14ac:dyDescent="0.55000000000000004">
      <c r="A487">
        <v>76</v>
      </c>
      <c r="B487" t="str">
        <f t="shared" si="7"/>
        <v>76_0</v>
      </c>
      <c r="C487" t="s">
        <v>126</v>
      </c>
      <c r="D487" s="2" t="s">
        <v>138</v>
      </c>
      <c r="E487" t="s">
        <v>139</v>
      </c>
      <c r="F487">
        <v>100</v>
      </c>
    </row>
    <row r="488" spans="1:7" x14ac:dyDescent="0.55000000000000004">
      <c r="A488">
        <v>76</v>
      </c>
      <c r="B488" t="str">
        <f t="shared" si="7"/>
        <v>76_0</v>
      </c>
      <c r="C488" t="s">
        <v>126</v>
      </c>
      <c r="D488" s="2" t="s">
        <v>140</v>
      </c>
      <c r="F488" t="s">
        <v>176</v>
      </c>
    </row>
    <row r="489" spans="1:7" x14ac:dyDescent="0.55000000000000004">
      <c r="A489">
        <v>76</v>
      </c>
      <c r="B489" t="str">
        <f t="shared" si="7"/>
        <v>76_0</v>
      </c>
      <c r="C489" t="s">
        <v>126</v>
      </c>
      <c r="D489" s="2" t="s">
        <v>141</v>
      </c>
      <c r="E489" t="s">
        <v>139</v>
      </c>
      <c r="F489">
        <v>30</v>
      </c>
    </row>
    <row r="490" spans="1:7" x14ac:dyDescent="0.55000000000000004">
      <c r="A490">
        <v>76</v>
      </c>
      <c r="B490" t="str">
        <f t="shared" si="7"/>
        <v>76_0</v>
      </c>
      <c r="C490" t="s">
        <v>126</v>
      </c>
      <c r="D490" t="s">
        <v>142</v>
      </c>
      <c r="E490" t="s">
        <v>139</v>
      </c>
      <c r="F490">
        <v>0</v>
      </c>
    </row>
    <row r="491" spans="1:7" x14ac:dyDescent="0.55000000000000004">
      <c r="A491">
        <v>76</v>
      </c>
      <c r="B491" t="str">
        <f t="shared" si="7"/>
        <v>76_0</v>
      </c>
      <c r="C491" t="s">
        <v>126</v>
      </c>
      <c r="D491" t="s">
        <v>143</v>
      </c>
      <c r="E491" t="s">
        <v>131</v>
      </c>
      <c r="F491">
        <v>0</v>
      </c>
    </row>
    <row r="492" spans="1:7" x14ac:dyDescent="0.55000000000000004">
      <c r="A492">
        <v>76</v>
      </c>
      <c r="B492" t="str">
        <f t="shared" si="7"/>
        <v>76_0</v>
      </c>
      <c r="C492" t="s">
        <v>126</v>
      </c>
      <c r="D492" t="s">
        <v>144</v>
      </c>
      <c r="E492" t="s">
        <v>139</v>
      </c>
      <c r="F492">
        <v>0</v>
      </c>
    </row>
    <row r="493" spans="1:7" x14ac:dyDescent="0.55000000000000004">
      <c r="A493">
        <v>76</v>
      </c>
      <c r="B493" t="str">
        <f t="shared" si="7"/>
        <v>76_0</v>
      </c>
      <c r="C493" t="s">
        <v>126</v>
      </c>
      <c r="D493" t="s">
        <v>145</v>
      </c>
      <c r="E493" t="s">
        <v>139</v>
      </c>
      <c r="F493">
        <v>0</v>
      </c>
    </row>
    <row r="494" spans="1:7" x14ac:dyDescent="0.55000000000000004">
      <c r="A494">
        <v>76</v>
      </c>
      <c r="B494" t="str">
        <f t="shared" si="7"/>
        <v>76_0</v>
      </c>
      <c r="C494" t="s">
        <v>126</v>
      </c>
      <c r="D494" t="s">
        <v>146</v>
      </c>
      <c r="E494" t="s">
        <v>139</v>
      </c>
      <c r="F494">
        <v>0</v>
      </c>
    </row>
    <row r="495" spans="1:7" x14ac:dyDescent="0.55000000000000004">
      <c r="A495">
        <v>76</v>
      </c>
      <c r="B495" t="str">
        <f t="shared" si="7"/>
        <v>76_0</v>
      </c>
      <c r="C495" t="s">
        <v>126</v>
      </c>
      <c r="D495" t="s">
        <v>147</v>
      </c>
      <c r="E495" t="s">
        <v>139</v>
      </c>
      <c r="F495">
        <v>0</v>
      </c>
    </row>
    <row r="496" spans="1:7" x14ac:dyDescent="0.55000000000000004">
      <c r="A496">
        <v>76</v>
      </c>
      <c r="B496" t="str">
        <f t="shared" si="7"/>
        <v>76_0</v>
      </c>
      <c r="C496" t="s">
        <v>126</v>
      </c>
      <c r="D496" t="s">
        <v>148</v>
      </c>
      <c r="E496" t="s">
        <v>139</v>
      </c>
      <c r="F496">
        <v>90</v>
      </c>
    </row>
    <row r="497" spans="1:7" x14ac:dyDescent="0.55000000000000004">
      <c r="A497">
        <v>76</v>
      </c>
      <c r="B497" t="str">
        <f t="shared" si="7"/>
        <v>76_0</v>
      </c>
      <c r="C497" t="s">
        <v>126</v>
      </c>
      <c r="D497" t="s">
        <v>149</v>
      </c>
      <c r="E497" t="s">
        <v>139</v>
      </c>
      <c r="F497">
        <v>0</v>
      </c>
    </row>
    <row r="498" spans="1:7" x14ac:dyDescent="0.55000000000000004">
      <c r="A498">
        <v>76</v>
      </c>
      <c r="B498" t="str">
        <f t="shared" si="7"/>
        <v>76_0</v>
      </c>
      <c r="C498" t="s">
        <v>126</v>
      </c>
      <c r="D498" t="s">
        <v>150</v>
      </c>
      <c r="E498" t="s">
        <v>139</v>
      </c>
      <c r="F498">
        <v>0</v>
      </c>
    </row>
    <row r="499" spans="1:7" x14ac:dyDescent="0.55000000000000004">
      <c r="A499">
        <v>76</v>
      </c>
      <c r="B499" t="str">
        <f t="shared" si="7"/>
        <v>76_0</v>
      </c>
      <c r="C499" t="s">
        <v>126</v>
      </c>
      <c r="D499" t="s">
        <v>151</v>
      </c>
      <c r="E499" t="s">
        <v>139</v>
      </c>
      <c r="F499">
        <v>10</v>
      </c>
      <c r="G499" t="s">
        <v>174</v>
      </c>
    </row>
    <row r="500" spans="1:7" x14ac:dyDescent="0.55000000000000004">
      <c r="A500">
        <v>76</v>
      </c>
      <c r="B500" t="str">
        <f t="shared" si="7"/>
        <v>76_0</v>
      </c>
      <c r="C500" t="s">
        <v>126</v>
      </c>
      <c r="D500" t="s">
        <v>152</v>
      </c>
      <c r="E500" t="s">
        <v>153</v>
      </c>
    </row>
    <row r="501" spans="1:7" x14ac:dyDescent="0.55000000000000004">
      <c r="A501">
        <v>76</v>
      </c>
      <c r="B501" t="str">
        <f t="shared" si="7"/>
        <v>76_0</v>
      </c>
      <c r="C501" t="s">
        <v>154</v>
      </c>
      <c r="D501" t="s">
        <v>155</v>
      </c>
      <c r="E501" t="s">
        <v>156</v>
      </c>
      <c r="F501">
        <v>21.5</v>
      </c>
    </row>
    <row r="502" spans="1:7" x14ac:dyDescent="0.55000000000000004">
      <c r="A502">
        <v>76</v>
      </c>
      <c r="B502" t="str">
        <f t="shared" si="7"/>
        <v>76_0</v>
      </c>
      <c r="C502" t="s">
        <v>154</v>
      </c>
      <c r="D502" t="s">
        <v>157</v>
      </c>
      <c r="E502" t="s">
        <v>158</v>
      </c>
      <c r="F502">
        <v>6.8</v>
      </c>
    </row>
    <row r="503" spans="1:7" x14ac:dyDescent="0.55000000000000004">
      <c r="A503">
        <v>76</v>
      </c>
      <c r="B503" t="str">
        <f t="shared" si="7"/>
        <v>76_0</v>
      </c>
      <c r="C503" t="s">
        <v>154</v>
      </c>
      <c r="D503" t="s">
        <v>159</v>
      </c>
      <c r="E503" t="s">
        <v>139</v>
      </c>
      <c r="F503">
        <v>77.3</v>
      </c>
    </row>
    <row r="504" spans="1:7" x14ac:dyDescent="0.55000000000000004">
      <c r="A504">
        <v>76</v>
      </c>
      <c r="B504" t="str">
        <f t="shared" si="7"/>
        <v>76_0</v>
      </c>
      <c r="C504" t="s">
        <v>154</v>
      </c>
      <c r="D504" t="s">
        <v>160</v>
      </c>
      <c r="E504" t="s">
        <v>161</v>
      </c>
      <c r="F504">
        <v>181.6</v>
      </c>
    </row>
    <row r="505" spans="1:7" x14ac:dyDescent="0.55000000000000004">
      <c r="A505">
        <v>76</v>
      </c>
      <c r="B505" t="str">
        <f t="shared" si="7"/>
        <v>76_0</v>
      </c>
      <c r="C505" t="s">
        <v>154</v>
      </c>
      <c r="D505" t="s">
        <v>162</v>
      </c>
      <c r="F505">
        <v>8.24</v>
      </c>
    </row>
    <row r="506" spans="1:7" x14ac:dyDescent="0.55000000000000004">
      <c r="A506">
        <v>76</v>
      </c>
      <c r="B506" t="str">
        <f t="shared" si="7"/>
        <v>76_0</v>
      </c>
      <c r="C506" t="s">
        <v>163</v>
      </c>
      <c r="D506" t="s">
        <v>164</v>
      </c>
      <c r="E506" t="s">
        <v>139</v>
      </c>
      <c r="F506">
        <v>0</v>
      </c>
    </row>
    <row r="507" spans="1:7" x14ac:dyDescent="0.55000000000000004">
      <c r="A507">
        <v>76</v>
      </c>
      <c r="B507" t="str">
        <f t="shared" si="7"/>
        <v>76_0</v>
      </c>
      <c r="C507" t="s">
        <v>163</v>
      </c>
      <c r="D507" t="s">
        <v>165</v>
      </c>
    </row>
    <row r="508" spans="1:7" x14ac:dyDescent="0.55000000000000004">
      <c r="A508">
        <v>76</v>
      </c>
      <c r="B508" t="str">
        <f t="shared" si="7"/>
        <v>76_0</v>
      </c>
      <c r="C508" t="s">
        <v>163</v>
      </c>
      <c r="D508" t="s">
        <v>166</v>
      </c>
      <c r="E508" t="s">
        <v>139</v>
      </c>
      <c r="F508">
        <v>0</v>
      </c>
    </row>
    <row r="509" spans="1:7" x14ac:dyDescent="0.55000000000000004">
      <c r="A509">
        <v>76</v>
      </c>
      <c r="B509" t="str">
        <f t="shared" si="7"/>
        <v>76_0</v>
      </c>
      <c r="C509" t="s">
        <v>163</v>
      </c>
      <c r="D509" t="s">
        <v>167</v>
      </c>
    </row>
    <row r="510" spans="1:7" x14ac:dyDescent="0.55000000000000004">
      <c r="A510">
        <v>76</v>
      </c>
      <c r="B510" t="str">
        <f t="shared" si="7"/>
        <v>76_0</v>
      </c>
      <c r="C510" t="s">
        <v>163</v>
      </c>
      <c r="D510" t="s">
        <v>168</v>
      </c>
      <c r="E510" t="s">
        <v>131</v>
      </c>
      <c r="F510">
        <v>0</v>
      </c>
    </row>
    <row r="511" spans="1:7" x14ac:dyDescent="0.55000000000000004">
      <c r="A511">
        <v>76</v>
      </c>
      <c r="B511" t="str">
        <f t="shared" si="7"/>
        <v>76_0</v>
      </c>
      <c r="C511" t="s">
        <v>163</v>
      </c>
      <c r="D511" t="s">
        <v>169</v>
      </c>
    </row>
    <row r="512" spans="1:7" x14ac:dyDescent="0.55000000000000004">
      <c r="A512">
        <v>76</v>
      </c>
      <c r="B512" t="str">
        <f t="shared" si="7"/>
        <v>76_0</v>
      </c>
      <c r="C512" t="s">
        <v>163</v>
      </c>
      <c r="D512" t="s">
        <v>170</v>
      </c>
      <c r="E512" t="s">
        <v>139</v>
      </c>
      <c r="F512">
        <v>10</v>
      </c>
    </row>
    <row r="513" spans="1:7" x14ac:dyDescent="0.55000000000000004">
      <c r="A513">
        <v>76</v>
      </c>
      <c r="B513" t="str">
        <f t="shared" si="7"/>
        <v>76_0</v>
      </c>
      <c r="C513" t="s">
        <v>163</v>
      </c>
      <c r="D513" t="s">
        <v>171</v>
      </c>
    </row>
    <row r="514" spans="1:7" x14ac:dyDescent="0.55000000000000004">
      <c r="A514">
        <v>76</v>
      </c>
      <c r="B514" t="str">
        <f t="shared" si="7"/>
        <v>76_0</v>
      </c>
      <c r="C514" t="s">
        <v>126</v>
      </c>
      <c r="D514" t="s">
        <v>127</v>
      </c>
      <c r="E514" t="s">
        <v>128</v>
      </c>
      <c r="F514" s="1"/>
      <c r="G514" t="s">
        <v>129</v>
      </c>
    </row>
    <row r="515" spans="1:7" x14ac:dyDescent="0.55000000000000004">
      <c r="A515">
        <v>77</v>
      </c>
      <c r="B515" t="str">
        <f t="shared" ref="B515:B578" si="8">A515 &amp; "_0"</f>
        <v>77_0</v>
      </c>
      <c r="C515" t="s">
        <v>126</v>
      </c>
      <c r="D515" s="11" t="s">
        <v>130</v>
      </c>
      <c r="E515" t="s">
        <v>131</v>
      </c>
      <c r="F515">
        <v>1</v>
      </c>
    </row>
    <row r="516" spans="1:7" x14ac:dyDescent="0.55000000000000004">
      <c r="A516">
        <v>77</v>
      </c>
      <c r="B516" t="str">
        <f t="shared" si="8"/>
        <v>77_0</v>
      </c>
      <c r="C516" t="s">
        <v>126</v>
      </c>
      <c r="D516" t="s">
        <v>132</v>
      </c>
      <c r="E516" t="s">
        <v>133</v>
      </c>
    </row>
    <row r="517" spans="1:7" x14ac:dyDescent="0.55000000000000004">
      <c r="A517">
        <v>77</v>
      </c>
      <c r="B517" t="str">
        <f t="shared" si="8"/>
        <v>77_0</v>
      </c>
      <c r="C517" t="s">
        <v>126</v>
      </c>
      <c r="D517" t="s">
        <v>134</v>
      </c>
      <c r="E517" t="s">
        <v>133</v>
      </c>
      <c r="F517">
        <v>2</v>
      </c>
    </row>
    <row r="518" spans="1:7" x14ac:dyDescent="0.55000000000000004">
      <c r="A518">
        <v>77</v>
      </c>
      <c r="B518" t="str">
        <f t="shared" si="8"/>
        <v>77_0</v>
      </c>
      <c r="C518" t="s">
        <v>126</v>
      </c>
      <c r="D518" t="s">
        <v>135</v>
      </c>
      <c r="E518" t="s">
        <v>136</v>
      </c>
      <c r="F518">
        <f>F517/10</f>
        <v>0.2</v>
      </c>
      <c r="G518" t="s">
        <v>137</v>
      </c>
    </row>
    <row r="519" spans="1:7" x14ac:dyDescent="0.55000000000000004">
      <c r="A519">
        <v>77</v>
      </c>
      <c r="B519" t="str">
        <f t="shared" si="8"/>
        <v>77_0</v>
      </c>
      <c r="C519" t="s">
        <v>126</v>
      </c>
      <c r="D519" s="2" t="s">
        <v>138</v>
      </c>
      <c r="E519" t="s">
        <v>139</v>
      </c>
      <c r="F519">
        <v>100</v>
      </c>
    </row>
    <row r="520" spans="1:7" x14ac:dyDescent="0.55000000000000004">
      <c r="A520">
        <v>77</v>
      </c>
      <c r="B520" t="str">
        <f t="shared" si="8"/>
        <v>77_0</v>
      </c>
      <c r="C520" t="s">
        <v>126</v>
      </c>
      <c r="D520" s="2" t="s">
        <v>140</v>
      </c>
      <c r="F520" t="s">
        <v>172</v>
      </c>
    </row>
    <row r="521" spans="1:7" x14ac:dyDescent="0.55000000000000004">
      <c r="A521">
        <v>77</v>
      </c>
      <c r="B521" t="str">
        <f t="shared" si="8"/>
        <v>77_0</v>
      </c>
      <c r="C521" t="s">
        <v>126</v>
      </c>
      <c r="D521" s="2" t="s">
        <v>141</v>
      </c>
      <c r="E521" t="s">
        <v>139</v>
      </c>
      <c r="F521">
        <v>100</v>
      </c>
    </row>
    <row r="522" spans="1:7" x14ac:dyDescent="0.55000000000000004">
      <c r="A522">
        <v>77</v>
      </c>
      <c r="B522" t="str">
        <f t="shared" si="8"/>
        <v>77_0</v>
      </c>
      <c r="C522" t="s">
        <v>126</v>
      </c>
      <c r="D522" t="s">
        <v>142</v>
      </c>
      <c r="E522" t="s">
        <v>139</v>
      </c>
      <c r="F522">
        <v>0</v>
      </c>
    </row>
    <row r="523" spans="1:7" x14ac:dyDescent="0.55000000000000004">
      <c r="A523">
        <v>77</v>
      </c>
      <c r="B523" t="str">
        <f t="shared" si="8"/>
        <v>77_0</v>
      </c>
      <c r="C523" t="s">
        <v>126</v>
      </c>
      <c r="D523" t="s">
        <v>143</v>
      </c>
      <c r="E523" t="s">
        <v>131</v>
      </c>
      <c r="F523">
        <v>0</v>
      </c>
    </row>
    <row r="524" spans="1:7" x14ac:dyDescent="0.55000000000000004">
      <c r="A524">
        <v>77</v>
      </c>
      <c r="B524" t="str">
        <f t="shared" si="8"/>
        <v>77_0</v>
      </c>
      <c r="C524" t="s">
        <v>126</v>
      </c>
      <c r="D524" t="s">
        <v>144</v>
      </c>
      <c r="E524" t="s">
        <v>139</v>
      </c>
      <c r="F524">
        <v>0</v>
      </c>
    </row>
    <row r="525" spans="1:7" x14ac:dyDescent="0.55000000000000004">
      <c r="A525">
        <v>77</v>
      </c>
      <c r="B525" t="str">
        <f t="shared" si="8"/>
        <v>77_0</v>
      </c>
      <c r="C525" t="s">
        <v>126</v>
      </c>
      <c r="D525" t="s">
        <v>145</v>
      </c>
      <c r="E525" t="s">
        <v>139</v>
      </c>
      <c r="F525">
        <v>100</v>
      </c>
    </row>
    <row r="526" spans="1:7" x14ac:dyDescent="0.55000000000000004">
      <c r="A526">
        <v>77</v>
      </c>
      <c r="B526" t="str">
        <f t="shared" si="8"/>
        <v>77_0</v>
      </c>
      <c r="C526" t="s">
        <v>126</v>
      </c>
      <c r="D526" t="s">
        <v>146</v>
      </c>
      <c r="E526" t="s">
        <v>139</v>
      </c>
      <c r="F526">
        <v>0</v>
      </c>
    </row>
    <row r="527" spans="1:7" x14ac:dyDescent="0.55000000000000004">
      <c r="A527">
        <v>77</v>
      </c>
      <c r="B527" t="str">
        <f t="shared" si="8"/>
        <v>77_0</v>
      </c>
      <c r="C527" t="s">
        <v>126</v>
      </c>
      <c r="D527" t="s">
        <v>147</v>
      </c>
      <c r="E527" t="s">
        <v>139</v>
      </c>
      <c r="F527">
        <v>0</v>
      </c>
    </row>
    <row r="528" spans="1:7" x14ac:dyDescent="0.55000000000000004">
      <c r="A528">
        <v>77</v>
      </c>
      <c r="B528" t="str">
        <f t="shared" si="8"/>
        <v>77_0</v>
      </c>
      <c r="C528" t="s">
        <v>126</v>
      </c>
      <c r="D528" t="s">
        <v>148</v>
      </c>
      <c r="E528" t="s">
        <v>139</v>
      </c>
      <c r="F528">
        <v>0</v>
      </c>
    </row>
    <row r="529" spans="1:6" x14ac:dyDescent="0.55000000000000004">
      <c r="A529">
        <v>77</v>
      </c>
      <c r="B529" t="str">
        <f t="shared" si="8"/>
        <v>77_0</v>
      </c>
      <c r="C529" t="s">
        <v>126</v>
      </c>
      <c r="D529" t="s">
        <v>149</v>
      </c>
      <c r="E529" t="s">
        <v>139</v>
      </c>
      <c r="F529">
        <v>0</v>
      </c>
    </row>
    <row r="530" spans="1:6" x14ac:dyDescent="0.55000000000000004">
      <c r="A530">
        <v>77</v>
      </c>
      <c r="B530" t="str">
        <f t="shared" si="8"/>
        <v>77_0</v>
      </c>
      <c r="C530" t="s">
        <v>126</v>
      </c>
      <c r="D530" t="s">
        <v>150</v>
      </c>
      <c r="E530" t="s">
        <v>139</v>
      </c>
      <c r="F530">
        <v>0</v>
      </c>
    </row>
    <row r="531" spans="1:6" x14ac:dyDescent="0.55000000000000004">
      <c r="A531">
        <v>77</v>
      </c>
      <c r="B531" t="str">
        <f t="shared" si="8"/>
        <v>77_0</v>
      </c>
      <c r="C531" t="s">
        <v>126</v>
      </c>
      <c r="D531" t="s">
        <v>151</v>
      </c>
      <c r="E531" t="s">
        <v>139</v>
      </c>
      <c r="F531">
        <v>0</v>
      </c>
    </row>
    <row r="532" spans="1:6" x14ac:dyDescent="0.55000000000000004">
      <c r="A532">
        <v>77</v>
      </c>
      <c r="B532" t="str">
        <f t="shared" si="8"/>
        <v>77_0</v>
      </c>
      <c r="C532" t="s">
        <v>126</v>
      </c>
      <c r="D532" t="s">
        <v>152</v>
      </c>
      <c r="E532" t="s">
        <v>153</v>
      </c>
    </row>
    <row r="533" spans="1:6" x14ac:dyDescent="0.55000000000000004">
      <c r="A533">
        <v>77</v>
      </c>
      <c r="B533" t="str">
        <f t="shared" si="8"/>
        <v>77_0</v>
      </c>
      <c r="C533" t="s">
        <v>154</v>
      </c>
      <c r="D533" t="s">
        <v>155</v>
      </c>
      <c r="E533" t="s">
        <v>156</v>
      </c>
      <c r="F533">
        <v>20.6</v>
      </c>
    </row>
    <row r="534" spans="1:6" x14ac:dyDescent="0.55000000000000004">
      <c r="A534">
        <v>77</v>
      </c>
      <c r="B534" t="str">
        <f t="shared" si="8"/>
        <v>77_0</v>
      </c>
      <c r="C534" t="s">
        <v>154</v>
      </c>
      <c r="D534" t="s">
        <v>157</v>
      </c>
      <c r="E534" t="s">
        <v>158</v>
      </c>
      <c r="F534">
        <v>9.77</v>
      </c>
    </row>
    <row r="535" spans="1:6" x14ac:dyDescent="0.55000000000000004">
      <c r="A535">
        <v>77</v>
      </c>
      <c r="B535" t="str">
        <f t="shared" si="8"/>
        <v>77_0</v>
      </c>
      <c r="C535" t="s">
        <v>154</v>
      </c>
      <c r="D535" t="s">
        <v>159</v>
      </c>
      <c r="E535" t="s">
        <v>139</v>
      </c>
      <c r="F535">
        <v>108.6</v>
      </c>
    </row>
    <row r="536" spans="1:6" x14ac:dyDescent="0.55000000000000004">
      <c r="A536">
        <v>77</v>
      </c>
      <c r="B536" t="str">
        <f t="shared" si="8"/>
        <v>77_0</v>
      </c>
      <c r="C536" t="s">
        <v>154</v>
      </c>
      <c r="D536" t="s">
        <v>160</v>
      </c>
      <c r="E536" t="s">
        <v>161</v>
      </c>
      <c r="F536">
        <v>143.19999999999999</v>
      </c>
    </row>
    <row r="537" spans="1:6" x14ac:dyDescent="0.55000000000000004">
      <c r="A537">
        <v>77</v>
      </c>
      <c r="B537" t="str">
        <f t="shared" si="8"/>
        <v>77_0</v>
      </c>
      <c r="C537" t="s">
        <v>154</v>
      </c>
      <c r="D537" t="s">
        <v>162</v>
      </c>
      <c r="F537">
        <v>8.91</v>
      </c>
    </row>
    <row r="538" spans="1:6" x14ac:dyDescent="0.55000000000000004">
      <c r="A538">
        <v>77</v>
      </c>
      <c r="B538" t="str">
        <f t="shared" si="8"/>
        <v>77_0</v>
      </c>
      <c r="C538" t="s">
        <v>163</v>
      </c>
      <c r="D538" t="s">
        <v>164</v>
      </c>
      <c r="E538" t="s">
        <v>139</v>
      </c>
      <c r="F538">
        <v>0</v>
      </c>
    </row>
    <row r="539" spans="1:6" x14ac:dyDescent="0.55000000000000004">
      <c r="A539">
        <v>77</v>
      </c>
      <c r="B539" t="str">
        <f t="shared" si="8"/>
        <v>77_0</v>
      </c>
      <c r="C539" t="s">
        <v>163</v>
      </c>
      <c r="D539" t="s">
        <v>165</v>
      </c>
    </row>
    <row r="540" spans="1:6" x14ac:dyDescent="0.55000000000000004">
      <c r="A540">
        <v>77</v>
      </c>
      <c r="B540" t="str">
        <f t="shared" si="8"/>
        <v>77_0</v>
      </c>
      <c r="C540" t="s">
        <v>163</v>
      </c>
      <c r="D540" t="s">
        <v>166</v>
      </c>
      <c r="E540" t="s">
        <v>139</v>
      </c>
      <c r="F540">
        <v>0</v>
      </c>
    </row>
    <row r="541" spans="1:6" x14ac:dyDescent="0.55000000000000004">
      <c r="A541">
        <v>77</v>
      </c>
      <c r="B541" t="str">
        <f t="shared" si="8"/>
        <v>77_0</v>
      </c>
      <c r="C541" t="s">
        <v>163</v>
      </c>
      <c r="D541" t="s">
        <v>167</v>
      </c>
    </row>
    <row r="542" spans="1:6" x14ac:dyDescent="0.55000000000000004">
      <c r="A542">
        <v>77</v>
      </c>
      <c r="B542" t="str">
        <f t="shared" si="8"/>
        <v>77_0</v>
      </c>
      <c r="C542" t="s">
        <v>163</v>
      </c>
      <c r="D542" t="s">
        <v>168</v>
      </c>
      <c r="E542" t="s">
        <v>131</v>
      </c>
      <c r="F542">
        <v>0</v>
      </c>
    </row>
    <row r="543" spans="1:6" x14ac:dyDescent="0.55000000000000004">
      <c r="A543">
        <v>77</v>
      </c>
      <c r="B543" t="str">
        <f t="shared" si="8"/>
        <v>77_0</v>
      </c>
      <c r="C543" t="s">
        <v>163</v>
      </c>
      <c r="D543" t="s">
        <v>169</v>
      </c>
    </row>
    <row r="544" spans="1:6" x14ac:dyDescent="0.55000000000000004">
      <c r="A544">
        <v>77</v>
      </c>
      <c r="B544" t="str">
        <f t="shared" si="8"/>
        <v>77_0</v>
      </c>
      <c r="C544" t="s">
        <v>163</v>
      </c>
      <c r="D544" t="s">
        <v>170</v>
      </c>
      <c r="E544" t="s">
        <v>139</v>
      </c>
      <c r="F544">
        <v>0</v>
      </c>
    </row>
    <row r="545" spans="1:7" x14ac:dyDescent="0.55000000000000004">
      <c r="A545">
        <v>77</v>
      </c>
      <c r="B545" t="str">
        <f t="shared" si="8"/>
        <v>77_0</v>
      </c>
      <c r="C545" t="s">
        <v>163</v>
      </c>
      <c r="D545" t="s">
        <v>171</v>
      </c>
    </row>
    <row r="546" spans="1:7" x14ac:dyDescent="0.55000000000000004">
      <c r="A546">
        <v>78</v>
      </c>
      <c r="B546" t="str">
        <f t="shared" si="8"/>
        <v>78_0</v>
      </c>
      <c r="C546" t="s">
        <v>126</v>
      </c>
      <c r="D546" t="s">
        <v>127</v>
      </c>
      <c r="E546" t="s">
        <v>128</v>
      </c>
      <c r="F546" s="1"/>
      <c r="G546" t="s">
        <v>129</v>
      </c>
    </row>
    <row r="547" spans="1:7" x14ac:dyDescent="0.55000000000000004">
      <c r="A547">
        <v>78</v>
      </c>
      <c r="B547" t="str">
        <f t="shared" si="8"/>
        <v>78_0</v>
      </c>
      <c r="C547" t="s">
        <v>126</v>
      </c>
      <c r="D547" s="11" t="s">
        <v>130</v>
      </c>
      <c r="E547" t="s">
        <v>131</v>
      </c>
      <c r="F547">
        <v>1</v>
      </c>
    </row>
    <row r="548" spans="1:7" x14ac:dyDescent="0.55000000000000004">
      <c r="A548">
        <v>78</v>
      </c>
      <c r="B548" t="str">
        <f t="shared" si="8"/>
        <v>78_0</v>
      </c>
      <c r="C548" t="s">
        <v>126</v>
      </c>
      <c r="D548" t="s">
        <v>132</v>
      </c>
      <c r="E548" t="s">
        <v>133</v>
      </c>
    </row>
    <row r="549" spans="1:7" x14ac:dyDescent="0.55000000000000004">
      <c r="A549">
        <v>78</v>
      </c>
      <c r="B549" t="str">
        <f t="shared" si="8"/>
        <v>78_0</v>
      </c>
      <c r="C549" t="s">
        <v>126</v>
      </c>
      <c r="D549" t="s">
        <v>134</v>
      </c>
      <c r="E549" t="s">
        <v>133</v>
      </c>
      <c r="F549">
        <v>0.6</v>
      </c>
    </row>
    <row r="550" spans="1:7" x14ac:dyDescent="0.55000000000000004">
      <c r="A550">
        <v>78</v>
      </c>
      <c r="B550" t="str">
        <f t="shared" si="8"/>
        <v>78_0</v>
      </c>
      <c r="C550" t="s">
        <v>126</v>
      </c>
      <c r="D550" t="s">
        <v>135</v>
      </c>
      <c r="E550" t="s">
        <v>136</v>
      </c>
      <c r="F550">
        <f>F549/10</f>
        <v>0.06</v>
      </c>
      <c r="G550" t="s">
        <v>137</v>
      </c>
    </row>
    <row r="551" spans="1:7" x14ac:dyDescent="0.55000000000000004">
      <c r="A551">
        <v>78</v>
      </c>
      <c r="B551" t="str">
        <f t="shared" si="8"/>
        <v>78_0</v>
      </c>
      <c r="C551" t="s">
        <v>126</v>
      </c>
      <c r="D551" s="2" t="s">
        <v>138</v>
      </c>
      <c r="E551" t="s">
        <v>139</v>
      </c>
      <c r="F551">
        <v>100</v>
      </c>
    </row>
    <row r="552" spans="1:7" x14ac:dyDescent="0.55000000000000004">
      <c r="A552">
        <v>78</v>
      </c>
      <c r="B552" t="str">
        <f t="shared" si="8"/>
        <v>78_0</v>
      </c>
      <c r="C552" t="s">
        <v>126</v>
      </c>
      <c r="D552" s="2" t="s">
        <v>140</v>
      </c>
      <c r="F552" t="s">
        <v>178</v>
      </c>
    </row>
    <row r="553" spans="1:7" x14ac:dyDescent="0.55000000000000004">
      <c r="A553">
        <v>78</v>
      </c>
      <c r="B553" t="str">
        <f t="shared" si="8"/>
        <v>78_0</v>
      </c>
      <c r="C553" t="s">
        <v>126</v>
      </c>
      <c r="D553" s="2" t="s">
        <v>141</v>
      </c>
      <c r="E553" t="s">
        <v>139</v>
      </c>
      <c r="F553">
        <v>0</v>
      </c>
    </row>
    <row r="554" spans="1:7" x14ac:dyDescent="0.55000000000000004">
      <c r="A554">
        <v>78</v>
      </c>
      <c r="B554" t="str">
        <f t="shared" si="8"/>
        <v>78_0</v>
      </c>
      <c r="C554" t="s">
        <v>126</v>
      </c>
      <c r="D554" t="s">
        <v>142</v>
      </c>
      <c r="E554" t="s">
        <v>139</v>
      </c>
      <c r="F554">
        <v>0</v>
      </c>
    </row>
    <row r="555" spans="1:7" x14ac:dyDescent="0.55000000000000004">
      <c r="A555">
        <v>78</v>
      </c>
      <c r="B555" t="str">
        <f t="shared" si="8"/>
        <v>78_0</v>
      </c>
      <c r="C555" t="s">
        <v>126</v>
      </c>
      <c r="D555" t="s">
        <v>143</v>
      </c>
      <c r="E555" t="s">
        <v>131</v>
      </c>
      <c r="F555">
        <v>1</v>
      </c>
      <c r="G555" t="s">
        <v>179</v>
      </c>
    </row>
    <row r="556" spans="1:7" x14ac:dyDescent="0.55000000000000004">
      <c r="A556">
        <v>78</v>
      </c>
      <c r="B556" t="str">
        <f t="shared" si="8"/>
        <v>78_0</v>
      </c>
      <c r="C556" t="s">
        <v>126</v>
      </c>
      <c r="D556" t="s">
        <v>144</v>
      </c>
      <c r="E556" t="s">
        <v>139</v>
      </c>
      <c r="F556">
        <v>0</v>
      </c>
    </row>
    <row r="557" spans="1:7" x14ac:dyDescent="0.55000000000000004">
      <c r="A557">
        <v>78</v>
      </c>
      <c r="B557" t="str">
        <f t="shared" si="8"/>
        <v>78_0</v>
      </c>
      <c r="C557" t="s">
        <v>126</v>
      </c>
      <c r="D557" t="s">
        <v>145</v>
      </c>
      <c r="E557" t="s">
        <v>139</v>
      </c>
      <c r="F557">
        <v>0</v>
      </c>
    </row>
    <row r="558" spans="1:7" x14ac:dyDescent="0.55000000000000004">
      <c r="A558">
        <v>78</v>
      </c>
      <c r="B558" t="str">
        <f t="shared" si="8"/>
        <v>78_0</v>
      </c>
      <c r="C558" t="s">
        <v>126</v>
      </c>
      <c r="D558" t="s">
        <v>146</v>
      </c>
      <c r="E558" t="s">
        <v>139</v>
      </c>
      <c r="F558">
        <v>0</v>
      </c>
    </row>
    <row r="559" spans="1:7" x14ac:dyDescent="0.55000000000000004">
      <c r="A559">
        <v>78</v>
      </c>
      <c r="B559" t="str">
        <f t="shared" si="8"/>
        <v>78_0</v>
      </c>
      <c r="C559" t="s">
        <v>126</v>
      </c>
      <c r="D559" t="s">
        <v>147</v>
      </c>
      <c r="E559" t="s">
        <v>139</v>
      </c>
      <c r="F559">
        <v>10</v>
      </c>
    </row>
    <row r="560" spans="1:7" x14ac:dyDescent="0.55000000000000004">
      <c r="A560">
        <v>78</v>
      </c>
      <c r="B560" t="str">
        <f t="shared" si="8"/>
        <v>78_0</v>
      </c>
      <c r="C560" t="s">
        <v>126</v>
      </c>
      <c r="D560" t="s">
        <v>148</v>
      </c>
      <c r="E560" t="s">
        <v>139</v>
      </c>
      <c r="F560">
        <v>90</v>
      </c>
    </row>
    <row r="561" spans="1:6" x14ac:dyDescent="0.55000000000000004">
      <c r="A561">
        <v>78</v>
      </c>
      <c r="B561" t="str">
        <f t="shared" si="8"/>
        <v>78_0</v>
      </c>
      <c r="C561" t="s">
        <v>126</v>
      </c>
      <c r="D561" t="s">
        <v>149</v>
      </c>
      <c r="E561" t="s">
        <v>139</v>
      </c>
      <c r="F561">
        <v>0</v>
      </c>
    </row>
    <row r="562" spans="1:6" x14ac:dyDescent="0.55000000000000004">
      <c r="A562">
        <v>78</v>
      </c>
      <c r="B562" t="str">
        <f t="shared" si="8"/>
        <v>78_0</v>
      </c>
      <c r="C562" t="s">
        <v>126</v>
      </c>
      <c r="D562" t="s">
        <v>150</v>
      </c>
      <c r="E562" t="s">
        <v>139</v>
      </c>
      <c r="F562">
        <v>0</v>
      </c>
    </row>
    <row r="563" spans="1:6" x14ac:dyDescent="0.55000000000000004">
      <c r="A563">
        <v>78</v>
      </c>
      <c r="B563" t="str">
        <f t="shared" si="8"/>
        <v>78_0</v>
      </c>
      <c r="C563" t="s">
        <v>126</v>
      </c>
      <c r="D563" t="s">
        <v>151</v>
      </c>
      <c r="E563" t="s">
        <v>139</v>
      </c>
      <c r="F563">
        <v>0</v>
      </c>
    </row>
    <row r="564" spans="1:6" x14ac:dyDescent="0.55000000000000004">
      <c r="A564">
        <v>78</v>
      </c>
      <c r="B564" t="str">
        <f t="shared" si="8"/>
        <v>78_0</v>
      </c>
      <c r="C564" t="s">
        <v>126</v>
      </c>
      <c r="D564" t="s">
        <v>152</v>
      </c>
      <c r="E564" t="s">
        <v>153</v>
      </c>
    </row>
    <row r="565" spans="1:6" x14ac:dyDescent="0.55000000000000004">
      <c r="A565">
        <v>78</v>
      </c>
      <c r="B565" t="str">
        <f t="shared" si="8"/>
        <v>78_0</v>
      </c>
      <c r="C565" t="s">
        <v>154</v>
      </c>
      <c r="D565" t="s">
        <v>155</v>
      </c>
      <c r="E565" t="s">
        <v>156</v>
      </c>
      <c r="F565">
        <v>23.8</v>
      </c>
    </row>
    <row r="566" spans="1:6" x14ac:dyDescent="0.55000000000000004">
      <c r="A566">
        <v>78</v>
      </c>
      <c r="B566" t="str">
        <f t="shared" si="8"/>
        <v>78_0</v>
      </c>
      <c r="C566" t="s">
        <v>154</v>
      </c>
      <c r="D566" t="s">
        <v>157</v>
      </c>
      <c r="E566" t="s">
        <v>158</v>
      </c>
      <c r="F566">
        <v>10.47</v>
      </c>
    </row>
    <row r="567" spans="1:6" x14ac:dyDescent="0.55000000000000004">
      <c r="A567">
        <v>78</v>
      </c>
      <c r="B567" t="str">
        <f t="shared" si="8"/>
        <v>78_0</v>
      </c>
      <c r="C567" t="s">
        <v>154</v>
      </c>
      <c r="D567" t="s">
        <v>159</v>
      </c>
      <c r="E567" t="s">
        <v>139</v>
      </c>
      <c r="F567">
        <v>124.1</v>
      </c>
    </row>
    <row r="568" spans="1:6" x14ac:dyDescent="0.55000000000000004">
      <c r="A568">
        <v>78</v>
      </c>
      <c r="B568" t="str">
        <f t="shared" si="8"/>
        <v>78_0</v>
      </c>
      <c r="C568" t="s">
        <v>154</v>
      </c>
      <c r="D568" t="s">
        <v>160</v>
      </c>
      <c r="E568" t="s">
        <v>161</v>
      </c>
      <c r="F568">
        <v>158.6</v>
      </c>
    </row>
    <row r="569" spans="1:6" x14ac:dyDescent="0.55000000000000004">
      <c r="A569">
        <v>78</v>
      </c>
      <c r="B569" t="str">
        <f t="shared" si="8"/>
        <v>78_0</v>
      </c>
      <c r="C569" t="s">
        <v>154</v>
      </c>
      <c r="D569" t="s">
        <v>162</v>
      </c>
      <c r="F569">
        <v>8.43</v>
      </c>
    </row>
    <row r="570" spans="1:6" x14ac:dyDescent="0.55000000000000004">
      <c r="A570">
        <v>78</v>
      </c>
      <c r="B570" t="str">
        <f t="shared" si="8"/>
        <v>78_0</v>
      </c>
      <c r="C570" t="s">
        <v>163</v>
      </c>
      <c r="D570" t="s">
        <v>164</v>
      </c>
      <c r="E570" t="s">
        <v>139</v>
      </c>
      <c r="F570">
        <v>0</v>
      </c>
    </row>
    <row r="571" spans="1:6" x14ac:dyDescent="0.55000000000000004">
      <c r="A571">
        <v>78</v>
      </c>
      <c r="B571" t="str">
        <f t="shared" si="8"/>
        <v>78_0</v>
      </c>
      <c r="C571" t="s">
        <v>163</v>
      </c>
      <c r="D571" t="s">
        <v>165</v>
      </c>
    </row>
    <row r="572" spans="1:6" x14ac:dyDescent="0.55000000000000004">
      <c r="A572">
        <v>78</v>
      </c>
      <c r="B572" t="str">
        <f t="shared" si="8"/>
        <v>78_0</v>
      </c>
      <c r="C572" t="s">
        <v>163</v>
      </c>
      <c r="D572" t="s">
        <v>166</v>
      </c>
      <c r="E572" t="s">
        <v>139</v>
      </c>
      <c r="F572">
        <v>0</v>
      </c>
    </row>
    <row r="573" spans="1:6" x14ac:dyDescent="0.55000000000000004">
      <c r="A573">
        <v>78</v>
      </c>
      <c r="B573" t="str">
        <f t="shared" si="8"/>
        <v>78_0</v>
      </c>
      <c r="C573" t="s">
        <v>163</v>
      </c>
      <c r="D573" t="s">
        <v>167</v>
      </c>
    </row>
    <row r="574" spans="1:6" x14ac:dyDescent="0.55000000000000004">
      <c r="A574">
        <v>78</v>
      </c>
      <c r="B574" t="str">
        <f t="shared" si="8"/>
        <v>78_0</v>
      </c>
      <c r="C574" t="s">
        <v>163</v>
      </c>
      <c r="D574" t="s">
        <v>168</v>
      </c>
      <c r="E574" t="s">
        <v>131</v>
      </c>
      <c r="F574">
        <v>0</v>
      </c>
    </row>
    <row r="575" spans="1:6" x14ac:dyDescent="0.55000000000000004">
      <c r="A575">
        <v>78</v>
      </c>
      <c r="B575" t="str">
        <f t="shared" si="8"/>
        <v>78_0</v>
      </c>
      <c r="C575" t="s">
        <v>163</v>
      </c>
      <c r="D575" t="s">
        <v>169</v>
      </c>
    </row>
    <row r="576" spans="1:6" x14ac:dyDescent="0.55000000000000004">
      <c r="A576">
        <v>78</v>
      </c>
      <c r="B576" t="str">
        <f t="shared" si="8"/>
        <v>78_0</v>
      </c>
      <c r="C576" t="s">
        <v>163</v>
      </c>
      <c r="D576" t="s">
        <v>170</v>
      </c>
      <c r="E576" t="s">
        <v>139</v>
      </c>
      <c r="F576">
        <v>0</v>
      </c>
    </row>
    <row r="577" spans="1:7" x14ac:dyDescent="0.55000000000000004">
      <c r="A577">
        <v>78</v>
      </c>
      <c r="B577" t="str">
        <f t="shared" si="8"/>
        <v>78_0</v>
      </c>
      <c r="C577" t="s">
        <v>163</v>
      </c>
      <c r="D577" t="s">
        <v>171</v>
      </c>
    </row>
    <row r="578" spans="1:7" x14ac:dyDescent="0.55000000000000004">
      <c r="A578">
        <v>79</v>
      </c>
      <c r="B578" t="str">
        <f t="shared" si="8"/>
        <v>79_0</v>
      </c>
      <c r="C578" t="s">
        <v>126</v>
      </c>
      <c r="D578" t="s">
        <v>127</v>
      </c>
      <c r="E578" t="s">
        <v>128</v>
      </c>
      <c r="F578" s="1"/>
      <c r="G578" t="s">
        <v>129</v>
      </c>
    </row>
    <row r="579" spans="1:7" x14ac:dyDescent="0.55000000000000004">
      <c r="A579">
        <v>79</v>
      </c>
      <c r="B579" t="str">
        <f t="shared" ref="B579:B642" si="9">A579 &amp; "_0"</f>
        <v>79_0</v>
      </c>
      <c r="C579" t="s">
        <v>126</v>
      </c>
      <c r="D579" s="11" t="s">
        <v>130</v>
      </c>
      <c r="E579" t="s">
        <v>131</v>
      </c>
      <c r="F579">
        <v>1</v>
      </c>
    </row>
    <row r="580" spans="1:7" x14ac:dyDescent="0.55000000000000004">
      <c r="A580">
        <v>79</v>
      </c>
      <c r="B580" t="str">
        <f t="shared" si="9"/>
        <v>79_0</v>
      </c>
      <c r="C580" t="s">
        <v>126</v>
      </c>
      <c r="D580" t="s">
        <v>132</v>
      </c>
      <c r="E580" t="s">
        <v>133</v>
      </c>
    </row>
    <row r="581" spans="1:7" x14ac:dyDescent="0.55000000000000004">
      <c r="A581">
        <v>79</v>
      </c>
      <c r="B581" t="str">
        <f t="shared" si="9"/>
        <v>79_0</v>
      </c>
      <c r="C581" t="s">
        <v>126</v>
      </c>
      <c r="D581" t="s">
        <v>134</v>
      </c>
      <c r="E581" t="s">
        <v>133</v>
      </c>
      <c r="F581">
        <v>1.55</v>
      </c>
    </row>
    <row r="582" spans="1:7" x14ac:dyDescent="0.55000000000000004">
      <c r="A582">
        <v>79</v>
      </c>
      <c r="B582" t="str">
        <f t="shared" si="9"/>
        <v>79_0</v>
      </c>
      <c r="C582" t="s">
        <v>126</v>
      </c>
      <c r="D582" t="s">
        <v>135</v>
      </c>
      <c r="E582" t="s">
        <v>136</v>
      </c>
      <c r="F582">
        <f>F581/10</f>
        <v>0.155</v>
      </c>
      <c r="G582" t="s">
        <v>137</v>
      </c>
    </row>
    <row r="583" spans="1:7" x14ac:dyDescent="0.55000000000000004">
      <c r="A583">
        <v>79</v>
      </c>
      <c r="B583" t="str">
        <f t="shared" si="9"/>
        <v>79_0</v>
      </c>
      <c r="C583" t="s">
        <v>126</v>
      </c>
      <c r="D583" s="2" t="s">
        <v>138</v>
      </c>
      <c r="E583" t="s">
        <v>139</v>
      </c>
      <c r="F583">
        <v>100</v>
      </c>
    </row>
    <row r="584" spans="1:7" x14ac:dyDescent="0.55000000000000004">
      <c r="A584">
        <v>79</v>
      </c>
      <c r="B584" t="str">
        <f t="shared" si="9"/>
        <v>79_0</v>
      </c>
      <c r="C584" t="s">
        <v>126</v>
      </c>
      <c r="D584" s="2" t="s">
        <v>140</v>
      </c>
      <c r="F584" t="s">
        <v>180</v>
      </c>
    </row>
    <row r="585" spans="1:7" x14ac:dyDescent="0.55000000000000004">
      <c r="A585">
        <v>79</v>
      </c>
      <c r="B585" t="str">
        <f t="shared" si="9"/>
        <v>79_0</v>
      </c>
      <c r="C585" t="s">
        <v>126</v>
      </c>
      <c r="D585" s="2" t="s">
        <v>141</v>
      </c>
      <c r="E585" t="s">
        <v>139</v>
      </c>
      <c r="F585">
        <v>20</v>
      </c>
    </row>
    <row r="586" spans="1:7" x14ac:dyDescent="0.55000000000000004">
      <c r="A586">
        <v>79</v>
      </c>
      <c r="B586" t="str">
        <f t="shared" si="9"/>
        <v>79_0</v>
      </c>
      <c r="C586" t="s">
        <v>126</v>
      </c>
      <c r="D586" t="s">
        <v>142</v>
      </c>
      <c r="E586" t="s">
        <v>139</v>
      </c>
      <c r="F586">
        <v>0</v>
      </c>
    </row>
    <row r="587" spans="1:7" x14ac:dyDescent="0.55000000000000004">
      <c r="A587">
        <v>79</v>
      </c>
      <c r="B587" t="str">
        <f t="shared" si="9"/>
        <v>79_0</v>
      </c>
      <c r="C587" t="s">
        <v>126</v>
      </c>
      <c r="D587" t="s">
        <v>143</v>
      </c>
      <c r="E587" t="s">
        <v>131</v>
      </c>
      <c r="F587">
        <v>0</v>
      </c>
    </row>
    <row r="588" spans="1:7" x14ac:dyDescent="0.55000000000000004">
      <c r="A588">
        <v>79</v>
      </c>
      <c r="B588" t="str">
        <f t="shared" si="9"/>
        <v>79_0</v>
      </c>
      <c r="C588" t="s">
        <v>126</v>
      </c>
      <c r="D588" t="s">
        <v>144</v>
      </c>
      <c r="E588" t="s">
        <v>139</v>
      </c>
      <c r="F588">
        <v>0</v>
      </c>
    </row>
    <row r="589" spans="1:7" x14ac:dyDescent="0.55000000000000004">
      <c r="A589">
        <v>79</v>
      </c>
      <c r="B589" t="str">
        <f t="shared" si="9"/>
        <v>79_0</v>
      </c>
      <c r="C589" t="s">
        <v>126</v>
      </c>
      <c r="D589" t="s">
        <v>145</v>
      </c>
      <c r="E589" t="s">
        <v>139</v>
      </c>
      <c r="F589">
        <v>0</v>
      </c>
    </row>
    <row r="590" spans="1:7" x14ac:dyDescent="0.55000000000000004">
      <c r="A590">
        <v>79</v>
      </c>
      <c r="B590" t="str">
        <f t="shared" si="9"/>
        <v>79_0</v>
      </c>
      <c r="C590" t="s">
        <v>126</v>
      </c>
      <c r="D590" t="s">
        <v>146</v>
      </c>
      <c r="E590" t="s">
        <v>139</v>
      </c>
      <c r="F590">
        <v>0</v>
      </c>
    </row>
    <row r="591" spans="1:7" x14ac:dyDescent="0.55000000000000004">
      <c r="A591">
        <v>79</v>
      </c>
      <c r="B591" t="str">
        <f t="shared" si="9"/>
        <v>79_0</v>
      </c>
      <c r="C591" t="s">
        <v>126</v>
      </c>
      <c r="D591" t="s">
        <v>147</v>
      </c>
      <c r="E591" t="s">
        <v>139</v>
      </c>
      <c r="F591">
        <v>0</v>
      </c>
    </row>
    <row r="592" spans="1:7" x14ac:dyDescent="0.55000000000000004">
      <c r="A592">
        <v>79</v>
      </c>
      <c r="B592" t="str">
        <f t="shared" si="9"/>
        <v>79_0</v>
      </c>
      <c r="C592" t="s">
        <v>126</v>
      </c>
      <c r="D592" t="s">
        <v>148</v>
      </c>
      <c r="E592" t="s">
        <v>139</v>
      </c>
      <c r="F592">
        <v>0</v>
      </c>
    </row>
    <row r="593" spans="1:6" x14ac:dyDescent="0.55000000000000004">
      <c r="A593">
        <v>79</v>
      </c>
      <c r="B593" t="str">
        <f t="shared" si="9"/>
        <v>79_0</v>
      </c>
      <c r="C593" t="s">
        <v>126</v>
      </c>
      <c r="D593" t="s">
        <v>149</v>
      </c>
      <c r="E593" t="s">
        <v>139</v>
      </c>
      <c r="F593">
        <v>0</v>
      </c>
    </row>
    <row r="594" spans="1:6" x14ac:dyDescent="0.55000000000000004">
      <c r="A594">
        <v>79</v>
      </c>
      <c r="B594" t="str">
        <f t="shared" si="9"/>
        <v>79_0</v>
      </c>
      <c r="C594" t="s">
        <v>126</v>
      </c>
      <c r="D594" t="s">
        <v>150</v>
      </c>
      <c r="E594" t="s">
        <v>139</v>
      </c>
      <c r="F594">
        <v>100</v>
      </c>
    </row>
    <row r="595" spans="1:6" x14ac:dyDescent="0.55000000000000004">
      <c r="A595">
        <v>79</v>
      </c>
      <c r="B595" t="str">
        <f t="shared" si="9"/>
        <v>79_0</v>
      </c>
      <c r="C595" t="s">
        <v>126</v>
      </c>
      <c r="D595" t="s">
        <v>151</v>
      </c>
      <c r="E595" t="s">
        <v>139</v>
      </c>
      <c r="F595">
        <v>0</v>
      </c>
    </row>
    <row r="596" spans="1:6" x14ac:dyDescent="0.55000000000000004">
      <c r="A596">
        <v>79</v>
      </c>
      <c r="B596" t="str">
        <f t="shared" si="9"/>
        <v>79_0</v>
      </c>
      <c r="C596" t="s">
        <v>126</v>
      </c>
      <c r="D596" t="s">
        <v>152</v>
      </c>
      <c r="E596" t="s">
        <v>153</v>
      </c>
    </row>
    <row r="597" spans="1:6" x14ac:dyDescent="0.55000000000000004">
      <c r="A597">
        <v>79</v>
      </c>
      <c r="B597" t="str">
        <f t="shared" si="9"/>
        <v>79_0</v>
      </c>
      <c r="C597" t="s">
        <v>154</v>
      </c>
      <c r="D597" t="s">
        <v>155</v>
      </c>
      <c r="E597" t="s">
        <v>156</v>
      </c>
      <c r="F597">
        <v>21.6</v>
      </c>
    </row>
    <row r="598" spans="1:6" x14ac:dyDescent="0.55000000000000004">
      <c r="A598">
        <v>79</v>
      </c>
      <c r="B598" t="str">
        <f t="shared" si="9"/>
        <v>79_0</v>
      </c>
      <c r="C598" t="s">
        <v>154</v>
      </c>
      <c r="D598" t="s">
        <v>157</v>
      </c>
      <c r="E598" t="s">
        <v>158</v>
      </c>
      <c r="F598">
        <v>9.1300000000000008</v>
      </c>
    </row>
    <row r="599" spans="1:6" x14ac:dyDescent="0.55000000000000004">
      <c r="A599">
        <v>79</v>
      </c>
      <c r="B599" t="str">
        <f t="shared" si="9"/>
        <v>79_0</v>
      </c>
      <c r="C599" t="s">
        <v>154</v>
      </c>
      <c r="D599" t="s">
        <v>159</v>
      </c>
      <c r="E599" t="s">
        <v>139</v>
      </c>
      <c r="F599">
        <v>103.7</v>
      </c>
    </row>
    <row r="600" spans="1:6" x14ac:dyDescent="0.55000000000000004">
      <c r="A600">
        <v>79</v>
      </c>
      <c r="B600" t="str">
        <f t="shared" si="9"/>
        <v>79_0</v>
      </c>
      <c r="C600" t="s">
        <v>154</v>
      </c>
      <c r="D600" t="s">
        <v>160</v>
      </c>
      <c r="E600" t="s">
        <v>161</v>
      </c>
      <c r="F600">
        <v>146.19999999999999</v>
      </c>
    </row>
    <row r="601" spans="1:6" x14ac:dyDescent="0.55000000000000004">
      <c r="A601">
        <v>79</v>
      </c>
      <c r="B601" t="str">
        <f t="shared" si="9"/>
        <v>79_0</v>
      </c>
      <c r="C601" t="s">
        <v>154</v>
      </c>
      <c r="D601" t="s">
        <v>162</v>
      </c>
      <c r="F601">
        <v>8.6300000000000008</v>
      </c>
    </row>
    <row r="602" spans="1:6" x14ac:dyDescent="0.55000000000000004">
      <c r="A602">
        <v>79</v>
      </c>
      <c r="B602" t="str">
        <f t="shared" si="9"/>
        <v>79_0</v>
      </c>
      <c r="C602" t="s">
        <v>163</v>
      </c>
      <c r="D602" t="s">
        <v>164</v>
      </c>
      <c r="E602" t="s">
        <v>139</v>
      </c>
      <c r="F602">
        <v>10</v>
      </c>
    </row>
    <row r="603" spans="1:6" x14ac:dyDescent="0.55000000000000004">
      <c r="A603">
        <v>79</v>
      </c>
      <c r="B603" t="str">
        <f t="shared" si="9"/>
        <v>79_0</v>
      </c>
      <c r="C603" t="s">
        <v>163</v>
      </c>
      <c r="D603" t="s">
        <v>165</v>
      </c>
      <c r="F603" t="s">
        <v>181</v>
      </c>
    </row>
    <row r="604" spans="1:6" x14ac:dyDescent="0.55000000000000004">
      <c r="A604">
        <v>79</v>
      </c>
      <c r="B604" t="str">
        <f t="shared" si="9"/>
        <v>79_0</v>
      </c>
      <c r="C604" t="s">
        <v>163</v>
      </c>
      <c r="D604" t="s">
        <v>166</v>
      </c>
      <c r="E604" t="s">
        <v>139</v>
      </c>
      <c r="F604">
        <v>0</v>
      </c>
    </row>
    <row r="605" spans="1:6" x14ac:dyDescent="0.55000000000000004">
      <c r="A605">
        <v>79</v>
      </c>
      <c r="B605" t="str">
        <f t="shared" si="9"/>
        <v>79_0</v>
      </c>
      <c r="C605" t="s">
        <v>163</v>
      </c>
      <c r="D605" t="s">
        <v>167</v>
      </c>
    </row>
    <row r="606" spans="1:6" x14ac:dyDescent="0.55000000000000004">
      <c r="A606">
        <v>79</v>
      </c>
      <c r="B606" t="str">
        <f t="shared" si="9"/>
        <v>79_0</v>
      </c>
      <c r="C606" t="s">
        <v>163</v>
      </c>
      <c r="D606" t="s">
        <v>168</v>
      </c>
      <c r="E606" t="s">
        <v>131</v>
      </c>
      <c r="F606">
        <v>0</v>
      </c>
    </row>
    <row r="607" spans="1:6" x14ac:dyDescent="0.55000000000000004">
      <c r="A607">
        <v>79</v>
      </c>
      <c r="B607" t="str">
        <f t="shared" si="9"/>
        <v>79_0</v>
      </c>
      <c r="C607" t="s">
        <v>163</v>
      </c>
      <c r="D607" t="s">
        <v>169</v>
      </c>
    </row>
    <row r="608" spans="1:6" x14ac:dyDescent="0.55000000000000004">
      <c r="A608">
        <v>79</v>
      </c>
      <c r="B608" t="str">
        <f t="shared" si="9"/>
        <v>79_0</v>
      </c>
      <c r="C608" t="s">
        <v>163</v>
      </c>
      <c r="D608" t="s">
        <v>170</v>
      </c>
      <c r="E608" t="s">
        <v>139</v>
      </c>
      <c r="F608">
        <v>5</v>
      </c>
    </row>
    <row r="609" spans="1:7" x14ac:dyDescent="0.55000000000000004">
      <c r="A609">
        <v>79</v>
      </c>
      <c r="B609" t="str">
        <f t="shared" si="9"/>
        <v>79_0</v>
      </c>
      <c r="C609" t="s">
        <v>163</v>
      </c>
      <c r="D609" t="s">
        <v>171</v>
      </c>
    </row>
    <row r="610" spans="1:7" x14ac:dyDescent="0.55000000000000004">
      <c r="A610">
        <v>80</v>
      </c>
      <c r="B610" t="str">
        <f t="shared" si="9"/>
        <v>80_0</v>
      </c>
      <c r="C610" t="s">
        <v>126</v>
      </c>
      <c r="D610" t="s">
        <v>127</v>
      </c>
      <c r="E610" t="s">
        <v>128</v>
      </c>
      <c r="F610" s="1"/>
      <c r="G610" t="s">
        <v>129</v>
      </c>
    </row>
    <row r="611" spans="1:7" x14ac:dyDescent="0.55000000000000004">
      <c r="A611">
        <v>80</v>
      </c>
      <c r="B611" t="str">
        <f t="shared" si="9"/>
        <v>80_0</v>
      </c>
      <c r="C611" t="s">
        <v>126</v>
      </c>
      <c r="D611" s="11" t="s">
        <v>130</v>
      </c>
      <c r="E611" t="s">
        <v>131</v>
      </c>
      <c r="F611">
        <v>1</v>
      </c>
    </row>
    <row r="612" spans="1:7" x14ac:dyDescent="0.55000000000000004">
      <c r="A612">
        <v>80</v>
      </c>
      <c r="B612" t="str">
        <f t="shared" si="9"/>
        <v>80_0</v>
      </c>
      <c r="C612" t="s">
        <v>126</v>
      </c>
      <c r="D612" t="s">
        <v>132</v>
      </c>
      <c r="E612" t="s">
        <v>133</v>
      </c>
      <c r="F612">
        <v>3</v>
      </c>
      <c r="G612" t="s">
        <v>175</v>
      </c>
    </row>
    <row r="613" spans="1:7" x14ac:dyDescent="0.55000000000000004">
      <c r="A613">
        <v>80</v>
      </c>
      <c r="B613" t="str">
        <f t="shared" si="9"/>
        <v>80_0</v>
      </c>
      <c r="C613" t="s">
        <v>126</v>
      </c>
      <c r="D613" t="s">
        <v>134</v>
      </c>
      <c r="E613" t="s">
        <v>133</v>
      </c>
      <c r="F613">
        <v>1</v>
      </c>
    </row>
    <row r="614" spans="1:7" x14ac:dyDescent="0.55000000000000004">
      <c r="A614">
        <v>80</v>
      </c>
      <c r="B614" t="str">
        <f t="shared" si="9"/>
        <v>80_0</v>
      </c>
      <c r="C614" t="s">
        <v>126</v>
      </c>
      <c r="D614" t="s">
        <v>135</v>
      </c>
      <c r="E614" t="s">
        <v>136</v>
      </c>
      <c r="F614">
        <f>F613/10</f>
        <v>0.1</v>
      </c>
      <c r="G614" t="s">
        <v>137</v>
      </c>
    </row>
    <row r="615" spans="1:7" x14ac:dyDescent="0.55000000000000004">
      <c r="A615">
        <v>80</v>
      </c>
      <c r="B615" t="str">
        <f t="shared" si="9"/>
        <v>80_0</v>
      </c>
      <c r="C615" t="s">
        <v>126</v>
      </c>
      <c r="D615" s="2" t="s">
        <v>138</v>
      </c>
      <c r="E615" t="s">
        <v>139</v>
      </c>
      <c r="F615">
        <v>100</v>
      </c>
    </row>
    <row r="616" spans="1:7" x14ac:dyDescent="0.55000000000000004">
      <c r="A616">
        <v>80</v>
      </c>
      <c r="B616" t="str">
        <f t="shared" si="9"/>
        <v>80_0</v>
      </c>
      <c r="C616" t="s">
        <v>126</v>
      </c>
      <c r="D616" s="2" t="s">
        <v>140</v>
      </c>
      <c r="F616" t="s">
        <v>182</v>
      </c>
    </row>
    <row r="617" spans="1:7" x14ac:dyDescent="0.55000000000000004">
      <c r="A617">
        <v>80</v>
      </c>
      <c r="B617" t="str">
        <f t="shared" si="9"/>
        <v>80_0</v>
      </c>
      <c r="C617" t="s">
        <v>126</v>
      </c>
      <c r="D617" s="2" t="s">
        <v>141</v>
      </c>
      <c r="E617" t="s">
        <v>139</v>
      </c>
      <c r="F617">
        <v>0</v>
      </c>
    </row>
    <row r="618" spans="1:7" x14ac:dyDescent="0.55000000000000004">
      <c r="A618">
        <v>80</v>
      </c>
      <c r="B618" t="str">
        <f t="shared" si="9"/>
        <v>80_0</v>
      </c>
      <c r="C618" t="s">
        <v>126</v>
      </c>
      <c r="D618" t="s">
        <v>142</v>
      </c>
      <c r="E618" t="s">
        <v>139</v>
      </c>
      <c r="F618">
        <v>0</v>
      </c>
    </row>
    <row r="619" spans="1:7" x14ac:dyDescent="0.55000000000000004">
      <c r="A619">
        <v>80</v>
      </c>
      <c r="B619" t="str">
        <f t="shared" si="9"/>
        <v>80_0</v>
      </c>
      <c r="C619" t="s">
        <v>126</v>
      </c>
      <c r="D619" t="s">
        <v>143</v>
      </c>
      <c r="E619" t="s">
        <v>131</v>
      </c>
      <c r="F619">
        <v>0</v>
      </c>
    </row>
    <row r="620" spans="1:7" x14ac:dyDescent="0.55000000000000004">
      <c r="A620">
        <v>80</v>
      </c>
      <c r="B620" t="str">
        <f t="shared" si="9"/>
        <v>80_0</v>
      </c>
      <c r="C620" t="s">
        <v>126</v>
      </c>
      <c r="D620" t="s">
        <v>144</v>
      </c>
      <c r="E620" t="s">
        <v>139</v>
      </c>
      <c r="F620">
        <v>0</v>
      </c>
    </row>
    <row r="621" spans="1:7" x14ac:dyDescent="0.55000000000000004">
      <c r="A621">
        <v>80</v>
      </c>
      <c r="B621" t="str">
        <f t="shared" si="9"/>
        <v>80_0</v>
      </c>
      <c r="C621" t="s">
        <v>126</v>
      </c>
      <c r="D621" t="s">
        <v>145</v>
      </c>
      <c r="E621" t="s">
        <v>139</v>
      </c>
      <c r="F621">
        <v>0</v>
      </c>
    </row>
    <row r="622" spans="1:7" x14ac:dyDescent="0.55000000000000004">
      <c r="A622">
        <v>80</v>
      </c>
      <c r="B622" t="str">
        <f t="shared" si="9"/>
        <v>80_0</v>
      </c>
      <c r="C622" t="s">
        <v>126</v>
      </c>
      <c r="D622" t="s">
        <v>146</v>
      </c>
      <c r="E622" t="s">
        <v>139</v>
      </c>
      <c r="F622">
        <v>0</v>
      </c>
    </row>
    <row r="623" spans="1:7" x14ac:dyDescent="0.55000000000000004">
      <c r="A623">
        <v>80</v>
      </c>
      <c r="B623" t="str">
        <f t="shared" si="9"/>
        <v>80_0</v>
      </c>
      <c r="C623" t="s">
        <v>126</v>
      </c>
      <c r="D623" t="s">
        <v>147</v>
      </c>
      <c r="E623" t="s">
        <v>139</v>
      </c>
      <c r="F623">
        <v>0</v>
      </c>
    </row>
    <row r="624" spans="1:7" x14ac:dyDescent="0.55000000000000004">
      <c r="A624">
        <v>80</v>
      </c>
      <c r="B624" t="str">
        <f t="shared" si="9"/>
        <v>80_0</v>
      </c>
      <c r="C624" t="s">
        <v>126</v>
      </c>
      <c r="D624" t="s">
        <v>148</v>
      </c>
      <c r="E624" t="s">
        <v>139</v>
      </c>
      <c r="F624">
        <v>0</v>
      </c>
    </row>
    <row r="625" spans="1:6" x14ac:dyDescent="0.55000000000000004">
      <c r="A625">
        <v>80</v>
      </c>
      <c r="B625" t="str">
        <f t="shared" si="9"/>
        <v>80_0</v>
      </c>
      <c r="C625" t="s">
        <v>126</v>
      </c>
      <c r="D625" t="s">
        <v>149</v>
      </c>
      <c r="E625" t="s">
        <v>139</v>
      </c>
      <c r="F625">
        <v>0</v>
      </c>
    </row>
    <row r="626" spans="1:6" x14ac:dyDescent="0.55000000000000004">
      <c r="A626">
        <v>80</v>
      </c>
      <c r="B626" t="str">
        <f t="shared" si="9"/>
        <v>80_0</v>
      </c>
      <c r="C626" t="s">
        <v>126</v>
      </c>
      <c r="D626" t="s">
        <v>150</v>
      </c>
      <c r="E626" t="s">
        <v>139</v>
      </c>
      <c r="F626">
        <v>100</v>
      </c>
    </row>
    <row r="627" spans="1:6" x14ac:dyDescent="0.55000000000000004">
      <c r="A627">
        <v>80</v>
      </c>
      <c r="B627" t="str">
        <f t="shared" si="9"/>
        <v>80_0</v>
      </c>
      <c r="C627" t="s">
        <v>126</v>
      </c>
      <c r="D627" t="s">
        <v>151</v>
      </c>
      <c r="E627" t="s">
        <v>139</v>
      </c>
      <c r="F627">
        <v>0</v>
      </c>
    </row>
    <row r="628" spans="1:6" x14ac:dyDescent="0.55000000000000004">
      <c r="A628">
        <v>80</v>
      </c>
      <c r="B628" t="str">
        <f t="shared" si="9"/>
        <v>80_0</v>
      </c>
      <c r="C628" t="s">
        <v>126</v>
      </c>
      <c r="D628" t="s">
        <v>152</v>
      </c>
      <c r="E628" t="s">
        <v>153</v>
      </c>
    </row>
    <row r="629" spans="1:6" x14ac:dyDescent="0.55000000000000004">
      <c r="A629">
        <v>80</v>
      </c>
      <c r="B629" t="str">
        <f t="shared" si="9"/>
        <v>80_0</v>
      </c>
      <c r="C629" t="s">
        <v>154</v>
      </c>
      <c r="D629" t="s">
        <v>155</v>
      </c>
      <c r="E629" t="s">
        <v>156</v>
      </c>
      <c r="F629">
        <v>22</v>
      </c>
    </row>
    <row r="630" spans="1:6" x14ac:dyDescent="0.55000000000000004">
      <c r="A630">
        <v>80</v>
      </c>
      <c r="B630" t="str">
        <f t="shared" si="9"/>
        <v>80_0</v>
      </c>
      <c r="C630" t="s">
        <v>154</v>
      </c>
      <c r="D630" t="s">
        <v>157</v>
      </c>
      <c r="E630" t="s">
        <v>158</v>
      </c>
      <c r="F630">
        <v>8.8000000000000007</v>
      </c>
    </row>
    <row r="631" spans="1:6" x14ac:dyDescent="0.55000000000000004">
      <c r="A631">
        <v>80</v>
      </c>
      <c r="B631" t="str">
        <f t="shared" si="9"/>
        <v>80_0</v>
      </c>
      <c r="C631" t="s">
        <v>154</v>
      </c>
      <c r="D631" t="s">
        <v>159</v>
      </c>
      <c r="E631" t="s">
        <v>139</v>
      </c>
      <c r="F631">
        <v>100.4</v>
      </c>
    </row>
    <row r="632" spans="1:6" x14ac:dyDescent="0.55000000000000004">
      <c r="A632">
        <v>80</v>
      </c>
      <c r="B632" t="str">
        <f t="shared" si="9"/>
        <v>80_0</v>
      </c>
      <c r="C632" t="s">
        <v>154</v>
      </c>
      <c r="D632" t="s">
        <v>160</v>
      </c>
      <c r="E632" t="s">
        <v>161</v>
      </c>
      <c r="F632">
        <v>154.5</v>
      </c>
    </row>
    <row r="633" spans="1:6" x14ac:dyDescent="0.55000000000000004">
      <c r="A633">
        <v>80</v>
      </c>
      <c r="B633" t="str">
        <f t="shared" si="9"/>
        <v>80_0</v>
      </c>
      <c r="C633" t="s">
        <v>154</v>
      </c>
      <c r="D633" t="s">
        <v>162</v>
      </c>
      <c r="F633">
        <v>8.36</v>
      </c>
    </row>
    <row r="634" spans="1:6" x14ac:dyDescent="0.55000000000000004">
      <c r="A634">
        <v>80</v>
      </c>
      <c r="B634" t="str">
        <f t="shared" si="9"/>
        <v>80_0</v>
      </c>
      <c r="C634" t="s">
        <v>163</v>
      </c>
      <c r="D634" t="s">
        <v>164</v>
      </c>
      <c r="E634" t="s">
        <v>139</v>
      </c>
      <c r="F634">
        <v>100</v>
      </c>
    </row>
    <row r="635" spans="1:6" x14ac:dyDescent="0.55000000000000004">
      <c r="A635">
        <v>80</v>
      </c>
      <c r="B635" t="str">
        <f t="shared" si="9"/>
        <v>80_0</v>
      </c>
      <c r="C635" t="s">
        <v>163</v>
      </c>
      <c r="D635" t="s">
        <v>164</v>
      </c>
      <c r="E635" t="s">
        <v>139</v>
      </c>
      <c r="F635">
        <v>90</v>
      </c>
    </row>
    <row r="636" spans="1:6" x14ac:dyDescent="0.55000000000000004">
      <c r="A636">
        <v>80</v>
      </c>
      <c r="B636" t="str">
        <f t="shared" si="9"/>
        <v>80_0</v>
      </c>
      <c r="C636" t="s">
        <v>163</v>
      </c>
      <c r="D636" t="s">
        <v>165</v>
      </c>
      <c r="F636" t="s">
        <v>182</v>
      </c>
    </row>
    <row r="637" spans="1:6" x14ac:dyDescent="0.55000000000000004">
      <c r="A637">
        <v>80</v>
      </c>
      <c r="B637" t="str">
        <f t="shared" si="9"/>
        <v>80_0</v>
      </c>
      <c r="C637" t="s">
        <v>163</v>
      </c>
      <c r="D637" t="s">
        <v>164</v>
      </c>
      <c r="E637" t="s">
        <v>139</v>
      </c>
      <c r="F637">
        <v>10</v>
      </c>
    </row>
    <row r="638" spans="1:6" x14ac:dyDescent="0.55000000000000004">
      <c r="A638">
        <v>80</v>
      </c>
      <c r="B638" t="str">
        <f t="shared" si="9"/>
        <v>80_0</v>
      </c>
      <c r="C638" t="s">
        <v>163</v>
      </c>
      <c r="D638" t="s">
        <v>165</v>
      </c>
      <c r="F638" t="s">
        <v>181</v>
      </c>
    </row>
    <row r="639" spans="1:6" x14ac:dyDescent="0.55000000000000004">
      <c r="A639">
        <v>80</v>
      </c>
      <c r="B639" t="str">
        <f t="shared" si="9"/>
        <v>80_0</v>
      </c>
      <c r="C639" t="s">
        <v>163</v>
      </c>
      <c r="D639" t="s">
        <v>166</v>
      </c>
      <c r="E639" t="s">
        <v>139</v>
      </c>
      <c r="F639">
        <v>10</v>
      </c>
    </row>
    <row r="640" spans="1:6" x14ac:dyDescent="0.55000000000000004">
      <c r="A640">
        <v>80</v>
      </c>
      <c r="B640" t="str">
        <f t="shared" si="9"/>
        <v>80_0</v>
      </c>
      <c r="C640" t="s">
        <v>163</v>
      </c>
      <c r="D640" t="s">
        <v>167</v>
      </c>
      <c r="F640" t="s">
        <v>173</v>
      </c>
    </row>
    <row r="641" spans="1:7" x14ac:dyDescent="0.55000000000000004">
      <c r="A641">
        <v>80</v>
      </c>
      <c r="B641" t="str">
        <f t="shared" si="9"/>
        <v>80_0</v>
      </c>
      <c r="C641" t="s">
        <v>163</v>
      </c>
      <c r="D641" t="s">
        <v>168</v>
      </c>
      <c r="E641" t="s">
        <v>131</v>
      </c>
      <c r="F641">
        <v>0</v>
      </c>
    </row>
    <row r="642" spans="1:7" x14ac:dyDescent="0.55000000000000004">
      <c r="A642">
        <v>80</v>
      </c>
      <c r="B642" t="str">
        <f t="shared" si="9"/>
        <v>80_0</v>
      </c>
      <c r="C642" t="s">
        <v>163</v>
      </c>
      <c r="D642" t="s">
        <v>169</v>
      </c>
    </row>
    <row r="643" spans="1:7" x14ac:dyDescent="0.55000000000000004">
      <c r="A643">
        <v>80</v>
      </c>
      <c r="B643" t="str">
        <f t="shared" ref="B643:B706" si="10">A643 &amp; "_0"</f>
        <v>80_0</v>
      </c>
      <c r="C643" t="s">
        <v>163</v>
      </c>
      <c r="D643" t="s">
        <v>170</v>
      </c>
      <c r="E643" t="s">
        <v>139</v>
      </c>
      <c r="F643">
        <v>0</v>
      </c>
    </row>
    <row r="644" spans="1:7" x14ac:dyDescent="0.55000000000000004">
      <c r="A644">
        <v>80</v>
      </c>
      <c r="B644" t="str">
        <f t="shared" si="10"/>
        <v>80_0</v>
      </c>
      <c r="C644" t="s">
        <v>163</v>
      </c>
      <c r="D644" t="s">
        <v>171</v>
      </c>
    </row>
    <row r="645" spans="1:7" x14ac:dyDescent="0.55000000000000004">
      <c r="A645">
        <v>81</v>
      </c>
      <c r="B645" t="str">
        <f t="shared" si="10"/>
        <v>81_0</v>
      </c>
      <c r="C645" t="s">
        <v>126</v>
      </c>
      <c r="D645" t="s">
        <v>127</v>
      </c>
      <c r="E645" t="s">
        <v>128</v>
      </c>
      <c r="F645" s="1"/>
      <c r="G645" t="s">
        <v>129</v>
      </c>
    </row>
    <row r="646" spans="1:7" x14ac:dyDescent="0.55000000000000004">
      <c r="A646">
        <v>81</v>
      </c>
      <c r="B646" t="str">
        <f t="shared" si="10"/>
        <v>81_0</v>
      </c>
      <c r="C646" t="s">
        <v>126</v>
      </c>
      <c r="D646" s="11" t="s">
        <v>130</v>
      </c>
      <c r="E646" t="s">
        <v>131</v>
      </c>
      <c r="F646">
        <v>1</v>
      </c>
    </row>
    <row r="647" spans="1:7" x14ac:dyDescent="0.55000000000000004">
      <c r="A647">
        <v>81</v>
      </c>
      <c r="B647" t="str">
        <f t="shared" si="10"/>
        <v>81_0</v>
      </c>
      <c r="C647" t="s">
        <v>126</v>
      </c>
      <c r="D647" t="s">
        <v>132</v>
      </c>
      <c r="E647" t="s">
        <v>133</v>
      </c>
    </row>
    <row r="648" spans="1:7" x14ac:dyDescent="0.55000000000000004">
      <c r="A648">
        <v>81</v>
      </c>
      <c r="B648" t="str">
        <f t="shared" si="10"/>
        <v>81_0</v>
      </c>
      <c r="C648" t="s">
        <v>126</v>
      </c>
      <c r="D648" t="s">
        <v>134</v>
      </c>
      <c r="E648" t="s">
        <v>133</v>
      </c>
      <c r="F648">
        <v>1</v>
      </c>
    </row>
    <row r="649" spans="1:7" x14ac:dyDescent="0.55000000000000004">
      <c r="A649">
        <v>81</v>
      </c>
      <c r="B649" t="str">
        <f t="shared" si="10"/>
        <v>81_0</v>
      </c>
      <c r="C649" t="s">
        <v>126</v>
      </c>
      <c r="D649" t="s">
        <v>135</v>
      </c>
      <c r="E649" t="s">
        <v>136</v>
      </c>
      <c r="F649">
        <f>F648/10</f>
        <v>0.1</v>
      </c>
      <c r="G649" t="s">
        <v>137</v>
      </c>
    </row>
    <row r="650" spans="1:7" x14ac:dyDescent="0.55000000000000004">
      <c r="A650">
        <v>81</v>
      </c>
      <c r="B650" t="str">
        <f t="shared" si="10"/>
        <v>81_0</v>
      </c>
      <c r="C650" t="s">
        <v>126</v>
      </c>
      <c r="D650" s="2" t="s">
        <v>138</v>
      </c>
      <c r="E650" t="s">
        <v>139</v>
      </c>
      <c r="F650">
        <v>100</v>
      </c>
    </row>
    <row r="651" spans="1:7" x14ac:dyDescent="0.55000000000000004">
      <c r="A651">
        <v>81</v>
      </c>
      <c r="B651" t="str">
        <f t="shared" si="10"/>
        <v>81_0</v>
      </c>
      <c r="C651" t="s">
        <v>126</v>
      </c>
      <c r="D651" s="2" t="s">
        <v>140</v>
      </c>
      <c r="F651" t="s">
        <v>172</v>
      </c>
    </row>
    <row r="652" spans="1:7" x14ac:dyDescent="0.55000000000000004">
      <c r="A652">
        <v>81</v>
      </c>
      <c r="B652" t="str">
        <f t="shared" si="10"/>
        <v>81_0</v>
      </c>
      <c r="C652" t="s">
        <v>126</v>
      </c>
      <c r="D652" s="2" t="s">
        <v>141</v>
      </c>
      <c r="E652" t="s">
        <v>139</v>
      </c>
      <c r="F652">
        <v>100</v>
      </c>
    </row>
    <row r="653" spans="1:7" x14ac:dyDescent="0.55000000000000004">
      <c r="A653">
        <v>81</v>
      </c>
      <c r="B653" t="str">
        <f t="shared" si="10"/>
        <v>81_0</v>
      </c>
      <c r="C653" t="s">
        <v>126</v>
      </c>
      <c r="D653" t="s">
        <v>142</v>
      </c>
      <c r="E653" t="s">
        <v>139</v>
      </c>
      <c r="F653">
        <v>0</v>
      </c>
    </row>
    <row r="654" spans="1:7" x14ac:dyDescent="0.55000000000000004">
      <c r="A654">
        <v>81</v>
      </c>
      <c r="B654" t="str">
        <f t="shared" si="10"/>
        <v>81_0</v>
      </c>
      <c r="C654" t="s">
        <v>126</v>
      </c>
      <c r="D654" t="s">
        <v>143</v>
      </c>
      <c r="E654" t="s">
        <v>131</v>
      </c>
      <c r="F654">
        <v>0</v>
      </c>
    </row>
    <row r="655" spans="1:7" x14ac:dyDescent="0.55000000000000004">
      <c r="A655">
        <v>81</v>
      </c>
      <c r="B655" t="str">
        <f t="shared" si="10"/>
        <v>81_0</v>
      </c>
      <c r="C655" t="s">
        <v>126</v>
      </c>
      <c r="D655" t="s">
        <v>144</v>
      </c>
      <c r="E655" t="s">
        <v>139</v>
      </c>
      <c r="F655">
        <v>0</v>
      </c>
    </row>
    <row r="656" spans="1:7" x14ac:dyDescent="0.55000000000000004">
      <c r="A656">
        <v>81</v>
      </c>
      <c r="B656" t="str">
        <f t="shared" si="10"/>
        <v>81_0</v>
      </c>
      <c r="C656" t="s">
        <v>126</v>
      </c>
      <c r="D656" t="s">
        <v>145</v>
      </c>
      <c r="E656" t="s">
        <v>139</v>
      </c>
      <c r="F656">
        <v>0</v>
      </c>
    </row>
    <row r="657" spans="1:6" x14ac:dyDescent="0.55000000000000004">
      <c r="A657">
        <v>81</v>
      </c>
      <c r="B657" t="str">
        <f t="shared" si="10"/>
        <v>81_0</v>
      </c>
      <c r="C657" t="s">
        <v>126</v>
      </c>
      <c r="D657" t="s">
        <v>146</v>
      </c>
      <c r="E657" t="s">
        <v>139</v>
      </c>
      <c r="F657">
        <v>0</v>
      </c>
    </row>
    <row r="658" spans="1:6" x14ac:dyDescent="0.55000000000000004">
      <c r="A658">
        <v>81</v>
      </c>
      <c r="B658" t="str">
        <f t="shared" si="10"/>
        <v>81_0</v>
      </c>
      <c r="C658" t="s">
        <v>126</v>
      </c>
      <c r="D658" t="s">
        <v>147</v>
      </c>
      <c r="E658" t="s">
        <v>139</v>
      </c>
      <c r="F658">
        <v>10</v>
      </c>
    </row>
    <row r="659" spans="1:6" x14ac:dyDescent="0.55000000000000004">
      <c r="A659">
        <v>81</v>
      </c>
      <c r="B659" t="str">
        <f t="shared" si="10"/>
        <v>81_0</v>
      </c>
      <c r="C659" t="s">
        <v>126</v>
      </c>
      <c r="D659" t="s">
        <v>148</v>
      </c>
      <c r="E659" t="s">
        <v>139</v>
      </c>
      <c r="F659">
        <v>90</v>
      </c>
    </row>
    <row r="660" spans="1:6" x14ac:dyDescent="0.55000000000000004">
      <c r="A660">
        <v>81</v>
      </c>
      <c r="B660" t="str">
        <f t="shared" si="10"/>
        <v>81_0</v>
      </c>
      <c r="C660" t="s">
        <v>126</v>
      </c>
      <c r="D660" t="s">
        <v>149</v>
      </c>
      <c r="E660" t="s">
        <v>139</v>
      </c>
      <c r="F660">
        <v>0</v>
      </c>
    </row>
    <row r="661" spans="1:6" x14ac:dyDescent="0.55000000000000004">
      <c r="A661">
        <v>81</v>
      </c>
      <c r="B661" t="str">
        <f t="shared" si="10"/>
        <v>81_0</v>
      </c>
      <c r="C661" t="s">
        <v>126</v>
      </c>
      <c r="D661" t="s">
        <v>150</v>
      </c>
      <c r="E661" t="s">
        <v>139</v>
      </c>
      <c r="F661">
        <v>0</v>
      </c>
    </row>
    <row r="662" spans="1:6" x14ac:dyDescent="0.55000000000000004">
      <c r="A662">
        <v>81</v>
      </c>
      <c r="B662" t="str">
        <f t="shared" si="10"/>
        <v>81_0</v>
      </c>
      <c r="C662" t="s">
        <v>126</v>
      </c>
      <c r="D662" t="s">
        <v>151</v>
      </c>
      <c r="E662" t="s">
        <v>139</v>
      </c>
      <c r="F662">
        <v>0</v>
      </c>
    </row>
    <row r="663" spans="1:6" x14ac:dyDescent="0.55000000000000004">
      <c r="A663">
        <v>81</v>
      </c>
      <c r="B663" t="str">
        <f t="shared" si="10"/>
        <v>81_0</v>
      </c>
      <c r="C663" t="s">
        <v>126</v>
      </c>
      <c r="D663" t="s">
        <v>152</v>
      </c>
      <c r="E663" t="s">
        <v>153</v>
      </c>
    </row>
    <row r="664" spans="1:6" x14ac:dyDescent="0.55000000000000004">
      <c r="A664">
        <v>81</v>
      </c>
      <c r="B664" t="str">
        <f t="shared" si="10"/>
        <v>81_0</v>
      </c>
      <c r="C664" t="s">
        <v>154</v>
      </c>
      <c r="D664" t="s">
        <v>155</v>
      </c>
      <c r="E664" t="s">
        <v>156</v>
      </c>
      <c r="F664">
        <v>21</v>
      </c>
    </row>
    <row r="665" spans="1:6" x14ac:dyDescent="0.55000000000000004">
      <c r="A665">
        <v>81</v>
      </c>
      <c r="B665" t="str">
        <f t="shared" si="10"/>
        <v>81_0</v>
      </c>
      <c r="C665" t="s">
        <v>154</v>
      </c>
      <c r="D665" t="s">
        <v>157</v>
      </c>
      <c r="E665" t="s">
        <v>158</v>
      </c>
      <c r="F665">
        <v>9.36</v>
      </c>
    </row>
    <row r="666" spans="1:6" x14ac:dyDescent="0.55000000000000004">
      <c r="A666">
        <v>81</v>
      </c>
      <c r="B666" t="str">
        <f t="shared" si="10"/>
        <v>81_0</v>
      </c>
      <c r="C666" t="s">
        <v>154</v>
      </c>
      <c r="D666" t="s">
        <v>159</v>
      </c>
      <c r="E666" t="s">
        <v>139</v>
      </c>
      <c r="F666">
        <v>105</v>
      </c>
    </row>
    <row r="667" spans="1:6" x14ac:dyDescent="0.55000000000000004">
      <c r="A667">
        <v>81</v>
      </c>
      <c r="B667" t="str">
        <f t="shared" si="10"/>
        <v>81_0</v>
      </c>
      <c r="C667" t="s">
        <v>154</v>
      </c>
      <c r="D667" t="s">
        <v>160</v>
      </c>
      <c r="E667" t="s">
        <v>161</v>
      </c>
      <c r="F667">
        <v>142.69999999999999</v>
      </c>
    </row>
    <row r="668" spans="1:6" x14ac:dyDescent="0.55000000000000004">
      <c r="A668">
        <v>81</v>
      </c>
      <c r="B668" t="str">
        <f t="shared" si="10"/>
        <v>81_0</v>
      </c>
      <c r="C668" t="s">
        <v>154</v>
      </c>
      <c r="D668" t="s">
        <v>162</v>
      </c>
      <c r="F668">
        <v>8.65</v>
      </c>
    </row>
    <row r="669" spans="1:6" x14ac:dyDescent="0.55000000000000004">
      <c r="A669">
        <v>81</v>
      </c>
      <c r="B669" t="str">
        <f t="shared" si="10"/>
        <v>81_0</v>
      </c>
      <c r="C669" t="s">
        <v>163</v>
      </c>
      <c r="D669" t="s">
        <v>164</v>
      </c>
      <c r="E669" t="s">
        <v>139</v>
      </c>
      <c r="F669">
        <v>0</v>
      </c>
    </row>
    <row r="670" spans="1:6" x14ac:dyDescent="0.55000000000000004">
      <c r="A670">
        <v>81</v>
      </c>
      <c r="B670" t="str">
        <f t="shared" si="10"/>
        <v>81_0</v>
      </c>
      <c r="C670" t="s">
        <v>163</v>
      </c>
      <c r="D670" t="s">
        <v>165</v>
      </c>
    </row>
    <row r="671" spans="1:6" x14ac:dyDescent="0.55000000000000004">
      <c r="A671">
        <v>81</v>
      </c>
      <c r="B671" t="str">
        <f t="shared" si="10"/>
        <v>81_0</v>
      </c>
      <c r="C671" t="s">
        <v>163</v>
      </c>
      <c r="D671" t="s">
        <v>166</v>
      </c>
      <c r="E671" t="s">
        <v>139</v>
      </c>
      <c r="F671">
        <v>0</v>
      </c>
    </row>
    <row r="672" spans="1:6" x14ac:dyDescent="0.55000000000000004">
      <c r="A672">
        <v>81</v>
      </c>
      <c r="B672" t="str">
        <f t="shared" si="10"/>
        <v>81_0</v>
      </c>
      <c r="C672" t="s">
        <v>163</v>
      </c>
      <c r="D672" t="s">
        <v>167</v>
      </c>
    </row>
    <row r="673" spans="1:7" x14ac:dyDescent="0.55000000000000004">
      <c r="A673">
        <v>81</v>
      </c>
      <c r="B673" t="str">
        <f t="shared" si="10"/>
        <v>81_0</v>
      </c>
      <c r="C673" t="s">
        <v>163</v>
      </c>
      <c r="D673" t="s">
        <v>168</v>
      </c>
      <c r="E673" t="s">
        <v>131</v>
      </c>
      <c r="F673">
        <v>1</v>
      </c>
    </row>
    <row r="674" spans="1:7" x14ac:dyDescent="0.55000000000000004">
      <c r="A674">
        <v>81</v>
      </c>
      <c r="B674" t="str">
        <f t="shared" si="10"/>
        <v>81_0</v>
      </c>
      <c r="C674" t="s">
        <v>163</v>
      </c>
      <c r="D674" t="s">
        <v>169</v>
      </c>
      <c r="F674" t="s">
        <v>173</v>
      </c>
    </row>
    <row r="675" spans="1:7" x14ac:dyDescent="0.55000000000000004">
      <c r="A675">
        <v>81</v>
      </c>
      <c r="B675" t="str">
        <f t="shared" si="10"/>
        <v>81_0</v>
      </c>
      <c r="C675" t="s">
        <v>163</v>
      </c>
      <c r="D675" t="s">
        <v>170</v>
      </c>
      <c r="E675" t="s">
        <v>139</v>
      </c>
      <c r="F675">
        <v>20</v>
      </c>
    </row>
    <row r="676" spans="1:7" x14ac:dyDescent="0.55000000000000004">
      <c r="A676">
        <v>81</v>
      </c>
      <c r="B676" t="str">
        <f t="shared" si="10"/>
        <v>81_0</v>
      </c>
      <c r="C676" t="s">
        <v>163</v>
      </c>
      <c r="D676" t="s">
        <v>171</v>
      </c>
    </row>
    <row r="677" spans="1:7" x14ac:dyDescent="0.55000000000000004">
      <c r="A677">
        <v>82</v>
      </c>
      <c r="B677" t="str">
        <f t="shared" si="10"/>
        <v>82_0</v>
      </c>
      <c r="C677" t="s">
        <v>126</v>
      </c>
      <c r="D677" t="s">
        <v>127</v>
      </c>
      <c r="E677" t="s">
        <v>128</v>
      </c>
      <c r="F677" s="1"/>
      <c r="G677" t="s">
        <v>129</v>
      </c>
    </row>
    <row r="678" spans="1:7" x14ac:dyDescent="0.55000000000000004">
      <c r="A678">
        <v>82</v>
      </c>
      <c r="B678" t="str">
        <f t="shared" si="10"/>
        <v>82_0</v>
      </c>
      <c r="C678" t="s">
        <v>126</v>
      </c>
      <c r="D678" s="11" t="s">
        <v>130</v>
      </c>
      <c r="E678" t="s">
        <v>131</v>
      </c>
      <c r="F678">
        <v>1</v>
      </c>
    </row>
    <row r="679" spans="1:7" x14ac:dyDescent="0.55000000000000004">
      <c r="A679">
        <v>82</v>
      </c>
      <c r="B679" t="str">
        <f t="shared" si="10"/>
        <v>82_0</v>
      </c>
      <c r="C679" t="s">
        <v>126</v>
      </c>
      <c r="D679" t="s">
        <v>132</v>
      </c>
      <c r="E679" t="s">
        <v>133</v>
      </c>
    </row>
    <row r="680" spans="1:7" x14ac:dyDescent="0.55000000000000004">
      <c r="A680">
        <v>82</v>
      </c>
      <c r="B680" t="str">
        <f t="shared" si="10"/>
        <v>82_0</v>
      </c>
      <c r="C680" t="s">
        <v>126</v>
      </c>
      <c r="D680" t="s">
        <v>134</v>
      </c>
      <c r="E680" t="s">
        <v>133</v>
      </c>
      <c r="F680">
        <v>0.55000000000000004</v>
      </c>
    </row>
    <row r="681" spans="1:7" x14ac:dyDescent="0.55000000000000004">
      <c r="A681">
        <v>82</v>
      </c>
      <c r="B681" t="str">
        <f t="shared" si="10"/>
        <v>82_0</v>
      </c>
      <c r="C681" t="s">
        <v>126</v>
      </c>
      <c r="D681" t="s">
        <v>135</v>
      </c>
      <c r="E681" t="s">
        <v>136</v>
      </c>
      <c r="F681">
        <f>F680/10</f>
        <v>5.5000000000000007E-2</v>
      </c>
      <c r="G681" t="s">
        <v>137</v>
      </c>
    </row>
    <row r="682" spans="1:7" x14ac:dyDescent="0.55000000000000004">
      <c r="A682">
        <v>82</v>
      </c>
      <c r="B682" t="str">
        <f t="shared" si="10"/>
        <v>82_0</v>
      </c>
      <c r="C682" t="s">
        <v>126</v>
      </c>
      <c r="D682" s="2" t="s">
        <v>138</v>
      </c>
      <c r="E682" t="s">
        <v>139</v>
      </c>
      <c r="F682">
        <v>90</v>
      </c>
    </row>
    <row r="683" spans="1:7" x14ac:dyDescent="0.55000000000000004">
      <c r="A683">
        <v>82</v>
      </c>
      <c r="B683" t="str">
        <f t="shared" si="10"/>
        <v>82_0</v>
      </c>
      <c r="C683" t="s">
        <v>126</v>
      </c>
      <c r="D683" s="2" t="s">
        <v>140</v>
      </c>
      <c r="F683" t="s">
        <v>183</v>
      </c>
    </row>
    <row r="684" spans="1:7" x14ac:dyDescent="0.55000000000000004">
      <c r="A684">
        <v>82</v>
      </c>
      <c r="B684" t="str">
        <f t="shared" si="10"/>
        <v>82_0</v>
      </c>
      <c r="C684" t="s">
        <v>126</v>
      </c>
      <c r="D684" s="2" t="s">
        <v>141</v>
      </c>
      <c r="E684" t="s">
        <v>139</v>
      </c>
      <c r="F684">
        <v>0</v>
      </c>
    </row>
    <row r="685" spans="1:7" x14ac:dyDescent="0.55000000000000004">
      <c r="A685">
        <v>82</v>
      </c>
      <c r="B685" t="str">
        <f t="shared" si="10"/>
        <v>82_0</v>
      </c>
      <c r="C685" t="s">
        <v>126</v>
      </c>
      <c r="D685" t="s">
        <v>142</v>
      </c>
      <c r="E685" t="s">
        <v>139</v>
      </c>
      <c r="F685">
        <v>0</v>
      </c>
    </row>
    <row r="686" spans="1:7" x14ac:dyDescent="0.55000000000000004">
      <c r="A686">
        <v>82</v>
      </c>
      <c r="B686" t="str">
        <f t="shared" si="10"/>
        <v>82_0</v>
      </c>
      <c r="C686" t="s">
        <v>126</v>
      </c>
      <c r="D686" t="s">
        <v>143</v>
      </c>
      <c r="E686" t="s">
        <v>131</v>
      </c>
      <c r="F686">
        <v>0</v>
      </c>
    </row>
    <row r="687" spans="1:7" x14ac:dyDescent="0.55000000000000004">
      <c r="A687">
        <v>82</v>
      </c>
      <c r="B687" t="str">
        <f t="shared" si="10"/>
        <v>82_0</v>
      </c>
      <c r="C687" t="s">
        <v>126</v>
      </c>
      <c r="D687" t="s">
        <v>144</v>
      </c>
      <c r="E687" t="s">
        <v>139</v>
      </c>
      <c r="F687">
        <v>0</v>
      </c>
    </row>
    <row r="688" spans="1:7" x14ac:dyDescent="0.55000000000000004">
      <c r="A688">
        <v>82</v>
      </c>
      <c r="B688" t="str">
        <f t="shared" si="10"/>
        <v>82_0</v>
      </c>
      <c r="C688" t="s">
        <v>126</v>
      </c>
      <c r="D688" t="s">
        <v>145</v>
      </c>
      <c r="E688" t="s">
        <v>139</v>
      </c>
      <c r="F688">
        <v>0</v>
      </c>
    </row>
    <row r="689" spans="1:7" x14ac:dyDescent="0.55000000000000004">
      <c r="A689">
        <v>82</v>
      </c>
      <c r="B689" t="str">
        <f t="shared" si="10"/>
        <v>82_0</v>
      </c>
      <c r="C689" t="s">
        <v>126</v>
      </c>
      <c r="D689" t="s">
        <v>146</v>
      </c>
      <c r="E689" t="s">
        <v>139</v>
      </c>
      <c r="F689">
        <v>0</v>
      </c>
    </row>
    <row r="690" spans="1:7" x14ac:dyDescent="0.55000000000000004">
      <c r="A690">
        <v>82</v>
      </c>
      <c r="B690" t="str">
        <f t="shared" si="10"/>
        <v>82_0</v>
      </c>
      <c r="C690" t="s">
        <v>126</v>
      </c>
      <c r="D690" t="s">
        <v>147</v>
      </c>
      <c r="E690" t="s">
        <v>139</v>
      </c>
      <c r="F690">
        <v>5</v>
      </c>
    </row>
    <row r="691" spans="1:7" x14ac:dyDescent="0.55000000000000004">
      <c r="A691">
        <v>82</v>
      </c>
      <c r="B691" t="str">
        <f t="shared" si="10"/>
        <v>82_0</v>
      </c>
      <c r="C691" t="s">
        <v>126</v>
      </c>
      <c r="D691" t="s">
        <v>148</v>
      </c>
      <c r="E691" t="s">
        <v>139</v>
      </c>
      <c r="F691">
        <v>90</v>
      </c>
    </row>
    <row r="692" spans="1:7" x14ac:dyDescent="0.55000000000000004">
      <c r="A692">
        <v>82</v>
      </c>
      <c r="B692" t="str">
        <f t="shared" si="10"/>
        <v>82_0</v>
      </c>
      <c r="C692" t="s">
        <v>126</v>
      </c>
      <c r="D692" t="s">
        <v>149</v>
      </c>
      <c r="E692" t="s">
        <v>139</v>
      </c>
      <c r="F692">
        <v>0</v>
      </c>
    </row>
    <row r="693" spans="1:7" x14ac:dyDescent="0.55000000000000004">
      <c r="A693">
        <v>82</v>
      </c>
      <c r="B693" t="str">
        <f t="shared" si="10"/>
        <v>82_0</v>
      </c>
      <c r="C693" t="s">
        <v>126</v>
      </c>
      <c r="D693" t="s">
        <v>150</v>
      </c>
      <c r="E693" t="s">
        <v>139</v>
      </c>
      <c r="F693">
        <v>0</v>
      </c>
    </row>
    <row r="694" spans="1:7" x14ac:dyDescent="0.55000000000000004">
      <c r="A694">
        <v>82</v>
      </c>
      <c r="B694" t="str">
        <f t="shared" si="10"/>
        <v>82_0</v>
      </c>
      <c r="C694" t="s">
        <v>126</v>
      </c>
      <c r="D694" t="s">
        <v>151</v>
      </c>
      <c r="E694" t="s">
        <v>139</v>
      </c>
      <c r="F694">
        <v>5</v>
      </c>
      <c r="G694" t="s">
        <v>174</v>
      </c>
    </row>
    <row r="695" spans="1:7" x14ac:dyDescent="0.55000000000000004">
      <c r="A695">
        <v>82</v>
      </c>
      <c r="B695" t="str">
        <f t="shared" si="10"/>
        <v>82_0</v>
      </c>
      <c r="C695" t="s">
        <v>126</v>
      </c>
      <c r="D695" t="s">
        <v>152</v>
      </c>
      <c r="E695" t="s">
        <v>153</v>
      </c>
    </row>
    <row r="696" spans="1:7" x14ac:dyDescent="0.55000000000000004">
      <c r="A696">
        <v>82</v>
      </c>
      <c r="B696" t="str">
        <f t="shared" si="10"/>
        <v>82_0</v>
      </c>
      <c r="C696" t="s">
        <v>154</v>
      </c>
      <c r="D696" t="s">
        <v>155</v>
      </c>
      <c r="E696" t="s">
        <v>156</v>
      </c>
      <c r="F696">
        <v>21.2</v>
      </c>
    </row>
    <row r="697" spans="1:7" x14ac:dyDescent="0.55000000000000004">
      <c r="A697">
        <v>82</v>
      </c>
      <c r="B697" t="str">
        <f t="shared" si="10"/>
        <v>82_0</v>
      </c>
      <c r="C697" t="s">
        <v>154</v>
      </c>
      <c r="D697" t="s">
        <v>157</v>
      </c>
      <c r="E697" t="s">
        <v>158</v>
      </c>
      <c r="F697">
        <v>10.42</v>
      </c>
    </row>
    <row r="698" spans="1:7" x14ac:dyDescent="0.55000000000000004">
      <c r="A698">
        <v>82</v>
      </c>
      <c r="B698" t="str">
        <f t="shared" si="10"/>
        <v>82_0</v>
      </c>
      <c r="C698" t="s">
        <v>154</v>
      </c>
      <c r="D698" t="s">
        <v>159</v>
      </c>
      <c r="E698" t="s">
        <v>139</v>
      </c>
      <c r="F698">
        <v>117.5</v>
      </c>
    </row>
    <row r="699" spans="1:7" x14ac:dyDescent="0.55000000000000004">
      <c r="A699">
        <v>82</v>
      </c>
      <c r="B699" t="str">
        <f t="shared" si="10"/>
        <v>82_0</v>
      </c>
      <c r="C699" t="s">
        <v>154</v>
      </c>
      <c r="D699" t="s">
        <v>160</v>
      </c>
      <c r="E699" t="s">
        <v>161</v>
      </c>
      <c r="F699">
        <v>152.80000000000001</v>
      </c>
    </row>
    <row r="700" spans="1:7" x14ac:dyDescent="0.55000000000000004">
      <c r="A700">
        <v>82</v>
      </c>
      <c r="B700" t="str">
        <f t="shared" si="10"/>
        <v>82_0</v>
      </c>
      <c r="C700" t="s">
        <v>154</v>
      </c>
      <c r="D700" t="s">
        <v>162</v>
      </c>
      <c r="F700">
        <v>8.8000000000000007</v>
      </c>
    </row>
    <row r="701" spans="1:7" x14ac:dyDescent="0.55000000000000004">
      <c r="A701">
        <v>82</v>
      </c>
      <c r="B701" t="str">
        <f t="shared" si="10"/>
        <v>82_0</v>
      </c>
      <c r="C701" t="s">
        <v>163</v>
      </c>
      <c r="D701" t="s">
        <v>164</v>
      </c>
      <c r="E701" t="s">
        <v>139</v>
      </c>
      <c r="F701">
        <v>4</v>
      </c>
    </row>
    <row r="702" spans="1:7" x14ac:dyDescent="0.55000000000000004">
      <c r="A702">
        <v>82</v>
      </c>
      <c r="B702" t="str">
        <f t="shared" si="10"/>
        <v>82_0</v>
      </c>
      <c r="C702" t="s">
        <v>163</v>
      </c>
      <c r="D702" t="s">
        <v>165</v>
      </c>
      <c r="F702" t="s">
        <v>177</v>
      </c>
    </row>
    <row r="703" spans="1:7" x14ac:dyDescent="0.55000000000000004">
      <c r="A703">
        <v>82</v>
      </c>
      <c r="B703" t="str">
        <f t="shared" si="10"/>
        <v>82_0</v>
      </c>
      <c r="C703" t="s">
        <v>163</v>
      </c>
      <c r="D703" t="s">
        <v>166</v>
      </c>
      <c r="E703" t="s">
        <v>139</v>
      </c>
      <c r="F703">
        <v>0</v>
      </c>
    </row>
    <row r="704" spans="1:7" x14ac:dyDescent="0.55000000000000004">
      <c r="A704">
        <v>82</v>
      </c>
      <c r="B704" t="str">
        <f t="shared" si="10"/>
        <v>82_0</v>
      </c>
      <c r="C704" t="s">
        <v>163</v>
      </c>
      <c r="D704" t="s">
        <v>167</v>
      </c>
    </row>
    <row r="705" spans="1:7" x14ac:dyDescent="0.55000000000000004">
      <c r="A705">
        <v>82</v>
      </c>
      <c r="B705" t="str">
        <f t="shared" si="10"/>
        <v>82_0</v>
      </c>
      <c r="C705" t="s">
        <v>163</v>
      </c>
      <c r="D705" t="s">
        <v>168</v>
      </c>
      <c r="E705" t="s">
        <v>131</v>
      </c>
      <c r="F705">
        <v>0</v>
      </c>
    </row>
    <row r="706" spans="1:7" x14ac:dyDescent="0.55000000000000004">
      <c r="A706">
        <v>82</v>
      </c>
      <c r="B706" t="str">
        <f t="shared" si="10"/>
        <v>82_0</v>
      </c>
      <c r="C706" t="s">
        <v>163</v>
      </c>
      <c r="D706" t="s">
        <v>169</v>
      </c>
    </row>
    <row r="707" spans="1:7" x14ac:dyDescent="0.55000000000000004">
      <c r="A707">
        <v>82</v>
      </c>
      <c r="B707" t="str">
        <f t="shared" ref="B707:B770" si="11">A707 &amp; "_0"</f>
        <v>82_0</v>
      </c>
      <c r="C707" t="s">
        <v>163</v>
      </c>
      <c r="D707" t="s">
        <v>170</v>
      </c>
      <c r="E707" t="s">
        <v>139</v>
      </c>
      <c r="F707">
        <v>10</v>
      </c>
    </row>
    <row r="708" spans="1:7" x14ac:dyDescent="0.55000000000000004">
      <c r="A708">
        <v>82</v>
      </c>
      <c r="B708" t="str">
        <f t="shared" si="11"/>
        <v>82_0</v>
      </c>
      <c r="C708" t="s">
        <v>163</v>
      </c>
      <c r="D708" t="s">
        <v>171</v>
      </c>
    </row>
    <row r="709" spans="1:7" x14ac:dyDescent="0.55000000000000004">
      <c r="A709">
        <v>83</v>
      </c>
      <c r="B709" t="str">
        <f t="shared" si="11"/>
        <v>83_0</v>
      </c>
      <c r="C709" t="s">
        <v>126</v>
      </c>
      <c r="D709" t="s">
        <v>127</v>
      </c>
      <c r="E709" t="s">
        <v>128</v>
      </c>
      <c r="F709" s="1"/>
      <c r="G709" t="s">
        <v>129</v>
      </c>
    </row>
    <row r="710" spans="1:7" x14ac:dyDescent="0.55000000000000004">
      <c r="A710">
        <v>83</v>
      </c>
      <c r="B710" t="str">
        <f t="shared" si="11"/>
        <v>83_0</v>
      </c>
      <c r="C710" t="s">
        <v>126</v>
      </c>
      <c r="D710" s="11" t="s">
        <v>130</v>
      </c>
      <c r="E710" t="s">
        <v>131</v>
      </c>
      <c r="F710">
        <v>1</v>
      </c>
    </row>
    <row r="711" spans="1:7" x14ac:dyDescent="0.55000000000000004">
      <c r="A711">
        <v>83</v>
      </c>
      <c r="B711" t="str">
        <f t="shared" si="11"/>
        <v>83_0</v>
      </c>
      <c r="C711" t="s">
        <v>126</v>
      </c>
      <c r="D711" t="s">
        <v>132</v>
      </c>
      <c r="E711" t="s">
        <v>133</v>
      </c>
    </row>
    <row r="712" spans="1:7" x14ac:dyDescent="0.55000000000000004">
      <c r="A712">
        <v>83</v>
      </c>
      <c r="B712" t="str">
        <f t="shared" si="11"/>
        <v>83_0</v>
      </c>
      <c r="C712" t="s">
        <v>126</v>
      </c>
      <c r="D712" t="s">
        <v>134</v>
      </c>
      <c r="E712" t="s">
        <v>133</v>
      </c>
      <c r="F712">
        <v>1.3</v>
      </c>
    </row>
    <row r="713" spans="1:7" x14ac:dyDescent="0.55000000000000004">
      <c r="A713">
        <v>83</v>
      </c>
      <c r="B713" t="str">
        <f t="shared" si="11"/>
        <v>83_0</v>
      </c>
      <c r="C713" t="s">
        <v>126</v>
      </c>
      <c r="D713" t="s">
        <v>135</v>
      </c>
      <c r="E713" t="s">
        <v>136</v>
      </c>
      <c r="F713">
        <f>F712/10</f>
        <v>0.13</v>
      </c>
      <c r="G713" t="s">
        <v>137</v>
      </c>
    </row>
    <row r="714" spans="1:7" x14ac:dyDescent="0.55000000000000004">
      <c r="A714">
        <v>83</v>
      </c>
      <c r="B714" t="str">
        <f t="shared" si="11"/>
        <v>83_0</v>
      </c>
      <c r="C714" t="s">
        <v>126</v>
      </c>
      <c r="D714" s="2" t="s">
        <v>138</v>
      </c>
      <c r="E714" t="s">
        <v>139</v>
      </c>
      <c r="F714">
        <v>20</v>
      </c>
    </row>
    <row r="715" spans="1:7" x14ac:dyDescent="0.55000000000000004">
      <c r="A715">
        <v>83</v>
      </c>
      <c r="B715" t="str">
        <f t="shared" si="11"/>
        <v>83_0</v>
      </c>
      <c r="C715" t="s">
        <v>126</v>
      </c>
      <c r="D715" s="2" t="s">
        <v>140</v>
      </c>
      <c r="F715" t="s">
        <v>172</v>
      </c>
    </row>
    <row r="716" spans="1:7" x14ac:dyDescent="0.55000000000000004">
      <c r="A716">
        <v>83</v>
      </c>
      <c r="B716" t="str">
        <f t="shared" si="11"/>
        <v>83_0</v>
      </c>
      <c r="C716" t="s">
        <v>126</v>
      </c>
      <c r="D716" s="2" t="s">
        <v>141</v>
      </c>
      <c r="E716" t="s">
        <v>139</v>
      </c>
      <c r="F716">
        <v>100</v>
      </c>
    </row>
    <row r="717" spans="1:7" x14ac:dyDescent="0.55000000000000004">
      <c r="A717">
        <v>83</v>
      </c>
      <c r="B717" t="str">
        <f t="shared" si="11"/>
        <v>83_0</v>
      </c>
      <c r="C717" t="s">
        <v>126</v>
      </c>
      <c r="D717" t="s">
        <v>142</v>
      </c>
      <c r="E717" t="s">
        <v>139</v>
      </c>
      <c r="F717">
        <v>0</v>
      </c>
    </row>
    <row r="718" spans="1:7" x14ac:dyDescent="0.55000000000000004">
      <c r="A718">
        <v>83</v>
      </c>
      <c r="B718" t="str">
        <f t="shared" si="11"/>
        <v>83_0</v>
      </c>
      <c r="C718" t="s">
        <v>126</v>
      </c>
      <c r="D718" t="s">
        <v>143</v>
      </c>
      <c r="E718" t="s">
        <v>131</v>
      </c>
      <c r="F718">
        <v>0</v>
      </c>
    </row>
    <row r="719" spans="1:7" x14ac:dyDescent="0.55000000000000004">
      <c r="A719">
        <v>83</v>
      </c>
      <c r="B719" t="str">
        <f t="shared" si="11"/>
        <v>83_0</v>
      </c>
      <c r="C719" t="s">
        <v>126</v>
      </c>
      <c r="D719" t="s">
        <v>144</v>
      </c>
      <c r="E719" t="s">
        <v>139</v>
      </c>
      <c r="F719">
        <v>0</v>
      </c>
    </row>
    <row r="720" spans="1:7" x14ac:dyDescent="0.55000000000000004">
      <c r="A720">
        <v>83</v>
      </c>
      <c r="B720" t="str">
        <f t="shared" si="11"/>
        <v>83_0</v>
      </c>
      <c r="C720" t="s">
        <v>126</v>
      </c>
      <c r="D720" t="s">
        <v>145</v>
      </c>
      <c r="E720" t="s">
        <v>139</v>
      </c>
      <c r="F720">
        <v>0</v>
      </c>
    </row>
    <row r="721" spans="1:6" x14ac:dyDescent="0.55000000000000004">
      <c r="A721">
        <v>83</v>
      </c>
      <c r="B721" t="str">
        <f t="shared" si="11"/>
        <v>83_0</v>
      </c>
      <c r="C721" t="s">
        <v>126</v>
      </c>
      <c r="D721" t="s">
        <v>146</v>
      </c>
      <c r="E721" t="s">
        <v>139</v>
      </c>
      <c r="F721">
        <v>30</v>
      </c>
    </row>
    <row r="722" spans="1:6" x14ac:dyDescent="0.55000000000000004">
      <c r="A722">
        <v>83</v>
      </c>
      <c r="B722" t="str">
        <f t="shared" si="11"/>
        <v>83_0</v>
      </c>
      <c r="C722" t="s">
        <v>126</v>
      </c>
      <c r="D722" t="s">
        <v>147</v>
      </c>
      <c r="E722" t="s">
        <v>139</v>
      </c>
      <c r="F722">
        <v>0</v>
      </c>
    </row>
    <row r="723" spans="1:6" x14ac:dyDescent="0.55000000000000004">
      <c r="A723">
        <v>83</v>
      </c>
      <c r="B723" t="str">
        <f t="shared" si="11"/>
        <v>83_0</v>
      </c>
      <c r="C723" t="s">
        <v>126</v>
      </c>
      <c r="D723" t="s">
        <v>148</v>
      </c>
      <c r="E723" t="s">
        <v>139</v>
      </c>
      <c r="F723">
        <v>70</v>
      </c>
    </row>
    <row r="724" spans="1:6" x14ac:dyDescent="0.55000000000000004">
      <c r="A724">
        <v>83</v>
      </c>
      <c r="B724" t="str">
        <f t="shared" si="11"/>
        <v>83_0</v>
      </c>
      <c r="C724" t="s">
        <v>126</v>
      </c>
      <c r="D724" t="s">
        <v>149</v>
      </c>
      <c r="E724" t="s">
        <v>139</v>
      </c>
      <c r="F724">
        <v>0</v>
      </c>
    </row>
    <row r="725" spans="1:6" x14ac:dyDescent="0.55000000000000004">
      <c r="A725">
        <v>83</v>
      </c>
      <c r="B725" t="str">
        <f t="shared" si="11"/>
        <v>83_0</v>
      </c>
      <c r="C725" t="s">
        <v>126</v>
      </c>
      <c r="D725" t="s">
        <v>150</v>
      </c>
      <c r="E725" t="s">
        <v>139</v>
      </c>
      <c r="F725">
        <v>0</v>
      </c>
    </row>
    <row r="726" spans="1:6" x14ac:dyDescent="0.55000000000000004">
      <c r="A726">
        <v>83</v>
      </c>
      <c r="B726" t="str">
        <f t="shared" si="11"/>
        <v>83_0</v>
      </c>
      <c r="C726" t="s">
        <v>126</v>
      </c>
      <c r="D726" t="s">
        <v>151</v>
      </c>
      <c r="E726" t="s">
        <v>139</v>
      </c>
      <c r="F726">
        <v>0</v>
      </c>
    </row>
    <row r="727" spans="1:6" x14ac:dyDescent="0.55000000000000004">
      <c r="A727">
        <v>83</v>
      </c>
      <c r="B727" t="str">
        <f t="shared" si="11"/>
        <v>83_0</v>
      </c>
      <c r="C727" t="s">
        <v>126</v>
      </c>
      <c r="D727" t="s">
        <v>152</v>
      </c>
      <c r="E727" t="s">
        <v>153</v>
      </c>
      <c r="F727">
        <v>0</v>
      </c>
    </row>
    <row r="728" spans="1:6" x14ac:dyDescent="0.55000000000000004">
      <c r="A728">
        <v>83</v>
      </c>
      <c r="B728" t="str">
        <f t="shared" si="11"/>
        <v>83_0</v>
      </c>
      <c r="C728" t="s">
        <v>154</v>
      </c>
      <c r="D728" t="s">
        <v>155</v>
      </c>
      <c r="E728" t="s">
        <v>156</v>
      </c>
      <c r="F728">
        <v>20.7</v>
      </c>
    </row>
    <row r="729" spans="1:6" x14ac:dyDescent="0.55000000000000004">
      <c r="A729">
        <v>83</v>
      </c>
      <c r="B729" t="str">
        <f t="shared" si="11"/>
        <v>83_0</v>
      </c>
      <c r="C729" t="s">
        <v>154</v>
      </c>
      <c r="D729" t="s">
        <v>157</v>
      </c>
      <c r="E729" t="s">
        <v>158</v>
      </c>
      <c r="F729">
        <v>9.61</v>
      </c>
    </row>
    <row r="730" spans="1:6" x14ac:dyDescent="0.55000000000000004">
      <c r="A730">
        <v>83</v>
      </c>
      <c r="B730" t="str">
        <f t="shared" si="11"/>
        <v>83_0</v>
      </c>
      <c r="C730" t="s">
        <v>154</v>
      </c>
      <c r="D730" t="s">
        <v>159</v>
      </c>
      <c r="E730" t="s">
        <v>139</v>
      </c>
      <c r="F730">
        <v>107.3</v>
      </c>
    </row>
    <row r="731" spans="1:6" x14ac:dyDescent="0.55000000000000004">
      <c r="A731">
        <v>83</v>
      </c>
      <c r="B731" t="str">
        <f t="shared" si="11"/>
        <v>83_0</v>
      </c>
      <c r="C731" t="s">
        <v>154</v>
      </c>
      <c r="D731" t="s">
        <v>160</v>
      </c>
      <c r="E731" t="s">
        <v>161</v>
      </c>
      <c r="F731">
        <v>144.5</v>
      </c>
    </row>
    <row r="732" spans="1:6" x14ac:dyDescent="0.55000000000000004">
      <c r="A732">
        <v>83</v>
      </c>
      <c r="B732" t="str">
        <f t="shared" si="11"/>
        <v>83_0</v>
      </c>
      <c r="C732" t="s">
        <v>154</v>
      </c>
      <c r="D732" t="s">
        <v>162</v>
      </c>
      <c r="F732">
        <v>8.86</v>
      </c>
    </row>
    <row r="733" spans="1:6" x14ac:dyDescent="0.55000000000000004">
      <c r="A733">
        <v>83</v>
      </c>
      <c r="B733" t="str">
        <f t="shared" si="11"/>
        <v>83_0</v>
      </c>
      <c r="C733" t="s">
        <v>163</v>
      </c>
      <c r="D733" t="s">
        <v>164</v>
      </c>
      <c r="E733" t="s">
        <v>139</v>
      </c>
      <c r="F733">
        <v>0</v>
      </c>
    </row>
    <row r="734" spans="1:6" x14ac:dyDescent="0.55000000000000004">
      <c r="A734">
        <v>83</v>
      </c>
      <c r="B734" t="str">
        <f t="shared" si="11"/>
        <v>83_0</v>
      </c>
      <c r="C734" t="s">
        <v>163</v>
      </c>
      <c r="D734" t="s">
        <v>165</v>
      </c>
    </row>
    <row r="735" spans="1:6" x14ac:dyDescent="0.55000000000000004">
      <c r="A735">
        <v>83</v>
      </c>
      <c r="B735" t="str">
        <f t="shared" si="11"/>
        <v>83_0</v>
      </c>
      <c r="C735" t="s">
        <v>163</v>
      </c>
      <c r="D735" t="s">
        <v>166</v>
      </c>
      <c r="E735" t="s">
        <v>139</v>
      </c>
      <c r="F735">
        <v>0</v>
      </c>
    </row>
    <row r="736" spans="1:6" x14ac:dyDescent="0.55000000000000004">
      <c r="A736">
        <v>83</v>
      </c>
      <c r="B736" t="str">
        <f t="shared" si="11"/>
        <v>83_0</v>
      </c>
      <c r="C736" t="s">
        <v>163</v>
      </c>
      <c r="D736" t="s">
        <v>167</v>
      </c>
    </row>
    <row r="737" spans="1:7" x14ac:dyDescent="0.55000000000000004">
      <c r="A737">
        <v>83</v>
      </c>
      <c r="B737" t="str">
        <f t="shared" si="11"/>
        <v>83_0</v>
      </c>
      <c r="C737" t="s">
        <v>163</v>
      </c>
      <c r="D737" t="s">
        <v>168</v>
      </c>
      <c r="E737" t="s">
        <v>131</v>
      </c>
      <c r="F737">
        <v>0</v>
      </c>
    </row>
    <row r="738" spans="1:7" x14ac:dyDescent="0.55000000000000004">
      <c r="A738">
        <v>83</v>
      </c>
      <c r="B738" t="str">
        <f t="shared" si="11"/>
        <v>83_0</v>
      </c>
      <c r="C738" t="s">
        <v>163</v>
      </c>
      <c r="D738" t="s">
        <v>169</v>
      </c>
    </row>
    <row r="739" spans="1:7" x14ac:dyDescent="0.55000000000000004">
      <c r="A739">
        <v>83</v>
      </c>
      <c r="B739" t="str">
        <f t="shared" si="11"/>
        <v>83_0</v>
      </c>
      <c r="C739" t="s">
        <v>163</v>
      </c>
      <c r="D739" t="s">
        <v>170</v>
      </c>
      <c r="E739" t="s">
        <v>139</v>
      </c>
      <c r="F739">
        <v>0</v>
      </c>
    </row>
    <row r="740" spans="1:7" x14ac:dyDescent="0.55000000000000004">
      <c r="A740">
        <v>83</v>
      </c>
      <c r="B740" t="str">
        <f t="shared" si="11"/>
        <v>83_0</v>
      </c>
      <c r="C740" t="s">
        <v>163</v>
      </c>
      <c r="D740" t="s">
        <v>171</v>
      </c>
    </row>
    <row r="741" spans="1:7" x14ac:dyDescent="0.55000000000000004">
      <c r="A741">
        <v>84</v>
      </c>
      <c r="B741" t="str">
        <f t="shared" si="11"/>
        <v>84_0</v>
      </c>
      <c r="C741" t="s">
        <v>126</v>
      </c>
      <c r="D741" t="s">
        <v>127</v>
      </c>
      <c r="E741" t="s">
        <v>128</v>
      </c>
      <c r="F741" s="1"/>
      <c r="G741" t="s">
        <v>129</v>
      </c>
    </row>
    <row r="742" spans="1:7" x14ac:dyDescent="0.55000000000000004">
      <c r="A742">
        <v>84</v>
      </c>
      <c r="B742" t="str">
        <f t="shared" si="11"/>
        <v>84_0</v>
      </c>
      <c r="C742" t="s">
        <v>126</v>
      </c>
      <c r="D742" s="11" t="s">
        <v>130</v>
      </c>
      <c r="E742" t="s">
        <v>131</v>
      </c>
      <c r="F742">
        <v>1</v>
      </c>
    </row>
    <row r="743" spans="1:7" x14ac:dyDescent="0.55000000000000004">
      <c r="A743">
        <v>84</v>
      </c>
      <c r="B743" t="str">
        <f t="shared" si="11"/>
        <v>84_0</v>
      </c>
      <c r="C743" t="s">
        <v>126</v>
      </c>
      <c r="D743" t="s">
        <v>132</v>
      </c>
      <c r="E743" t="s">
        <v>133</v>
      </c>
      <c r="F743">
        <v>3.5</v>
      </c>
      <c r="G743" t="s">
        <v>175</v>
      </c>
    </row>
    <row r="744" spans="1:7" x14ac:dyDescent="0.55000000000000004">
      <c r="A744">
        <v>84</v>
      </c>
      <c r="B744" t="str">
        <f t="shared" si="11"/>
        <v>84_0</v>
      </c>
      <c r="C744" t="s">
        <v>126</v>
      </c>
      <c r="D744" t="s">
        <v>134</v>
      </c>
      <c r="E744" t="s">
        <v>133</v>
      </c>
      <c r="F744">
        <v>0.65</v>
      </c>
    </row>
    <row r="745" spans="1:7" x14ac:dyDescent="0.55000000000000004">
      <c r="A745">
        <v>84</v>
      </c>
      <c r="B745" t="str">
        <f t="shared" si="11"/>
        <v>84_0</v>
      </c>
      <c r="C745" t="s">
        <v>126</v>
      </c>
      <c r="D745" t="s">
        <v>135</v>
      </c>
      <c r="E745" t="s">
        <v>136</v>
      </c>
      <c r="F745">
        <f>F744/10</f>
        <v>6.5000000000000002E-2</v>
      </c>
      <c r="G745" t="s">
        <v>137</v>
      </c>
    </row>
    <row r="746" spans="1:7" x14ac:dyDescent="0.55000000000000004">
      <c r="A746">
        <v>84</v>
      </c>
      <c r="B746" t="str">
        <f t="shared" si="11"/>
        <v>84_0</v>
      </c>
      <c r="C746" t="s">
        <v>126</v>
      </c>
      <c r="D746" s="2" t="s">
        <v>138</v>
      </c>
      <c r="E746" t="s">
        <v>139</v>
      </c>
      <c r="F746">
        <v>100</v>
      </c>
    </row>
    <row r="747" spans="1:7" x14ac:dyDescent="0.55000000000000004">
      <c r="A747">
        <v>84</v>
      </c>
      <c r="B747" t="str">
        <f t="shared" si="11"/>
        <v>84_0</v>
      </c>
      <c r="C747" t="s">
        <v>126</v>
      </c>
      <c r="D747" s="2" t="s">
        <v>140</v>
      </c>
      <c r="F747" t="s">
        <v>172</v>
      </c>
    </row>
    <row r="748" spans="1:7" x14ac:dyDescent="0.55000000000000004">
      <c r="A748">
        <v>84</v>
      </c>
      <c r="B748" t="str">
        <f t="shared" si="11"/>
        <v>84_0</v>
      </c>
      <c r="C748" t="s">
        <v>126</v>
      </c>
      <c r="D748" s="2" t="s">
        <v>141</v>
      </c>
      <c r="E748" t="s">
        <v>139</v>
      </c>
      <c r="F748">
        <v>100</v>
      </c>
    </row>
    <row r="749" spans="1:7" x14ac:dyDescent="0.55000000000000004">
      <c r="A749">
        <v>84</v>
      </c>
      <c r="B749" t="str">
        <f t="shared" si="11"/>
        <v>84_0</v>
      </c>
      <c r="C749" t="s">
        <v>126</v>
      </c>
      <c r="D749" t="s">
        <v>142</v>
      </c>
      <c r="E749" t="s">
        <v>139</v>
      </c>
      <c r="F749">
        <v>0</v>
      </c>
    </row>
    <row r="750" spans="1:7" x14ac:dyDescent="0.55000000000000004">
      <c r="A750">
        <v>84</v>
      </c>
      <c r="B750" t="str">
        <f t="shared" si="11"/>
        <v>84_0</v>
      </c>
      <c r="C750" t="s">
        <v>126</v>
      </c>
      <c r="D750" t="s">
        <v>143</v>
      </c>
      <c r="E750" t="s">
        <v>131</v>
      </c>
      <c r="F750">
        <v>0</v>
      </c>
    </row>
    <row r="751" spans="1:7" x14ac:dyDescent="0.55000000000000004">
      <c r="A751">
        <v>84</v>
      </c>
      <c r="B751" t="str">
        <f t="shared" si="11"/>
        <v>84_0</v>
      </c>
      <c r="C751" t="s">
        <v>126</v>
      </c>
      <c r="D751" t="s">
        <v>144</v>
      </c>
      <c r="E751" t="s">
        <v>139</v>
      </c>
      <c r="F751">
        <v>0</v>
      </c>
    </row>
    <row r="752" spans="1:7" x14ac:dyDescent="0.55000000000000004">
      <c r="A752">
        <v>84</v>
      </c>
      <c r="B752" t="str">
        <f t="shared" si="11"/>
        <v>84_0</v>
      </c>
      <c r="C752" t="s">
        <v>126</v>
      </c>
      <c r="D752" t="s">
        <v>145</v>
      </c>
      <c r="E752" t="s">
        <v>139</v>
      </c>
      <c r="F752">
        <v>0</v>
      </c>
    </row>
    <row r="753" spans="1:6" x14ac:dyDescent="0.55000000000000004">
      <c r="A753">
        <v>84</v>
      </c>
      <c r="B753" t="str">
        <f t="shared" si="11"/>
        <v>84_0</v>
      </c>
      <c r="C753" t="s">
        <v>126</v>
      </c>
      <c r="D753" t="s">
        <v>146</v>
      </c>
      <c r="E753" t="s">
        <v>139</v>
      </c>
      <c r="F753">
        <v>10</v>
      </c>
    </row>
    <row r="754" spans="1:6" x14ac:dyDescent="0.55000000000000004">
      <c r="A754">
        <v>84</v>
      </c>
      <c r="B754" t="str">
        <f t="shared" si="11"/>
        <v>84_0</v>
      </c>
      <c r="C754" t="s">
        <v>126</v>
      </c>
      <c r="D754" t="s">
        <v>147</v>
      </c>
      <c r="E754" t="s">
        <v>139</v>
      </c>
      <c r="F754">
        <v>0</v>
      </c>
    </row>
    <row r="755" spans="1:6" x14ac:dyDescent="0.55000000000000004">
      <c r="A755">
        <v>84</v>
      </c>
      <c r="B755" t="str">
        <f t="shared" si="11"/>
        <v>84_0</v>
      </c>
      <c r="C755" t="s">
        <v>126</v>
      </c>
      <c r="D755" t="s">
        <v>148</v>
      </c>
      <c r="E755" t="s">
        <v>139</v>
      </c>
      <c r="F755">
        <v>90</v>
      </c>
    </row>
    <row r="756" spans="1:6" x14ac:dyDescent="0.55000000000000004">
      <c r="A756">
        <v>84</v>
      </c>
      <c r="B756" t="str">
        <f t="shared" si="11"/>
        <v>84_0</v>
      </c>
      <c r="C756" t="s">
        <v>126</v>
      </c>
      <c r="D756" t="s">
        <v>149</v>
      </c>
      <c r="E756" t="s">
        <v>139</v>
      </c>
      <c r="F756">
        <v>0</v>
      </c>
    </row>
    <row r="757" spans="1:6" x14ac:dyDescent="0.55000000000000004">
      <c r="A757">
        <v>84</v>
      </c>
      <c r="B757" t="str">
        <f t="shared" si="11"/>
        <v>84_0</v>
      </c>
      <c r="C757" t="s">
        <v>126</v>
      </c>
      <c r="D757" t="s">
        <v>150</v>
      </c>
      <c r="E757" t="s">
        <v>139</v>
      </c>
      <c r="F757">
        <v>0</v>
      </c>
    </row>
    <row r="758" spans="1:6" x14ac:dyDescent="0.55000000000000004">
      <c r="A758">
        <v>84</v>
      </c>
      <c r="B758" t="str">
        <f t="shared" si="11"/>
        <v>84_0</v>
      </c>
      <c r="C758" t="s">
        <v>126</v>
      </c>
      <c r="D758" t="s">
        <v>151</v>
      </c>
      <c r="E758" t="s">
        <v>139</v>
      </c>
      <c r="F758">
        <v>0</v>
      </c>
    </row>
    <row r="759" spans="1:6" x14ac:dyDescent="0.55000000000000004">
      <c r="A759">
        <v>84</v>
      </c>
      <c r="B759" t="str">
        <f t="shared" si="11"/>
        <v>84_0</v>
      </c>
      <c r="C759" t="s">
        <v>126</v>
      </c>
      <c r="D759" t="s">
        <v>152</v>
      </c>
      <c r="E759" t="s">
        <v>153</v>
      </c>
    </row>
    <row r="760" spans="1:6" x14ac:dyDescent="0.55000000000000004">
      <c r="A760">
        <v>84</v>
      </c>
      <c r="B760" t="str">
        <f t="shared" si="11"/>
        <v>84_0</v>
      </c>
      <c r="C760" t="s">
        <v>154</v>
      </c>
      <c r="D760" t="s">
        <v>155</v>
      </c>
      <c r="E760" t="s">
        <v>156</v>
      </c>
      <c r="F760">
        <v>22.6</v>
      </c>
    </row>
    <row r="761" spans="1:6" x14ac:dyDescent="0.55000000000000004">
      <c r="A761">
        <v>84</v>
      </c>
      <c r="B761" t="str">
        <f t="shared" si="11"/>
        <v>84_0</v>
      </c>
      <c r="C761" t="s">
        <v>154</v>
      </c>
      <c r="D761" t="s">
        <v>157</v>
      </c>
      <c r="E761" t="s">
        <v>158</v>
      </c>
      <c r="F761">
        <v>10.64</v>
      </c>
    </row>
    <row r="762" spans="1:6" x14ac:dyDescent="0.55000000000000004">
      <c r="A762">
        <v>84</v>
      </c>
      <c r="B762" t="str">
        <f t="shared" si="11"/>
        <v>84_0</v>
      </c>
      <c r="C762" t="s">
        <v>154</v>
      </c>
      <c r="D762" t="s">
        <v>159</v>
      </c>
      <c r="E762" t="s">
        <v>139</v>
      </c>
      <c r="F762">
        <v>123.3</v>
      </c>
    </row>
    <row r="763" spans="1:6" x14ac:dyDescent="0.55000000000000004">
      <c r="A763">
        <v>84</v>
      </c>
      <c r="B763" t="str">
        <f t="shared" si="11"/>
        <v>84_0</v>
      </c>
      <c r="C763" t="s">
        <v>154</v>
      </c>
      <c r="D763" t="s">
        <v>160</v>
      </c>
      <c r="E763" t="s">
        <v>161</v>
      </c>
      <c r="F763">
        <v>150.4</v>
      </c>
    </row>
    <row r="764" spans="1:6" x14ac:dyDescent="0.55000000000000004">
      <c r="A764">
        <v>84</v>
      </c>
      <c r="B764" t="str">
        <f t="shared" si="11"/>
        <v>84_0</v>
      </c>
      <c r="C764" t="s">
        <v>154</v>
      </c>
      <c r="D764" t="s">
        <v>162</v>
      </c>
      <c r="F764">
        <v>9.02</v>
      </c>
    </row>
    <row r="765" spans="1:6" x14ac:dyDescent="0.55000000000000004">
      <c r="A765">
        <v>84</v>
      </c>
      <c r="B765" t="str">
        <f t="shared" si="11"/>
        <v>84_0</v>
      </c>
      <c r="C765" t="s">
        <v>163</v>
      </c>
      <c r="D765" t="s">
        <v>164</v>
      </c>
      <c r="E765" t="s">
        <v>139</v>
      </c>
      <c r="F765">
        <v>0</v>
      </c>
    </row>
    <row r="766" spans="1:6" x14ac:dyDescent="0.55000000000000004">
      <c r="A766">
        <v>84</v>
      </c>
      <c r="B766" t="str">
        <f t="shared" si="11"/>
        <v>84_0</v>
      </c>
      <c r="C766" t="s">
        <v>163</v>
      </c>
      <c r="D766" t="s">
        <v>165</v>
      </c>
    </row>
    <row r="767" spans="1:6" x14ac:dyDescent="0.55000000000000004">
      <c r="A767">
        <v>84</v>
      </c>
      <c r="B767" t="str">
        <f t="shared" si="11"/>
        <v>84_0</v>
      </c>
      <c r="C767" t="s">
        <v>163</v>
      </c>
      <c r="D767" t="s">
        <v>166</v>
      </c>
      <c r="E767" t="s">
        <v>139</v>
      </c>
      <c r="F767">
        <v>0</v>
      </c>
    </row>
    <row r="768" spans="1:6" x14ac:dyDescent="0.55000000000000004">
      <c r="A768">
        <v>84</v>
      </c>
      <c r="B768" t="str">
        <f t="shared" si="11"/>
        <v>84_0</v>
      </c>
      <c r="C768" t="s">
        <v>163</v>
      </c>
      <c r="D768" t="s">
        <v>167</v>
      </c>
    </row>
    <row r="769" spans="1:7" x14ac:dyDescent="0.55000000000000004">
      <c r="A769">
        <v>84</v>
      </c>
      <c r="B769" t="str">
        <f t="shared" si="11"/>
        <v>84_0</v>
      </c>
      <c r="C769" t="s">
        <v>163</v>
      </c>
      <c r="D769" t="s">
        <v>168</v>
      </c>
      <c r="E769" t="s">
        <v>131</v>
      </c>
      <c r="F769">
        <v>0</v>
      </c>
    </row>
    <row r="770" spans="1:7" x14ac:dyDescent="0.55000000000000004">
      <c r="A770">
        <v>84</v>
      </c>
      <c r="B770" t="str">
        <f t="shared" si="11"/>
        <v>84_0</v>
      </c>
      <c r="C770" t="s">
        <v>163</v>
      </c>
      <c r="D770" t="s">
        <v>169</v>
      </c>
    </row>
    <row r="771" spans="1:7" x14ac:dyDescent="0.55000000000000004">
      <c r="A771">
        <v>84</v>
      </c>
      <c r="B771" t="str">
        <f t="shared" ref="B771:B834" si="12">A771 &amp; "_0"</f>
        <v>84_0</v>
      </c>
      <c r="C771" t="s">
        <v>163</v>
      </c>
      <c r="D771" t="s">
        <v>170</v>
      </c>
      <c r="E771" t="s">
        <v>139</v>
      </c>
      <c r="F771">
        <v>3</v>
      </c>
    </row>
    <row r="772" spans="1:7" x14ac:dyDescent="0.55000000000000004">
      <c r="A772">
        <v>84</v>
      </c>
      <c r="B772" t="str">
        <f t="shared" si="12"/>
        <v>84_0</v>
      </c>
      <c r="C772" t="s">
        <v>163</v>
      </c>
      <c r="D772" t="s">
        <v>171</v>
      </c>
    </row>
    <row r="773" spans="1:7" x14ac:dyDescent="0.55000000000000004">
      <c r="A773">
        <v>85</v>
      </c>
      <c r="B773" t="str">
        <f t="shared" si="12"/>
        <v>85_0</v>
      </c>
      <c r="C773" t="s">
        <v>126</v>
      </c>
      <c r="D773" t="s">
        <v>127</v>
      </c>
      <c r="E773" t="s">
        <v>128</v>
      </c>
      <c r="F773" s="1"/>
      <c r="G773" t="s">
        <v>129</v>
      </c>
    </row>
    <row r="774" spans="1:7" x14ac:dyDescent="0.55000000000000004">
      <c r="A774">
        <v>85</v>
      </c>
      <c r="B774" t="str">
        <f t="shared" si="12"/>
        <v>85_0</v>
      </c>
      <c r="C774" t="s">
        <v>126</v>
      </c>
      <c r="D774" s="11" t="s">
        <v>130</v>
      </c>
      <c r="E774" t="s">
        <v>131</v>
      </c>
      <c r="F774">
        <v>1</v>
      </c>
    </row>
    <row r="775" spans="1:7" x14ac:dyDescent="0.55000000000000004">
      <c r="A775">
        <v>85</v>
      </c>
      <c r="B775" t="str">
        <f t="shared" si="12"/>
        <v>85_0</v>
      </c>
      <c r="C775" t="s">
        <v>126</v>
      </c>
      <c r="D775" t="s">
        <v>132</v>
      </c>
      <c r="E775" t="s">
        <v>133</v>
      </c>
    </row>
    <row r="776" spans="1:7" x14ac:dyDescent="0.55000000000000004">
      <c r="A776">
        <v>85</v>
      </c>
      <c r="B776" t="str">
        <f t="shared" si="12"/>
        <v>85_0</v>
      </c>
      <c r="C776" t="s">
        <v>126</v>
      </c>
      <c r="D776" t="s">
        <v>134</v>
      </c>
      <c r="E776" t="s">
        <v>133</v>
      </c>
      <c r="F776">
        <v>0.9</v>
      </c>
    </row>
    <row r="777" spans="1:7" x14ac:dyDescent="0.55000000000000004">
      <c r="A777">
        <v>85</v>
      </c>
      <c r="B777" t="str">
        <f t="shared" si="12"/>
        <v>85_0</v>
      </c>
      <c r="C777" t="s">
        <v>126</v>
      </c>
      <c r="D777" t="s">
        <v>135</v>
      </c>
      <c r="E777" t="s">
        <v>136</v>
      </c>
      <c r="F777">
        <f>F776/10</f>
        <v>0.09</v>
      </c>
      <c r="G777" t="s">
        <v>137</v>
      </c>
    </row>
    <row r="778" spans="1:7" x14ac:dyDescent="0.55000000000000004">
      <c r="A778">
        <v>85</v>
      </c>
      <c r="B778" t="str">
        <f t="shared" si="12"/>
        <v>85_0</v>
      </c>
      <c r="C778" t="s">
        <v>126</v>
      </c>
      <c r="D778" s="2" t="s">
        <v>138</v>
      </c>
      <c r="E778" t="s">
        <v>139</v>
      </c>
      <c r="F778">
        <v>100</v>
      </c>
    </row>
    <row r="779" spans="1:7" x14ac:dyDescent="0.55000000000000004">
      <c r="A779">
        <v>85</v>
      </c>
      <c r="B779" t="str">
        <f t="shared" si="12"/>
        <v>85_0</v>
      </c>
      <c r="C779" t="s">
        <v>126</v>
      </c>
      <c r="D779" s="2" t="s">
        <v>140</v>
      </c>
    </row>
    <row r="780" spans="1:7" x14ac:dyDescent="0.55000000000000004">
      <c r="A780">
        <v>85</v>
      </c>
      <c r="B780" t="str">
        <f t="shared" si="12"/>
        <v>85_0</v>
      </c>
      <c r="C780" t="s">
        <v>126</v>
      </c>
      <c r="D780" s="2" t="s">
        <v>141</v>
      </c>
      <c r="E780" t="s">
        <v>139</v>
      </c>
      <c r="F780">
        <v>100</v>
      </c>
    </row>
    <row r="781" spans="1:7" x14ac:dyDescent="0.55000000000000004">
      <c r="A781">
        <v>85</v>
      </c>
      <c r="B781" t="str">
        <f t="shared" si="12"/>
        <v>85_0</v>
      </c>
      <c r="C781" t="s">
        <v>126</v>
      </c>
      <c r="D781" t="s">
        <v>142</v>
      </c>
      <c r="E781" t="s">
        <v>139</v>
      </c>
      <c r="F781">
        <v>20</v>
      </c>
    </row>
    <row r="782" spans="1:7" x14ac:dyDescent="0.55000000000000004">
      <c r="A782">
        <v>85</v>
      </c>
      <c r="B782" t="str">
        <f t="shared" si="12"/>
        <v>85_0</v>
      </c>
      <c r="C782" t="s">
        <v>126</v>
      </c>
      <c r="D782" t="s">
        <v>143</v>
      </c>
      <c r="E782" t="s">
        <v>131</v>
      </c>
      <c r="F782">
        <v>0</v>
      </c>
    </row>
    <row r="783" spans="1:7" x14ac:dyDescent="0.55000000000000004">
      <c r="A783">
        <v>85</v>
      </c>
      <c r="B783" t="str">
        <f t="shared" si="12"/>
        <v>85_0</v>
      </c>
      <c r="C783" t="s">
        <v>126</v>
      </c>
      <c r="D783" t="s">
        <v>144</v>
      </c>
      <c r="E783" t="s">
        <v>139</v>
      </c>
      <c r="F783">
        <v>0</v>
      </c>
    </row>
    <row r="784" spans="1:7" x14ac:dyDescent="0.55000000000000004">
      <c r="A784">
        <v>85</v>
      </c>
      <c r="B784" t="str">
        <f t="shared" si="12"/>
        <v>85_0</v>
      </c>
      <c r="C784" t="s">
        <v>126</v>
      </c>
      <c r="D784" t="s">
        <v>145</v>
      </c>
      <c r="E784" t="s">
        <v>139</v>
      </c>
      <c r="F784">
        <v>0</v>
      </c>
    </row>
    <row r="785" spans="1:6" x14ac:dyDescent="0.55000000000000004">
      <c r="A785">
        <v>85</v>
      </c>
      <c r="B785" t="str">
        <f t="shared" si="12"/>
        <v>85_0</v>
      </c>
      <c r="C785" t="s">
        <v>126</v>
      </c>
      <c r="D785" t="s">
        <v>146</v>
      </c>
      <c r="E785" t="s">
        <v>139</v>
      </c>
      <c r="F785">
        <v>0</v>
      </c>
    </row>
    <row r="786" spans="1:6" x14ac:dyDescent="0.55000000000000004">
      <c r="A786">
        <v>85</v>
      </c>
      <c r="B786" t="str">
        <f t="shared" si="12"/>
        <v>85_0</v>
      </c>
      <c r="C786" t="s">
        <v>126</v>
      </c>
      <c r="D786" t="s">
        <v>147</v>
      </c>
      <c r="E786" t="s">
        <v>139</v>
      </c>
      <c r="F786">
        <v>10</v>
      </c>
    </row>
    <row r="787" spans="1:6" x14ac:dyDescent="0.55000000000000004">
      <c r="A787">
        <v>85</v>
      </c>
      <c r="B787" t="str">
        <f t="shared" si="12"/>
        <v>85_0</v>
      </c>
      <c r="C787" t="s">
        <v>126</v>
      </c>
      <c r="D787" t="s">
        <v>148</v>
      </c>
      <c r="E787" t="s">
        <v>139</v>
      </c>
      <c r="F787">
        <v>90</v>
      </c>
    </row>
    <row r="788" spans="1:6" x14ac:dyDescent="0.55000000000000004">
      <c r="A788">
        <v>85</v>
      </c>
      <c r="B788" t="str">
        <f t="shared" si="12"/>
        <v>85_0</v>
      </c>
      <c r="C788" t="s">
        <v>126</v>
      </c>
      <c r="D788" t="s">
        <v>149</v>
      </c>
      <c r="E788" t="s">
        <v>139</v>
      </c>
      <c r="F788">
        <v>0</v>
      </c>
    </row>
    <row r="789" spans="1:6" x14ac:dyDescent="0.55000000000000004">
      <c r="A789">
        <v>85</v>
      </c>
      <c r="B789" t="str">
        <f t="shared" si="12"/>
        <v>85_0</v>
      </c>
      <c r="C789" t="s">
        <v>126</v>
      </c>
      <c r="D789" t="s">
        <v>150</v>
      </c>
      <c r="E789" t="s">
        <v>139</v>
      </c>
      <c r="F789">
        <v>0</v>
      </c>
    </row>
    <row r="790" spans="1:6" x14ac:dyDescent="0.55000000000000004">
      <c r="A790">
        <v>85</v>
      </c>
      <c r="B790" t="str">
        <f t="shared" si="12"/>
        <v>85_0</v>
      </c>
      <c r="C790" t="s">
        <v>126</v>
      </c>
      <c r="D790" t="s">
        <v>151</v>
      </c>
      <c r="E790" t="s">
        <v>139</v>
      </c>
      <c r="F790">
        <v>0</v>
      </c>
    </row>
    <row r="791" spans="1:6" x14ac:dyDescent="0.55000000000000004">
      <c r="A791">
        <v>85</v>
      </c>
      <c r="B791" t="str">
        <f t="shared" si="12"/>
        <v>85_0</v>
      </c>
      <c r="C791" t="s">
        <v>126</v>
      </c>
      <c r="D791" t="s">
        <v>152</v>
      </c>
      <c r="E791" t="s">
        <v>153</v>
      </c>
    </row>
    <row r="792" spans="1:6" x14ac:dyDescent="0.55000000000000004">
      <c r="A792">
        <v>85</v>
      </c>
      <c r="B792" t="str">
        <f t="shared" si="12"/>
        <v>85_0</v>
      </c>
      <c r="C792" t="s">
        <v>154</v>
      </c>
      <c r="D792" t="s">
        <v>155</v>
      </c>
      <c r="E792" t="s">
        <v>156</v>
      </c>
      <c r="F792">
        <v>21.2</v>
      </c>
    </row>
    <row r="793" spans="1:6" x14ac:dyDescent="0.55000000000000004">
      <c r="A793">
        <v>85</v>
      </c>
      <c r="B793" t="str">
        <f t="shared" si="12"/>
        <v>85_0</v>
      </c>
      <c r="C793" t="s">
        <v>154</v>
      </c>
      <c r="D793" t="s">
        <v>157</v>
      </c>
      <c r="E793" t="s">
        <v>158</v>
      </c>
      <c r="F793">
        <v>9.1999999999999993</v>
      </c>
    </row>
    <row r="794" spans="1:6" x14ac:dyDescent="0.55000000000000004">
      <c r="A794">
        <v>85</v>
      </c>
      <c r="B794" t="str">
        <f t="shared" si="12"/>
        <v>85_0</v>
      </c>
      <c r="C794" t="s">
        <v>154</v>
      </c>
      <c r="D794" t="s">
        <v>159</v>
      </c>
      <c r="E794" t="s">
        <v>139</v>
      </c>
      <c r="F794">
        <v>103.8</v>
      </c>
    </row>
    <row r="795" spans="1:6" x14ac:dyDescent="0.55000000000000004">
      <c r="A795">
        <v>85</v>
      </c>
      <c r="B795" t="str">
        <f t="shared" si="12"/>
        <v>85_0</v>
      </c>
      <c r="C795" t="s">
        <v>154</v>
      </c>
      <c r="D795" t="s">
        <v>160</v>
      </c>
      <c r="E795" t="s">
        <v>161</v>
      </c>
      <c r="F795">
        <v>423.8</v>
      </c>
    </row>
    <row r="796" spans="1:6" x14ac:dyDescent="0.55000000000000004">
      <c r="A796">
        <v>85</v>
      </c>
      <c r="B796" t="str">
        <f t="shared" si="12"/>
        <v>85_0</v>
      </c>
      <c r="C796" t="s">
        <v>154</v>
      </c>
      <c r="D796" t="s">
        <v>162</v>
      </c>
      <c r="F796">
        <v>8.56</v>
      </c>
    </row>
    <row r="797" spans="1:6" x14ac:dyDescent="0.55000000000000004">
      <c r="A797">
        <v>85</v>
      </c>
      <c r="B797" t="str">
        <f t="shared" si="12"/>
        <v>85_0</v>
      </c>
      <c r="C797" t="s">
        <v>163</v>
      </c>
      <c r="D797" t="s">
        <v>164</v>
      </c>
      <c r="E797" t="s">
        <v>139</v>
      </c>
      <c r="F797">
        <v>0</v>
      </c>
    </row>
    <row r="798" spans="1:6" x14ac:dyDescent="0.55000000000000004">
      <c r="A798">
        <v>85</v>
      </c>
      <c r="B798" t="str">
        <f t="shared" si="12"/>
        <v>85_0</v>
      </c>
      <c r="C798" t="s">
        <v>163</v>
      </c>
      <c r="D798" t="s">
        <v>165</v>
      </c>
    </row>
    <row r="799" spans="1:6" x14ac:dyDescent="0.55000000000000004">
      <c r="A799">
        <v>85</v>
      </c>
      <c r="B799" t="str">
        <f t="shared" si="12"/>
        <v>85_0</v>
      </c>
      <c r="C799" t="s">
        <v>163</v>
      </c>
      <c r="D799" t="s">
        <v>166</v>
      </c>
      <c r="E799" t="s">
        <v>139</v>
      </c>
      <c r="F799">
        <v>0</v>
      </c>
    </row>
    <row r="800" spans="1:6" x14ac:dyDescent="0.55000000000000004">
      <c r="A800">
        <v>85</v>
      </c>
      <c r="B800" t="str">
        <f t="shared" si="12"/>
        <v>85_0</v>
      </c>
      <c r="C800" t="s">
        <v>163</v>
      </c>
      <c r="D800" t="s">
        <v>167</v>
      </c>
    </row>
    <row r="801" spans="1:7" x14ac:dyDescent="0.55000000000000004">
      <c r="A801">
        <v>85</v>
      </c>
      <c r="B801" t="str">
        <f t="shared" si="12"/>
        <v>85_0</v>
      </c>
      <c r="C801" t="s">
        <v>163</v>
      </c>
      <c r="D801" t="s">
        <v>168</v>
      </c>
      <c r="E801" t="s">
        <v>131</v>
      </c>
      <c r="F801">
        <v>0</v>
      </c>
    </row>
    <row r="802" spans="1:7" x14ac:dyDescent="0.55000000000000004">
      <c r="A802">
        <v>85</v>
      </c>
      <c r="B802" t="str">
        <f t="shared" si="12"/>
        <v>85_0</v>
      </c>
      <c r="C802" t="s">
        <v>163</v>
      </c>
      <c r="D802" t="s">
        <v>169</v>
      </c>
    </row>
    <row r="803" spans="1:7" x14ac:dyDescent="0.55000000000000004">
      <c r="A803">
        <v>85</v>
      </c>
      <c r="B803" t="str">
        <f t="shared" si="12"/>
        <v>85_0</v>
      </c>
      <c r="C803" t="s">
        <v>163</v>
      </c>
      <c r="D803" t="s">
        <v>170</v>
      </c>
      <c r="E803" t="s">
        <v>139</v>
      </c>
      <c r="F803">
        <v>20</v>
      </c>
    </row>
    <row r="804" spans="1:7" x14ac:dyDescent="0.55000000000000004">
      <c r="A804">
        <v>85</v>
      </c>
      <c r="B804" t="str">
        <f t="shared" si="12"/>
        <v>85_0</v>
      </c>
      <c r="C804" t="s">
        <v>163</v>
      </c>
      <c r="D804" t="s">
        <v>171</v>
      </c>
    </row>
    <row r="805" spans="1:7" x14ac:dyDescent="0.55000000000000004">
      <c r="A805">
        <v>86</v>
      </c>
      <c r="B805" t="str">
        <f t="shared" si="12"/>
        <v>86_0</v>
      </c>
      <c r="C805" t="s">
        <v>126</v>
      </c>
      <c r="D805" t="s">
        <v>127</v>
      </c>
      <c r="E805" t="s">
        <v>128</v>
      </c>
      <c r="F805" s="1"/>
      <c r="G805" t="s">
        <v>129</v>
      </c>
    </row>
    <row r="806" spans="1:7" x14ac:dyDescent="0.55000000000000004">
      <c r="A806">
        <v>86</v>
      </c>
      <c r="B806" t="str">
        <f t="shared" si="12"/>
        <v>86_0</v>
      </c>
      <c r="C806" t="s">
        <v>126</v>
      </c>
      <c r="D806" s="11" t="s">
        <v>130</v>
      </c>
      <c r="E806" t="s">
        <v>131</v>
      </c>
      <c r="F806">
        <v>1</v>
      </c>
    </row>
    <row r="807" spans="1:7" x14ac:dyDescent="0.55000000000000004">
      <c r="A807">
        <v>86</v>
      </c>
      <c r="B807" t="str">
        <f t="shared" si="12"/>
        <v>86_0</v>
      </c>
      <c r="C807" t="s">
        <v>126</v>
      </c>
      <c r="D807" t="s">
        <v>132</v>
      </c>
      <c r="E807" t="s">
        <v>133</v>
      </c>
      <c r="F807">
        <v>4</v>
      </c>
      <c r="G807" t="s">
        <v>175</v>
      </c>
    </row>
    <row r="808" spans="1:7" x14ac:dyDescent="0.55000000000000004">
      <c r="A808">
        <v>86</v>
      </c>
      <c r="B808" t="str">
        <f t="shared" si="12"/>
        <v>86_0</v>
      </c>
      <c r="C808" t="s">
        <v>126</v>
      </c>
      <c r="D808" t="s">
        <v>134</v>
      </c>
      <c r="E808" t="s">
        <v>133</v>
      </c>
      <c r="F808">
        <v>0.79</v>
      </c>
    </row>
    <row r="809" spans="1:7" x14ac:dyDescent="0.55000000000000004">
      <c r="A809">
        <v>86</v>
      </c>
      <c r="B809" t="str">
        <f t="shared" si="12"/>
        <v>86_0</v>
      </c>
      <c r="C809" t="s">
        <v>126</v>
      </c>
      <c r="D809" t="s">
        <v>135</v>
      </c>
      <c r="E809" t="s">
        <v>136</v>
      </c>
      <c r="F809">
        <f>F808/10</f>
        <v>7.9000000000000001E-2</v>
      </c>
      <c r="G809" t="s">
        <v>137</v>
      </c>
    </row>
    <row r="810" spans="1:7" x14ac:dyDescent="0.55000000000000004">
      <c r="A810">
        <v>86</v>
      </c>
      <c r="B810" t="str">
        <f t="shared" si="12"/>
        <v>86_0</v>
      </c>
      <c r="C810" t="s">
        <v>126</v>
      </c>
      <c r="D810" s="2" t="s">
        <v>138</v>
      </c>
      <c r="E810" t="s">
        <v>139</v>
      </c>
      <c r="F810">
        <v>10</v>
      </c>
    </row>
    <row r="811" spans="1:7" x14ac:dyDescent="0.55000000000000004">
      <c r="A811">
        <v>86</v>
      </c>
      <c r="B811" t="str">
        <f t="shared" si="12"/>
        <v>86_0</v>
      </c>
      <c r="C811" t="s">
        <v>126</v>
      </c>
      <c r="D811" s="2" t="s">
        <v>140</v>
      </c>
      <c r="F811" t="s">
        <v>184</v>
      </c>
    </row>
    <row r="812" spans="1:7" x14ac:dyDescent="0.55000000000000004">
      <c r="A812">
        <v>86</v>
      </c>
      <c r="B812" t="str">
        <f t="shared" si="12"/>
        <v>86_0</v>
      </c>
      <c r="C812" t="s">
        <v>126</v>
      </c>
      <c r="D812" s="2" t="s">
        <v>141</v>
      </c>
      <c r="E812" t="s">
        <v>139</v>
      </c>
      <c r="F812">
        <v>0</v>
      </c>
    </row>
    <row r="813" spans="1:7" x14ac:dyDescent="0.55000000000000004">
      <c r="A813">
        <v>86</v>
      </c>
      <c r="B813" t="str">
        <f t="shared" si="12"/>
        <v>86_0</v>
      </c>
      <c r="C813" t="s">
        <v>126</v>
      </c>
      <c r="D813" t="s">
        <v>142</v>
      </c>
      <c r="E813" t="s">
        <v>139</v>
      </c>
      <c r="F813">
        <v>0</v>
      </c>
    </row>
    <row r="814" spans="1:7" x14ac:dyDescent="0.55000000000000004">
      <c r="A814">
        <v>86</v>
      </c>
      <c r="B814" t="str">
        <f t="shared" si="12"/>
        <v>86_0</v>
      </c>
      <c r="C814" t="s">
        <v>126</v>
      </c>
      <c r="D814" t="s">
        <v>143</v>
      </c>
      <c r="E814" t="s">
        <v>131</v>
      </c>
      <c r="F814">
        <v>0</v>
      </c>
    </row>
    <row r="815" spans="1:7" x14ac:dyDescent="0.55000000000000004">
      <c r="A815">
        <v>86</v>
      </c>
      <c r="B815" t="str">
        <f t="shared" si="12"/>
        <v>86_0</v>
      </c>
      <c r="C815" t="s">
        <v>126</v>
      </c>
      <c r="D815" t="s">
        <v>144</v>
      </c>
      <c r="E815" t="s">
        <v>139</v>
      </c>
      <c r="F815">
        <v>0</v>
      </c>
    </row>
    <row r="816" spans="1:7" x14ac:dyDescent="0.55000000000000004">
      <c r="A816">
        <v>86</v>
      </c>
      <c r="B816" t="str">
        <f t="shared" si="12"/>
        <v>86_0</v>
      </c>
      <c r="C816" t="s">
        <v>126</v>
      </c>
      <c r="D816" t="s">
        <v>145</v>
      </c>
      <c r="E816" t="s">
        <v>139</v>
      </c>
      <c r="F816">
        <v>0</v>
      </c>
    </row>
    <row r="817" spans="1:6" x14ac:dyDescent="0.55000000000000004">
      <c r="A817">
        <v>86</v>
      </c>
      <c r="B817" t="str">
        <f t="shared" si="12"/>
        <v>86_0</v>
      </c>
      <c r="C817" t="s">
        <v>126</v>
      </c>
      <c r="D817" t="s">
        <v>146</v>
      </c>
      <c r="E817" t="s">
        <v>139</v>
      </c>
      <c r="F817">
        <v>0</v>
      </c>
    </row>
    <row r="818" spans="1:6" x14ac:dyDescent="0.55000000000000004">
      <c r="A818">
        <v>86</v>
      </c>
      <c r="B818" t="str">
        <f t="shared" si="12"/>
        <v>86_0</v>
      </c>
      <c r="C818" t="s">
        <v>126</v>
      </c>
      <c r="D818" t="s">
        <v>147</v>
      </c>
      <c r="E818" t="s">
        <v>139</v>
      </c>
      <c r="F818">
        <v>0</v>
      </c>
    </row>
    <row r="819" spans="1:6" x14ac:dyDescent="0.55000000000000004">
      <c r="A819">
        <v>86</v>
      </c>
      <c r="B819" t="str">
        <f t="shared" si="12"/>
        <v>86_0</v>
      </c>
      <c r="C819" t="s">
        <v>126</v>
      </c>
      <c r="D819" t="s">
        <v>148</v>
      </c>
      <c r="E819" t="s">
        <v>139</v>
      </c>
      <c r="F819">
        <v>0</v>
      </c>
    </row>
    <row r="820" spans="1:6" x14ac:dyDescent="0.55000000000000004">
      <c r="A820">
        <v>86</v>
      </c>
      <c r="B820" t="str">
        <f t="shared" si="12"/>
        <v>86_0</v>
      </c>
      <c r="C820" t="s">
        <v>126</v>
      </c>
      <c r="D820" t="s">
        <v>149</v>
      </c>
      <c r="E820" t="s">
        <v>139</v>
      </c>
      <c r="F820">
        <v>0</v>
      </c>
    </row>
    <row r="821" spans="1:6" x14ac:dyDescent="0.55000000000000004">
      <c r="A821">
        <v>86</v>
      </c>
      <c r="B821" t="str">
        <f t="shared" si="12"/>
        <v>86_0</v>
      </c>
      <c r="C821" t="s">
        <v>126</v>
      </c>
      <c r="D821" t="s">
        <v>150</v>
      </c>
      <c r="E821" t="s">
        <v>139</v>
      </c>
      <c r="F821">
        <v>100</v>
      </c>
    </row>
    <row r="822" spans="1:6" x14ac:dyDescent="0.55000000000000004">
      <c r="A822">
        <v>86</v>
      </c>
      <c r="B822" t="str">
        <f t="shared" si="12"/>
        <v>86_0</v>
      </c>
      <c r="C822" t="s">
        <v>126</v>
      </c>
      <c r="D822" t="s">
        <v>151</v>
      </c>
      <c r="E822" t="s">
        <v>139</v>
      </c>
      <c r="F822">
        <v>0</v>
      </c>
    </row>
    <row r="823" spans="1:6" x14ac:dyDescent="0.55000000000000004">
      <c r="A823">
        <v>86</v>
      </c>
      <c r="B823" t="str">
        <f t="shared" si="12"/>
        <v>86_0</v>
      </c>
      <c r="C823" t="s">
        <v>126</v>
      </c>
      <c r="D823" t="s">
        <v>152</v>
      </c>
      <c r="E823" t="s">
        <v>153</v>
      </c>
    </row>
    <row r="824" spans="1:6" x14ac:dyDescent="0.55000000000000004">
      <c r="A824">
        <v>86</v>
      </c>
      <c r="B824" t="str">
        <f t="shared" si="12"/>
        <v>86_0</v>
      </c>
      <c r="C824" t="s">
        <v>154</v>
      </c>
      <c r="D824" t="s">
        <v>155</v>
      </c>
      <c r="E824" t="s">
        <v>156</v>
      </c>
      <c r="F824">
        <v>21.9</v>
      </c>
    </row>
    <row r="825" spans="1:6" x14ac:dyDescent="0.55000000000000004">
      <c r="A825">
        <v>86</v>
      </c>
      <c r="B825" t="str">
        <f t="shared" si="12"/>
        <v>86_0</v>
      </c>
      <c r="C825" t="s">
        <v>154</v>
      </c>
      <c r="D825" t="s">
        <v>157</v>
      </c>
      <c r="E825" t="s">
        <v>158</v>
      </c>
      <c r="F825">
        <v>11.12</v>
      </c>
    </row>
    <row r="826" spans="1:6" x14ac:dyDescent="0.55000000000000004">
      <c r="A826">
        <v>86</v>
      </c>
      <c r="B826" t="str">
        <f t="shared" si="12"/>
        <v>86_0</v>
      </c>
      <c r="C826" t="s">
        <v>154</v>
      </c>
      <c r="D826" t="s">
        <v>159</v>
      </c>
      <c r="E826" t="s">
        <v>139</v>
      </c>
      <c r="F826">
        <v>127</v>
      </c>
    </row>
    <row r="827" spans="1:6" x14ac:dyDescent="0.55000000000000004">
      <c r="A827">
        <v>86</v>
      </c>
      <c r="B827" t="str">
        <f t="shared" si="12"/>
        <v>86_0</v>
      </c>
      <c r="C827" t="s">
        <v>154</v>
      </c>
      <c r="D827" t="s">
        <v>160</v>
      </c>
      <c r="E827" t="s">
        <v>161</v>
      </c>
      <c r="F827">
        <v>427.3</v>
      </c>
    </row>
    <row r="828" spans="1:6" x14ac:dyDescent="0.55000000000000004">
      <c r="A828">
        <v>86</v>
      </c>
      <c r="B828" t="str">
        <f t="shared" si="12"/>
        <v>86_0</v>
      </c>
      <c r="C828" t="s">
        <v>154</v>
      </c>
      <c r="D828" t="s">
        <v>162</v>
      </c>
      <c r="F828">
        <v>8.91</v>
      </c>
    </row>
    <row r="829" spans="1:6" x14ac:dyDescent="0.55000000000000004">
      <c r="A829">
        <v>86</v>
      </c>
      <c r="B829" t="str">
        <f t="shared" si="12"/>
        <v>86_0</v>
      </c>
      <c r="C829" t="s">
        <v>163</v>
      </c>
      <c r="D829" t="s">
        <v>164</v>
      </c>
      <c r="E829" t="s">
        <v>139</v>
      </c>
      <c r="F829">
        <v>30</v>
      </c>
    </row>
    <row r="830" spans="1:6" x14ac:dyDescent="0.55000000000000004">
      <c r="A830">
        <v>86</v>
      </c>
      <c r="B830" t="str">
        <f t="shared" si="12"/>
        <v>86_0</v>
      </c>
      <c r="C830" t="s">
        <v>163</v>
      </c>
      <c r="D830" t="s">
        <v>164</v>
      </c>
      <c r="E830" t="s">
        <v>139</v>
      </c>
      <c r="F830">
        <v>25</v>
      </c>
    </row>
    <row r="831" spans="1:6" x14ac:dyDescent="0.55000000000000004">
      <c r="A831">
        <v>86</v>
      </c>
      <c r="B831" t="str">
        <f t="shared" si="12"/>
        <v>86_0</v>
      </c>
      <c r="C831" t="s">
        <v>163</v>
      </c>
      <c r="D831" t="s">
        <v>165</v>
      </c>
      <c r="F831" t="s">
        <v>185</v>
      </c>
    </row>
    <row r="832" spans="1:6" x14ac:dyDescent="0.55000000000000004">
      <c r="A832">
        <v>86</v>
      </c>
      <c r="B832" t="str">
        <f t="shared" si="12"/>
        <v>86_0</v>
      </c>
      <c r="C832" t="s">
        <v>163</v>
      </c>
      <c r="D832" t="s">
        <v>164</v>
      </c>
      <c r="E832" t="s">
        <v>139</v>
      </c>
      <c r="F832">
        <v>5</v>
      </c>
    </row>
    <row r="833" spans="1:7" x14ac:dyDescent="0.55000000000000004">
      <c r="A833">
        <v>86</v>
      </c>
      <c r="B833" t="str">
        <f t="shared" si="12"/>
        <v>86_0</v>
      </c>
      <c r="C833" t="s">
        <v>163</v>
      </c>
      <c r="D833" t="s">
        <v>165</v>
      </c>
      <c r="F833" t="s">
        <v>181</v>
      </c>
    </row>
    <row r="834" spans="1:7" x14ac:dyDescent="0.55000000000000004">
      <c r="A834">
        <v>86</v>
      </c>
      <c r="B834" t="str">
        <f t="shared" si="12"/>
        <v>86_0</v>
      </c>
      <c r="C834" t="s">
        <v>163</v>
      </c>
      <c r="D834" t="s">
        <v>166</v>
      </c>
      <c r="E834" t="s">
        <v>139</v>
      </c>
      <c r="F834">
        <v>100</v>
      </c>
    </row>
    <row r="835" spans="1:7" x14ac:dyDescent="0.55000000000000004">
      <c r="A835">
        <v>86</v>
      </c>
      <c r="B835" t="str">
        <f t="shared" ref="B835:B898" si="13">A835 &amp; "_0"</f>
        <v>86_0</v>
      </c>
      <c r="C835" t="s">
        <v>163</v>
      </c>
      <c r="D835" t="s">
        <v>167</v>
      </c>
      <c r="F835" t="s">
        <v>173</v>
      </c>
    </row>
    <row r="836" spans="1:7" x14ac:dyDescent="0.55000000000000004">
      <c r="A836">
        <v>86</v>
      </c>
      <c r="B836" t="str">
        <f t="shared" si="13"/>
        <v>86_0</v>
      </c>
      <c r="C836" t="s">
        <v>163</v>
      </c>
      <c r="D836" t="s">
        <v>168</v>
      </c>
      <c r="E836" t="s">
        <v>131</v>
      </c>
      <c r="F836">
        <v>0</v>
      </c>
    </row>
    <row r="837" spans="1:7" x14ac:dyDescent="0.55000000000000004">
      <c r="A837">
        <v>86</v>
      </c>
      <c r="B837" t="str">
        <f t="shared" si="13"/>
        <v>86_0</v>
      </c>
      <c r="C837" t="s">
        <v>163</v>
      </c>
      <c r="D837" t="s">
        <v>169</v>
      </c>
    </row>
    <row r="838" spans="1:7" x14ac:dyDescent="0.55000000000000004">
      <c r="A838">
        <v>86</v>
      </c>
      <c r="B838" t="str">
        <f t="shared" si="13"/>
        <v>86_0</v>
      </c>
      <c r="C838" t="s">
        <v>163</v>
      </c>
      <c r="D838" t="s">
        <v>170</v>
      </c>
      <c r="E838" t="s">
        <v>139</v>
      </c>
      <c r="F838">
        <v>5</v>
      </c>
    </row>
    <row r="839" spans="1:7" x14ac:dyDescent="0.55000000000000004">
      <c r="A839">
        <v>86</v>
      </c>
      <c r="B839" t="str">
        <f t="shared" si="13"/>
        <v>86_0</v>
      </c>
      <c r="C839" t="s">
        <v>163</v>
      </c>
      <c r="D839" t="s">
        <v>171</v>
      </c>
    </row>
    <row r="840" spans="1:7" x14ac:dyDescent="0.55000000000000004">
      <c r="A840">
        <v>87</v>
      </c>
      <c r="B840" t="str">
        <f t="shared" si="13"/>
        <v>87_0</v>
      </c>
      <c r="C840" t="s">
        <v>126</v>
      </c>
      <c r="D840" t="s">
        <v>127</v>
      </c>
      <c r="E840" t="s">
        <v>128</v>
      </c>
      <c r="F840" s="1"/>
      <c r="G840" t="s">
        <v>129</v>
      </c>
    </row>
    <row r="841" spans="1:7" x14ac:dyDescent="0.55000000000000004">
      <c r="A841">
        <v>87</v>
      </c>
      <c r="B841" t="str">
        <f t="shared" si="13"/>
        <v>87_0</v>
      </c>
      <c r="C841" t="s">
        <v>126</v>
      </c>
      <c r="D841" s="11" t="s">
        <v>130</v>
      </c>
      <c r="E841" t="s">
        <v>131</v>
      </c>
      <c r="F841">
        <v>1</v>
      </c>
    </row>
    <row r="842" spans="1:7" x14ac:dyDescent="0.55000000000000004">
      <c r="A842">
        <v>87</v>
      </c>
      <c r="B842" t="str">
        <f t="shared" si="13"/>
        <v>87_0</v>
      </c>
      <c r="C842" t="s">
        <v>126</v>
      </c>
      <c r="D842" t="s">
        <v>132</v>
      </c>
      <c r="E842" t="s">
        <v>133</v>
      </c>
      <c r="F842">
        <v>3.3</v>
      </c>
      <c r="G842" t="s">
        <v>175</v>
      </c>
    </row>
    <row r="843" spans="1:7" x14ac:dyDescent="0.55000000000000004">
      <c r="A843">
        <v>87</v>
      </c>
      <c r="B843" t="str">
        <f t="shared" si="13"/>
        <v>87_0</v>
      </c>
      <c r="C843" t="s">
        <v>126</v>
      </c>
      <c r="D843" t="s">
        <v>134</v>
      </c>
      <c r="E843" t="s">
        <v>133</v>
      </c>
      <c r="F843">
        <v>1.05</v>
      </c>
    </row>
    <row r="844" spans="1:7" x14ac:dyDescent="0.55000000000000004">
      <c r="A844">
        <v>87</v>
      </c>
      <c r="B844" t="str">
        <f t="shared" si="13"/>
        <v>87_0</v>
      </c>
      <c r="C844" t="s">
        <v>126</v>
      </c>
      <c r="D844" t="s">
        <v>135</v>
      </c>
      <c r="E844" t="s">
        <v>136</v>
      </c>
      <c r="F844">
        <f>F843/10</f>
        <v>0.10500000000000001</v>
      </c>
      <c r="G844" t="s">
        <v>137</v>
      </c>
    </row>
    <row r="845" spans="1:7" x14ac:dyDescent="0.55000000000000004">
      <c r="A845">
        <v>87</v>
      </c>
      <c r="B845" t="str">
        <f t="shared" si="13"/>
        <v>87_0</v>
      </c>
      <c r="C845" t="s">
        <v>126</v>
      </c>
      <c r="D845" s="2" t="s">
        <v>138</v>
      </c>
      <c r="E845" t="s">
        <v>139</v>
      </c>
      <c r="F845">
        <v>100</v>
      </c>
    </row>
    <row r="846" spans="1:7" x14ac:dyDescent="0.55000000000000004">
      <c r="A846">
        <v>87</v>
      </c>
      <c r="B846" t="str">
        <f t="shared" si="13"/>
        <v>87_0</v>
      </c>
      <c r="C846" t="s">
        <v>126</v>
      </c>
      <c r="D846" s="2" t="s">
        <v>140</v>
      </c>
      <c r="F846" t="s">
        <v>186</v>
      </c>
    </row>
    <row r="847" spans="1:7" x14ac:dyDescent="0.55000000000000004">
      <c r="A847">
        <v>87</v>
      </c>
      <c r="B847" t="str">
        <f t="shared" si="13"/>
        <v>87_0</v>
      </c>
      <c r="C847" t="s">
        <v>126</v>
      </c>
      <c r="D847" s="2" t="s">
        <v>141</v>
      </c>
      <c r="E847" t="s">
        <v>139</v>
      </c>
      <c r="F847">
        <v>0</v>
      </c>
    </row>
    <row r="848" spans="1:7" x14ac:dyDescent="0.55000000000000004">
      <c r="A848">
        <v>87</v>
      </c>
      <c r="B848" t="str">
        <f t="shared" si="13"/>
        <v>87_0</v>
      </c>
      <c r="C848" t="s">
        <v>126</v>
      </c>
      <c r="D848" t="s">
        <v>142</v>
      </c>
      <c r="E848" t="s">
        <v>139</v>
      </c>
      <c r="F848">
        <v>0</v>
      </c>
    </row>
    <row r="849" spans="1:6" x14ac:dyDescent="0.55000000000000004">
      <c r="A849">
        <v>87</v>
      </c>
      <c r="B849" t="str">
        <f t="shared" si="13"/>
        <v>87_0</v>
      </c>
      <c r="C849" t="s">
        <v>126</v>
      </c>
      <c r="D849" t="s">
        <v>143</v>
      </c>
      <c r="E849" t="s">
        <v>131</v>
      </c>
      <c r="F849">
        <v>0</v>
      </c>
    </row>
    <row r="850" spans="1:6" x14ac:dyDescent="0.55000000000000004">
      <c r="A850">
        <v>87</v>
      </c>
      <c r="B850" t="str">
        <f t="shared" si="13"/>
        <v>87_0</v>
      </c>
      <c r="C850" t="s">
        <v>126</v>
      </c>
      <c r="D850" t="s">
        <v>144</v>
      </c>
      <c r="E850" t="s">
        <v>139</v>
      </c>
      <c r="F850">
        <v>0</v>
      </c>
    </row>
    <row r="851" spans="1:6" x14ac:dyDescent="0.55000000000000004">
      <c r="A851">
        <v>87</v>
      </c>
      <c r="B851" t="str">
        <f t="shared" si="13"/>
        <v>87_0</v>
      </c>
      <c r="C851" t="s">
        <v>126</v>
      </c>
      <c r="D851" t="s">
        <v>145</v>
      </c>
      <c r="E851" t="s">
        <v>139</v>
      </c>
      <c r="F851">
        <v>0</v>
      </c>
    </row>
    <row r="852" spans="1:6" x14ac:dyDescent="0.55000000000000004">
      <c r="A852">
        <v>87</v>
      </c>
      <c r="B852" t="str">
        <f t="shared" si="13"/>
        <v>87_0</v>
      </c>
      <c r="C852" t="s">
        <v>126</v>
      </c>
      <c r="D852" t="s">
        <v>146</v>
      </c>
      <c r="E852" t="s">
        <v>139</v>
      </c>
      <c r="F852">
        <v>0</v>
      </c>
    </row>
    <row r="853" spans="1:6" x14ac:dyDescent="0.55000000000000004">
      <c r="A853">
        <v>87</v>
      </c>
      <c r="B853" t="str">
        <f t="shared" si="13"/>
        <v>87_0</v>
      </c>
      <c r="C853" t="s">
        <v>126</v>
      </c>
      <c r="D853" t="s">
        <v>147</v>
      </c>
      <c r="E853" t="s">
        <v>139</v>
      </c>
      <c r="F853">
        <v>0</v>
      </c>
    </row>
    <row r="854" spans="1:6" x14ac:dyDescent="0.55000000000000004">
      <c r="A854">
        <v>87</v>
      </c>
      <c r="B854" t="str">
        <f t="shared" si="13"/>
        <v>87_0</v>
      </c>
      <c r="C854" t="s">
        <v>126</v>
      </c>
      <c r="D854" t="s">
        <v>148</v>
      </c>
      <c r="E854" t="s">
        <v>139</v>
      </c>
      <c r="F854">
        <v>80</v>
      </c>
    </row>
    <row r="855" spans="1:6" x14ac:dyDescent="0.55000000000000004">
      <c r="A855">
        <v>87</v>
      </c>
      <c r="B855" t="str">
        <f t="shared" si="13"/>
        <v>87_0</v>
      </c>
      <c r="C855" t="s">
        <v>126</v>
      </c>
      <c r="D855" t="s">
        <v>149</v>
      </c>
      <c r="E855" t="s">
        <v>139</v>
      </c>
      <c r="F855">
        <v>0</v>
      </c>
    </row>
    <row r="856" spans="1:6" x14ac:dyDescent="0.55000000000000004">
      <c r="A856">
        <v>87</v>
      </c>
      <c r="B856" t="str">
        <f t="shared" si="13"/>
        <v>87_0</v>
      </c>
      <c r="C856" t="s">
        <v>126</v>
      </c>
      <c r="D856" t="s">
        <v>150</v>
      </c>
      <c r="E856" t="s">
        <v>139</v>
      </c>
      <c r="F856">
        <v>20</v>
      </c>
    </row>
    <row r="857" spans="1:6" x14ac:dyDescent="0.55000000000000004">
      <c r="A857">
        <v>87</v>
      </c>
      <c r="B857" t="str">
        <f t="shared" si="13"/>
        <v>87_0</v>
      </c>
      <c r="C857" t="s">
        <v>126</v>
      </c>
      <c r="D857" t="s">
        <v>151</v>
      </c>
      <c r="E857" t="s">
        <v>139</v>
      </c>
      <c r="F857">
        <v>0</v>
      </c>
    </row>
    <row r="858" spans="1:6" x14ac:dyDescent="0.55000000000000004">
      <c r="A858">
        <v>87</v>
      </c>
      <c r="B858" t="str">
        <f t="shared" si="13"/>
        <v>87_0</v>
      </c>
      <c r="C858" t="s">
        <v>126</v>
      </c>
      <c r="D858" t="s">
        <v>152</v>
      </c>
      <c r="E858" t="s">
        <v>153</v>
      </c>
    </row>
    <row r="859" spans="1:6" x14ac:dyDescent="0.55000000000000004">
      <c r="A859">
        <v>87</v>
      </c>
      <c r="B859" t="str">
        <f t="shared" si="13"/>
        <v>87_0</v>
      </c>
      <c r="C859" t="s">
        <v>154</v>
      </c>
      <c r="D859" t="s">
        <v>155</v>
      </c>
      <c r="E859" t="s">
        <v>156</v>
      </c>
      <c r="F859">
        <v>21.3</v>
      </c>
    </row>
    <row r="860" spans="1:6" x14ac:dyDescent="0.55000000000000004">
      <c r="A860">
        <v>87</v>
      </c>
      <c r="B860" t="str">
        <f t="shared" si="13"/>
        <v>87_0</v>
      </c>
      <c r="C860" t="s">
        <v>154</v>
      </c>
      <c r="D860" t="s">
        <v>157</v>
      </c>
      <c r="E860" t="s">
        <v>158</v>
      </c>
      <c r="F860">
        <v>8.93</v>
      </c>
    </row>
    <row r="861" spans="1:6" x14ac:dyDescent="0.55000000000000004">
      <c r="A861">
        <v>87</v>
      </c>
      <c r="B861" t="str">
        <f t="shared" si="13"/>
        <v>87_0</v>
      </c>
      <c r="C861" t="s">
        <v>154</v>
      </c>
      <c r="D861" t="s">
        <v>159</v>
      </c>
      <c r="E861" t="s">
        <v>139</v>
      </c>
      <c r="F861">
        <v>100.6</v>
      </c>
    </row>
    <row r="862" spans="1:6" x14ac:dyDescent="0.55000000000000004">
      <c r="A862">
        <v>87</v>
      </c>
      <c r="B862" t="str">
        <f t="shared" si="13"/>
        <v>87_0</v>
      </c>
      <c r="C862" t="s">
        <v>154</v>
      </c>
      <c r="D862" t="s">
        <v>160</v>
      </c>
      <c r="E862" t="s">
        <v>161</v>
      </c>
      <c r="F862">
        <v>423.4</v>
      </c>
    </row>
    <row r="863" spans="1:6" x14ac:dyDescent="0.55000000000000004">
      <c r="A863">
        <v>87</v>
      </c>
      <c r="B863" t="str">
        <f t="shared" si="13"/>
        <v>87_0</v>
      </c>
      <c r="C863" t="s">
        <v>154</v>
      </c>
      <c r="D863" t="s">
        <v>162</v>
      </c>
      <c r="F863">
        <v>8.49</v>
      </c>
    </row>
    <row r="864" spans="1:6" x14ac:dyDescent="0.55000000000000004">
      <c r="A864">
        <v>87</v>
      </c>
      <c r="B864" t="str">
        <f t="shared" si="13"/>
        <v>87_0</v>
      </c>
      <c r="C864" t="s">
        <v>163</v>
      </c>
      <c r="D864" t="s">
        <v>164</v>
      </c>
      <c r="E864" t="s">
        <v>139</v>
      </c>
      <c r="F864">
        <v>0</v>
      </c>
    </row>
    <row r="865" spans="1:7" x14ac:dyDescent="0.55000000000000004">
      <c r="A865">
        <v>87</v>
      </c>
      <c r="B865" t="str">
        <f t="shared" si="13"/>
        <v>87_0</v>
      </c>
      <c r="C865" t="s">
        <v>163</v>
      </c>
      <c r="D865" t="s">
        <v>165</v>
      </c>
    </row>
    <row r="866" spans="1:7" x14ac:dyDescent="0.55000000000000004">
      <c r="A866">
        <v>87</v>
      </c>
      <c r="B866" t="str">
        <f t="shared" si="13"/>
        <v>87_0</v>
      </c>
      <c r="C866" t="s">
        <v>163</v>
      </c>
      <c r="D866" t="s">
        <v>166</v>
      </c>
      <c r="E866" t="s">
        <v>139</v>
      </c>
      <c r="F866">
        <v>10</v>
      </c>
    </row>
    <row r="867" spans="1:7" x14ac:dyDescent="0.55000000000000004">
      <c r="A867">
        <v>87</v>
      </c>
      <c r="B867" t="str">
        <f t="shared" si="13"/>
        <v>87_0</v>
      </c>
      <c r="C867" t="s">
        <v>163</v>
      </c>
      <c r="D867" t="s">
        <v>167</v>
      </c>
      <c r="F867" t="s">
        <v>173</v>
      </c>
    </row>
    <row r="868" spans="1:7" x14ac:dyDescent="0.55000000000000004">
      <c r="A868">
        <v>87</v>
      </c>
      <c r="B868" t="str">
        <f t="shared" si="13"/>
        <v>87_0</v>
      </c>
      <c r="C868" t="s">
        <v>163</v>
      </c>
      <c r="D868" t="s">
        <v>168</v>
      </c>
      <c r="E868" t="s">
        <v>131</v>
      </c>
      <c r="F868">
        <v>1</v>
      </c>
    </row>
    <row r="869" spans="1:7" x14ac:dyDescent="0.55000000000000004">
      <c r="A869">
        <v>87</v>
      </c>
      <c r="B869" t="str">
        <f t="shared" si="13"/>
        <v>87_0</v>
      </c>
      <c r="C869" t="s">
        <v>163</v>
      </c>
      <c r="D869" t="s">
        <v>169</v>
      </c>
      <c r="F869" t="s">
        <v>187</v>
      </c>
    </row>
    <row r="870" spans="1:7" x14ac:dyDescent="0.55000000000000004">
      <c r="A870">
        <v>87</v>
      </c>
      <c r="B870" t="str">
        <f t="shared" si="13"/>
        <v>87_0</v>
      </c>
      <c r="C870" t="s">
        <v>163</v>
      </c>
      <c r="D870" t="s">
        <v>170</v>
      </c>
      <c r="E870" t="s">
        <v>139</v>
      </c>
      <c r="F870">
        <v>3</v>
      </c>
    </row>
    <row r="871" spans="1:7" x14ac:dyDescent="0.55000000000000004">
      <c r="A871">
        <v>87</v>
      </c>
      <c r="B871" t="str">
        <f t="shared" si="13"/>
        <v>87_0</v>
      </c>
      <c r="C871" t="s">
        <v>163</v>
      </c>
      <c r="D871" t="s">
        <v>171</v>
      </c>
    </row>
    <row r="872" spans="1:7" x14ac:dyDescent="0.55000000000000004">
      <c r="A872">
        <v>88</v>
      </c>
      <c r="B872" t="str">
        <f t="shared" si="13"/>
        <v>88_0</v>
      </c>
      <c r="C872" t="s">
        <v>126</v>
      </c>
      <c r="D872" t="s">
        <v>127</v>
      </c>
      <c r="E872" t="s">
        <v>128</v>
      </c>
      <c r="F872" s="1"/>
      <c r="G872" t="s">
        <v>129</v>
      </c>
    </row>
    <row r="873" spans="1:7" x14ac:dyDescent="0.55000000000000004">
      <c r="A873">
        <v>88</v>
      </c>
      <c r="B873" t="str">
        <f t="shared" si="13"/>
        <v>88_0</v>
      </c>
      <c r="C873" t="s">
        <v>126</v>
      </c>
      <c r="D873" s="11" t="s">
        <v>130</v>
      </c>
      <c r="E873" t="s">
        <v>131</v>
      </c>
      <c r="F873">
        <v>0</v>
      </c>
    </row>
    <row r="874" spans="1:7" x14ac:dyDescent="0.55000000000000004">
      <c r="A874">
        <v>88</v>
      </c>
      <c r="B874" t="str">
        <f t="shared" si="13"/>
        <v>88_0</v>
      </c>
      <c r="C874" t="s">
        <v>126</v>
      </c>
      <c r="D874" t="s">
        <v>132</v>
      </c>
      <c r="E874" t="s">
        <v>133</v>
      </c>
    </row>
    <row r="875" spans="1:7" x14ac:dyDescent="0.55000000000000004">
      <c r="A875">
        <v>88</v>
      </c>
      <c r="B875" t="str">
        <f t="shared" si="13"/>
        <v>88_0</v>
      </c>
      <c r="C875" t="s">
        <v>126</v>
      </c>
      <c r="D875" t="s">
        <v>134</v>
      </c>
      <c r="E875" t="s">
        <v>133</v>
      </c>
      <c r="F875">
        <v>1</v>
      </c>
    </row>
    <row r="876" spans="1:7" x14ac:dyDescent="0.55000000000000004">
      <c r="A876">
        <v>88</v>
      </c>
      <c r="B876" t="str">
        <f t="shared" si="13"/>
        <v>88_0</v>
      </c>
      <c r="C876" t="s">
        <v>126</v>
      </c>
      <c r="D876" t="s">
        <v>135</v>
      </c>
      <c r="E876" t="s">
        <v>136</v>
      </c>
      <c r="F876">
        <f>F875/10</f>
        <v>0.1</v>
      </c>
      <c r="G876" t="s">
        <v>137</v>
      </c>
    </row>
    <row r="877" spans="1:7" x14ac:dyDescent="0.55000000000000004">
      <c r="A877">
        <v>88</v>
      </c>
      <c r="B877" t="str">
        <f t="shared" si="13"/>
        <v>88_0</v>
      </c>
      <c r="C877" t="s">
        <v>126</v>
      </c>
      <c r="D877" s="2" t="s">
        <v>138</v>
      </c>
      <c r="E877" t="s">
        <v>139</v>
      </c>
      <c r="F877">
        <v>0</v>
      </c>
    </row>
    <row r="878" spans="1:7" x14ac:dyDescent="0.55000000000000004">
      <c r="A878">
        <v>88</v>
      </c>
      <c r="B878" t="str">
        <f t="shared" si="13"/>
        <v>88_0</v>
      </c>
      <c r="C878" t="s">
        <v>126</v>
      </c>
      <c r="D878" s="2" t="s">
        <v>140</v>
      </c>
    </row>
    <row r="879" spans="1:7" x14ac:dyDescent="0.55000000000000004">
      <c r="A879">
        <v>88</v>
      </c>
      <c r="B879" t="str">
        <f t="shared" si="13"/>
        <v>88_0</v>
      </c>
      <c r="C879" t="s">
        <v>126</v>
      </c>
      <c r="D879" s="2" t="s">
        <v>141</v>
      </c>
      <c r="E879" t="s">
        <v>139</v>
      </c>
      <c r="F879">
        <v>0</v>
      </c>
    </row>
    <row r="880" spans="1:7" x14ac:dyDescent="0.55000000000000004">
      <c r="A880">
        <v>88</v>
      </c>
      <c r="B880" t="str">
        <f t="shared" si="13"/>
        <v>88_0</v>
      </c>
      <c r="C880" t="s">
        <v>126</v>
      </c>
      <c r="D880" t="s">
        <v>142</v>
      </c>
      <c r="E880" t="s">
        <v>139</v>
      </c>
      <c r="F880">
        <v>100</v>
      </c>
    </row>
    <row r="881" spans="1:6" x14ac:dyDescent="0.55000000000000004">
      <c r="A881">
        <v>88</v>
      </c>
      <c r="B881" t="str">
        <f t="shared" si="13"/>
        <v>88_0</v>
      </c>
      <c r="C881" t="s">
        <v>126</v>
      </c>
      <c r="D881" t="s">
        <v>143</v>
      </c>
      <c r="E881" t="s">
        <v>131</v>
      </c>
      <c r="F881">
        <v>0</v>
      </c>
    </row>
    <row r="882" spans="1:6" x14ac:dyDescent="0.55000000000000004">
      <c r="A882">
        <v>88</v>
      </c>
      <c r="B882" t="str">
        <f t="shared" si="13"/>
        <v>88_0</v>
      </c>
      <c r="C882" t="s">
        <v>126</v>
      </c>
      <c r="D882" t="s">
        <v>144</v>
      </c>
      <c r="E882" t="s">
        <v>139</v>
      </c>
      <c r="F882">
        <v>0</v>
      </c>
    </row>
    <row r="883" spans="1:6" x14ac:dyDescent="0.55000000000000004">
      <c r="A883">
        <v>88</v>
      </c>
      <c r="B883" t="str">
        <f t="shared" si="13"/>
        <v>88_0</v>
      </c>
      <c r="C883" t="s">
        <v>126</v>
      </c>
      <c r="D883" t="s">
        <v>145</v>
      </c>
      <c r="E883" t="s">
        <v>139</v>
      </c>
      <c r="F883">
        <v>0</v>
      </c>
    </row>
    <row r="884" spans="1:6" x14ac:dyDescent="0.55000000000000004">
      <c r="A884">
        <v>88</v>
      </c>
      <c r="B884" t="str">
        <f t="shared" si="13"/>
        <v>88_0</v>
      </c>
      <c r="C884" t="s">
        <v>126</v>
      </c>
      <c r="D884" t="s">
        <v>146</v>
      </c>
      <c r="E884" t="s">
        <v>139</v>
      </c>
      <c r="F884">
        <v>0</v>
      </c>
    </row>
    <row r="885" spans="1:6" x14ac:dyDescent="0.55000000000000004">
      <c r="A885">
        <v>88</v>
      </c>
      <c r="B885" t="str">
        <f t="shared" si="13"/>
        <v>88_0</v>
      </c>
      <c r="C885" t="s">
        <v>126</v>
      </c>
      <c r="D885" t="s">
        <v>147</v>
      </c>
      <c r="E885" t="s">
        <v>139</v>
      </c>
      <c r="F885">
        <v>0</v>
      </c>
    </row>
    <row r="886" spans="1:6" x14ac:dyDescent="0.55000000000000004">
      <c r="A886">
        <v>88</v>
      </c>
      <c r="B886" t="str">
        <f t="shared" si="13"/>
        <v>88_0</v>
      </c>
      <c r="C886" t="s">
        <v>126</v>
      </c>
      <c r="D886" t="s">
        <v>148</v>
      </c>
      <c r="E886" t="s">
        <v>139</v>
      </c>
      <c r="F886">
        <v>100</v>
      </c>
    </row>
    <row r="887" spans="1:6" x14ac:dyDescent="0.55000000000000004">
      <c r="A887">
        <v>88</v>
      </c>
      <c r="B887" t="str">
        <f t="shared" si="13"/>
        <v>88_0</v>
      </c>
      <c r="C887" t="s">
        <v>126</v>
      </c>
      <c r="D887" t="s">
        <v>149</v>
      </c>
      <c r="E887" t="s">
        <v>139</v>
      </c>
      <c r="F887">
        <v>0</v>
      </c>
    </row>
    <row r="888" spans="1:6" x14ac:dyDescent="0.55000000000000004">
      <c r="A888">
        <v>88</v>
      </c>
      <c r="B888" t="str">
        <f t="shared" si="13"/>
        <v>88_0</v>
      </c>
      <c r="C888" t="s">
        <v>126</v>
      </c>
      <c r="D888" t="s">
        <v>150</v>
      </c>
      <c r="E888" t="s">
        <v>139</v>
      </c>
      <c r="F888">
        <v>0</v>
      </c>
    </row>
    <row r="889" spans="1:6" x14ac:dyDescent="0.55000000000000004">
      <c r="A889">
        <v>88</v>
      </c>
      <c r="B889" t="str">
        <f t="shared" si="13"/>
        <v>88_0</v>
      </c>
      <c r="C889" t="s">
        <v>126</v>
      </c>
      <c r="D889" t="s">
        <v>151</v>
      </c>
      <c r="E889" t="s">
        <v>139</v>
      </c>
      <c r="F889">
        <v>0</v>
      </c>
    </row>
    <row r="890" spans="1:6" x14ac:dyDescent="0.55000000000000004">
      <c r="A890">
        <v>88</v>
      </c>
      <c r="B890" t="str">
        <f t="shared" si="13"/>
        <v>88_0</v>
      </c>
      <c r="C890" t="s">
        <v>126</v>
      </c>
      <c r="D890" t="s">
        <v>152</v>
      </c>
      <c r="E890" t="s">
        <v>153</v>
      </c>
    </row>
    <row r="891" spans="1:6" x14ac:dyDescent="0.55000000000000004">
      <c r="A891">
        <v>88</v>
      </c>
      <c r="B891" t="str">
        <f t="shared" si="13"/>
        <v>88_0</v>
      </c>
      <c r="C891" t="s">
        <v>154</v>
      </c>
      <c r="D891" t="s">
        <v>155</v>
      </c>
      <c r="E891" t="s">
        <v>156</v>
      </c>
      <c r="F891">
        <v>22.5</v>
      </c>
    </row>
    <row r="892" spans="1:6" x14ac:dyDescent="0.55000000000000004">
      <c r="A892">
        <v>88</v>
      </c>
      <c r="B892" t="str">
        <f t="shared" si="13"/>
        <v>88_0</v>
      </c>
      <c r="C892" t="s">
        <v>154</v>
      </c>
      <c r="D892" t="s">
        <v>157</v>
      </c>
      <c r="E892" t="s">
        <v>158</v>
      </c>
      <c r="F892">
        <v>9.42</v>
      </c>
    </row>
    <row r="893" spans="1:6" x14ac:dyDescent="0.55000000000000004">
      <c r="A893">
        <v>88</v>
      </c>
      <c r="B893" t="str">
        <f t="shared" si="13"/>
        <v>88_0</v>
      </c>
      <c r="C893" t="s">
        <v>154</v>
      </c>
      <c r="D893" t="s">
        <v>159</v>
      </c>
      <c r="E893" t="s">
        <v>139</v>
      </c>
      <c r="F893">
        <v>109.2</v>
      </c>
    </row>
    <row r="894" spans="1:6" x14ac:dyDescent="0.55000000000000004">
      <c r="A894">
        <v>88</v>
      </c>
      <c r="B894" t="str">
        <f t="shared" si="13"/>
        <v>88_0</v>
      </c>
      <c r="C894" t="s">
        <v>154</v>
      </c>
      <c r="D894" t="s">
        <v>160</v>
      </c>
      <c r="E894" t="s">
        <v>161</v>
      </c>
      <c r="F894">
        <v>431.8</v>
      </c>
    </row>
    <row r="895" spans="1:6" x14ac:dyDescent="0.55000000000000004">
      <c r="A895">
        <v>88</v>
      </c>
      <c r="B895" t="str">
        <f t="shared" si="13"/>
        <v>88_0</v>
      </c>
      <c r="C895" t="s">
        <v>154</v>
      </c>
      <c r="D895" t="s">
        <v>162</v>
      </c>
      <c r="F895">
        <v>8.75</v>
      </c>
    </row>
    <row r="896" spans="1:6" x14ac:dyDescent="0.55000000000000004">
      <c r="A896">
        <v>88</v>
      </c>
      <c r="B896" t="str">
        <f t="shared" si="13"/>
        <v>88_0</v>
      </c>
      <c r="C896" t="s">
        <v>163</v>
      </c>
      <c r="D896" t="s">
        <v>164</v>
      </c>
      <c r="E896" t="s">
        <v>139</v>
      </c>
      <c r="F896">
        <v>0</v>
      </c>
    </row>
    <row r="897" spans="1:7" x14ac:dyDescent="0.55000000000000004">
      <c r="A897">
        <v>88</v>
      </c>
      <c r="B897" t="str">
        <f t="shared" si="13"/>
        <v>88_0</v>
      </c>
      <c r="C897" t="s">
        <v>163</v>
      </c>
      <c r="D897" t="s">
        <v>165</v>
      </c>
    </row>
    <row r="898" spans="1:7" x14ac:dyDescent="0.55000000000000004">
      <c r="A898">
        <v>88</v>
      </c>
      <c r="B898" t="str">
        <f t="shared" si="13"/>
        <v>88_0</v>
      </c>
      <c r="C898" t="s">
        <v>163</v>
      </c>
      <c r="D898" t="s">
        <v>166</v>
      </c>
      <c r="E898" t="s">
        <v>139</v>
      </c>
      <c r="F898">
        <v>10</v>
      </c>
    </row>
    <row r="899" spans="1:7" x14ac:dyDescent="0.55000000000000004">
      <c r="A899">
        <v>88</v>
      </c>
      <c r="B899" t="str">
        <f t="shared" ref="B899:B962" si="14">A899 &amp; "_0"</f>
        <v>88_0</v>
      </c>
      <c r="C899" t="s">
        <v>163</v>
      </c>
      <c r="D899" t="s">
        <v>167</v>
      </c>
      <c r="F899" t="s">
        <v>173</v>
      </c>
    </row>
    <row r="900" spans="1:7" x14ac:dyDescent="0.55000000000000004">
      <c r="A900">
        <v>88</v>
      </c>
      <c r="B900" t="str">
        <f t="shared" si="14"/>
        <v>88_0</v>
      </c>
      <c r="C900" t="s">
        <v>163</v>
      </c>
      <c r="D900" t="s">
        <v>168</v>
      </c>
      <c r="E900" t="s">
        <v>131</v>
      </c>
      <c r="F900">
        <v>0</v>
      </c>
    </row>
    <row r="901" spans="1:7" x14ac:dyDescent="0.55000000000000004">
      <c r="A901">
        <v>88</v>
      </c>
      <c r="B901" t="str">
        <f t="shared" si="14"/>
        <v>88_0</v>
      </c>
      <c r="C901" t="s">
        <v>163</v>
      </c>
      <c r="D901" t="s">
        <v>169</v>
      </c>
    </row>
    <row r="902" spans="1:7" x14ac:dyDescent="0.55000000000000004">
      <c r="A902">
        <v>88</v>
      </c>
      <c r="B902" t="str">
        <f t="shared" si="14"/>
        <v>88_0</v>
      </c>
      <c r="C902" t="s">
        <v>163</v>
      </c>
      <c r="D902" t="s">
        <v>170</v>
      </c>
      <c r="E902" t="s">
        <v>139</v>
      </c>
      <c r="F902">
        <v>10</v>
      </c>
    </row>
    <row r="903" spans="1:7" x14ac:dyDescent="0.55000000000000004">
      <c r="A903">
        <v>88</v>
      </c>
      <c r="B903" t="str">
        <f t="shared" si="14"/>
        <v>88_0</v>
      </c>
      <c r="C903" t="s">
        <v>163</v>
      </c>
      <c r="D903" t="s">
        <v>171</v>
      </c>
    </row>
    <row r="904" spans="1:7" x14ac:dyDescent="0.55000000000000004">
      <c r="A904">
        <v>89</v>
      </c>
      <c r="B904" t="str">
        <f t="shared" si="14"/>
        <v>89_0</v>
      </c>
      <c r="C904" t="s">
        <v>126</v>
      </c>
      <c r="D904" t="s">
        <v>127</v>
      </c>
      <c r="E904" t="s">
        <v>128</v>
      </c>
      <c r="F904" s="1"/>
      <c r="G904" t="s">
        <v>129</v>
      </c>
    </row>
    <row r="905" spans="1:7" x14ac:dyDescent="0.55000000000000004">
      <c r="A905">
        <v>89</v>
      </c>
      <c r="B905" t="str">
        <f t="shared" si="14"/>
        <v>89_0</v>
      </c>
      <c r="C905" t="s">
        <v>126</v>
      </c>
      <c r="D905" s="11" t="s">
        <v>130</v>
      </c>
      <c r="E905" t="s">
        <v>131</v>
      </c>
      <c r="F905">
        <v>1</v>
      </c>
    </row>
    <row r="906" spans="1:7" x14ac:dyDescent="0.55000000000000004">
      <c r="A906">
        <v>89</v>
      </c>
      <c r="B906" t="str">
        <f t="shared" si="14"/>
        <v>89_0</v>
      </c>
      <c r="C906" t="s">
        <v>126</v>
      </c>
      <c r="D906" t="s">
        <v>132</v>
      </c>
      <c r="E906" t="s">
        <v>133</v>
      </c>
    </row>
    <row r="907" spans="1:7" x14ac:dyDescent="0.55000000000000004">
      <c r="A907">
        <v>89</v>
      </c>
      <c r="B907" t="str">
        <f t="shared" si="14"/>
        <v>89_0</v>
      </c>
      <c r="C907" t="s">
        <v>126</v>
      </c>
      <c r="D907" t="s">
        <v>134</v>
      </c>
      <c r="E907" t="s">
        <v>133</v>
      </c>
      <c r="F907">
        <v>1.1000000000000001</v>
      </c>
    </row>
    <row r="908" spans="1:7" x14ac:dyDescent="0.55000000000000004">
      <c r="A908">
        <v>89</v>
      </c>
      <c r="B908" t="str">
        <f t="shared" si="14"/>
        <v>89_0</v>
      </c>
      <c r="C908" t="s">
        <v>126</v>
      </c>
      <c r="D908" t="s">
        <v>135</v>
      </c>
      <c r="E908" t="s">
        <v>136</v>
      </c>
      <c r="F908">
        <f>F907/10</f>
        <v>0.11000000000000001</v>
      </c>
      <c r="G908" t="s">
        <v>137</v>
      </c>
    </row>
    <row r="909" spans="1:7" x14ac:dyDescent="0.55000000000000004">
      <c r="A909">
        <v>89</v>
      </c>
      <c r="B909" t="str">
        <f t="shared" si="14"/>
        <v>89_0</v>
      </c>
      <c r="C909" t="s">
        <v>126</v>
      </c>
      <c r="D909" s="2" t="s">
        <v>138</v>
      </c>
      <c r="E909" t="s">
        <v>139</v>
      </c>
      <c r="F909">
        <v>100</v>
      </c>
    </row>
    <row r="910" spans="1:7" x14ac:dyDescent="0.55000000000000004">
      <c r="A910">
        <v>89</v>
      </c>
      <c r="B910" t="str">
        <f t="shared" si="14"/>
        <v>89_0</v>
      </c>
      <c r="C910" t="s">
        <v>126</v>
      </c>
      <c r="D910" s="2" t="s">
        <v>140</v>
      </c>
      <c r="F910" t="s">
        <v>172</v>
      </c>
    </row>
    <row r="911" spans="1:7" x14ac:dyDescent="0.55000000000000004">
      <c r="A911">
        <v>89</v>
      </c>
      <c r="B911" t="str">
        <f t="shared" si="14"/>
        <v>89_0</v>
      </c>
      <c r="C911" t="s">
        <v>126</v>
      </c>
      <c r="D911" s="2" t="s">
        <v>141</v>
      </c>
      <c r="E911" t="s">
        <v>139</v>
      </c>
      <c r="F911">
        <v>0</v>
      </c>
    </row>
    <row r="912" spans="1:7" x14ac:dyDescent="0.55000000000000004">
      <c r="A912">
        <v>89</v>
      </c>
      <c r="B912" t="str">
        <f t="shared" si="14"/>
        <v>89_0</v>
      </c>
      <c r="C912" t="s">
        <v>126</v>
      </c>
      <c r="D912" t="s">
        <v>142</v>
      </c>
      <c r="E912" t="s">
        <v>139</v>
      </c>
      <c r="F912">
        <v>0</v>
      </c>
    </row>
    <row r="913" spans="1:6" x14ac:dyDescent="0.55000000000000004">
      <c r="A913">
        <v>89</v>
      </c>
      <c r="B913" t="str">
        <f t="shared" si="14"/>
        <v>89_0</v>
      </c>
      <c r="C913" t="s">
        <v>126</v>
      </c>
      <c r="D913" t="s">
        <v>143</v>
      </c>
      <c r="E913" t="s">
        <v>131</v>
      </c>
      <c r="F913">
        <v>0</v>
      </c>
    </row>
    <row r="914" spans="1:6" x14ac:dyDescent="0.55000000000000004">
      <c r="A914">
        <v>89</v>
      </c>
      <c r="B914" t="str">
        <f t="shared" si="14"/>
        <v>89_0</v>
      </c>
      <c r="C914" t="s">
        <v>126</v>
      </c>
      <c r="D914" t="s">
        <v>144</v>
      </c>
      <c r="E914" t="s">
        <v>139</v>
      </c>
      <c r="F914">
        <v>0</v>
      </c>
    </row>
    <row r="915" spans="1:6" x14ac:dyDescent="0.55000000000000004">
      <c r="A915">
        <v>89</v>
      </c>
      <c r="B915" t="str">
        <f t="shared" si="14"/>
        <v>89_0</v>
      </c>
      <c r="C915" t="s">
        <v>126</v>
      </c>
      <c r="D915" t="s">
        <v>145</v>
      </c>
      <c r="E915" t="s">
        <v>139</v>
      </c>
      <c r="F915">
        <v>0</v>
      </c>
    </row>
    <row r="916" spans="1:6" x14ac:dyDescent="0.55000000000000004">
      <c r="A916">
        <v>89</v>
      </c>
      <c r="B916" t="str">
        <f t="shared" si="14"/>
        <v>89_0</v>
      </c>
      <c r="C916" t="s">
        <v>126</v>
      </c>
      <c r="D916" t="s">
        <v>146</v>
      </c>
      <c r="E916" t="s">
        <v>139</v>
      </c>
      <c r="F916">
        <v>0</v>
      </c>
    </row>
    <row r="917" spans="1:6" x14ac:dyDescent="0.55000000000000004">
      <c r="A917">
        <v>89</v>
      </c>
      <c r="B917" t="str">
        <f t="shared" si="14"/>
        <v>89_0</v>
      </c>
      <c r="C917" t="s">
        <v>126</v>
      </c>
      <c r="D917" t="s">
        <v>147</v>
      </c>
      <c r="E917" t="s">
        <v>139</v>
      </c>
      <c r="F917">
        <v>0</v>
      </c>
    </row>
    <row r="918" spans="1:6" x14ac:dyDescent="0.55000000000000004">
      <c r="A918">
        <v>89</v>
      </c>
      <c r="B918" t="str">
        <f t="shared" si="14"/>
        <v>89_0</v>
      </c>
      <c r="C918" t="s">
        <v>126</v>
      </c>
      <c r="D918" t="s">
        <v>148</v>
      </c>
      <c r="E918" t="s">
        <v>139</v>
      </c>
      <c r="F918">
        <v>0</v>
      </c>
    </row>
    <row r="919" spans="1:6" x14ac:dyDescent="0.55000000000000004">
      <c r="A919">
        <v>89</v>
      </c>
      <c r="B919" t="str">
        <f t="shared" si="14"/>
        <v>89_0</v>
      </c>
      <c r="C919" t="s">
        <v>126</v>
      </c>
      <c r="D919" t="s">
        <v>149</v>
      </c>
      <c r="E919" t="s">
        <v>139</v>
      </c>
      <c r="F919">
        <v>0</v>
      </c>
    </row>
    <row r="920" spans="1:6" x14ac:dyDescent="0.55000000000000004">
      <c r="A920">
        <v>89</v>
      </c>
      <c r="B920" t="str">
        <f t="shared" si="14"/>
        <v>89_0</v>
      </c>
      <c r="C920" t="s">
        <v>126</v>
      </c>
      <c r="D920" t="s">
        <v>150</v>
      </c>
      <c r="E920" t="s">
        <v>139</v>
      </c>
      <c r="F920">
        <v>100</v>
      </c>
    </row>
    <row r="921" spans="1:6" x14ac:dyDescent="0.55000000000000004">
      <c r="A921">
        <v>89</v>
      </c>
      <c r="B921" t="str">
        <f t="shared" si="14"/>
        <v>89_0</v>
      </c>
      <c r="C921" t="s">
        <v>126</v>
      </c>
      <c r="D921" t="s">
        <v>151</v>
      </c>
      <c r="E921" t="s">
        <v>139</v>
      </c>
      <c r="F921">
        <v>0</v>
      </c>
    </row>
    <row r="922" spans="1:6" x14ac:dyDescent="0.55000000000000004">
      <c r="A922">
        <v>89</v>
      </c>
      <c r="B922" t="str">
        <f t="shared" si="14"/>
        <v>89_0</v>
      </c>
      <c r="C922" t="s">
        <v>126</v>
      </c>
      <c r="D922" t="s">
        <v>152</v>
      </c>
      <c r="E922" t="s">
        <v>153</v>
      </c>
    </row>
    <row r="923" spans="1:6" x14ac:dyDescent="0.55000000000000004">
      <c r="A923">
        <v>89</v>
      </c>
      <c r="B923" t="str">
        <f t="shared" si="14"/>
        <v>89_0</v>
      </c>
      <c r="C923" t="s">
        <v>154</v>
      </c>
      <c r="D923" t="s">
        <v>155</v>
      </c>
      <c r="E923" t="s">
        <v>156</v>
      </c>
      <c r="F923">
        <v>22</v>
      </c>
    </row>
    <row r="924" spans="1:6" x14ac:dyDescent="0.55000000000000004">
      <c r="A924">
        <v>89</v>
      </c>
      <c r="B924" t="str">
        <f t="shared" si="14"/>
        <v>89_0</v>
      </c>
      <c r="C924" t="s">
        <v>154</v>
      </c>
      <c r="D924" t="s">
        <v>157</v>
      </c>
      <c r="E924" t="s">
        <v>158</v>
      </c>
      <c r="F924">
        <v>10.92</v>
      </c>
    </row>
    <row r="925" spans="1:6" x14ac:dyDescent="0.55000000000000004">
      <c r="A925">
        <v>89</v>
      </c>
      <c r="B925" t="str">
        <f t="shared" si="14"/>
        <v>89_0</v>
      </c>
      <c r="C925" t="s">
        <v>154</v>
      </c>
      <c r="D925" t="s">
        <v>159</v>
      </c>
      <c r="E925" t="s">
        <v>139</v>
      </c>
      <c r="F925">
        <v>124.9</v>
      </c>
    </row>
    <row r="926" spans="1:6" x14ac:dyDescent="0.55000000000000004">
      <c r="A926">
        <v>89</v>
      </c>
      <c r="B926" t="str">
        <f t="shared" si="14"/>
        <v>89_0</v>
      </c>
      <c r="C926" t="s">
        <v>154</v>
      </c>
      <c r="D926" t="s">
        <v>160</v>
      </c>
      <c r="E926" t="s">
        <v>161</v>
      </c>
      <c r="F926">
        <v>427.3</v>
      </c>
    </row>
    <row r="927" spans="1:6" x14ac:dyDescent="0.55000000000000004">
      <c r="A927">
        <v>89</v>
      </c>
      <c r="B927" t="str">
        <f t="shared" si="14"/>
        <v>89_0</v>
      </c>
      <c r="C927" t="s">
        <v>154</v>
      </c>
      <c r="D927" t="s">
        <v>162</v>
      </c>
      <c r="F927">
        <v>8.91</v>
      </c>
    </row>
    <row r="928" spans="1:6" x14ac:dyDescent="0.55000000000000004">
      <c r="A928">
        <v>89</v>
      </c>
      <c r="B928" t="str">
        <f t="shared" si="14"/>
        <v>89_0</v>
      </c>
      <c r="C928" t="s">
        <v>163</v>
      </c>
      <c r="D928" t="s">
        <v>164</v>
      </c>
      <c r="E928" t="s">
        <v>139</v>
      </c>
      <c r="F928">
        <v>35</v>
      </c>
    </row>
    <row r="929" spans="1:7" x14ac:dyDescent="0.55000000000000004">
      <c r="A929">
        <v>89</v>
      </c>
      <c r="B929" t="str">
        <f t="shared" si="14"/>
        <v>89_0</v>
      </c>
      <c r="C929" t="s">
        <v>163</v>
      </c>
      <c r="D929" t="s">
        <v>165</v>
      </c>
      <c r="F929" t="s">
        <v>181</v>
      </c>
    </row>
    <row r="930" spans="1:7" x14ac:dyDescent="0.55000000000000004">
      <c r="A930">
        <v>89</v>
      </c>
      <c r="B930" t="str">
        <f t="shared" si="14"/>
        <v>89_0</v>
      </c>
      <c r="C930" t="s">
        <v>163</v>
      </c>
      <c r="D930" t="s">
        <v>166</v>
      </c>
      <c r="E930" t="s">
        <v>139</v>
      </c>
      <c r="F930">
        <v>97</v>
      </c>
    </row>
    <row r="931" spans="1:7" x14ac:dyDescent="0.55000000000000004">
      <c r="A931">
        <v>89</v>
      </c>
      <c r="B931" t="str">
        <f t="shared" si="14"/>
        <v>89_0</v>
      </c>
      <c r="C931" t="s">
        <v>163</v>
      </c>
      <c r="D931" t="s">
        <v>166</v>
      </c>
      <c r="E931" t="s">
        <v>139</v>
      </c>
      <c r="F931">
        <v>5</v>
      </c>
    </row>
    <row r="932" spans="1:7" x14ac:dyDescent="0.55000000000000004">
      <c r="A932">
        <v>89</v>
      </c>
      <c r="B932" t="str">
        <f t="shared" si="14"/>
        <v>89_0</v>
      </c>
      <c r="C932" t="s">
        <v>163</v>
      </c>
      <c r="D932" t="s">
        <v>167</v>
      </c>
      <c r="F932" t="s">
        <v>188</v>
      </c>
    </row>
    <row r="933" spans="1:7" x14ac:dyDescent="0.55000000000000004">
      <c r="A933">
        <v>89</v>
      </c>
      <c r="B933" t="str">
        <f t="shared" si="14"/>
        <v>89_0</v>
      </c>
      <c r="C933" t="s">
        <v>163</v>
      </c>
      <c r="D933" t="s">
        <v>166</v>
      </c>
      <c r="E933" t="s">
        <v>139</v>
      </c>
      <c r="F933">
        <v>2</v>
      </c>
    </row>
    <row r="934" spans="1:7" x14ac:dyDescent="0.55000000000000004">
      <c r="A934">
        <v>89</v>
      </c>
      <c r="B934" t="str">
        <f t="shared" si="14"/>
        <v>89_0</v>
      </c>
      <c r="C934" t="s">
        <v>163</v>
      </c>
      <c r="D934" t="s">
        <v>167</v>
      </c>
      <c r="F934" t="s">
        <v>189</v>
      </c>
    </row>
    <row r="935" spans="1:7" x14ac:dyDescent="0.55000000000000004">
      <c r="A935">
        <v>89</v>
      </c>
      <c r="B935" t="str">
        <f t="shared" si="14"/>
        <v>89_0</v>
      </c>
      <c r="C935" t="s">
        <v>163</v>
      </c>
      <c r="D935" t="s">
        <v>166</v>
      </c>
      <c r="E935" t="s">
        <v>139</v>
      </c>
      <c r="F935">
        <v>90</v>
      </c>
    </row>
    <row r="936" spans="1:7" x14ac:dyDescent="0.55000000000000004">
      <c r="A936">
        <v>89</v>
      </c>
      <c r="B936" t="str">
        <f t="shared" si="14"/>
        <v>89_0</v>
      </c>
      <c r="C936" t="s">
        <v>163</v>
      </c>
      <c r="D936" t="s">
        <v>167</v>
      </c>
      <c r="F936" t="s">
        <v>173</v>
      </c>
    </row>
    <row r="937" spans="1:7" x14ac:dyDescent="0.55000000000000004">
      <c r="A937">
        <v>89</v>
      </c>
      <c r="B937" t="str">
        <f t="shared" si="14"/>
        <v>89_0</v>
      </c>
      <c r="C937" t="s">
        <v>163</v>
      </c>
      <c r="D937" t="s">
        <v>168</v>
      </c>
      <c r="E937" t="s">
        <v>131</v>
      </c>
      <c r="F937">
        <v>1</v>
      </c>
    </row>
    <row r="938" spans="1:7" x14ac:dyDescent="0.55000000000000004">
      <c r="A938">
        <v>89</v>
      </c>
      <c r="B938" t="str">
        <f t="shared" si="14"/>
        <v>89_0</v>
      </c>
      <c r="C938" t="s">
        <v>163</v>
      </c>
      <c r="D938" t="s">
        <v>169</v>
      </c>
      <c r="F938" t="s">
        <v>173</v>
      </c>
    </row>
    <row r="939" spans="1:7" x14ac:dyDescent="0.55000000000000004">
      <c r="A939">
        <v>89</v>
      </c>
      <c r="B939" t="str">
        <f t="shared" si="14"/>
        <v>89_0</v>
      </c>
      <c r="C939" t="s">
        <v>163</v>
      </c>
      <c r="D939" t="s">
        <v>170</v>
      </c>
      <c r="E939" t="s">
        <v>139</v>
      </c>
      <c r="F939">
        <v>3</v>
      </c>
    </row>
    <row r="940" spans="1:7" x14ac:dyDescent="0.55000000000000004">
      <c r="A940">
        <v>89</v>
      </c>
      <c r="B940" t="str">
        <f t="shared" si="14"/>
        <v>89_0</v>
      </c>
      <c r="C940" t="s">
        <v>163</v>
      </c>
      <c r="D940" t="s">
        <v>171</v>
      </c>
    </row>
    <row r="941" spans="1:7" x14ac:dyDescent="0.55000000000000004">
      <c r="A941">
        <v>90</v>
      </c>
      <c r="B941" t="str">
        <f t="shared" si="14"/>
        <v>90_0</v>
      </c>
      <c r="C941" t="s">
        <v>126</v>
      </c>
      <c r="D941" t="s">
        <v>127</v>
      </c>
      <c r="E941" t="s">
        <v>128</v>
      </c>
      <c r="F941" s="1"/>
      <c r="G941" t="s">
        <v>129</v>
      </c>
    </row>
    <row r="942" spans="1:7" x14ac:dyDescent="0.55000000000000004">
      <c r="A942">
        <v>90</v>
      </c>
      <c r="B942" t="str">
        <f t="shared" si="14"/>
        <v>90_0</v>
      </c>
      <c r="C942" t="s">
        <v>126</v>
      </c>
      <c r="D942" s="11" t="s">
        <v>130</v>
      </c>
      <c r="E942" t="s">
        <v>131</v>
      </c>
      <c r="F942">
        <v>1</v>
      </c>
    </row>
    <row r="943" spans="1:7" x14ac:dyDescent="0.55000000000000004">
      <c r="A943">
        <v>90</v>
      </c>
      <c r="B943" t="str">
        <f t="shared" si="14"/>
        <v>90_0</v>
      </c>
      <c r="C943" t="s">
        <v>126</v>
      </c>
      <c r="D943" t="s">
        <v>132</v>
      </c>
      <c r="E943" t="s">
        <v>133</v>
      </c>
    </row>
    <row r="944" spans="1:7" x14ac:dyDescent="0.55000000000000004">
      <c r="A944">
        <v>90</v>
      </c>
      <c r="B944" t="str">
        <f t="shared" si="14"/>
        <v>90_0</v>
      </c>
      <c r="C944" t="s">
        <v>126</v>
      </c>
      <c r="D944" t="s">
        <v>134</v>
      </c>
      <c r="E944" t="s">
        <v>133</v>
      </c>
      <c r="F944">
        <v>1</v>
      </c>
    </row>
    <row r="945" spans="1:7" x14ac:dyDescent="0.55000000000000004">
      <c r="A945">
        <v>90</v>
      </c>
      <c r="B945" t="str">
        <f t="shared" si="14"/>
        <v>90_0</v>
      </c>
      <c r="C945" t="s">
        <v>126</v>
      </c>
      <c r="D945" t="s">
        <v>135</v>
      </c>
      <c r="E945" t="s">
        <v>136</v>
      </c>
      <c r="F945">
        <f>F944/10</f>
        <v>0.1</v>
      </c>
      <c r="G945" t="s">
        <v>137</v>
      </c>
    </row>
    <row r="946" spans="1:7" x14ac:dyDescent="0.55000000000000004">
      <c r="A946">
        <v>90</v>
      </c>
      <c r="B946" t="str">
        <f t="shared" si="14"/>
        <v>90_0</v>
      </c>
      <c r="C946" t="s">
        <v>126</v>
      </c>
      <c r="D946" s="2" t="s">
        <v>138</v>
      </c>
      <c r="E946" t="s">
        <v>139</v>
      </c>
      <c r="F946">
        <v>100</v>
      </c>
    </row>
    <row r="947" spans="1:7" x14ac:dyDescent="0.55000000000000004">
      <c r="A947">
        <v>90</v>
      </c>
      <c r="B947" t="str">
        <f t="shared" si="14"/>
        <v>90_0</v>
      </c>
      <c r="C947" t="s">
        <v>126</v>
      </c>
      <c r="D947" s="2" t="s">
        <v>140</v>
      </c>
      <c r="F947" t="s">
        <v>172</v>
      </c>
    </row>
    <row r="948" spans="1:7" x14ac:dyDescent="0.55000000000000004">
      <c r="A948">
        <v>90</v>
      </c>
      <c r="B948" t="str">
        <f t="shared" si="14"/>
        <v>90_0</v>
      </c>
      <c r="C948" t="s">
        <v>126</v>
      </c>
      <c r="D948" s="2" t="s">
        <v>141</v>
      </c>
      <c r="E948" t="s">
        <v>139</v>
      </c>
      <c r="F948">
        <v>0</v>
      </c>
    </row>
    <row r="949" spans="1:7" x14ac:dyDescent="0.55000000000000004">
      <c r="A949">
        <v>90</v>
      </c>
      <c r="B949" t="str">
        <f t="shared" si="14"/>
        <v>90_0</v>
      </c>
      <c r="C949" t="s">
        <v>126</v>
      </c>
      <c r="D949" t="s">
        <v>142</v>
      </c>
      <c r="E949" t="s">
        <v>139</v>
      </c>
      <c r="F949">
        <v>0</v>
      </c>
    </row>
    <row r="950" spans="1:7" x14ac:dyDescent="0.55000000000000004">
      <c r="A950">
        <v>90</v>
      </c>
      <c r="B950" t="str">
        <f t="shared" si="14"/>
        <v>90_0</v>
      </c>
      <c r="C950" t="s">
        <v>126</v>
      </c>
      <c r="D950" t="s">
        <v>143</v>
      </c>
      <c r="E950" t="s">
        <v>131</v>
      </c>
      <c r="F950">
        <v>0</v>
      </c>
    </row>
    <row r="951" spans="1:7" x14ac:dyDescent="0.55000000000000004">
      <c r="A951">
        <v>90</v>
      </c>
      <c r="B951" t="str">
        <f t="shared" si="14"/>
        <v>90_0</v>
      </c>
      <c r="C951" t="s">
        <v>126</v>
      </c>
      <c r="D951" t="s">
        <v>144</v>
      </c>
      <c r="E951" t="s">
        <v>139</v>
      </c>
      <c r="F951">
        <v>0</v>
      </c>
    </row>
    <row r="952" spans="1:7" x14ac:dyDescent="0.55000000000000004">
      <c r="A952">
        <v>90</v>
      </c>
      <c r="B952" t="str">
        <f t="shared" si="14"/>
        <v>90_0</v>
      </c>
      <c r="C952" t="s">
        <v>126</v>
      </c>
      <c r="D952" t="s">
        <v>145</v>
      </c>
      <c r="E952" t="s">
        <v>139</v>
      </c>
      <c r="F952">
        <v>0</v>
      </c>
    </row>
    <row r="953" spans="1:7" x14ac:dyDescent="0.55000000000000004">
      <c r="A953">
        <v>90</v>
      </c>
      <c r="B953" t="str">
        <f t="shared" si="14"/>
        <v>90_0</v>
      </c>
      <c r="C953" t="s">
        <v>126</v>
      </c>
      <c r="D953" t="s">
        <v>146</v>
      </c>
      <c r="E953" t="s">
        <v>139</v>
      </c>
      <c r="F953">
        <v>0</v>
      </c>
    </row>
    <row r="954" spans="1:7" x14ac:dyDescent="0.55000000000000004">
      <c r="A954">
        <v>90</v>
      </c>
      <c r="B954" t="str">
        <f t="shared" si="14"/>
        <v>90_0</v>
      </c>
      <c r="C954" t="s">
        <v>126</v>
      </c>
      <c r="D954" t="s">
        <v>147</v>
      </c>
      <c r="E954" t="s">
        <v>139</v>
      </c>
      <c r="F954">
        <v>0</v>
      </c>
    </row>
    <row r="955" spans="1:7" x14ac:dyDescent="0.55000000000000004">
      <c r="A955">
        <v>90</v>
      </c>
      <c r="B955" t="str">
        <f t="shared" si="14"/>
        <v>90_0</v>
      </c>
      <c r="C955" t="s">
        <v>126</v>
      </c>
      <c r="D955" t="s">
        <v>148</v>
      </c>
      <c r="E955" t="s">
        <v>139</v>
      </c>
      <c r="F955">
        <v>0</v>
      </c>
    </row>
    <row r="956" spans="1:7" x14ac:dyDescent="0.55000000000000004">
      <c r="A956">
        <v>90</v>
      </c>
      <c r="B956" t="str">
        <f t="shared" si="14"/>
        <v>90_0</v>
      </c>
      <c r="C956" t="s">
        <v>126</v>
      </c>
      <c r="D956" t="s">
        <v>149</v>
      </c>
      <c r="E956" t="s">
        <v>139</v>
      </c>
      <c r="F956">
        <v>0</v>
      </c>
    </row>
    <row r="957" spans="1:7" x14ac:dyDescent="0.55000000000000004">
      <c r="A957">
        <v>90</v>
      </c>
      <c r="B957" t="str">
        <f t="shared" si="14"/>
        <v>90_0</v>
      </c>
      <c r="C957" t="s">
        <v>126</v>
      </c>
      <c r="D957" t="s">
        <v>150</v>
      </c>
      <c r="E957" t="s">
        <v>139</v>
      </c>
      <c r="F957">
        <v>100</v>
      </c>
    </row>
    <row r="958" spans="1:7" x14ac:dyDescent="0.55000000000000004">
      <c r="A958">
        <v>90</v>
      </c>
      <c r="B958" t="str">
        <f t="shared" si="14"/>
        <v>90_0</v>
      </c>
      <c r="C958" t="s">
        <v>126</v>
      </c>
      <c r="D958" t="s">
        <v>151</v>
      </c>
      <c r="E958" t="s">
        <v>139</v>
      </c>
      <c r="F958">
        <v>0</v>
      </c>
    </row>
    <row r="959" spans="1:7" x14ac:dyDescent="0.55000000000000004">
      <c r="A959">
        <v>90</v>
      </c>
      <c r="B959" t="str">
        <f t="shared" si="14"/>
        <v>90_0</v>
      </c>
      <c r="C959" t="s">
        <v>126</v>
      </c>
      <c r="D959" t="s">
        <v>152</v>
      </c>
      <c r="E959" t="s">
        <v>153</v>
      </c>
    </row>
    <row r="960" spans="1:7" x14ac:dyDescent="0.55000000000000004">
      <c r="A960">
        <v>90</v>
      </c>
      <c r="B960" t="str">
        <f t="shared" si="14"/>
        <v>90_0</v>
      </c>
      <c r="C960" t="s">
        <v>154</v>
      </c>
      <c r="D960" t="s">
        <v>155</v>
      </c>
      <c r="E960" t="s">
        <v>156</v>
      </c>
      <c r="F960">
        <v>21.6</v>
      </c>
    </row>
    <row r="961" spans="1:6" x14ac:dyDescent="0.55000000000000004">
      <c r="A961">
        <v>90</v>
      </c>
      <c r="B961" t="str">
        <f t="shared" si="14"/>
        <v>90_0</v>
      </c>
      <c r="C961" t="s">
        <v>154</v>
      </c>
      <c r="D961" t="s">
        <v>157</v>
      </c>
      <c r="E961" t="s">
        <v>158</v>
      </c>
      <c r="F961">
        <v>11.06</v>
      </c>
    </row>
    <row r="962" spans="1:6" x14ac:dyDescent="0.55000000000000004">
      <c r="A962">
        <v>90</v>
      </c>
      <c r="B962" t="str">
        <f t="shared" si="14"/>
        <v>90_0</v>
      </c>
      <c r="C962" t="s">
        <v>154</v>
      </c>
      <c r="D962" t="s">
        <v>159</v>
      </c>
      <c r="E962" t="s">
        <v>139</v>
      </c>
      <c r="F962">
        <v>125.9</v>
      </c>
    </row>
    <row r="963" spans="1:6" x14ac:dyDescent="0.55000000000000004">
      <c r="A963">
        <v>90</v>
      </c>
      <c r="B963" t="str">
        <f t="shared" ref="B963:B1026" si="15">A963 &amp; "_0"</f>
        <v>90_0</v>
      </c>
      <c r="C963" t="s">
        <v>154</v>
      </c>
      <c r="D963" t="s">
        <v>160</v>
      </c>
      <c r="E963" t="s">
        <v>161</v>
      </c>
      <c r="F963">
        <v>426.2</v>
      </c>
    </row>
    <row r="964" spans="1:6" x14ac:dyDescent="0.55000000000000004">
      <c r="A964">
        <v>90</v>
      </c>
      <c r="B964" t="str">
        <f t="shared" si="15"/>
        <v>90_0</v>
      </c>
      <c r="C964" t="s">
        <v>154</v>
      </c>
      <c r="D964" t="s">
        <v>162</v>
      </c>
      <c r="F964">
        <v>8.9</v>
      </c>
    </row>
    <row r="965" spans="1:6" x14ac:dyDescent="0.55000000000000004">
      <c r="A965">
        <v>90</v>
      </c>
      <c r="B965" t="str">
        <f t="shared" si="15"/>
        <v>90_0</v>
      </c>
      <c r="C965" t="s">
        <v>163</v>
      </c>
      <c r="D965" t="s">
        <v>164</v>
      </c>
      <c r="E965" t="s">
        <v>139</v>
      </c>
      <c r="F965">
        <v>0</v>
      </c>
    </row>
    <row r="966" spans="1:6" x14ac:dyDescent="0.55000000000000004">
      <c r="A966">
        <v>90</v>
      </c>
      <c r="B966" t="str">
        <f t="shared" si="15"/>
        <v>90_0</v>
      </c>
      <c r="C966" t="s">
        <v>163</v>
      </c>
      <c r="D966" t="s">
        <v>165</v>
      </c>
    </row>
    <row r="967" spans="1:6" x14ac:dyDescent="0.55000000000000004">
      <c r="A967">
        <v>90</v>
      </c>
      <c r="B967" t="str">
        <f t="shared" si="15"/>
        <v>90_0</v>
      </c>
      <c r="C967" t="s">
        <v>163</v>
      </c>
      <c r="D967" t="s">
        <v>166</v>
      </c>
      <c r="E967" t="s">
        <v>139</v>
      </c>
      <c r="F967">
        <v>95</v>
      </c>
    </row>
    <row r="968" spans="1:6" x14ac:dyDescent="0.55000000000000004">
      <c r="A968">
        <v>90</v>
      </c>
      <c r="B968" t="str">
        <f t="shared" si="15"/>
        <v>90_0</v>
      </c>
      <c r="C968" t="s">
        <v>163</v>
      </c>
      <c r="D968" t="s">
        <v>166</v>
      </c>
      <c r="E968" t="s">
        <v>139</v>
      </c>
      <c r="F968">
        <v>20</v>
      </c>
    </row>
    <row r="969" spans="1:6" x14ac:dyDescent="0.55000000000000004">
      <c r="A969">
        <v>90</v>
      </c>
      <c r="B969" t="str">
        <f t="shared" si="15"/>
        <v>90_0</v>
      </c>
      <c r="C969" t="s">
        <v>163</v>
      </c>
      <c r="D969" t="s">
        <v>167</v>
      </c>
      <c r="F969" t="s">
        <v>187</v>
      </c>
    </row>
    <row r="970" spans="1:6" x14ac:dyDescent="0.55000000000000004">
      <c r="A970">
        <v>90</v>
      </c>
      <c r="B970" t="str">
        <f t="shared" si="15"/>
        <v>90_0</v>
      </c>
      <c r="C970" t="s">
        <v>163</v>
      </c>
      <c r="D970" t="s">
        <v>166</v>
      </c>
      <c r="E970" t="s">
        <v>139</v>
      </c>
      <c r="F970">
        <v>5</v>
      </c>
    </row>
    <row r="971" spans="1:6" x14ac:dyDescent="0.55000000000000004">
      <c r="A971">
        <v>90</v>
      </c>
      <c r="B971" t="str">
        <f t="shared" si="15"/>
        <v>90_0</v>
      </c>
      <c r="C971" t="s">
        <v>163</v>
      </c>
      <c r="D971" t="s">
        <v>167</v>
      </c>
      <c r="F971" t="s">
        <v>190</v>
      </c>
    </row>
    <row r="972" spans="1:6" x14ac:dyDescent="0.55000000000000004">
      <c r="A972">
        <v>90</v>
      </c>
      <c r="B972" t="str">
        <f t="shared" si="15"/>
        <v>90_0</v>
      </c>
      <c r="C972" t="s">
        <v>163</v>
      </c>
      <c r="D972" t="s">
        <v>166</v>
      </c>
      <c r="E972" t="s">
        <v>139</v>
      </c>
      <c r="F972">
        <v>70</v>
      </c>
    </row>
    <row r="973" spans="1:6" x14ac:dyDescent="0.55000000000000004">
      <c r="A973">
        <v>90</v>
      </c>
      <c r="B973" t="str">
        <f t="shared" si="15"/>
        <v>90_0</v>
      </c>
      <c r="C973" t="s">
        <v>163</v>
      </c>
      <c r="D973" t="s">
        <v>167</v>
      </c>
      <c r="F973" t="s">
        <v>173</v>
      </c>
    </row>
    <row r="974" spans="1:6" x14ac:dyDescent="0.55000000000000004">
      <c r="A974">
        <v>90</v>
      </c>
      <c r="B974" t="str">
        <f t="shared" si="15"/>
        <v>90_0</v>
      </c>
      <c r="C974" t="s">
        <v>163</v>
      </c>
      <c r="D974" t="s">
        <v>168</v>
      </c>
      <c r="E974" t="s">
        <v>131</v>
      </c>
      <c r="F974">
        <v>0</v>
      </c>
    </row>
    <row r="975" spans="1:6" x14ac:dyDescent="0.55000000000000004">
      <c r="A975">
        <v>90</v>
      </c>
      <c r="B975" t="str">
        <f t="shared" si="15"/>
        <v>90_0</v>
      </c>
      <c r="C975" t="s">
        <v>163</v>
      </c>
      <c r="D975" t="s">
        <v>169</v>
      </c>
    </row>
    <row r="976" spans="1:6" x14ac:dyDescent="0.55000000000000004">
      <c r="A976">
        <v>90</v>
      </c>
      <c r="B976" t="str">
        <f t="shared" si="15"/>
        <v>90_0</v>
      </c>
      <c r="C976" t="s">
        <v>163</v>
      </c>
      <c r="D976" t="s">
        <v>170</v>
      </c>
      <c r="E976" t="s">
        <v>139</v>
      </c>
      <c r="F976">
        <v>10</v>
      </c>
    </row>
    <row r="977" spans="1:7" x14ac:dyDescent="0.55000000000000004">
      <c r="A977">
        <v>90</v>
      </c>
      <c r="B977" t="str">
        <f t="shared" si="15"/>
        <v>90_0</v>
      </c>
      <c r="C977" t="s">
        <v>163</v>
      </c>
      <c r="D977" t="s">
        <v>171</v>
      </c>
    </row>
    <row r="978" spans="1:7" x14ac:dyDescent="0.55000000000000004">
      <c r="A978">
        <v>91</v>
      </c>
      <c r="B978" t="str">
        <f t="shared" si="15"/>
        <v>91_0</v>
      </c>
      <c r="C978" t="s">
        <v>126</v>
      </c>
      <c r="D978" t="s">
        <v>127</v>
      </c>
      <c r="E978" t="s">
        <v>128</v>
      </c>
      <c r="F978" s="1"/>
      <c r="G978" t="s">
        <v>129</v>
      </c>
    </row>
    <row r="979" spans="1:7" x14ac:dyDescent="0.55000000000000004">
      <c r="A979">
        <v>91</v>
      </c>
      <c r="B979" t="str">
        <f t="shared" si="15"/>
        <v>91_0</v>
      </c>
      <c r="C979" t="s">
        <v>126</v>
      </c>
      <c r="D979" s="11" t="s">
        <v>130</v>
      </c>
      <c r="E979" t="s">
        <v>131</v>
      </c>
      <c r="F979">
        <v>1</v>
      </c>
    </row>
    <row r="980" spans="1:7" x14ac:dyDescent="0.55000000000000004">
      <c r="A980">
        <v>91</v>
      </c>
      <c r="B980" t="str">
        <f t="shared" si="15"/>
        <v>91_0</v>
      </c>
      <c r="C980" t="s">
        <v>126</v>
      </c>
      <c r="D980" t="s">
        <v>132</v>
      </c>
      <c r="E980" t="s">
        <v>133</v>
      </c>
    </row>
    <row r="981" spans="1:7" x14ac:dyDescent="0.55000000000000004">
      <c r="A981">
        <v>91</v>
      </c>
      <c r="B981" t="str">
        <f t="shared" si="15"/>
        <v>91_0</v>
      </c>
      <c r="C981" t="s">
        <v>126</v>
      </c>
      <c r="D981" t="s">
        <v>134</v>
      </c>
      <c r="E981" t="s">
        <v>133</v>
      </c>
      <c r="F981">
        <v>1.02</v>
      </c>
    </row>
    <row r="982" spans="1:7" x14ac:dyDescent="0.55000000000000004">
      <c r="A982">
        <v>91</v>
      </c>
      <c r="B982" t="str">
        <f t="shared" si="15"/>
        <v>91_0</v>
      </c>
      <c r="C982" t="s">
        <v>126</v>
      </c>
      <c r="D982" t="s">
        <v>135</v>
      </c>
      <c r="E982" t="s">
        <v>136</v>
      </c>
      <c r="F982">
        <f>F981/10</f>
        <v>0.10200000000000001</v>
      </c>
      <c r="G982" t="s">
        <v>137</v>
      </c>
    </row>
    <row r="983" spans="1:7" x14ac:dyDescent="0.55000000000000004">
      <c r="A983">
        <v>91</v>
      </c>
      <c r="B983" t="str">
        <f t="shared" si="15"/>
        <v>91_0</v>
      </c>
      <c r="C983" t="s">
        <v>126</v>
      </c>
      <c r="D983" s="2" t="s">
        <v>138</v>
      </c>
      <c r="E983" t="s">
        <v>139</v>
      </c>
      <c r="F983">
        <v>0</v>
      </c>
    </row>
    <row r="984" spans="1:7" x14ac:dyDescent="0.55000000000000004">
      <c r="A984">
        <v>91</v>
      </c>
      <c r="B984" t="str">
        <f t="shared" si="15"/>
        <v>91_0</v>
      </c>
      <c r="C984" t="s">
        <v>126</v>
      </c>
      <c r="D984" s="2" t="s">
        <v>140</v>
      </c>
    </row>
    <row r="985" spans="1:7" x14ac:dyDescent="0.55000000000000004">
      <c r="A985">
        <v>91</v>
      </c>
      <c r="B985" t="str">
        <f t="shared" si="15"/>
        <v>91_0</v>
      </c>
      <c r="C985" t="s">
        <v>126</v>
      </c>
      <c r="D985" s="2" t="s">
        <v>141</v>
      </c>
      <c r="E985" t="s">
        <v>139</v>
      </c>
      <c r="F985">
        <v>0</v>
      </c>
    </row>
    <row r="986" spans="1:7" x14ac:dyDescent="0.55000000000000004">
      <c r="A986">
        <v>91</v>
      </c>
      <c r="B986" t="str">
        <f t="shared" si="15"/>
        <v>91_0</v>
      </c>
      <c r="C986" t="s">
        <v>126</v>
      </c>
      <c r="D986" t="s">
        <v>142</v>
      </c>
      <c r="E986" t="s">
        <v>139</v>
      </c>
      <c r="F986">
        <v>100</v>
      </c>
    </row>
    <row r="987" spans="1:7" x14ac:dyDescent="0.55000000000000004">
      <c r="A987">
        <v>91</v>
      </c>
      <c r="B987" t="str">
        <f t="shared" si="15"/>
        <v>91_0</v>
      </c>
      <c r="C987" t="s">
        <v>126</v>
      </c>
      <c r="D987" t="s">
        <v>143</v>
      </c>
      <c r="E987" t="s">
        <v>131</v>
      </c>
      <c r="F987">
        <v>0</v>
      </c>
    </row>
    <row r="988" spans="1:7" x14ac:dyDescent="0.55000000000000004">
      <c r="A988">
        <v>91</v>
      </c>
      <c r="B988" t="str">
        <f t="shared" si="15"/>
        <v>91_0</v>
      </c>
      <c r="C988" t="s">
        <v>126</v>
      </c>
      <c r="D988" t="s">
        <v>144</v>
      </c>
      <c r="E988" t="s">
        <v>139</v>
      </c>
      <c r="F988">
        <v>0</v>
      </c>
    </row>
    <row r="989" spans="1:7" x14ac:dyDescent="0.55000000000000004">
      <c r="A989">
        <v>91</v>
      </c>
      <c r="B989" t="str">
        <f t="shared" si="15"/>
        <v>91_0</v>
      </c>
      <c r="C989" t="s">
        <v>126</v>
      </c>
      <c r="D989" t="s">
        <v>145</v>
      </c>
      <c r="E989" t="s">
        <v>139</v>
      </c>
      <c r="F989">
        <v>0</v>
      </c>
    </row>
    <row r="990" spans="1:7" x14ac:dyDescent="0.55000000000000004">
      <c r="A990">
        <v>91</v>
      </c>
      <c r="B990" t="str">
        <f t="shared" si="15"/>
        <v>91_0</v>
      </c>
      <c r="C990" t="s">
        <v>126</v>
      </c>
      <c r="D990" t="s">
        <v>146</v>
      </c>
      <c r="E990" t="s">
        <v>139</v>
      </c>
      <c r="F990">
        <v>20</v>
      </c>
    </row>
    <row r="991" spans="1:7" x14ac:dyDescent="0.55000000000000004">
      <c r="A991">
        <v>91</v>
      </c>
      <c r="B991" t="str">
        <f t="shared" si="15"/>
        <v>91_0</v>
      </c>
      <c r="C991" t="s">
        <v>126</v>
      </c>
      <c r="D991" t="s">
        <v>147</v>
      </c>
      <c r="E991" t="s">
        <v>139</v>
      </c>
      <c r="F991">
        <v>70</v>
      </c>
    </row>
    <row r="992" spans="1:7" x14ac:dyDescent="0.55000000000000004">
      <c r="A992">
        <v>91</v>
      </c>
      <c r="B992" t="str">
        <f t="shared" si="15"/>
        <v>91_0</v>
      </c>
      <c r="C992" t="s">
        <v>126</v>
      </c>
      <c r="D992" t="s">
        <v>148</v>
      </c>
      <c r="E992" t="s">
        <v>139</v>
      </c>
      <c r="F992">
        <v>10</v>
      </c>
    </row>
    <row r="993" spans="1:6" x14ac:dyDescent="0.55000000000000004">
      <c r="A993">
        <v>91</v>
      </c>
      <c r="B993" t="str">
        <f t="shared" si="15"/>
        <v>91_0</v>
      </c>
      <c r="C993" t="s">
        <v>126</v>
      </c>
      <c r="D993" t="s">
        <v>149</v>
      </c>
      <c r="E993" t="s">
        <v>139</v>
      </c>
      <c r="F993">
        <v>0</v>
      </c>
    </row>
    <row r="994" spans="1:6" x14ac:dyDescent="0.55000000000000004">
      <c r="A994">
        <v>91</v>
      </c>
      <c r="B994" t="str">
        <f t="shared" si="15"/>
        <v>91_0</v>
      </c>
      <c r="C994" t="s">
        <v>126</v>
      </c>
      <c r="D994" t="s">
        <v>150</v>
      </c>
      <c r="E994" t="s">
        <v>139</v>
      </c>
      <c r="F994">
        <v>0</v>
      </c>
    </row>
    <row r="995" spans="1:6" x14ac:dyDescent="0.55000000000000004">
      <c r="A995">
        <v>91</v>
      </c>
      <c r="B995" t="str">
        <f t="shared" si="15"/>
        <v>91_0</v>
      </c>
      <c r="C995" t="s">
        <v>126</v>
      </c>
      <c r="D995" t="s">
        <v>151</v>
      </c>
      <c r="E995" t="s">
        <v>139</v>
      </c>
      <c r="F995">
        <v>0</v>
      </c>
    </row>
    <row r="996" spans="1:6" x14ac:dyDescent="0.55000000000000004">
      <c r="A996">
        <v>91</v>
      </c>
      <c r="B996" t="str">
        <f t="shared" si="15"/>
        <v>91_0</v>
      </c>
      <c r="C996" t="s">
        <v>126</v>
      </c>
      <c r="D996" t="s">
        <v>152</v>
      </c>
      <c r="E996" t="s">
        <v>153</v>
      </c>
    </row>
    <row r="997" spans="1:6" x14ac:dyDescent="0.55000000000000004">
      <c r="A997">
        <v>91</v>
      </c>
      <c r="B997" t="str">
        <f t="shared" si="15"/>
        <v>91_0</v>
      </c>
      <c r="C997" t="s">
        <v>154</v>
      </c>
      <c r="D997" t="s">
        <v>155</v>
      </c>
      <c r="E997" t="s">
        <v>156</v>
      </c>
      <c r="F997">
        <v>22.6</v>
      </c>
    </row>
    <row r="998" spans="1:6" x14ac:dyDescent="0.55000000000000004">
      <c r="A998">
        <v>91</v>
      </c>
      <c r="B998" t="str">
        <f t="shared" si="15"/>
        <v>91_0</v>
      </c>
      <c r="C998" t="s">
        <v>154</v>
      </c>
      <c r="D998" t="s">
        <v>157</v>
      </c>
      <c r="E998" t="s">
        <v>158</v>
      </c>
      <c r="F998">
        <v>11.08</v>
      </c>
    </row>
    <row r="999" spans="1:6" x14ac:dyDescent="0.55000000000000004">
      <c r="A999">
        <v>91</v>
      </c>
      <c r="B999" t="str">
        <f t="shared" si="15"/>
        <v>91_0</v>
      </c>
      <c r="C999" t="s">
        <v>154</v>
      </c>
      <c r="D999" t="s">
        <v>159</v>
      </c>
      <c r="E999" t="s">
        <v>139</v>
      </c>
      <c r="F999">
        <v>128.30000000000001</v>
      </c>
    </row>
    <row r="1000" spans="1:6" x14ac:dyDescent="0.55000000000000004">
      <c r="A1000">
        <v>91</v>
      </c>
      <c r="B1000" t="str">
        <f t="shared" si="15"/>
        <v>91_0</v>
      </c>
      <c r="C1000" t="s">
        <v>154</v>
      </c>
      <c r="D1000" t="s">
        <v>160</v>
      </c>
      <c r="E1000" t="s">
        <v>161</v>
      </c>
      <c r="F1000">
        <v>441.3</v>
      </c>
    </row>
    <row r="1001" spans="1:6" x14ac:dyDescent="0.55000000000000004">
      <c r="A1001">
        <v>91</v>
      </c>
      <c r="B1001" t="str">
        <f t="shared" si="15"/>
        <v>91_0</v>
      </c>
      <c r="C1001" t="s">
        <v>154</v>
      </c>
      <c r="D1001" t="s">
        <v>162</v>
      </c>
      <c r="F1001">
        <v>8.9499999999999993</v>
      </c>
    </row>
    <row r="1002" spans="1:6" x14ac:dyDescent="0.55000000000000004">
      <c r="A1002">
        <v>91</v>
      </c>
      <c r="B1002" t="str">
        <f t="shared" si="15"/>
        <v>91_0</v>
      </c>
      <c r="C1002" t="s">
        <v>163</v>
      </c>
      <c r="D1002" t="s">
        <v>164</v>
      </c>
      <c r="E1002" t="s">
        <v>139</v>
      </c>
      <c r="F1002">
        <v>0</v>
      </c>
    </row>
    <row r="1003" spans="1:6" x14ac:dyDescent="0.55000000000000004">
      <c r="A1003">
        <v>91</v>
      </c>
      <c r="B1003" t="str">
        <f t="shared" si="15"/>
        <v>91_0</v>
      </c>
      <c r="C1003" t="s">
        <v>163</v>
      </c>
      <c r="D1003" t="s">
        <v>165</v>
      </c>
    </row>
    <row r="1004" spans="1:6" x14ac:dyDescent="0.55000000000000004">
      <c r="A1004">
        <v>91</v>
      </c>
      <c r="B1004" t="str">
        <f t="shared" si="15"/>
        <v>91_0</v>
      </c>
      <c r="C1004" t="s">
        <v>163</v>
      </c>
      <c r="D1004" t="s">
        <v>166</v>
      </c>
      <c r="E1004" t="s">
        <v>139</v>
      </c>
      <c r="F1004">
        <v>10</v>
      </c>
    </row>
    <row r="1005" spans="1:6" x14ac:dyDescent="0.55000000000000004">
      <c r="A1005">
        <v>91</v>
      </c>
      <c r="B1005" t="str">
        <f t="shared" si="15"/>
        <v>91_0</v>
      </c>
      <c r="C1005" t="s">
        <v>163</v>
      </c>
      <c r="D1005" t="s">
        <v>167</v>
      </c>
      <c r="F1005" t="s">
        <v>173</v>
      </c>
    </row>
    <row r="1006" spans="1:6" x14ac:dyDescent="0.55000000000000004">
      <c r="A1006">
        <v>91</v>
      </c>
      <c r="B1006" t="str">
        <f t="shared" si="15"/>
        <v>91_0</v>
      </c>
      <c r="C1006" t="s">
        <v>163</v>
      </c>
      <c r="D1006" t="s">
        <v>168</v>
      </c>
      <c r="E1006" t="s">
        <v>131</v>
      </c>
      <c r="F1006">
        <v>0</v>
      </c>
    </row>
    <row r="1007" spans="1:6" x14ac:dyDescent="0.55000000000000004">
      <c r="A1007">
        <v>91</v>
      </c>
      <c r="B1007" t="str">
        <f t="shared" si="15"/>
        <v>91_0</v>
      </c>
      <c r="C1007" t="s">
        <v>163</v>
      </c>
      <c r="D1007" t="s">
        <v>169</v>
      </c>
    </row>
    <row r="1008" spans="1:6" x14ac:dyDescent="0.55000000000000004">
      <c r="A1008">
        <v>91</v>
      </c>
      <c r="B1008" t="str">
        <f t="shared" si="15"/>
        <v>91_0</v>
      </c>
      <c r="C1008" t="s">
        <v>163</v>
      </c>
      <c r="D1008" t="s">
        <v>170</v>
      </c>
      <c r="E1008" t="s">
        <v>139</v>
      </c>
      <c r="F1008">
        <v>20</v>
      </c>
    </row>
    <row r="1009" spans="1:7" x14ac:dyDescent="0.55000000000000004">
      <c r="A1009">
        <v>91</v>
      </c>
      <c r="B1009" t="str">
        <f t="shared" si="15"/>
        <v>91_0</v>
      </c>
      <c r="C1009" t="s">
        <v>163</v>
      </c>
      <c r="D1009" t="s">
        <v>171</v>
      </c>
    </row>
    <row r="1010" spans="1:7" x14ac:dyDescent="0.55000000000000004">
      <c r="A1010">
        <v>92</v>
      </c>
      <c r="B1010" t="str">
        <f t="shared" si="15"/>
        <v>92_0</v>
      </c>
      <c r="C1010" t="s">
        <v>126</v>
      </c>
      <c r="D1010" t="s">
        <v>127</v>
      </c>
      <c r="E1010" t="s">
        <v>128</v>
      </c>
      <c r="F1010" s="1"/>
      <c r="G1010" t="s">
        <v>129</v>
      </c>
    </row>
    <row r="1011" spans="1:7" x14ac:dyDescent="0.55000000000000004">
      <c r="A1011">
        <v>92</v>
      </c>
      <c r="B1011" t="str">
        <f t="shared" si="15"/>
        <v>92_0</v>
      </c>
      <c r="C1011" t="s">
        <v>126</v>
      </c>
      <c r="D1011" s="11" t="s">
        <v>130</v>
      </c>
      <c r="E1011" t="s">
        <v>131</v>
      </c>
      <c r="F1011">
        <v>1</v>
      </c>
    </row>
    <row r="1012" spans="1:7" x14ac:dyDescent="0.55000000000000004">
      <c r="A1012">
        <v>92</v>
      </c>
      <c r="B1012" t="str">
        <f t="shared" si="15"/>
        <v>92_0</v>
      </c>
      <c r="C1012" t="s">
        <v>126</v>
      </c>
      <c r="D1012" t="s">
        <v>132</v>
      </c>
      <c r="E1012" t="s">
        <v>133</v>
      </c>
    </row>
    <row r="1013" spans="1:7" x14ac:dyDescent="0.55000000000000004">
      <c r="A1013">
        <v>92</v>
      </c>
      <c r="B1013" t="str">
        <f t="shared" si="15"/>
        <v>92_0</v>
      </c>
      <c r="C1013" t="s">
        <v>126</v>
      </c>
      <c r="D1013" t="s">
        <v>134</v>
      </c>
      <c r="E1013" t="s">
        <v>133</v>
      </c>
      <c r="F1013">
        <v>1.3</v>
      </c>
    </row>
    <row r="1014" spans="1:7" x14ac:dyDescent="0.55000000000000004">
      <c r="A1014">
        <v>92</v>
      </c>
      <c r="B1014" t="str">
        <f t="shared" si="15"/>
        <v>92_0</v>
      </c>
      <c r="C1014" t="s">
        <v>126</v>
      </c>
      <c r="D1014" t="s">
        <v>135</v>
      </c>
      <c r="E1014" t="s">
        <v>136</v>
      </c>
      <c r="F1014">
        <f>F1013/10</f>
        <v>0.13</v>
      </c>
      <c r="G1014" t="s">
        <v>137</v>
      </c>
    </row>
    <row r="1015" spans="1:7" x14ac:dyDescent="0.55000000000000004">
      <c r="A1015">
        <v>92</v>
      </c>
      <c r="B1015" t="str">
        <f t="shared" si="15"/>
        <v>92_0</v>
      </c>
      <c r="C1015" t="s">
        <v>126</v>
      </c>
      <c r="D1015" s="2" t="s">
        <v>138</v>
      </c>
      <c r="E1015" t="s">
        <v>139</v>
      </c>
      <c r="F1015">
        <v>100</v>
      </c>
    </row>
    <row r="1016" spans="1:7" x14ac:dyDescent="0.55000000000000004">
      <c r="A1016">
        <v>92</v>
      </c>
      <c r="B1016" t="str">
        <f t="shared" si="15"/>
        <v>92_0</v>
      </c>
      <c r="C1016" t="s">
        <v>126</v>
      </c>
      <c r="D1016" s="2" t="s">
        <v>140</v>
      </c>
      <c r="F1016" t="s">
        <v>172</v>
      </c>
    </row>
    <row r="1017" spans="1:7" x14ac:dyDescent="0.55000000000000004">
      <c r="A1017">
        <v>92</v>
      </c>
      <c r="B1017" t="str">
        <f t="shared" si="15"/>
        <v>92_0</v>
      </c>
      <c r="C1017" t="s">
        <v>126</v>
      </c>
      <c r="D1017" s="2" t="s">
        <v>141</v>
      </c>
      <c r="E1017" t="s">
        <v>139</v>
      </c>
      <c r="F1017">
        <v>100</v>
      </c>
    </row>
    <row r="1018" spans="1:7" x14ac:dyDescent="0.55000000000000004">
      <c r="A1018">
        <v>92</v>
      </c>
      <c r="B1018" t="str">
        <f t="shared" si="15"/>
        <v>92_0</v>
      </c>
      <c r="C1018" t="s">
        <v>126</v>
      </c>
      <c r="D1018" t="s">
        <v>142</v>
      </c>
      <c r="E1018" t="s">
        <v>139</v>
      </c>
      <c r="F1018">
        <v>0</v>
      </c>
    </row>
    <row r="1019" spans="1:7" x14ac:dyDescent="0.55000000000000004">
      <c r="A1019">
        <v>92</v>
      </c>
      <c r="B1019" t="str">
        <f t="shared" si="15"/>
        <v>92_0</v>
      </c>
      <c r="C1019" t="s">
        <v>126</v>
      </c>
      <c r="D1019" t="s">
        <v>143</v>
      </c>
      <c r="E1019" t="s">
        <v>131</v>
      </c>
      <c r="F1019">
        <v>0</v>
      </c>
    </row>
    <row r="1020" spans="1:7" x14ac:dyDescent="0.55000000000000004">
      <c r="A1020">
        <v>92</v>
      </c>
      <c r="B1020" t="str">
        <f t="shared" si="15"/>
        <v>92_0</v>
      </c>
      <c r="C1020" t="s">
        <v>126</v>
      </c>
      <c r="D1020" t="s">
        <v>144</v>
      </c>
      <c r="E1020" t="s">
        <v>139</v>
      </c>
      <c r="F1020">
        <v>0</v>
      </c>
    </row>
    <row r="1021" spans="1:7" x14ac:dyDescent="0.55000000000000004">
      <c r="A1021">
        <v>92</v>
      </c>
      <c r="B1021" t="str">
        <f t="shared" si="15"/>
        <v>92_0</v>
      </c>
      <c r="C1021" t="s">
        <v>126</v>
      </c>
      <c r="D1021" t="s">
        <v>145</v>
      </c>
      <c r="E1021" t="s">
        <v>139</v>
      </c>
      <c r="F1021">
        <v>0</v>
      </c>
    </row>
    <row r="1022" spans="1:7" x14ac:dyDescent="0.55000000000000004">
      <c r="A1022">
        <v>92</v>
      </c>
      <c r="B1022" t="str">
        <f t="shared" si="15"/>
        <v>92_0</v>
      </c>
      <c r="C1022" t="s">
        <v>126</v>
      </c>
      <c r="D1022" t="s">
        <v>146</v>
      </c>
      <c r="E1022" t="s">
        <v>139</v>
      </c>
      <c r="F1022">
        <v>0</v>
      </c>
    </row>
    <row r="1023" spans="1:7" x14ac:dyDescent="0.55000000000000004">
      <c r="A1023">
        <v>92</v>
      </c>
      <c r="B1023" t="str">
        <f t="shared" si="15"/>
        <v>92_0</v>
      </c>
      <c r="C1023" t="s">
        <v>126</v>
      </c>
      <c r="D1023" t="s">
        <v>147</v>
      </c>
      <c r="E1023" t="s">
        <v>139</v>
      </c>
      <c r="F1023">
        <v>0</v>
      </c>
    </row>
    <row r="1024" spans="1:7" x14ac:dyDescent="0.55000000000000004">
      <c r="A1024">
        <v>92</v>
      </c>
      <c r="B1024" t="str">
        <f t="shared" si="15"/>
        <v>92_0</v>
      </c>
      <c r="C1024" t="s">
        <v>126</v>
      </c>
      <c r="D1024" t="s">
        <v>148</v>
      </c>
      <c r="E1024" t="s">
        <v>139</v>
      </c>
      <c r="F1024">
        <v>5</v>
      </c>
    </row>
    <row r="1025" spans="1:6" x14ac:dyDescent="0.55000000000000004">
      <c r="A1025">
        <v>92</v>
      </c>
      <c r="B1025" t="str">
        <f t="shared" si="15"/>
        <v>92_0</v>
      </c>
      <c r="C1025" t="s">
        <v>126</v>
      </c>
      <c r="D1025" t="s">
        <v>149</v>
      </c>
      <c r="E1025" t="s">
        <v>139</v>
      </c>
      <c r="F1025">
        <v>0</v>
      </c>
    </row>
    <row r="1026" spans="1:6" x14ac:dyDescent="0.55000000000000004">
      <c r="A1026">
        <v>92</v>
      </c>
      <c r="B1026" t="str">
        <f t="shared" si="15"/>
        <v>92_0</v>
      </c>
      <c r="C1026" t="s">
        <v>126</v>
      </c>
      <c r="D1026" t="s">
        <v>150</v>
      </c>
      <c r="E1026" t="s">
        <v>139</v>
      </c>
      <c r="F1026">
        <v>95</v>
      </c>
    </row>
    <row r="1027" spans="1:6" x14ac:dyDescent="0.55000000000000004">
      <c r="A1027">
        <v>92</v>
      </c>
      <c r="B1027" t="str">
        <f t="shared" ref="B1027:B1090" si="16">A1027 &amp; "_0"</f>
        <v>92_0</v>
      </c>
      <c r="C1027" t="s">
        <v>126</v>
      </c>
      <c r="D1027" t="s">
        <v>151</v>
      </c>
      <c r="E1027" t="s">
        <v>139</v>
      </c>
      <c r="F1027">
        <v>0</v>
      </c>
    </row>
    <row r="1028" spans="1:6" x14ac:dyDescent="0.55000000000000004">
      <c r="A1028">
        <v>92</v>
      </c>
      <c r="B1028" t="str">
        <f t="shared" si="16"/>
        <v>92_0</v>
      </c>
      <c r="C1028" t="s">
        <v>126</v>
      </c>
      <c r="D1028" t="s">
        <v>152</v>
      </c>
      <c r="E1028" t="s">
        <v>153</v>
      </c>
    </row>
    <row r="1029" spans="1:6" x14ac:dyDescent="0.55000000000000004">
      <c r="A1029">
        <v>92</v>
      </c>
      <c r="B1029" t="str">
        <f t="shared" si="16"/>
        <v>92_0</v>
      </c>
      <c r="C1029" t="s">
        <v>154</v>
      </c>
      <c r="D1029" t="s">
        <v>155</v>
      </c>
      <c r="E1029" t="s">
        <v>156</v>
      </c>
      <c r="F1029">
        <v>22.8</v>
      </c>
    </row>
    <row r="1030" spans="1:6" x14ac:dyDescent="0.55000000000000004">
      <c r="A1030">
        <v>92</v>
      </c>
      <c r="B1030" t="str">
        <f t="shared" si="16"/>
        <v>92_0</v>
      </c>
      <c r="C1030" t="s">
        <v>154</v>
      </c>
      <c r="D1030" t="s">
        <v>157</v>
      </c>
      <c r="E1030" t="s">
        <v>158</v>
      </c>
      <c r="F1030">
        <v>11.79</v>
      </c>
    </row>
    <row r="1031" spans="1:6" x14ac:dyDescent="0.55000000000000004">
      <c r="A1031">
        <v>92</v>
      </c>
      <c r="B1031" t="str">
        <f t="shared" si="16"/>
        <v>92_0</v>
      </c>
      <c r="C1031" t="s">
        <v>154</v>
      </c>
      <c r="D1031" t="s">
        <v>159</v>
      </c>
      <c r="E1031" t="s">
        <v>139</v>
      </c>
      <c r="F1031">
        <v>137.6</v>
      </c>
    </row>
    <row r="1032" spans="1:6" x14ac:dyDescent="0.55000000000000004">
      <c r="A1032">
        <v>92</v>
      </c>
      <c r="B1032" t="str">
        <f t="shared" si="16"/>
        <v>92_0</v>
      </c>
      <c r="C1032" t="s">
        <v>154</v>
      </c>
      <c r="D1032" t="s">
        <v>160</v>
      </c>
      <c r="E1032" t="s">
        <v>161</v>
      </c>
      <c r="F1032">
        <v>434.4</v>
      </c>
    </row>
    <row r="1033" spans="1:6" x14ac:dyDescent="0.55000000000000004">
      <c r="A1033">
        <v>92</v>
      </c>
      <c r="B1033" t="str">
        <f t="shared" si="16"/>
        <v>92_0</v>
      </c>
      <c r="C1033" t="s">
        <v>154</v>
      </c>
      <c r="D1033" t="s">
        <v>162</v>
      </c>
      <c r="F1033">
        <v>9.2100000000000009</v>
      </c>
    </row>
    <row r="1034" spans="1:6" x14ac:dyDescent="0.55000000000000004">
      <c r="A1034">
        <v>92</v>
      </c>
      <c r="B1034" t="str">
        <f t="shared" si="16"/>
        <v>92_0</v>
      </c>
      <c r="C1034" t="s">
        <v>163</v>
      </c>
      <c r="D1034" t="s">
        <v>164</v>
      </c>
      <c r="E1034" t="s">
        <v>139</v>
      </c>
      <c r="F1034">
        <v>5</v>
      </c>
    </row>
    <row r="1035" spans="1:6" x14ac:dyDescent="0.55000000000000004">
      <c r="A1035">
        <v>92</v>
      </c>
      <c r="B1035" t="str">
        <f t="shared" si="16"/>
        <v>92_0</v>
      </c>
      <c r="C1035" t="s">
        <v>163</v>
      </c>
      <c r="D1035" t="s">
        <v>165</v>
      </c>
      <c r="F1035" t="s">
        <v>181</v>
      </c>
    </row>
    <row r="1036" spans="1:6" x14ac:dyDescent="0.55000000000000004">
      <c r="A1036">
        <v>92</v>
      </c>
      <c r="B1036" t="str">
        <f t="shared" si="16"/>
        <v>92_0</v>
      </c>
      <c r="C1036" t="s">
        <v>163</v>
      </c>
      <c r="D1036" t="s">
        <v>166</v>
      </c>
      <c r="E1036" t="s">
        <v>139</v>
      </c>
      <c r="F1036">
        <v>100</v>
      </c>
    </row>
    <row r="1037" spans="1:6" x14ac:dyDescent="0.55000000000000004">
      <c r="A1037">
        <v>92</v>
      </c>
      <c r="B1037" t="str">
        <f t="shared" si="16"/>
        <v>92_0</v>
      </c>
      <c r="C1037" t="s">
        <v>163</v>
      </c>
      <c r="D1037" t="s">
        <v>167</v>
      </c>
      <c r="F1037" t="s">
        <v>173</v>
      </c>
    </row>
    <row r="1038" spans="1:6" x14ac:dyDescent="0.55000000000000004">
      <c r="A1038">
        <v>92</v>
      </c>
      <c r="B1038" t="str">
        <f t="shared" si="16"/>
        <v>92_0</v>
      </c>
      <c r="C1038" t="s">
        <v>163</v>
      </c>
      <c r="D1038" t="s">
        <v>168</v>
      </c>
      <c r="E1038" t="s">
        <v>131</v>
      </c>
      <c r="F1038">
        <v>1</v>
      </c>
    </row>
    <row r="1039" spans="1:6" x14ac:dyDescent="0.55000000000000004">
      <c r="A1039">
        <v>92</v>
      </c>
      <c r="B1039" t="str">
        <f t="shared" si="16"/>
        <v>92_0</v>
      </c>
      <c r="C1039" t="s">
        <v>163</v>
      </c>
      <c r="D1039" t="s">
        <v>169</v>
      </c>
      <c r="F1039" t="s">
        <v>173</v>
      </c>
    </row>
    <row r="1040" spans="1:6" x14ac:dyDescent="0.55000000000000004">
      <c r="A1040">
        <v>92</v>
      </c>
      <c r="B1040" t="str">
        <f t="shared" si="16"/>
        <v>92_0</v>
      </c>
      <c r="C1040" t="s">
        <v>163</v>
      </c>
      <c r="D1040" t="s">
        <v>170</v>
      </c>
      <c r="E1040" t="s">
        <v>139</v>
      </c>
      <c r="F1040">
        <v>10</v>
      </c>
    </row>
    <row r="1041" spans="1:7" x14ac:dyDescent="0.55000000000000004">
      <c r="A1041">
        <v>92</v>
      </c>
      <c r="B1041" t="str">
        <f t="shared" si="16"/>
        <v>92_0</v>
      </c>
      <c r="C1041" t="s">
        <v>163</v>
      </c>
      <c r="D1041" t="s">
        <v>171</v>
      </c>
    </row>
    <row r="1042" spans="1:7" x14ac:dyDescent="0.55000000000000004">
      <c r="A1042">
        <v>93</v>
      </c>
      <c r="B1042" t="str">
        <f t="shared" si="16"/>
        <v>93_0</v>
      </c>
      <c r="C1042" t="s">
        <v>126</v>
      </c>
      <c r="D1042" t="s">
        <v>127</v>
      </c>
      <c r="E1042" t="s">
        <v>128</v>
      </c>
      <c r="F1042" s="1"/>
      <c r="G1042" t="s">
        <v>129</v>
      </c>
    </row>
    <row r="1043" spans="1:7" x14ac:dyDescent="0.55000000000000004">
      <c r="A1043">
        <v>93</v>
      </c>
      <c r="B1043" t="str">
        <f t="shared" si="16"/>
        <v>93_0</v>
      </c>
      <c r="C1043" t="s">
        <v>126</v>
      </c>
      <c r="D1043" s="11" t="s">
        <v>130</v>
      </c>
      <c r="E1043" t="s">
        <v>131</v>
      </c>
      <c r="F1043">
        <v>1</v>
      </c>
    </row>
    <row r="1044" spans="1:7" x14ac:dyDescent="0.55000000000000004">
      <c r="A1044">
        <v>93</v>
      </c>
      <c r="B1044" t="str">
        <f t="shared" si="16"/>
        <v>93_0</v>
      </c>
      <c r="C1044" t="s">
        <v>126</v>
      </c>
      <c r="D1044" t="s">
        <v>132</v>
      </c>
      <c r="E1044" t="s">
        <v>133</v>
      </c>
    </row>
    <row r="1045" spans="1:7" x14ac:dyDescent="0.55000000000000004">
      <c r="A1045">
        <v>93</v>
      </c>
      <c r="B1045" t="str">
        <f t="shared" si="16"/>
        <v>93_0</v>
      </c>
      <c r="C1045" t="s">
        <v>126</v>
      </c>
      <c r="D1045" t="s">
        <v>134</v>
      </c>
      <c r="E1045" t="s">
        <v>133</v>
      </c>
      <c r="F1045">
        <v>1</v>
      </c>
    </row>
    <row r="1046" spans="1:7" x14ac:dyDescent="0.55000000000000004">
      <c r="A1046">
        <v>93</v>
      </c>
      <c r="B1046" t="str">
        <f t="shared" si="16"/>
        <v>93_0</v>
      </c>
      <c r="C1046" t="s">
        <v>126</v>
      </c>
      <c r="D1046" t="s">
        <v>135</v>
      </c>
      <c r="E1046" t="s">
        <v>136</v>
      </c>
      <c r="F1046">
        <f>F1045/10</f>
        <v>0.1</v>
      </c>
      <c r="G1046" t="s">
        <v>137</v>
      </c>
    </row>
    <row r="1047" spans="1:7" x14ac:dyDescent="0.55000000000000004">
      <c r="A1047">
        <v>93</v>
      </c>
      <c r="B1047" t="str">
        <f t="shared" si="16"/>
        <v>93_0</v>
      </c>
      <c r="C1047" t="s">
        <v>126</v>
      </c>
      <c r="D1047" s="2" t="s">
        <v>138</v>
      </c>
      <c r="E1047" t="s">
        <v>139</v>
      </c>
      <c r="F1047">
        <v>100</v>
      </c>
    </row>
    <row r="1048" spans="1:7" x14ac:dyDescent="0.55000000000000004">
      <c r="A1048">
        <v>93</v>
      </c>
      <c r="B1048" t="str">
        <f t="shared" si="16"/>
        <v>93_0</v>
      </c>
      <c r="C1048" t="s">
        <v>126</v>
      </c>
      <c r="D1048" s="2" t="s">
        <v>140</v>
      </c>
      <c r="F1048" t="s">
        <v>191</v>
      </c>
    </row>
    <row r="1049" spans="1:7" x14ac:dyDescent="0.55000000000000004">
      <c r="A1049">
        <v>93</v>
      </c>
      <c r="B1049" t="str">
        <f t="shared" si="16"/>
        <v>93_0</v>
      </c>
      <c r="C1049" t="s">
        <v>126</v>
      </c>
      <c r="D1049" s="2" t="s">
        <v>141</v>
      </c>
      <c r="E1049" t="s">
        <v>139</v>
      </c>
      <c r="F1049">
        <v>0</v>
      </c>
    </row>
    <row r="1050" spans="1:7" x14ac:dyDescent="0.55000000000000004">
      <c r="A1050">
        <v>93</v>
      </c>
      <c r="B1050" t="str">
        <f t="shared" si="16"/>
        <v>93_0</v>
      </c>
      <c r="C1050" t="s">
        <v>126</v>
      </c>
      <c r="D1050" t="s">
        <v>142</v>
      </c>
      <c r="E1050" t="s">
        <v>139</v>
      </c>
      <c r="F1050">
        <v>0</v>
      </c>
    </row>
    <row r="1051" spans="1:7" x14ac:dyDescent="0.55000000000000004">
      <c r="A1051">
        <v>93</v>
      </c>
      <c r="B1051" t="str">
        <f t="shared" si="16"/>
        <v>93_0</v>
      </c>
      <c r="C1051" t="s">
        <v>126</v>
      </c>
      <c r="D1051" t="s">
        <v>143</v>
      </c>
      <c r="E1051" t="s">
        <v>131</v>
      </c>
      <c r="F1051">
        <v>0</v>
      </c>
    </row>
    <row r="1052" spans="1:7" x14ac:dyDescent="0.55000000000000004">
      <c r="A1052">
        <v>93</v>
      </c>
      <c r="B1052" t="str">
        <f t="shared" si="16"/>
        <v>93_0</v>
      </c>
      <c r="C1052" t="s">
        <v>126</v>
      </c>
      <c r="D1052" t="s">
        <v>144</v>
      </c>
      <c r="E1052" t="s">
        <v>139</v>
      </c>
      <c r="F1052">
        <v>0</v>
      </c>
    </row>
    <row r="1053" spans="1:7" x14ac:dyDescent="0.55000000000000004">
      <c r="A1053">
        <v>93</v>
      </c>
      <c r="B1053" t="str">
        <f t="shared" si="16"/>
        <v>93_0</v>
      </c>
      <c r="C1053" t="s">
        <v>126</v>
      </c>
      <c r="D1053" t="s">
        <v>145</v>
      </c>
      <c r="E1053" t="s">
        <v>139</v>
      </c>
      <c r="F1053">
        <v>0</v>
      </c>
    </row>
    <row r="1054" spans="1:7" x14ac:dyDescent="0.55000000000000004">
      <c r="A1054">
        <v>93</v>
      </c>
      <c r="B1054" t="str">
        <f t="shared" si="16"/>
        <v>93_0</v>
      </c>
      <c r="C1054" t="s">
        <v>126</v>
      </c>
      <c r="D1054" t="s">
        <v>146</v>
      </c>
      <c r="E1054" t="s">
        <v>139</v>
      </c>
      <c r="F1054">
        <v>0</v>
      </c>
    </row>
    <row r="1055" spans="1:7" x14ac:dyDescent="0.55000000000000004">
      <c r="A1055">
        <v>93</v>
      </c>
      <c r="B1055" t="str">
        <f t="shared" si="16"/>
        <v>93_0</v>
      </c>
      <c r="C1055" t="s">
        <v>126</v>
      </c>
      <c r="D1055" t="s">
        <v>147</v>
      </c>
      <c r="E1055" t="s">
        <v>139</v>
      </c>
      <c r="F1055">
        <v>0</v>
      </c>
    </row>
    <row r="1056" spans="1:7" x14ac:dyDescent="0.55000000000000004">
      <c r="A1056">
        <v>93</v>
      </c>
      <c r="B1056" t="str">
        <f t="shared" si="16"/>
        <v>93_0</v>
      </c>
      <c r="C1056" t="s">
        <v>126</v>
      </c>
      <c r="D1056" t="s">
        <v>148</v>
      </c>
      <c r="E1056" t="s">
        <v>139</v>
      </c>
      <c r="F1056">
        <v>0</v>
      </c>
    </row>
    <row r="1057" spans="1:6" x14ac:dyDescent="0.55000000000000004">
      <c r="A1057">
        <v>93</v>
      </c>
      <c r="B1057" t="str">
        <f t="shared" si="16"/>
        <v>93_0</v>
      </c>
      <c r="C1057" t="s">
        <v>126</v>
      </c>
      <c r="D1057" t="s">
        <v>149</v>
      </c>
      <c r="E1057" t="s">
        <v>139</v>
      </c>
      <c r="F1057">
        <v>0</v>
      </c>
    </row>
    <row r="1058" spans="1:6" x14ac:dyDescent="0.55000000000000004">
      <c r="A1058">
        <v>93</v>
      </c>
      <c r="B1058" t="str">
        <f t="shared" si="16"/>
        <v>93_0</v>
      </c>
      <c r="C1058" t="s">
        <v>126</v>
      </c>
      <c r="D1058" t="s">
        <v>150</v>
      </c>
      <c r="E1058" t="s">
        <v>139</v>
      </c>
      <c r="F1058">
        <v>100</v>
      </c>
    </row>
    <row r="1059" spans="1:6" x14ac:dyDescent="0.55000000000000004">
      <c r="A1059">
        <v>93</v>
      </c>
      <c r="B1059" t="str">
        <f t="shared" si="16"/>
        <v>93_0</v>
      </c>
      <c r="C1059" t="s">
        <v>126</v>
      </c>
      <c r="D1059" t="s">
        <v>151</v>
      </c>
      <c r="E1059" t="s">
        <v>139</v>
      </c>
      <c r="F1059">
        <v>0</v>
      </c>
    </row>
    <row r="1060" spans="1:6" x14ac:dyDescent="0.55000000000000004">
      <c r="A1060">
        <v>93</v>
      </c>
      <c r="B1060" t="str">
        <f t="shared" si="16"/>
        <v>93_0</v>
      </c>
      <c r="C1060" t="s">
        <v>126</v>
      </c>
      <c r="D1060" t="s">
        <v>152</v>
      </c>
      <c r="E1060" t="s">
        <v>153</v>
      </c>
    </row>
    <row r="1061" spans="1:6" x14ac:dyDescent="0.55000000000000004">
      <c r="A1061">
        <v>93</v>
      </c>
      <c r="B1061" t="str">
        <f t="shared" si="16"/>
        <v>93_0</v>
      </c>
      <c r="C1061" t="s">
        <v>154</v>
      </c>
      <c r="D1061" t="s">
        <v>155</v>
      </c>
      <c r="E1061" t="s">
        <v>156</v>
      </c>
      <c r="F1061">
        <v>21.6</v>
      </c>
    </row>
    <row r="1062" spans="1:6" x14ac:dyDescent="0.55000000000000004">
      <c r="A1062">
        <v>93</v>
      </c>
      <c r="B1062" t="str">
        <f t="shared" si="16"/>
        <v>93_0</v>
      </c>
      <c r="C1062" t="s">
        <v>154</v>
      </c>
      <c r="D1062" t="s">
        <v>157</v>
      </c>
      <c r="E1062" t="s">
        <v>158</v>
      </c>
      <c r="F1062">
        <v>10.61</v>
      </c>
    </row>
    <row r="1063" spans="1:6" x14ac:dyDescent="0.55000000000000004">
      <c r="A1063">
        <v>93</v>
      </c>
      <c r="B1063" t="str">
        <f t="shared" si="16"/>
        <v>93_0</v>
      </c>
      <c r="C1063" t="s">
        <v>154</v>
      </c>
      <c r="D1063" t="s">
        <v>159</v>
      </c>
      <c r="E1063" t="s">
        <v>139</v>
      </c>
      <c r="F1063">
        <v>120.4</v>
      </c>
    </row>
    <row r="1064" spans="1:6" x14ac:dyDescent="0.55000000000000004">
      <c r="A1064">
        <v>93</v>
      </c>
      <c r="B1064" t="str">
        <f t="shared" si="16"/>
        <v>93_0</v>
      </c>
      <c r="C1064" t="s">
        <v>154</v>
      </c>
      <c r="D1064" t="s">
        <v>160</v>
      </c>
      <c r="E1064" t="s">
        <v>161</v>
      </c>
      <c r="F1064">
        <v>424.8</v>
      </c>
    </row>
    <row r="1065" spans="1:6" x14ac:dyDescent="0.55000000000000004">
      <c r="A1065">
        <v>93</v>
      </c>
      <c r="B1065" t="str">
        <f t="shared" si="16"/>
        <v>93_0</v>
      </c>
      <c r="C1065" t="s">
        <v>154</v>
      </c>
      <c r="D1065" t="s">
        <v>162</v>
      </c>
      <c r="F1065">
        <v>9.02</v>
      </c>
    </row>
    <row r="1066" spans="1:6" x14ac:dyDescent="0.55000000000000004">
      <c r="A1066">
        <v>93</v>
      </c>
      <c r="B1066" t="str">
        <f t="shared" si="16"/>
        <v>93_0</v>
      </c>
      <c r="C1066" t="s">
        <v>163</v>
      </c>
      <c r="D1066" t="s">
        <v>164</v>
      </c>
      <c r="E1066" t="s">
        <v>139</v>
      </c>
      <c r="F1066">
        <v>35</v>
      </c>
    </row>
    <row r="1067" spans="1:6" x14ac:dyDescent="0.55000000000000004">
      <c r="A1067">
        <v>93</v>
      </c>
      <c r="B1067" t="str">
        <f t="shared" si="16"/>
        <v>93_0</v>
      </c>
      <c r="C1067" t="s">
        <v>163</v>
      </c>
      <c r="D1067" t="s">
        <v>164</v>
      </c>
      <c r="E1067" t="s">
        <v>139</v>
      </c>
      <c r="F1067">
        <v>30</v>
      </c>
    </row>
    <row r="1068" spans="1:6" x14ac:dyDescent="0.55000000000000004">
      <c r="A1068">
        <v>93</v>
      </c>
      <c r="B1068" t="str">
        <f t="shared" si="16"/>
        <v>93_0</v>
      </c>
      <c r="C1068" t="s">
        <v>163</v>
      </c>
      <c r="D1068" t="s">
        <v>165</v>
      </c>
      <c r="F1068" t="s">
        <v>182</v>
      </c>
    </row>
    <row r="1069" spans="1:6" x14ac:dyDescent="0.55000000000000004">
      <c r="A1069">
        <v>93</v>
      </c>
      <c r="B1069" t="str">
        <f t="shared" si="16"/>
        <v>93_0</v>
      </c>
      <c r="C1069" t="s">
        <v>163</v>
      </c>
      <c r="D1069" t="s">
        <v>164</v>
      </c>
      <c r="E1069" t="s">
        <v>139</v>
      </c>
      <c r="F1069">
        <v>5</v>
      </c>
    </row>
    <row r="1070" spans="1:6" x14ac:dyDescent="0.55000000000000004">
      <c r="A1070">
        <v>93</v>
      </c>
      <c r="B1070" t="str">
        <f t="shared" si="16"/>
        <v>93_0</v>
      </c>
      <c r="C1070" t="s">
        <v>163</v>
      </c>
      <c r="D1070" t="s">
        <v>165</v>
      </c>
      <c r="F1070" t="s">
        <v>181</v>
      </c>
    </row>
    <row r="1071" spans="1:6" x14ac:dyDescent="0.55000000000000004">
      <c r="A1071">
        <v>93</v>
      </c>
      <c r="B1071" t="str">
        <f t="shared" si="16"/>
        <v>93_0</v>
      </c>
      <c r="C1071" t="s">
        <v>163</v>
      </c>
      <c r="D1071" t="s">
        <v>166</v>
      </c>
      <c r="E1071" t="s">
        <v>139</v>
      </c>
      <c r="F1071">
        <v>100</v>
      </c>
    </row>
    <row r="1072" spans="1:6" x14ac:dyDescent="0.55000000000000004">
      <c r="A1072">
        <v>93</v>
      </c>
      <c r="B1072" t="str">
        <f t="shared" si="16"/>
        <v>93_0</v>
      </c>
      <c r="C1072" t="s">
        <v>163</v>
      </c>
      <c r="D1072" t="s">
        <v>167</v>
      </c>
      <c r="F1072" t="s">
        <v>173</v>
      </c>
    </row>
    <row r="1073" spans="1:7" x14ac:dyDescent="0.55000000000000004">
      <c r="A1073">
        <v>93</v>
      </c>
      <c r="B1073" t="str">
        <f t="shared" si="16"/>
        <v>93_0</v>
      </c>
      <c r="C1073" t="s">
        <v>163</v>
      </c>
      <c r="D1073" t="s">
        <v>168</v>
      </c>
      <c r="E1073" t="s">
        <v>131</v>
      </c>
      <c r="F1073">
        <v>1</v>
      </c>
    </row>
    <row r="1074" spans="1:7" x14ac:dyDescent="0.55000000000000004">
      <c r="A1074">
        <v>93</v>
      </c>
      <c r="B1074" t="str">
        <f t="shared" si="16"/>
        <v>93_0</v>
      </c>
      <c r="C1074" t="s">
        <v>163</v>
      </c>
      <c r="D1074" t="s">
        <v>169</v>
      </c>
      <c r="F1074" t="s">
        <v>192</v>
      </c>
    </row>
    <row r="1075" spans="1:7" x14ac:dyDescent="0.55000000000000004">
      <c r="A1075">
        <v>93</v>
      </c>
      <c r="B1075" t="str">
        <f t="shared" si="16"/>
        <v>93_0</v>
      </c>
      <c r="C1075" t="s">
        <v>163</v>
      </c>
      <c r="D1075" t="s">
        <v>170</v>
      </c>
      <c r="E1075" t="s">
        <v>139</v>
      </c>
      <c r="F1075">
        <v>25</v>
      </c>
    </row>
    <row r="1076" spans="1:7" x14ac:dyDescent="0.55000000000000004">
      <c r="A1076">
        <v>93</v>
      </c>
      <c r="B1076" t="str">
        <f t="shared" si="16"/>
        <v>93_0</v>
      </c>
      <c r="C1076" t="s">
        <v>163</v>
      </c>
      <c r="D1076" t="s">
        <v>171</v>
      </c>
    </row>
    <row r="1077" spans="1:7" x14ac:dyDescent="0.55000000000000004">
      <c r="A1077">
        <v>94</v>
      </c>
      <c r="B1077" t="str">
        <f t="shared" si="16"/>
        <v>94_0</v>
      </c>
      <c r="C1077" t="s">
        <v>126</v>
      </c>
      <c r="D1077" t="s">
        <v>127</v>
      </c>
      <c r="E1077" t="s">
        <v>128</v>
      </c>
      <c r="F1077" s="1"/>
      <c r="G1077" t="s">
        <v>129</v>
      </c>
    </row>
    <row r="1078" spans="1:7" x14ac:dyDescent="0.55000000000000004">
      <c r="A1078">
        <v>94</v>
      </c>
      <c r="B1078" t="str">
        <f t="shared" si="16"/>
        <v>94_0</v>
      </c>
      <c r="C1078" t="s">
        <v>126</v>
      </c>
      <c r="D1078" s="11" t="s">
        <v>130</v>
      </c>
      <c r="E1078" t="s">
        <v>131</v>
      </c>
      <c r="F1078">
        <v>1</v>
      </c>
    </row>
    <row r="1079" spans="1:7" x14ac:dyDescent="0.55000000000000004">
      <c r="A1079">
        <v>94</v>
      </c>
      <c r="B1079" t="str">
        <f t="shared" si="16"/>
        <v>94_0</v>
      </c>
      <c r="C1079" t="s">
        <v>126</v>
      </c>
      <c r="D1079" t="s">
        <v>132</v>
      </c>
      <c r="E1079" t="s">
        <v>133</v>
      </c>
    </row>
    <row r="1080" spans="1:7" x14ac:dyDescent="0.55000000000000004">
      <c r="A1080">
        <v>94</v>
      </c>
      <c r="B1080" t="str">
        <f t="shared" si="16"/>
        <v>94_0</v>
      </c>
      <c r="C1080" t="s">
        <v>126</v>
      </c>
      <c r="D1080" t="s">
        <v>134</v>
      </c>
      <c r="E1080" t="s">
        <v>133</v>
      </c>
      <c r="F1080">
        <v>1.46</v>
      </c>
    </row>
    <row r="1081" spans="1:7" x14ac:dyDescent="0.55000000000000004">
      <c r="A1081">
        <v>94</v>
      </c>
      <c r="B1081" t="str">
        <f t="shared" si="16"/>
        <v>94_0</v>
      </c>
      <c r="C1081" t="s">
        <v>126</v>
      </c>
      <c r="D1081" t="s">
        <v>135</v>
      </c>
      <c r="E1081" t="s">
        <v>136</v>
      </c>
      <c r="F1081">
        <f>F1080/10</f>
        <v>0.14599999999999999</v>
      </c>
      <c r="G1081" t="s">
        <v>137</v>
      </c>
    </row>
    <row r="1082" spans="1:7" x14ac:dyDescent="0.55000000000000004">
      <c r="A1082">
        <v>94</v>
      </c>
      <c r="B1082" t="str">
        <f t="shared" si="16"/>
        <v>94_0</v>
      </c>
      <c r="C1082" t="s">
        <v>126</v>
      </c>
      <c r="D1082" s="2" t="s">
        <v>138</v>
      </c>
      <c r="E1082" t="s">
        <v>139</v>
      </c>
      <c r="F1082">
        <v>100</v>
      </c>
    </row>
    <row r="1083" spans="1:7" x14ac:dyDescent="0.55000000000000004">
      <c r="A1083">
        <v>94</v>
      </c>
      <c r="B1083" t="str">
        <f t="shared" si="16"/>
        <v>94_0</v>
      </c>
      <c r="C1083" t="s">
        <v>126</v>
      </c>
      <c r="D1083" s="2" t="s">
        <v>140</v>
      </c>
      <c r="F1083" t="s">
        <v>172</v>
      </c>
    </row>
    <row r="1084" spans="1:7" x14ac:dyDescent="0.55000000000000004">
      <c r="A1084">
        <v>94</v>
      </c>
      <c r="B1084" t="str">
        <f t="shared" si="16"/>
        <v>94_0</v>
      </c>
      <c r="C1084" t="s">
        <v>126</v>
      </c>
      <c r="D1084" s="2" t="s">
        <v>141</v>
      </c>
      <c r="E1084" t="s">
        <v>139</v>
      </c>
      <c r="F1084">
        <v>30</v>
      </c>
    </row>
    <row r="1085" spans="1:7" x14ac:dyDescent="0.55000000000000004">
      <c r="A1085">
        <v>94</v>
      </c>
      <c r="B1085" t="str">
        <f t="shared" si="16"/>
        <v>94_0</v>
      </c>
      <c r="C1085" t="s">
        <v>126</v>
      </c>
      <c r="D1085" t="s">
        <v>142</v>
      </c>
      <c r="E1085" t="s">
        <v>139</v>
      </c>
      <c r="F1085">
        <v>0</v>
      </c>
    </row>
    <row r="1086" spans="1:7" x14ac:dyDescent="0.55000000000000004">
      <c r="A1086">
        <v>94</v>
      </c>
      <c r="B1086" t="str">
        <f t="shared" si="16"/>
        <v>94_0</v>
      </c>
      <c r="C1086" t="s">
        <v>126</v>
      </c>
      <c r="D1086" t="s">
        <v>143</v>
      </c>
      <c r="E1086" t="s">
        <v>131</v>
      </c>
      <c r="F1086">
        <v>0</v>
      </c>
    </row>
    <row r="1087" spans="1:7" x14ac:dyDescent="0.55000000000000004">
      <c r="A1087">
        <v>94</v>
      </c>
      <c r="B1087" t="str">
        <f t="shared" si="16"/>
        <v>94_0</v>
      </c>
      <c r="C1087" t="s">
        <v>126</v>
      </c>
      <c r="D1087" t="s">
        <v>144</v>
      </c>
      <c r="E1087" t="s">
        <v>139</v>
      </c>
      <c r="F1087">
        <v>0</v>
      </c>
    </row>
    <row r="1088" spans="1:7" x14ac:dyDescent="0.55000000000000004">
      <c r="A1088">
        <v>94</v>
      </c>
      <c r="B1088" t="str">
        <f t="shared" si="16"/>
        <v>94_0</v>
      </c>
      <c r="C1088" t="s">
        <v>126</v>
      </c>
      <c r="D1088" t="s">
        <v>145</v>
      </c>
      <c r="E1088" t="s">
        <v>139</v>
      </c>
      <c r="F1088">
        <v>0</v>
      </c>
    </row>
    <row r="1089" spans="1:6" x14ac:dyDescent="0.55000000000000004">
      <c r="A1089">
        <v>94</v>
      </c>
      <c r="B1089" t="str">
        <f t="shared" si="16"/>
        <v>94_0</v>
      </c>
      <c r="C1089" t="s">
        <v>126</v>
      </c>
      <c r="D1089" t="s">
        <v>146</v>
      </c>
      <c r="E1089" t="s">
        <v>139</v>
      </c>
      <c r="F1089">
        <v>0</v>
      </c>
    </row>
    <row r="1090" spans="1:6" x14ac:dyDescent="0.55000000000000004">
      <c r="A1090">
        <v>94</v>
      </c>
      <c r="B1090" t="str">
        <f t="shared" si="16"/>
        <v>94_0</v>
      </c>
      <c r="C1090" t="s">
        <v>126</v>
      </c>
      <c r="D1090" t="s">
        <v>147</v>
      </c>
      <c r="E1090" t="s">
        <v>139</v>
      </c>
      <c r="F1090">
        <v>0</v>
      </c>
    </row>
    <row r="1091" spans="1:6" x14ac:dyDescent="0.55000000000000004">
      <c r="A1091">
        <v>94</v>
      </c>
      <c r="B1091" t="str">
        <f t="shared" ref="B1091:B1154" si="17">A1091 &amp; "_0"</f>
        <v>94_0</v>
      </c>
      <c r="C1091" t="s">
        <v>126</v>
      </c>
      <c r="D1091" t="s">
        <v>148</v>
      </c>
      <c r="E1091" t="s">
        <v>139</v>
      </c>
      <c r="F1091">
        <v>10</v>
      </c>
    </row>
    <row r="1092" spans="1:6" x14ac:dyDescent="0.55000000000000004">
      <c r="A1092">
        <v>94</v>
      </c>
      <c r="B1092" t="str">
        <f t="shared" si="17"/>
        <v>94_0</v>
      </c>
      <c r="C1092" t="s">
        <v>126</v>
      </c>
      <c r="D1092" t="s">
        <v>149</v>
      </c>
      <c r="E1092" t="s">
        <v>139</v>
      </c>
      <c r="F1092">
        <v>0</v>
      </c>
    </row>
    <row r="1093" spans="1:6" x14ac:dyDescent="0.55000000000000004">
      <c r="A1093">
        <v>94</v>
      </c>
      <c r="B1093" t="str">
        <f t="shared" si="17"/>
        <v>94_0</v>
      </c>
      <c r="C1093" t="s">
        <v>126</v>
      </c>
      <c r="D1093" t="s">
        <v>150</v>
      </c>
      <c r="E1093" t="s">
        <v>139</v>
      </c>
      <c r="F1093">
        <v>90</v>
      </c>
    </row>
    <row r="1094" spans="1:6" x14ac:dyDescent="0.55000000000000004">
      <c r="A1094">
        <v>94</v>
      </c>
      <c r="B1094" t="str">
        <f t="shared" si="17"/>
        <v>94_0</v>
      </c>
      <c r="C1094" t="s">
        <v>126</v>
      </c>
      <c r="D1094" t="s">
        <v>151</v>
      </c>
      <c r="E1094" t="s">
        <v>139</v>
      </c>
      <c r="F1094">
        <v>0</v>
      </c>
    </row>
    <row r="1095" spans="1:6" x14ac:dyDescent="0.55000000000000004">
      <c r="A1095">
        <v>94</v>
      </c>
      <c r="B1095" t="str">
        <f t="shared" si="17"/>
        <v>94_0</v>
      </c>
      <c r="C1095" t="s">
        <v>126</v>
      </c>
      <c r="D1095" t="s">
        <v>152</v>
      </c>
      <c r="E1095" t="s">
        <v>153</v>
      </c>
    </row>
    <row r="1096" spans="1:6" x14ac:dyDescent="0.55000000000000004">
      <c r="A1096">
        <v>94</v>
      </c>
      <c r="B1096" t="str">
        <f t="shared" si="17"/>
        <v>94_0</v>
      </c>
      <c r="C1096" t="s">
        <v>154</v>
      </c>
      <c r="D1096" t="s">
        <v>155</v>
      </c>
      <c r="E1096" t="s">
        <v>156</v>
      </c>
      <c r="F1096">
        <v>22.7</v>
      </c>
    </row>
    <row r="1097" spans="1:6" x14ac:dyDescent="0.55000000000000004">
      <c r="A1097">
        <v>94</v>
      </c>
      <c r="B1097" t="str">
        <f t="shared" si="17"/>
        <v>94_0</v>
      </c>
      <c r="C1097" t="s">
        <v>154</v>
      </c>
      <c r="D1097" t="s">
        <v>157</v>
      </c>
      <c r="E1097" t="s">
        <v>158</v>
      </c>
      <c r="F1097">
        <v>11.73</v>
      </c>
    </row>
    <row r="1098" spans="1:6" x14ac:dyDescent="0.55000000000000004">
      <c r="A1098">
        <v>94</v>
      </c>
      <c r="B1098" t="str">
        <f t="shared" si="17"/>
        <v>94_0</v>
      </c>
      <c r="C1098" t="s">
        <v>154</v>
      </c>
      <c r="D1098" t="s">
        <v>159</v>
      </c>
      <c r="E1098" t="s">
        <v>139</v>
      </c>
      <c r="F1098">
        <v>135.6</v>
      </c>
    </row>
    <row r="1099" spans="1:6" x14ac:dyDescent="0.55000000000000004">
      <c r="A1099">
        <v>94</v>
      </c>
      <c r="B1099" t="str">
        <f t="shared" si="17"/>
        <v>94_0</v>
      </c>
      <c r="C1099" t="s">
        <v>154</v>
      </c>
      <c r="D1099" t="s">
        <v>160</v>
      </c>
      <c r="E1099" t="s">
        <v>161</v>
      </c>
      <c r="F1099">
        <v>434.3</v>
      </c>
    </row>
    <row r="1100" spans="1:6" x14ac:dyDescent="0.55000000000000004">
      <c r="A1100">
        <v>94</v>
      </c>
      <c r="B1100" t="str">
        <f t="shared" si="17"/>
        <v>94_0</v>
      </c>
      <c r="C1100" t="s">
        <v>154</v>
      </c>
      <c r="D1100" t="s">
        <v>162</v>
      </c>
      <c r="F1100">
        <v>9.1199999999999992</v>
      </c>
    </row>
    <row r="1101" spans="1:6" x14ac:dyDescent="0.55000000000000004">
      <c r="A1101">
        <v>94</v>
      </c>
      <c r="B1101" t="str">
        <f t="shared" si="17"/>
        <v>94_0</v>
      </c>
      <c r="C1101" t="s">
        <v>163</v>
      </c>
      <c r="D1101" t="s">
        <v>164</v>
      </c>
      <c r="E1101" t="s">
        <v>139</v>
      </c>
      <c r="F1101">
        <v>0</v>
      </c>
    </row>
    <row r="1102" spans="1:6" x14ac:dyDescent="0.55000000000000004">
      <c r="A1102">
        <v>94</v>
      </c>
      <c r="B1102" t="str">
        <f t="shared" si="17"/>
        <v>94_0</v>
      </c>
      <c r="C1102" t="s">
        <v>163</v>
      </c>
      <c r="D1102" t="s">
        <v>165</v>
      </c>
    </row>
    <row r="1103" spans="1:6" x14ac:dyDescent="0.55000000000000004">
      <c r="A1103">
        <v>94</v>
      </c>
      <c r="B1103" t="str">
        <f t="shared" si="17"/>
        <v>94_0</v>
      </c>
      <c r="C1103" t="s">
        <v>163</v>
      </c>
      <c r="D1103" t="s">
        <v>166</v>
      </c>
      <c r="E1103" t="s">
        <v>139</v>
      </c>
      <c r="F1103">
        <v>95</v>
      </c>
    </row>
    <row r="1104" spans="1:6" x14ac:dyDescent="0.55000000000000004">
      <c r="A1104">
        <v>94</v>
      </c>
      <c r="B1104" t="str">
        <f t="shared" si="17"/>
        <v>94_0</v>
      </c>
      <c r="C1104" t="s">
        <v>163</v>
      </c>
      <c r="D1104" t="s">
        <v>167</v>
      </c>
      <c r="F1104" t="s">
        <v>173</v>
      </c>
    </row>
    <row r="1105" spans="1:7" x14ac:dyDescent="0.55000000000000004">
      <c r="A1105">
        <v>94</v>
      </c>
      <c r="B1105" t="str">
        <f t="shared" si="17"/>
        <v>94_0</v>
      </c>
      <c r="C1105" t="s">
        <v>163</v>
      </c>
      <c r="D1105" t="s">
        <v>168</v>
      </c>
      <c r="E1105" t="s">
        <v>131</v>
      </c>
      <c r="F1105">
        <v>0</v>
      </c>
    </row>
    <row r="1106" spans="1:7" x14ac:dyDescent="0.55000000000000004">
      <c r="A1106">
        <v>94</v>
      </c>
      <c r="B1106" t="str">
        <f t="shared" si="17"/>
        <v>94_0</v>
      </c>
      <c r="C1106" t="s">
        <v>163</v>
      </c>
      <c r="D1106" t="s">
        <v>169</v>
      </c>
    </row>
    <row r="1107" spans="1:7" x14ac:dyDescent="0.55000000000000004">
      <c r="A1107">
        <v>94</v>
      </c>
      <c r="B1107" t="str">
        <f t="shared" si="17"/>
        <v>94_0</v>
      </c>
      <c r="C1107" t="s">
        <v>163</v>
      </c>
      <c r="D1107" t="s">
        <v>170</v>
      </c>
      <c r="E1107" t="s">
        <v>139</v>
      </c>
      <c r="F1107">
        <v>30</v>
      </c>
    </row>
    <row r="1108" spans="1:7" x14ac:dyDescent="0.55000000000000004">
      <c r="A1108">
        <v>94</v>
      </c>
      <c r="B1108" t="str">
        <f t="shared" si="17"/>
        <v>94_0</v>
      </c>
      <c r="C1108" t="s">
        <v>163</v>
      </c>
      <c r="D1108" t="s">
        <v>171</v>
      </c>
    </row>
    <row r="1109" spans="1:7" x14ac:dyDescent="0.55000000000000004">
      <c r="A1109">
        <v>95</v>
      </c>
      <c r="B1109" t="str">
        <f t="shared" si="17"/>
        <v>95_0</v>
      </c>
      <c r="C1109" t="s">
        <v>126</v>
      </c>
      <c r="D1109" t="s">
        <v>127</v>
      </c>
      <c r="E1109" t="s">
        <v>128</v>
      </c>
      <c r="F1109" s="1"/>
      <c r="G1109" t="s">
        <v>129</v>
      </c>
    </row>
    <row r="1110" spans="1:7" x14ac:dyDescent="0.55000000000000004">
      <c r="A1110">
        <v>95</v>
      </c>
      <c r="B1110" t="str">
        <f t="shared" si="17"/>
        <v>95_0</v>
      </c>
      <c r="C1110" t="s">
        <v>126</v>
      </c>
      <c r="D1110" s="11" t="s">
        <v>130</v>
      </c>
      <c r="E1110" t="s">
        <v>131</v>
      </c>
      <c r="F1110">
        <v>0</v>
      </c>
    </row>
    <row r="1111" spans="1:7" x14ac:dyDescent="0.55000000000000004">
      <c r="A1111">
        <v>95</v>
      </c>
      <c r="B1111" t="str">
        <f t="shared" si="17"/>
        <v>95_0</v>
      </c>
      <c r="C1111" t="s">
        <v>126</v>
      </c>
      <c r="D1111" t="s">
        <v>132</v>
      </c>
      <c r="E1111" t="s">
        <v>133</v>
      </c>
    </row>
    <row r="1112" spans="1:7" x14ac:dyDescent="0.55000000000000004">
      <c r="A1112">
        <v>95</v>
      </c>
      <c r="B1112" t="str">
        <f t="shared" si="17"/>
        <v>95_0</v>
      </c>
      <c r="C1112" t="s">
        <v>126</v>
      </c>
      <c r="D1112" t="s">
        <v>134</v>
      </c>
      <c r="E1112" t="s">
        <v>133</v>
      </c>
      <c r="F1112">
        <v>2</v>
      </c>
    </row>
    <row r="1113" spans="1:7" x14ac:dyDescent="0.55000000000000004">
      <c r="A1113">
        <v>95</v>
      </c>
      <c r="B1113" t="str">
        <f t="shared" si="17"/>
        <v>95_0</v>
      </c>
      <c r="C1113" t="s">
        <v>126</v>
      </c>
      <c r="D1113" t="s">
        <v>135</v>
      </c>
      <c r="E1113" t="s">
        <v>136</v>
      </c>
      <c r="F1113">
        <f>F1112/10</f>
        <v>0.2</v>
      </c>
      <c r="G1113" t="s">
        <v>137</v>
      </c>
    </row>
    <row r="1114" spans="1:7" x14ac:dyDescent="0.55000000000000004">
      <c r="A1114">
        <v>95</v>
      </c>
      <c r="B1114" t="str">
        <f t="shared" si="17"/>
        <v>95_0</v>
      </c>
      <c r="C1114" t="s">
        <v>126</v>
      </c>
      <c r="D1114" s="2" t="s">
        <v>138</v>
      </c>
      <c r="E1114" t="s">
        <v>139</v>
      </c>
      <c r="F1114">
        <v>100</v>
      </c>
    </row>
    <row r="1115" spans="1:7" x14ac:dyDescent="0.55000000000000004">
      <c r="A1115">
        <v>95</v>
      </c>
      <c r="B1115" t="str">
        <f t="shared" si="17"/>
        <v>95_0</v>
      </c>
      <c r="C1115" t="s">
        <v>126</v>
      </c>
      <c r="D1115" s="2" t="s">
        <v>140</v>
      </c>
      <c r="F1115" t="s">
        <v>172</v>
      </c>
    </row>
    <row r="1116" spans="1:7" x14ac:dyDescent="0.55000000000000004">
      <c r="A1116">
        <v>95</v>
      </c>
      <c r="B1116" t="str">
        <f t="shared" si="17"/>
        <v>95_0</v>
      </c>
      <c r="C1116" t="s">
        <v>126</v>
      </c>
      <c r="D1116" s="2" t="s">
        <v>141</v>
      </c>
      <c r="E1116" t="s">
        <v>139</v>
      </c>
      <c r="F1116">
        <v>100</v>
      </c>
    </row>
    <row r="1117" spans="1:7" x14ac:dyDescent="0.55000000000000004">
      <c r="A1117">
        <v>95</v>
      </c>
      <c r="B1117" t="str">
        <f t="shared" si="17"/>
        <v>95_0</v>
      </c>
      <c r="C1117" t="s">
        <v>126</v>
      </c>
      <c r="D1117" t="s">
        <v>142</v>
      </c>
      <c r="E1117" t="s">
        <v>139</v>
      </c>
      <c r="F1117">
        <v>100</v>
      </c>
    </row>
    <row r="1118" spans="1:7" x14ac:dyDescent="0.55000000000000004">
      <c r="A1118">
        <v>95</v>
      </c>
      <c r="B1118" t="str">
        <f t="shared" si="17"/>
        <v>95_0</v>
      </c>
      <c r="C1118" t="s">
        <v>126</v>
      </c>
      <c r="D1118" t="s">
        <v>143</v>
      </c>
      <c r="E1118" t="s">
        <v>131</v>
      </c>
      <c r="F1118">
        <v>0</v>
      </c>
    </row>
    <row r="1119" spans="1:7" x14ac:dyDescent="0.55000000000000004">
      <c r="A1119">
        <v>95</v>
      </c>
      <c r="B1119" t="str">
        <f t="shared" si="17"/>
        <v>95_0</v>
      </c>
      <c r="C1119" t="s">
        <v>126</v>
      </c>
      <c r="D1119" t="s">
        <v>144</v>
      </c>
      <c r="E1119" t="s">
        <v>139</v>
      </c>
      <c r="F1119">
        <v>0</v>
      </c>
    </row>
    <row r="1120" spans="1:7" x14ac:dyDescent="0.55000000000000004">
      <c r="A1120">
        <v>95</v>
      </c>
      <c r="B1120" t="str">
        <f t="shared" si="17"/>
        <v>95_0</v>
      </c>
      <c r="C1120" t="s">
        <v>126</v>
      </c>
      <c r="D1120" t="s">
        <v>145</v>
      </c>
      <c r="E1120" t="s">
        <v>139</v>
      </c>
      <c r="F1120">
        <v>40</v>
      </c>
    </row>
    <row r="1121" spans="1:6" x14ac:dyDescent="0.55000000000000004">
      <c r="A1121">
        <v>95</v>
      </c>
      <c r="B1121" t="str">
        <f t="shared" si="17"/>
        <v>95_0</v>
      </c>
      <c r="C1121" t="s">
        <v>126</v>
      </c>
      <c r="D1121" t="s">
        <v>146</v>
      </c>
      <c r="E1121" t="s">
        <v>139</v>
      </c>
      <c r="F1121">
        <v>0</v>
      </c>
    </row>
    <row r="1122" spans="1:6" x14ac:dyDescent="0.55000000000000004">
      <c r="A1122">
        <v>95</v>
      </c>
      <c r="B1122" t="str">
        <f t="shared" si="17"/>
        <v>95_0</v>
      </c>
      <c r="C1122" t="s">
        <v>126</v>
      </c>
      <c r="D1122" t="s">
        <v>147</v>
      </c>
      <c r="E1122" t="s">
        <v>139</v>
      </c>
      <c r="F1122">
        <v>30</v>
      </c>
    </row>
    <row r="1123" spans="1:6" x14ac:dyDescent="0.55000000000000004">
      <c r="A1123">
        <v>95</v>
      </c>
      <c r="B1123" t="str">
        <f t="shared" si="17"/>
        <v>95_0</v>
      </c>
      <c r="C1123" t="s">
        <v>126</v>
      </c>
      <c r="D1123" t="s">
        <v>148</v>
      </c>
      <c r="E1123" t="s">
        <v>139</v>
      </c>
      <c r="F1123">
        <v>30</v>
      </c>
    </row>
    <row r="1124" spans="1:6" x14ac:dyDescent="0.55000000000000004">
      <c r="A1124">
        <v>95</v>
      </c>
      <c r="B1124" t="str">
        <f t="shared" si="17"/>
        <v>95_0</v>
      </c>
      <c r="C1124" t="s">
        <v>126</v>
      </c>
      <c r="D1124" t="s">
        <v>149</v>
      </c>
      <c r="E1124" t="s">
        <v>139</v>
      </c>
      <c r="F1124">
        <v>0</v>
      </c>
    </row>
    <row r="1125" spans="1:6" x14ac:dyDescent="0.55000000000000004">
      <c r="A1125">
        <v>95</v>
      </c>
      <c r="B1125" t="str">
        <f t="shared" si="17"/>
        <v>95_0</v>
      </c>
      <c r="C1125" t="s">
        <v>126</v>
      </c>
      <c r="D1125" t="s">
        <v>150</v>
      </c>
      <c r="E1125" t="s">
        <v>139</v>
      </c>
      <c r="F1125">
        <v>0</v>
      </c>
    </row>
    <row r="1126" spans="1:6" x14ac:dyDescent="0.55000000000000004">
      <c r="A1126">
        <v>95</v>
      </c>
      <c r="B1126" t="str">
        <f t="shared" si="17"/>
        <v>95_0</v>
      </c>
      <c r="C1126" t="s">
        <v>126</v>
      </c>
      <c r="D1126" t="s">
        <v>151</v>
      </c>
      <c r="E1126" t="s">
        <v>139</v>
      </c>
      <c r="F1126">
        <v>0</v>
      </c>
    </row>
    <row r="1127" spans="1:6" x14ac:dyDescent="0.55000000000000004">
      <c r="A1127">
        <v>95</v>
      </c>
      <c r="B1127" t="str">
        <f t="shared" si="17"/>
        <v>95_0</v>
      </c>
      <c r="C1127" t="s">
        <v>126</v>
      </c>
      <c r="D1127" t="s">
        <v>152</v>
      </c>
      <c r="E1127" t="s">
        <v>153</v>
      </c>
    </row>
    <row r="1128" spans="1:6" x14ac:dyDescent="0.55000000000000004">
      <c r="A1128">
        <v>95</v>
      </c>
      <c r="B1128" t="str">
        <f t="shared" si="17"/>
        <v>95_0</v>
      </c>
      <c r="C1128" t="s">
        <v>154</v>
      </c>
      <c r="D1128" t="s">
        <v>155</v>
      </c>
      <c r="E1128" t="s">
        <v>156</v>
      </c>
      <c r="F1128">
        <v>23</v>
      </c>
    </row>
    <row r="1129" spans="1:6" x14ac:dyDescent="0.55000000000000004">
      <c r="A1129">
        <v>95</v>
      </c>
      <c r="B1129" t="str">
        <f t="shared" si="17"/>
        <v>95_0</v>
      </c>
      <c r="C1129" t="s">
        <v>154</v>
      </c>
      <c r="D1129" t="s">
        <v>157</v>
      </c>
      <c r="E1129" t="s">
        <v>158</v>
      </c>
      <c r="F1129">
        <v>9.64</v>
      </c>
    </row>
    <row r="1130" spans="1:6" x14ac:dyDescent="0.55000000000000004">
      <c r="A1130">
        <v>95</v>
      </c>
      <c r="B1130" t="str">
        <f t="shared" si="17"/>
        <v>95_0</v>
      </c>
      <c r="C1130" t="s">
        <v>154</v>
      </c>
      <c r="D1130" t="s">
        <v>159</v>
      </c>
      <c r="E1130" t="s">
        <v>139</v>
      </c>
      <c r="F1130">
        <v>111.9</v>
      </c>
    </row>
    <row r="1131" spans="1:6" x14ac:dyDescent="0.55000000000000004">
      <c r="A1131">
        <v>95</v>
      </c>
      <c r="B1131" t="str">
        <f t="shared" si="17"/>
        <v>95_0</v>
      </c>
      <c r="C1131" t="s">
        <v>154</v>
      </c>
      <c r="D1131" t="s">
        <v>160</v>
      </c>
      <c r="E1131" t="s">
        <v>161</v>
      </c>
      <c r="F1131">
        <v>443</v>
      </c>
    </row>
    <row r="1132" spans="1:6" x14ac:dyDescent="0.55000000000000004">
      <c r="A1132">
        <v>95</v>
      </c>
      <c r="B1132" t="str">
        <f t="shared" si="17"/>
        <v>95_0</v>
      </c>
      <c r="C1132" t="s">
        <v>154</v>
      </c>
      <c r="D1132" t="s">
        <v>162</v>
      </c>
      <c r="F1132">
        <v>8.69</v>
      </c>
    </row>
    <row r="1133" spans="1:6" x14ac:dyDescent="0.55000000000000004">
      <c r="A1133">
        <v>95</v>
      </c>
      <c r="B1133" t="str">
        <f t="shared" si="17"/>
        <v>95_0</v>
      </c>
      <c r="C1133" t="s">
        <v>163</v>
      </c>
      <c r="D1133" t="s">
        <v>164</v>
      </c>
      <c r="E1133" t="s">
        <v>139</v>
      </c>
      <c r="F1133">
        <v>0</v>
      </c>
    </row>
    <row r="1134" spans="1:6" x14ac:dyDescent="0.55000000000000004">
      <c r="A1134">
        <v>95</v>
      </c>
      <c r="B1134" t="str">
        <f t="shared" si="17"/>
        <v>95_0</v>
      </c>
      <c r="C1134" t="s">
        <v>163</v>
      </c>
      <c r="D1134" t="s">
        <v>165</v>
      </c>
    </row>
    <row r="1135" spans="1:6" x14ac:dyDescent="0.55000000000000004">
      <c r="A1135">
        <v>95</v>
      </c>
      <c r="B1135" t="str">
        <f t="shared" si="17"/>
        <v>95_0</v>
      </c>
      <c r="C1135" t="s">
        <v>163</v>
      </c>
      <c r="D1135" t="s">
        <v>166</v>
      </c>
      <c r="E1135" t="s">
        <v>139</v>
      </c>
      <c r="F1135">
        <v>0</v>
      </c>
    </row>
    <row r="1136" spans="1:6" x14ac:dyDescent="0.55000000000000004">
      <c r="A1136">
        <v>95</v>
      </c>
      <c r="B1136" t="str">
        <f t="shared" si="17"/>
        <v>95_0</v>
      </c>
      <c r="C1136" t="s">
        <v>163</v>
      </c>
      <c r="D1136" t="s">
        <v>167</v>
      </c>
    </row>
    <row r="1137" spans="1:7" x14ac:dyDescent="0.55000000000000004">
      <c r="A1137">
        <v>95</v>
      </c>
      <c r="B1137" t="str">
        <f t="shared" si="17"/>
        <v>95_0</v>
      </c>
      <c r="C1137" t="s">
        <v>163</v>
      </c>
      <c r="D1137" t="s">
        <v>168</v>
      </c>
      <c r="E1137" t="s">
        <v>131</v>
      </c>
      <c r="F1137">
        <v>0</v>
      </c>
    </row>
    <row r="1138" spans="1:7" x14ac:dyDescent="0.55000000000000004">
      <c r="A1138">
        <v>95</v>
      </c>
      <c r="B1138" t="str">
        <f t="shared" si="17"/>
        <v>95_0</v>
      </c>
      <c r="C1138" t="s">
        <v>163</v>
      </c>
      <c r="D1138" t="s">
        <v>169</v>
      </c>
    </row>
    <row r="1139" spans="1:7" x14ac:dyDescent="0.55000000000000004">
      <c r="A1139">
        <v>95</v>
      </c>
      <c r="B1139" t="str">
        <f t="shared" si="17"/>
        <v>95_0</v>
      </c>
      <c r="C1139" t="s">
        <v>163</v>
      </c>
      <c r="D1139" t="s">
        <v>170</v>
      </c>
      <c r="E1139" t="s">
        <v>139</v>
      </c>
      <c r="F1139">
        <v>40</v>
      </c>
    </row>
    <row r="1140" spans="1:7" x14ac:dyDescent="0.55000000000000004">
      <c r="A1140">
        <v>95</v>
      </c>
      <c r="B1140" t="str">
        <f t="shared" si="17"/>
        <v>95_0</v>
      </c>
      <c r="C1140" t="s">
        <v>163</v>
      </c>
      <c r="D1140" t="s">
        <v>171</v>
      </c>
    </row>
    <row r="1141" spans="1:7" x14ac:dyDescent="0.55000000000000004">
      <c r="A1141">
        <v>96</v>
      </c>
      <c r="B1141" t="str">
        <f t="shared" si="17"/>
        <v>96_0</v>
      </c>
      <c r="C1141" t="s">
        <v>126</v>
      </c>
      <c r="D1141" t="s">
        <v>127</v>
      </c>
      <c r="E1141" t="s">
        <v>128</v>
      </c>
      <c r="F1141" s="1"/>
      <c r="G1141" t="s">
        <v>129</v>
      </c>
    </row>
    <row r="1142" spans="1:7" x14ac:dyDescent="0.55000000000000004">
      <c r="A1142">
        <v>96</v>
      </c>
      <c r="B1142" t="str">
        <f t="shared" si="17"/>
        <v>96_0</v>
      </c>
      <c r="C1142" t="s">
        <v>126</v>
      </c>
      <c r="D1142" s="11" t="s">
        <v>130</v>
      </c>
      <c r="E1142" t="s">
        <v>131</v>
      </c>
      <c r="F1142">
        <v>1</v>
      </c>
    </row>
    <row r="1143" spans="1:7" x14ac:dyDescent="0.55000000000000004">
      <c r="A1143">
        <v>96</v>
      </c>
      <c r="B1143" t="str">
        <f t="shared" si="17"/>
        <v>96_0</v>
      </c>
      <c r="C1143" t="s">
        <v>126</v>
      </c>
      <c r="D1143" t="s">
        <v>132</v>
      </c>
      <c r="E1143" t="s">
        <v>133</v>
      </c>
      <c r="F1143">
        <v>2.9</v>
      </c>
    </row>
    <row r="1144" spans="1:7" x14ac:dyDescent="0.55000000000000004">
      <c r="A1144">
        <v>96</v>
      </c>
      <c r="B1144" t="str">
        <f t="shared" si="17"/>
        <v>96_0</v>
      </c>
      <c r="C1144" t="s">
        <v>126</v>
      </c>
      <c r="D1144" t="s">
        <v>134</v>
      </c>
      <c r="E1144" t="s">
        <v>133</v>
      </c>
      <c r="F1144">
        <v>1.05</v>
      </c>
    </row>
    <row r="1145" spans="1:7" x14ac:dyDescent="0.55000000000000004">
      <c r="A1145">
        <v>96</v>
      </c>
      <c r="B1145" t="str">
        <f t="shared" si="17"/>
        <v>96_0</v>
      </c>
      <c r="C1145" t="s">
        <v>126</v>
      </c>
      <c r="D1145" t="s">
        <v>135</v>
      </c>
      <c r="E1145" t="s">
        <v>136</v>
      </c>
      <c r="F1145">
        <f>F1144/10</f>
        <v>0.10500000000000001</v>
      </c>
      <c r="G1145" t="s">
        <v>137</v>
      </c>
    </row>
    <row r="1146" spans="1:7" x14ac:dyDescent="0.55000000000000004">
      <c r="A1146">
        <v>96</v>
      </c>
      <c r="B1146" t="str">
        <f t="shared" si="17"/>
        <v>96_0</v>
      </c>
      <c r="C1146" t="s">
        <v>126</v>
      </c>
      <c r="D1146" s="2" t="s">
        <v>138</v>
      </c>
      <c r="E1146" t="s">
        <v>139</v>
      </c>
      <c r="F1146">
        <v>0</v>
      </c>
    </row>
    <row r="1147" spans="1:7" x14ac:dyDescent="0.55000000000000004">
      <c r="A1147">
        <v>96</v>
      </c>
      <c r="B1147" t="str">
        <f t="shared" si="17"/>
        <v>96_0</v>
      </c>
      <c r="C1147" t="s">
        <v>126</v>
      </c>
      <c r="D1147" s="2" t="s">
        <v>140</v>
      </c>
      <c r="F1147" t="s">
        <v>172</v>
      </c>
    </row>
    <row r="1148" spans="1:7" x14ac:dyDescent="0.55000000000000004">
      <c r="A1148">
        <v>96</v>
      </c>
      <c r="B1148" t="str">
        <f t="shared" si="17"/>
        <v>96_0</v>
      </c>
      <c r="C1148" t="s">
        <v>126</v>
      </c>
      <c r="D1148" s="2" t="s">
        <v>141</v>
      </c>
      <c r="E1148" t="s">
        <v>139</v>
      </c>
      <c r="F1148">
        <v>100</v>
      </c>
    </row>
    <row r="1149" spans="1:7" x14ac:dyDescent="0.55000000000000004">
      <c r="A1149">
        <v>96</v>
      </c>
      <c r="B1149" t="str">
        <f t="shared" si="17"/>
        <v>96_0</v>
      </c>
      <c r="C1149" t="s">
        <v>126</v>
      </c>
      <c r="D1149" t="s">
        <v>142</v>
      </c>
      <c r="E1149" t="s">
        <v>139</v>
      </c>
      <c r="F1149">
        <v>0</v>
      </c>
    </row>
    <row r="1150" spans="1:7" x14ac:dyDescent="0.55000000000000004">
      <c r="A1150">
        <v>96</v>
      </c>
      <c r="B1150" t="str">
        <f t="shared" si="17"/>
        <v>96_0</v>
      </c>
      <c r="C1150" t="s">
        <v>126</v>
      </c>
      <c r="D1150" t="s">
        <v>143</v>
      </c>
      <c r="E1150" t="s">
        <v>131</v>
      </c>
      <c r="F1150">
        <v>0</v>
      </c>
    </row>
    <row r="1151" spans="1:7" x14ac:dyDescent="0.55000000000000004">
      <c r="A1151">
        <v>96</v>
      </c>
      <c r="B1151" t="str">
        <f t="shared" si="17"/>
        <v>96_0</v>
      </c>
      <c r="C1151" t="s">
        <v>126</v>
      </c>
      <c r="D1151" t="s">
        <v>144</v>
      </c>
      <c r="E1151" t="s">
        <v>139</v>
      </c>
      <c r="F1151">
        <v>0</v>
      </c>
    </row>
    <row r="1152" spans="1:7" x14ac:dyDescent="0.55000000000000004">
      <c r="A1152">
        <v>96</v>
      </c>
      <c r="B1152" t="str">
        <f t="shared" si="17"/>
        <v>96_0</v>
      </c>
      <c r="C1152" t="s">
        <v>126</v>
      </c>
      <c r="D1152" t="s">
        <v>145</v>
      </c>
      <c r="E1152" t="s">
        <v>139</v>
      </c>
      <c r="F1152">
        <v>0</v>
      </c>
    </row>
    <row r="1153" spans="1:6" x14ac:dyDescent="0.55000000000000004">
      <c r="A1153">
        <v>96</v>
      </c>
      <c r="B1153" t="str">
        <f t="shared" si="17"/>
        <v>96_0</v>
      </c>
      <c r="C1153" t="s">
        <v>126</v>
      </c>
      <c r="D1153" t="s">
        <v>146</v>
      </c>
      <c r="E1153" t="s">
        <v>139</v>
      </c>
      <c r="F1153">
        <v>0</v>
      </c>
    </row>
    <row r="1154" spans="1:6" x14ac:dyDescent="0.55000000000000004">
      <c r="A1154">
        <v>96</v>
      </c>
      <c r="B1154" t="str">
        <f t="shared" si="17"/>
        <v>96_0</v>
      </c>
      <c r="C1154" t="s">
        <v>126</v>
      </c>
      <c r="D1154" t="s">
        <v>147</v>
      </c>
      <c r="E1154" t="s">
        <v>139</v>
      </c>
      <c r="F1154">
        <v>0</v>
      </c>
    </row>
    <row r="1155" spans="1:6" x14ac:dyDescent="0.55000000000000004">
      <c r="A1155">
        <v>96</v>
      </c>
      <c r="B1155" t="str">
        <f t="shared" ref="B1155:B1218" si="18">A1155 &amp; "_0"</f>
        <v>96_0</v>
      </c>
      <c r="C1155" t="s">
        <v>126</v>
      </c>
      <c r="D1155" t="s">
        <v>148</v>
      </c>
      <c r="E1155" t="s">
        <v>139</v>
      </c>
      <c r="F1155">
        <v>100</v>
      </c>
    </row>
    <row r="1156" spans="1:6" x14ac:dyDescent="0.55000000000000004">
      <c r="A1156">
        <v>96</v>
      </c>
      <c r="B1156" t="str">
        <f t="shared" si="18"/>
        <v>96_0</v>
      </c>
      <c r="C1156" t="s">
        <v>126</v>
      </c>
      <c r="D1156" t="s">
        <v>149</v>
      </c>
      <c r="E1156" t="s">
        <v>139</v>
      </c>
      <c r="F1156">
        <v>0</v>
      </c>
    </row>
    <row r="1157" spans="1:6" x14ac:dyDescent="0.55000000000000004">
      <c r="A1157">
        <v>96</v>
      </c>
      <c r="B1157" t="str">
        <f t="shared" si="18"/>
        <v>96_0</v>
      </c>
      <c r="C1157" t="s">
        <v>126</v>
      </c>
      <c r="D1157" t="s">
        <v>150</v>
      </c>
      <c r="E1157" t="s">
        <v>139</v>
      </c>
      <c r="F1157">
        <v>0</v>
      </c>
    </row>
    <row r="1158" spans="1:6" x14ac:dyDescent="0.55000000000000004">
      <c r="A1158">
        <v>96</v>
      </c>
      <c r="B1158" t="str">
        <f t="shared" si="18"/>
        <v>96_0</v>
      </c>
      <c r="C1158" t="s">
        <v>126</v>
      </c>
      <c r="D1158" t="s">
        <v>151</v>
      </c>
      <c r="E1158" t="s">
        <v>139</v>
      </c>
      <c r="F1158">
        <v>0</v>
      </c>
    </row>
    <row r="1159" spans="1:6" x14ac:dyDescent="0.55000000000000004">
      <c r="A1159">
        <v>96</v>
      </c>
      <c r="B1159" t="str">
        <f t="shared" si="18"/>
        <v>96_0</v>
      </c>
      <c r="C1159" t="s">
        <v>126</v>
      </c>
      <c r="D1159" t="s">
        <v>152</v>
      </c>
      <c r="E1159" t="s">
        <v>153</v>
      </c>
    </row>
    <row r="1160" spans="1:6" x14ac:dyDescent="0.55000000000000004">
      <c r="A1160">
        <v>96</v>
      </c>
      <c r="B1160" t="str">
        <f t="shared" si="18"/>
        <v>96_0</v>
      </c>
      <c r="C1160" t="s">
        <v>154</v>
      </c>
      <c r="D1160" t="s">
        <v>155</v>
      </c>
      <c r="E1160" t="s">
        <v>156</v>
      </c>
      <c r="F1160">
        <v>22.1</v>
      </c>
    </row>
    <row r="1161" spans="1:6" x14ac:dyDescent="0.55000000000000004">
      <c r="A1161">
        <v>96</v>
      </c>
      <c r="B1161" t="str">
        <f t="shared" si="18"/>
        <v>96_0</v>
      </c>
      <c r="C1161" t="s">
        <v>154</v>
      </c>
      <c r="D1161" t="s">
        <v>157</v>
      </c>
      <c r="E1161" t="s">
        <v>158</v>
      </c>
      <c r="F1161">
        <v>8.85</v>
      </c>
    </row>
    <row r="1162" spans="1:6" x14ac:dyDescent="0.55000000000000004">
      <c r="A1162">
        <v>96</v>
      </c>
      <c r="B1162" t="str">
        <f t="shared" si="18"/>
        <v>96_0</v>
      </c>
      <c r="C1162" t="s">
        <v>154</v>
      </c>
      <c r="D1162" t="s">
        <v>159</v>
      </c>
      <c r="E1162" t="s">
        <v>139</v>
      </c>
      <c r="F1162">
        <v>101.7</v>
      </c>
    </row>
    <row r="1163" spans="1:6" x14ac:dyDescent="0.55000000000000004">
      <c r="A1163">
        <v>96</v>
      </c>
      <c r="B1163" t="str">
        <f t="shared" si="18"/>
        <v>96_0</v>
      </c>
      <c r="C1163" t="s">
        <v>154</v>
      </c>
      <c r="D1163" t="s">
        <v>160</v>
      </c>
      <c r="E1163" t="s">
        <v>161</v>
      </c>
      <c r="F1163">
        <v>434.7</v>
      </c>
    </row>
    <row r="1164" spans="1:6" x14ac:dyDescent="0.55000000000000004">
      <c r="A1164">
        <v>96</v>
      </c>
      <c r="B1164" t="str">
        <f t="shared" si="18"/>
        <v>96_0</v>
      </c>
      <c r="C1164" t="s">
        <v>154</v>
      </c>
      <c r="D1164" t="s">
        <v>162</v>
      </c>
      <c r="F1164">
        <v>8.4600000000000009</v>
      </c>
    </row>
    <row r="1165" spans="1:6" x14ac:dyDescent="0.55000000000000004">
      <c r="A1165">
        <v>96</v>
      </c>
      <c r="B1165" t="str">
        <f t="shared" si="18"/>
        <v>96_0</v>
      </c>
      <c r="C1165" t="s">
        <v>163</v>
      </c>
      <c r="D1165" t="s">
        <v>164</v>
      </c>
      <c r="E1165" t="s">
        <v>139</v>
      </c>
      <c r="F1165">
        <v>0</v>
      </c>
    </row>
    <row r="1166" spans="1:6" x14ac:dyDescent="0.55000000000000004">
      <c r="A1166">
        <v>96</v>
      </c>
      <c r="B1166" t="str">
        <f t="shared" si="18"/>
        <v>96_0</v>
      </c>
      <c r="C1166" t="s">
        <v>163</v>
      </c>
      <c r="D1166" t="s">
        <v>165</v>
      </c>
    </row>
    <row r="1167" spans="1:6" x14ac:dyDescent="0.55000000000000004">
      <c r="A1167">
        <v>96</v>
      </c>
      <c r="B1167" t="str">
        <f t="shared" si="18"/>
        <v>96_0</v>
      </c>
      <c r="C1167" t="s">
        <v>163</v>
      </c>
      <c r="D1167" t="s">
        <v>166</v>
      </c>
      <c r="E1167" t="s">
        <v>139</v>
      </c>
      <c r="F1167">
        <v>0</v>
      </c>
    </row>
    <row r="1168" spans="1:6" x14ac:dyDescent="0.55000000000000004">
      <c r="A1168">
        <v>96</v>
      </c>
      <c r="B1168" t="str">
        <f t="shared" si="18"/>
        <v>96_0</v>
      </c>
      <c r="C1168" t="s">
        <v>163</v>
      </c>
      <c r="D1168" t="s">
        <v>167</v>
      </c>
    </row>
    <row r="1169" spans="1:7" x14ac:dyDescent="0.55000000000000004">
      <c r="A1169">
        <v>96</v>
      </c>
      <c r="B1169" t="str">
        <f t="shared" si="18"/>
        <v>96_0</v>
      </c>
      <c r="C1169" t="s">
        <v>163</v>
      </c>
      <c r="D1169" t="s">
        <v>168</v>
      </c>
      <c r="E1169" t="s">
        <v>131</v>
      </c>
      <c r="F1169">
        <v>0</v>
      </c>
    </row>
    <row r="1170" spans="1:7" x14ac:dyDescent="0.55000000000000004">
      <c r="A1170">
        <v>96</v>
      </c>
      <c r="B1170" t="str">
        <f t="shared" si="18"/>
        <v>96_0</v>
      </c>
      <c r="C1170" t="s">
        <v>163</v>
      </c>
      <c r="D1170" t="s">
        <v>169</v>
      </c>
    </row>
    <row r="1171" spans="1:7" x14ac:dyDescent="0.55000000000000004">
      <c r="A1171">
        <v>96</v>
      </c>
      <c r="B1171" t="str">
        <f t="shared" si="18"/>
        <v>96_0</v>
      </c>
      <c r="C1171" t="s">
        <v>163</v>
      </c>
      <c r="D1171" t="s">
        <v>170</v>
      </c>
      <c r="E1171" t="s">
        <v>139</v>
      </c>
      <c r="F1171">
        <v>3</v>
      </c>
    </row>
    <row r="1172" spans="1:7" x14ac:dyDescent="0.55000000000000004">
      <c r="A1172">
        <v>96</v>
      </c>
      <c r="B1172" t="str">
        <f t="shared" si="18"/>
        <v>96_0</v>
      </c>
      <c r="C1172" t="s">
        <v>163</v>
      </c>
      <c r="D1172" t="s">
        <v>171</v>
      </c>
    </row>
    <row r="1173" spans="1:7" x14ac:dyDescent="0.55000000000000004">
      <c r="A1173">
        <v>97</v>
      </c>
      <c r="B1173" t="str">
        <f t="shared" si="18"/>
        <v>97_0</v>
      </c>
      <c r="C1173" t="s">
        <v>126</v>
      </c>
      <c r="D1173" t="s">
        <v>127</v>
      </c>
      <c r="E1173" t="s">
        <v>128</v>
      </c>
      <c r="F1173" s="1"/>
      <c r="G1173" t="s">
        <v>129</v>
      </c>
    </row>
    <row r="1174" spans="1:7" x14ac:dyDescent="0.55000000000000004">
      <c r="A1174">
        <v>97</v>
      </c>
      <c r="B1174" t="str">
        <f t="shared" si="18"/>
        <v>97_0</v>
      </c>
      <c r="C1174" t="s">
        <v>126</v>
      </c>
      <c r="D1174" s="11" t="s">
        <v>130</v>
      </c>
      <c r="E1174" t="s">
        <v>131</v>
      </c>
      <c r="F1174">
        <v>1</v>
      </c>
    </row>
    <row r="1175" spans="1:7" x14ac:dyDescent="0.55000000000000004">
      <c r="A1175">
        <v>97</v>
      </c>
      <c r="B1175" t="str">
        <f t="shared" si="18"/>
        <v>97_0</v>
      </c>
      <c r="C1175" t="s">
        <v>126</v>
      </c>
      <c r="D1175" t="s">
        <v>132</v>
      </c>
      <c r="E1175" t="s">
        <v>133</v>
      </c>
    </row>
    <row r="1176" spans="1:7" x14ac:dyDescent="0.55000000000000004">
      <c r="A1176">
        <v>97</v>
      </c>
      <c r="B1176" t="str">
        <f t="shared" si="18"/>
        <v>97_0</v>
      </c>
      <c r="C1176" t="s">
        <v>126</v>
      </c>
      <c r="D1176" t="s">
        <v>134</v>
      </c>
      <c r="E1176" t="s">
        <v>133</v>
      </c>
      <c r="F1176">
        <v>1.6</v>
      </c>
    </row>
    <row r="1177" spans="1:7" x14ac:dyDescent="0.55000000000000004">
      <c r="A1177">
        <v>97</v>
      </c>
      <c r="B1177" t="str">
        <f t="shared" si="18"/>
        <v>97_0</v>
      </c>
      <c r="C1177" t="s">
        <v>126</v>
      </c>
      <c r="D1177" t="s">
        <v>135</v>
      </c>
      <c r="E1177" t="s">
        <v>136</v>
      </c>
      <c r="F1177">
        <f>F1176/10</f>
        <v>0.16</v>
      </c>
      <c r="G1177" t="s">
        <v>137</v>
      </c>
    </row>
    <row r="1178" spans="1:7" x14ac:dyDescent="0.55000000000000004">
      <c r="A1178">
        <v>97</v>
      </c>
      <c r="B1178" t="str">
        <f t="shared" si="18"/>
        <v>97_0</v>
      </c>
      <c r="C1178" t="s">
        <v>126</v>
      </c>
      <c r="D1178" s="2" t="s">
        <v>138</v>
      </c>
      <c r="E1178" t="s">
        <v>139</v>
      </c>
      <c r="F1178">
        <v>100</v>
      </c>
    </row>
    <row r="1179" spans="1:7" x14ac:dyDescent="0.55000000000000004">
      <c r="A1179">
        <v>97</v>
      </c>
      <c r="B1179" t="str">
        <f t="shared" si="18"/>
        <v>97_0</v>
      </c>
      <c r="C1179" t="s">
        <v>126</v>
      </c>
      <c r="D1179" s="2" t="s">
        <v>140</v>
      </c>
    </row>
    <row r="1180" spans="1:7" x14ac:dyDescent="0.55000000000000004">
      <c r="A1180">
        <v>97</v>
      </c>
      <c r="B1180" t="str">
        <f t="shared" si="18"/>
        <v>97_0</v>
      </c>
      <c r="C1180" t="s">
        <v>126</v>
      </c>
      <c r="D1180" s="2" t="s">
        <v>141</v>
      </c>
      <c r="E1180" t="s">
        <v>139</v>
      </c>
      <c r="F1180">
        <v>100</v>
      </c>
    </row>
    <row r="1181" spans="1:7" x14ac:dyDescent="0.55000000000000004">
      <c r="A1181">
        <v>97</v>
      </c>
      <c r="B1181" t="str">
        <f t="shared" si="18"/>
        <v>97_0</v>
      </c>
      <c r="C1181" t="s">
        <v>126</v>
      </c>
      <c r="D1181" t="s">
        <v>142</v>
      </c>
      <c r="E1181" t="s">
        <v>139</v>
      </c>
      <c r="F1181">
        <v>0</v>
      </c>
    </row>
    <row r="1182" spans="1:7" x14ac:dyDescent="0.55000000000000004">
      <c r="A1182">
        <v>97</v>
      </c>
      <c r="B1182" t="str">
        <f t="shared" si="18"/>
        <v>97_0</v>
      </c>
      <c r="C1182" t="s">
        <v>126</v>
      </c>
      <c r="D1182" t="s">
        <v>143</v>
      </c>
      <c r="E1182" t="s">
        <v>131</v>
      </c>
      <c r="F1182">
        <v>0</v>
      </c>
    </row>
    <row r="1183" spans="1:7" x14ac:dyDescent="0.55000000000000004">
      <c r="A1183">
        <v>97</v>
      </c>
      <c r="B1183" t="str">
        <f t="shared" si="18"/>
        <v>97_0</v>
      </c>
      <c r="C1183" t="s">
        <v>126</v>
      </c>
      <c r="D1183" t="s">
        <v>144</v>
      </c>
      <c r="E1183" t="s">
        <v>139</v>
      </c>
      <c r="F1183">
        <v>0</v>
      </c>
    </row>
    <row r="1184" spans="1:7" x14ac:dyDescent="0.55000000000000004">
      <c r="A1184">
        <v>97</v>
      </c>
      <c r="B1184" t="str">
        <f t="shared" si="18"/>
        <v>97_0</v>
      </c>
      <c r="C1184" t="s">
        <v>126</v>
      </c>
      <c r="D1184" t="s">
        <v>145</v>
      </c>
      <c r="E1184" t="s">
        <v>139</v>
      </c>
      <c r="F1184">
        <v>0</v>
      </c>
    </row>
    <row r="1185" spans="1:6" x14ac:dyDescent="0.55000000000000004">
      <c r="A1185">
        <v>97</v>
      </c>
      <c r="B1185" t="str">
        <f t="shared" si="18"/>
        <v>97_0</v>
      </c>
      <c r="C1185" t="s">
        <v>126</v>
      </c>
      <c r="D1185" t="s">
        <v>146</v>
      </c>
      <c r="E1185" t="s">
        <v>139</v>
      </c>
      <c r="F1185">
        <v>0</v>
      </c>
    </row>
    <row r="1186" spans="1:6" x14ac:dyDescent="0.55000000000000004">
      <c r="A1186">
        <v>97</v>
      </c>
      <c r="B1186" t="str">
        <f t="shared" si="18"/>
        <v>97_0</v>
      </c>
      <c r="C1186" t="s">
        <v>126</v>
      </c>
      <c r="D1186" t="s">
        <v>147</v>
      </c>
      <c r="E1186" t="s">
        <v>139</v>
      </c>
      <c r="F1186">
        <v>10</v>
      </c>
    </row>
    <row r="1187" spans="1:6" x14ac:dyDescent="0.55000000000000004">
      <c r="A1187">
        <v>97</v>
      </c>
      <c r="B1187" t="str">
        <f t="shared" si="18"/>
        <v>97_0</v>
      </c>
      <c r="C1187" t="s">
        <v>126</v>
      </c>
      <c r="D1187" t="s">
        <v>148</v>
      </c>
      <c r="E1187" t="s">
        <v>139</v>
      </c>
      <c r="F1187">
        <v>80</v>
      </c>
    </row>
    <row r="1188" spans="1:6" x14ac:dyDescent="0.55000000000000004">
      <c r="A1188">
        <v>97</v>
      </c>
      <c r="B1188" t="str">
        <f t="shared" si="18"/>
        <v>97_0</v>
      </c>
      <c r="C1188" t="s">
        <v>126</v>
      </c>
      <c r="D1188" t="s">
        <v>149</v>
      </c>
      <c r="E1188" t="s">
        <v>139</v>
      </c>
      <c r="F1188">
        <v>0</v>
      </c>
    </row>
    <row r="1189" spans="1:6" x14ac:dyDescent="0.55000000000000004">
      <c r="A1189">
        <v>97</v>
      </c>
      <c r="B1189" t="str">
        <f t="shared" si="18"/>
        <v>97_0</v>
      </c>
      <c r="C1189" t="s">
        <v>126</v>
      </c>
      <c r="D1189" t="s">
        <v>150</v>
      </c>
      <c r="E1189" t="s">
        <v>139</v>
      </c>
      <c r="F1189">
        <v>10</v>
      </c>
    </row>
    <row r="1190" spans="1:6" x14ac:dyDescent="0.55000000000000004">
      <c r="A1190">
        <v>97</v>
      </c>
      <c r="B1190" t="str">
        <f t="shared" si="18"/>
        <v>97_0</v>
      </c>
      <c r="C1190" t="s">
        <v>126</v>
      </c>
      <c r="D1190" t="s">
        <v>151</v>
      </c>
      <c r="E1190" t="s">
        <v>139</v>
      </c>
      <c r="F1190">
        <v>0</v>
      </c>
    </row>
    <row r="1191" spans="1:6" x14ac:dyDescent="0.55000000000000004">
      <c r="A1191">
        <v>97</v>
      </c>
      <c r="B1191" t="str">
        <f t="shared" si="18"/>
        <v>97_0</v>
      </c>
      <c r="C1191" t="s">
        <v>126</v>
      </c>
      <c r="D1191" t="s">
        <v>152</v>
      </c>
      <c r="E1191" t="s">
        <v>153</v>
      </c>
    </row>
    <row r="1192" spans="1:6" x14ac:dyDescent="0.55000000000000004">
      <c r="A1192">
        <v>97</v>
      </c>
      <c r="B1192" t="str">
        <f t="shared" si="18"/>
        <v>97_0</v>
      </c>
      <c r="C1192" t="s">
        <v>154</v>
      </c>
      <c r="D1192" t="s">
        <v>155</v>
      </c>
      <c r="E1192" t="s">
        <v>156</v>
      </c>
      <c r="F1192">
        <v>16.5</v>
      </c>
    </row>
    <row r="1193" spans="1:6" x14ac:dyDescent="0.55000000000000004">
      <c r="A1193">
        <v>97</v>
      </c>
      <c r="B1193" t="str">
        <f t="shared" si="18"/>
        <v>97_0</v>
      </c>
      <c r="C1193" t="s">
        <v>154</v>
      </c>
      <c r="D1193" t="s">
        <v>157</v>
      </c>
      <c r="E1193" t="s">
        <v>158</v>
      </c>
      <c r="F1193">
        <v>9.9700000000000006</v>
      </c>
    </row>
    <row r="1194" spans="1:6" x14ac:dyDescent="0.55000000000000004">
      <c r="A1194">
        <v>97</v>
      </c>
      <c r="B1194" t="str">
        <f t="shared" si="18"/>
        <v>97_0</v>
      </c>
      <c r="C1194" t="s">
        <v>154</v>
      </c>
      <c r="D1194" t="s">
        <v>159</v>
      </c>
      <c r="E1194" t="s">
        <v>139</v>
      </c>
      <c r="F1194">
        <v>102</v>
      </c>
    </row>
    <row r="1195" spans="1:6" x14ac:dyDescent="0.55000000000000004">
      <c r="A1195">
        <v>97</v>
      </c>
      <c r="B1195" t="str">
        <f t="shared" si="18"/>
        <v>97_0</v>
      </c>
      <c r="C1195" t="s">
        <v>154</v>
      </c>
      <c r="D1195" t="s">
        <v>160</v>
      </c>
      <c r="E1195" t="s">
        <v>161</v>
      </c>
      <c r="F1195">
        <v>132.80000000000001</v>
      </c>
    </row>
    <row r="1196" spans="1:6" x14ac:dyDescent="0.55000000000000004">
      <c r="A1196">
        <v>97</v>
      </c>
      <c r="B1196" t="str">
        <f t="shared" si="18"/>
        <v>97_0</v>
      </c>
      <c r="C1196" t="s">
        <v>154</v>
      </c>
      <c r="D1196" t="s">
        <v>162</v>
      </c>
      <c r="F1196">
        <v>8</v>
      </c>
    </row>
    <row r="1197" spans="1:6" x14ac:dyDescent="0.55000000000000004">
      <c r="A1197">
        <v>97</v>
      </c>
      <c r="B1197" t="str">
        <f t="shared" si="18"/>
        <v>97_0</v>
      </c>
      <c r="C1197" t="s">
        <v>163</v>
      </c>
      <c r="D1197" t="s">
        <v>164</v>
      </c>
      <c r="E1197" t="s">
        <v>139</v>
      </c>
      <c r="F1197">
        <v>0</v>
      </c>
    </row>
    <row r="1198" spans="1:6" x14ac:dyDescent="0.55000000000000004">
      <c r="A1198">
        <v>97</v>
      </c>
      <c r="B1198" t="str">
        <f t="shared" si="18"/>
        <v>97_0</v>
      </c>
      <c r="C1198" t="s">
        <v>163</v>
      </c>
      <c r="D1198" t="s">
        <v>165</v>
      </c>
    </row>
    <row r="1199" spans="1:6" x14ac:dyDescent="0.55000000000000004">
      <c r="A1199">
        <v>97</v>
      </c>
      <c r="B1199" t="str">
        <f t="shared" si="18"/>
        <v>97_0</v>
      </c>
      <c r="C1199" t="s">
        <v>163</v>
      </c>
      <c r="D1199" t="s">
        <v>166</v>
      </c>
      <c r="E1199" t="s">
        <v>139</v>
      </c>
      <c r="F1199">
        <v>80</v>
      </c>
    </row>
    <row r="1200" spans="1:6" x14ac:dyDescent="0.55000000000000004">
      <c r="A1200">
        <v>97</v>
      </c>
      <c r="B1200" t="str">
        <f t="shared" si="18"/>
        <v>97_0</v>
      </c>
      <c r="C1200" t="s">
        <v>163</v>
      </c>
      <c r="D1200" t="s">
        <v>167</v>
      </c>
    </row>
    <row r="1201" spans="1:7" x14ac:dyDescent="0.55000000000000004">
      <c r="A1201">
        <v>97</v>
      </c>
      <c r="B1201" t="str">
        <f t="shared" si="18"/>
        <v>97_0</v>
      </c>
      <c r="C1201" t="s">
        <v>163</v>
      </c>
      <c r="D1201" t="s">
        <v>168</v>
      </c>
      <c r="E1201" t="s">
        <v>131</v>
      </c>
      <c r="F1201">
        <v>1</v>
      </c>
    </row>
    <row r="1202" spans="1:7" x14ac:dyDescent="0.55000000000000004">
      <c r="A1202">
        <v>97</v>
      </c>
      <c r="B1202" t="str">
        <f t="shared" si="18"/>
        <v>97_0</v>
      </c>
      <c r="C1202" t="s">
        <v>163</v>
      </c>
      <c r="D1202" t="s">
        <v>169</v>
      </c>
    </row>
    <row r="1203" spans="1:7" x14ac:dyDescent="0.55000000000000004">
      <c r="A1203">
        <v>97</v>
      </c>
      <c r="B1203" t="str">
        <f t="shared" si="18"/>
        <v>97_0</v>
      </c>
      <c r="C1203" t="s">
        <v>163</v>
      </c>
      <c r="D1203" t="s">
        <v>170</v>
      </c>
      <c r="E1203" t="s">
        <v>139</v>
      </c>
      <c r="F1203">
        <v>30</v>
      </c>
    </row>
    <row r="1204" spans="1:7" x14ac:dyDescent="0.55000000000000004">
      <c r="A1204">
        <v>97</v>
      </c>
      <c r="B1204" t="str">
        <f t="shared" si="18"/>
        <v>97_0</v>
      </c>
      <c r="C1204" t="s">
        <v>163</v>
      </c>
      <c r="D1204" t="s">
        <v>171</v>
      </c>
    </row>
    <row r="1205" spans="1:7" x14ac:dyDescent="0.55000000000000004">
      <c r="A1205">
        <v>98</v>
      </c>
      <c r="B1205" t="str">
        <f t="shared" si="18"/>
        <v>98_0</v>
      </c>
      <c r="C1205" t="s">
        <v>126</v>
      </c>
      <c r="D1205" t="s">
        <v>127</v>
      </c>
      <c r="E1205" t="s">
        <v>128</v>
      </c>
      <c r="F1205" s="1"/>
      <c r="G1205" t="s">
        <v>129</v>
      </c>
    </row>
    <row r="1206" spans="1:7" x14ac:dyDescent="0.55000000000000004">
      <c r="A1206">
        <v>98</v>
      </c>
      <c r="B1206" t="str">
        <f t="shared" si="18"/>
        <v>98_0</v>
      </c>
      <c r="C1206" t="s">
        <v>126</v>
      </c>
      <c r="D1206" s="11" t="s">
        <v>130</v>
      </c>
      <c r="E1206" t="s">
        <v>131</v>
      </c>
      <c r="F1206">
        <v>1</v>
      </c>
    </row>
    <row r="1207" spans="1:7" x14ac:dyDescent="0.55000000000000004">
      <c r="A1207">
        <v>98</v>
      </c>
      <c r="B1207" t="str">
        <f t="shared" si="18"/>
        <v>98_0</v>
      </c>
      <c r="C1207" t="s">
        <v>126</v>
      </c>
      <c r="D1207" t="s">
        <v>132</v>
      </c>
      <c r="E1207" t="s">
        <v>133</v>
      </c>
    </row>
    <row r="1208" spans="1:7" x14ac:dyDescent="0.55000000000000004">
      <c r="A1208">
        <v>98</v>
      </c>
      <c r="B1208" t="str">
        <f t="shared" si="18"/>
        <v>98_0</v>
      </c>
      <c r="C1208" t="s">
        <v>126</v>
      </c>
      <c r="D1208" t="s">
        <v>134</v>
      </c>
      <c r="E1208" t="s">
        <v>133</v>
      </c>
      <c r="F1208">
        <v>2.8</v>
      </c>
    </row>
    <row r="1209" spans="1:7" x14ac:dyDescent="0.55000000000000004">
      <c r="A1209">
        <v>98</v>
      </c>
      <c r="B1209" t="str">
        <f t="shared" si="18"/>
        <v>98_0</v>
      </c>
      <c r="C1209" t="s">
        <v>126</v>
      </c>
      <c r="D1209" t="s">
        <v>135</v>
      </c>
      <c r="E1209" t="s">
        <v>136</v>
      </c>
      <c r="F1209">
        <f>F1208/10</f>
        <v>0.27999999999999997</v>
      </c>
      <c r="G1209" t="s">
        <v>137</v>
      </c>
    </row>
    <row r="1210" spans="1:7" x14ac:dyDescent="0.55000000000000004">
      <c r="A1210">
        <v>98</v>
      </c>
      <c r="B1210" t="str">
        <f t="shared" si="18"/>
        <v>98_0</v>
      </c>
      <c r="C1210" t="s">
        <v>126</v>
      </c>
      <c r="D1210" s="2" t="s">
        <v>138</v>
      </c>
      <c r="E1210" t="s">
        <v>139</v>
      </c>
      <c r="F1210">
        <v>100</v>
      </c>
    </row>
    <row r="1211" spans="1:7" x14ac:dyDescent="0.55000000000000004">
      <c r="A1211">
        <v>98</v>
      </c>
      <c r="B1211" t="str">
        <f t="shared" si="18"/>
        <v>98_0</v>
      </c>
      <c r="C1211" t="s">
        <v>126</v>
      </c>
      <c r="D1211" s="2" t="s">
        <v>140</v>
      </c>
    </row>
    <row r="1212" spans="1:7" x14ac:dyDescent="0.55000000000000004">
      <c r="A1212">
        <v>98</v>
      </c>
      <c r="B1212" t="str">
        <f t="shared" si="18"/>
        <v>98_0</v>
      </c>
      <c r="C1212" t="s">
        <v>126</v>
      </c>
      <c r="D1212" s="2" t="s">
        <v>141</v>
      </c>
      <c r="E1212" t="s">
        <v>139</v>
      </c>
      <c r="F1212">
        <v>80</v>
      </c>
    </row>
    <row r="1213" spans="1:7" x14ac:dyDescent="0.55000000000000004">
      <c r="A1213">
        <v>98</v>
      </c>
      <c r="B1213" t="str">
        <f t="shared" si="18"/>
        <v>98_0</v>
      </c>
      <c r="C1213" t="s">
        <v>126</v>
      </c>
      <c r="D1213" t="s">
        <v>142</v>
      </c>
      <c r="E1213" t="s">
        <v>139</v>
      </c>
      <c r="F1213">
        <v>0</v>
      </c>
    </row>
    <row r="1214" spans="1:7" x14ac:dyDescent="0.55000000000000004">
      <c r="A1214">
        <v>98</v>
      </c>
      <c r="B1214" t="str">
        <f t="shared" si="18"/>
        <v>98_0</v>
      </c>
      <c r="C1214" t="s">
        <v>126</v>
      </c>
      <c r="D1214" t="s">
        <v>143</v>
      </c>
      <c r="E1214" t="s">
        <v>131</v>
      </c>
      <c r="F1214">
        <v>0</v>
      </c>
    </row>
    <row r="1215" spans="1:7" x14ac:dyDescent="0.55000000000000004">
      <c r="A1215">
        <v>98</v>
      </c>
      <c r="B1215" t="str">
        <f t="shared" si="18"/>
        <v>98_0</v>
      </c>
      <c r="C1215" t="s">
        <v>126</v>
      </c>
      <c r="D1215" t="s">
        <v>144</v>
      </c>
      <c r="E1215" t="s">
        <v>139</v>
      </c>
      <c r="F1215">
        <v>0</v>
      </c>
    </row>
    <row r="1216" spans="1:7" x14ac:dyDescent="0.55000000000000004">
      <c r="A1216">
        <v>98</v>
      </c>
      <c r="B1216" t="str">
        <f t="shared" si="18"/>
        <v>98_0</v>
      </c>
      <c r="C1216" t="s">
        <v>126</v>
      </c>
      <c r="D1216" t="s">
        <v>145</v>
      </c>
      <c r="E1216" t="s">
        <v>139</v>
      </c>
      <c r="F1216">
        <v>50</v>
      </c>
    </row>
    <row r="1217" spans="1:6" x14ac:dyDescent="0.55000000000000004">
      <c r="A1217">
        <v>98</v>
      </c>
      <c r="B1217" t="str">
        <f t="shared" si="18"/>
        <v>98_0</v>
      </c>
      <c r="C1217" t="s">
        <v>126</v>
      </c>
      <c r="D1217" t="s">
        <v>146</v>
      </c>
      <c r="E1217" t="s">
        <v>139</v>
      </c>
      <c r="F1217">
        <v>0</v>
      </c>
    </row>
    <row r="1218" spans="1:6" x14ac:dyDescent="0.55000000000000004">
      <c r="A1218">
        <v>98</v>
      </c>
      <c r="B1218" t="str">
        <f t="shared" si="18"/>
        <v>98_0</v>
      </c>
      <c r="C1218" t="s">
        <v>126</v>
      </c>
      <c r="D1218" t="s">
        <v>147</v>
      </c>
      <c r="E1218" t="s">
        <v>139</v>
      </c>
      <c r="F1218">
        <v>0</v>
      </c>
    </row>
    <row r="1219" spans="1:6" x14ac:dyDescent="0.55000000000000004">
      <c r="A1219">
        <v>98</v>
      </c>
      <c r="B1219" t="str">
        <f t="shared" ref="B1219:B1282" si="19">A1219 &amp; "_0"</f>
        <v>98_0</v>
      </c>
      <c r="C1219" t="s">
        <v>126</v>
      </c>
      <c r="D1219" t="s">
        <v>148</v>
      </c>
      <c r="E1219" t="s">
        <v>139</v>
      </c>
      <c r="F1219">
        <v>50</v>
      </c>
    </row>
    <row r="1220" spans="1:6" x14ac:dyDescent="0.55000000000000004">
      <c r="A1220">
        <v>98</v>
      </c>
      <c r="B1220" t="str">
        <f t="shared" si="19"/>
        <v>98_0</v>
      </c>
      <c r="C1220" t="s">
        <v>126</v>
      </c>
      <c r="D1220" t="s">
        <v>149</v>
      </c>
      <c r="E1220" t="s">
        <v>139</v>
      </c>
      <c r="F1220">
        <v>0</v>
      </c>
    </row>
    <row r="1221" spans="1:6" x14ac:dyDescent="0.55000000000000004">
      <c r="A1221">
        <v>98</v>
      </c>
      <c r="B1221" t="str">
        <f t="shared" si="19"/>
        <v>98_0</v>
      </c>
      <c r="C1221" t="s">
        <v>126</v>
      </c>
      <c r="D1221" t="s">
        <v>150</v>
      </c>
      <c r="E1221" t="s">
        <v>139</v>
      </c>
      <c r="F1221">
        <v>0</v>
      </c>
    </row>
    <row r="1222" spans="1:6" x14ac:dyDescent="0.55000000000000004">
      <c r="A1222">
        <v>98</v>
      </c>
      <c r="B1222" t="str">
        <f t="shared" si="19"/>
        <v>98_0</v>
      </c>
      <c r="C1222" t="s">
        <v>126</v>
      </c>
      <c r="D1222" t="s">
        <v>151</v>
      </c>
      <c r="E1222" t="s">
        <v>139</v>
      </c>
      <c r="F1222">
        <v>0</v>
      </c>
    </row>
    <row r="1223" spans="1:6" x14ac:dyDescent="0.55000000000000004">
      <c r="A1223">
        <v>98</v>
      </c>
      <c r="B1223" t="str">
        <f t="shared" si="19"/>
        <v>98_0</v>
      </c>
      <c r="C1223" t="s">
        <v>126</v>
      </c>
      <c r="D1223" t="s">
        <v>152</v>
      </c>
      <c r="E1223" t="s">
        <v>153</v>
      </c>
    </row>
    <row r="1224" spans="1:6" x14ac:dyDescent="0.55000000000000004">
      <c r="A1224">
        <v>98</v>
      </c>
      <c r="B1224" t="str">
        <f t="shared" si="19"/>
        <v>98_0</v>
      </c>
      <c r="C1224" t="s">
        <v>154</v>
      </c>
      <c r="D1224" t="s">
        <v>155</v>
      </c>
      <c r="E1224" t="s">
        <v>156</v>
      </c>
      <c r="F1224">
        <v>16.8</v>
      </c>
    </row>
    <row r="1225" spans="1:6" x14ac:dyDescent="0.55000000000000004">
      <c r="A1225">
        <v>98</v>
      </c>
      <c r="B1225" t="str">
        <f t="shared" si="19"/>
        <v>98_0</v>
      </c>
      <c r="C1225" t="s">
        <v>154</v>
      </c>
      <c r="D1225" t="s">
        <v>157</v>
      </c>
      <c r="E1225" t="s">
        <v>158</v>
      </c>
      <c r="F1225">
        <v>9.81</v>
      </c>
    </row>
    <row r="1226" spans="1:6" x14ac:dyDescent="0.55000000000000004">
      <c r="A1226">
        <v>98</v>
      </c>
      <c r="B1226" t="str">
        <f t="shared" si="19"/>
        <v>98_0</v>
      </c>
      <c r="C1226" t="s">
        <v>154</v>
      </c>
      <c r="D1226" t="s">
        <v>159</v>
      </c>
      <c r="E1226" t="s">
        <v>139</v>
      </c>
      <c r="F1226">
        <v>101.1</v>
      </c>
    </row>
    <row r="1227" spans="1:6" x14ac:dyDescent="0.55000000000000004">
      <c r="A1227">
        <v>98</v>
      </c>
      <c r="B1227" t="str">
        <f t="shared" si="19"/>
        <v>98_0</v>
      </c>
      <c r="C1227" t="s">
        <v>154</v>
      </c>
      <c r="D1227" t="s">
        <v>160</v>
      </c>
      <c r="E1227" t="s">
        <v>161</v>
      </c>
      <c r="F1227">
        <v>134.5</v>
      </c>
    </row>
    <row r="1228" spans="1:6" x14ac:dyDescent="0.55000000000000004">
      <c r="A1228">
        <v>98</v>
      </c>
      <c r="B1228" t="str">
        <f t="shared" si="19"/>
        <v>98_0</v>
      </c>
      <c r="C1228" t="s">
        <v>154</v>
      </c>
      <c r="D1228" t="s">
        <v>162</v>
      </c>
      <c r="F1228">
        <v>7.95</v>
      </c>
    </row>
    <row r="1229" spans="1:6" x14ac:dyDescent="0.55000000000000004">
      <c r="A1229">
        <v>98</v>
      </c>
      <c r="B1229" t="str">
        <f t="shared" si="19"/>
        <v>98_0</v>
      </c>
      <c r="C1229" t="s">
        <v>163</v>
      </c>
      <c r="D1229" t="s">
        <v>164</v>
      </c>
      <c r="E1229" t="s">
        <v>139</v>
      </c>
      <c r="F1229">
        <v>0</v>
      </c>
    </row>
    <row r="1230" spans="1:6" x14ac:dyDescent="0.55000000000000004">
      <c r="A1230">
        <v>98</v>
      </c>
      <c r="B1230" t="str">
        <f t="shared" si="19"/>
        <v>98_0</v>
      </c>
      <c r="C1230" t="s">
        <v>163</v>
      </c>
      <c r="D1230" t="s">
        <v>165</v>
      </c>
    </row>
    <row r="1231" spans="1:6" x14ac:dyDescent="0.55000000000000004">
      <c r="A1231">
        <v>98</v>
      </c>
      <c r="B1231" t="str">
        <f t="shared" si="19"/>
        <v>98_0</v>
      </c>
      <c r="C1231" t="s">
        <v>163</v>
      </c>
      <c r="D1231" t="s">
        <v>166</v>
      </c>
      <c r="E1231" t="s">
        <v>139</v>
      </c>
      <c r="F1231">
        <v>5</v>
      </c>
    </row>
    <row r="1232" spans="1:6" x14ac:dyDescent="0.55000000000000004">
      <c r="A1232">
        <v>98</v>
      </c>
      <c r="B1232" t="str">
        <f t="shared" si="19"/>
        <v>98_0</v>
      </c>
      <c r="C1232" t="s">
        <v>163</v>
      </c>
      <c r="D1232" t="s">
        <v>167</v>
      </c>
    </row>
    <row r="1233" spans="1:7" x14ac:dyDescent="0.55000000000000004">
      <c r="A1233">
        <v>98</v>
      </c>
      <c r="B1233" t="str">
        <f t="shared" si="19"/>
        <v>98_0</v>
      </c>
      <c r="C1233" t="s">
        <v>163</v>
      </c>
      <c r="D1233" t="s">
        <v>168</v>
      </c>
      <c r="E1233" t="s">
        <v>131</v>
      </c>
      <c r="F1233">
        <v>1</v>
      </c>
    </row>
    <row r="1234" spans="1:7" x14ac:dyDescent="0.55000000000000004">
      <c r="A1234">
        <v>98</v>
      </c>
      <c r="B1234" t="str">
        <f t="shared" si="19"/>
        <v>98_0</v>
      </c>
      <c r="C1234" t="s">
        <v>163</v>
      </c>
      <c r="D1234" t="s">
        <v>169</v>
      </c>
    </row>
    <row r="1235" spans="1:7" x14ac:dyDescent="0.55000000000000004">
      <c r="A1235">
        <v>98</v>
      </c>
      <c r="B1235" t="str">
        <f t="shared" si="19"/>
        <v>98_0</v>
      </c>
      <c r="C1235" t="s">
        <v>163</v>
      </c>
      <c r="D1235" t="s">
        <v>170</v>
      </c>
      <c r="E1235" t="s">
        <v>139</v>
      </c>
      <c r="F1235">
        <v>10</v>
      </c>
    </row>
    <row r="1236" spans="1:7" x14ac:dyDescent="0.55000000000000004">
      <c r="A1236">
        <v>98</v>
      </c>
      <c r="B1236" t="str">
        <f t="shared" si="19"/>
        <v>98_0</v>
      </c>
      <c r="C1236" t="s">
        <v>163</v>
      </c>
      <c r="D1236" t="s">
        <v>171</v>
      </c>
    </row>
    <row r="1237" spans="1:7" x14ac:dyDescent="0.55000000000000004">
      <c r="A1237">
        <v>99</v>
      </c>
      <c r="B1237" t="str">
        <f t="shared" si="19"/>
        <v>99_0</v>
      </c>
      <c r="C1237" t="s">
        <v>126</v>
      </c>
      <c r="D1237" t="s">
        <v>127</v>
      </c>
      <c r="E1237" t="s">
        <v>128</v>
      </c>
      <c r="F1237" s="1"/>
      <c r="G1237" t="s">
        <v>129</v>
      </c>
    </row>
    <row r="1238" spans="1:7" x14ac:dyDescent="0.55000000000000004">
      <c r="A1238">
        <v>99</v>
      </c>
      <c r="B1238" t="str">
        <f t="shared" si="19"/>
        <v>99_0</v>
      </c>
      <c r="C1238" t="s">
        <v>126</v>
      </c>
      <c r="D1238" s="11" t="s">
        <v>130</v>
      </c>
      <c r="E1238" t="s">
        <v>131</v>
      </c>
      <c r="F1238">
        <v>1</v>
      </c>
    </row>
    <row r="1239" spans="1:7" x14ac:dyDescent="0.55000000000000004">
      <c r="A1239">
        <v>99</v>
      </c>
      <c r="B1239" t="str">
        <f t="shared" si="19"/>
        <v>99_0</v>
      </c>
      <c r="C1239" t="s">
        <v>126</v>
      </c>
      <c r="D1239" t="s">
        <v>132</v>
      </c>
      <c r="E1239" t="s">
        <v>133</v>
      </c>
      <c r="F1239">
        <v>7.6</v>
      </c>
      <c r="G1239" t="s">
        <v>175</v>
      </c>
    </row>
    <row r="1240" spans="1:7" x14ac:dyDescent="0.55000000000000004">
      <c r="A1240">
        <v>99</v>
      </c>
      <c r="B1240" t="str">
        <f t="shared" si="19"/>
        <v>99_0</v>
      </c>
      <c r="C1240" t="s">
        <v>126</v>
      </c>
      <c r="D1240" t="s">
        <v>134</v>
      </c>
      <c r="E1240" t="s">
        <v>133</v>
      </c>
      <c r="F1240">
        <v>0.65</v>
      </c>
    </row>
    <row r="1241" spans="1:7" x14ac:dyDescent="0.55000000000000004">
      <c r="A1241">
        <v>99</v>
      </c>
      <c r="B1241" t="str">
        <f t="shared" si="19"/>
        <v>99_0</v>
      </c>
      <c r="C1241" t="s">
        <v>126</v>
      </c>
      <c r="D1241" t="s">
        <v>135</v>
      </c>
      <c r="E1241" t="s">
        <v>136</v>
      </c>
      <c r="F1241">
        <f>F1240/10</f>
        <v>6.5000000000000002E-2</v>
      </c>
      <c r="G1241" t="s">
        <v>137</v>
      </c>
    </row>
    <row r="1242" spans="1:7" x14ac:dyDescent="0.55000000000000004">
      <c r="A1242">
        <v>99</v>
      </c>
      <c r="B1242" t="str">
        <f t="shared" si="19"/>
        <v>99_0</v>
      </c>
      <c r="C1242" t="s">
        <v>126</v>
      </c>
      <c r="D1242" s="2" t="s">
        <v>138</v>
      </c>
      <c r="E1242" t="s">
        <v>139</v>
      </c>
      <c r="F1242">
        <v>30</v>
      </c>
      <c r="G1242" t="s">
        <v>193</v>
      </c>
    </row>
    <row r="1243" spans="1:7" x14ac:dyDescent="0.55000000000000004">
      <c r="A1243">
        <v>99</v>
      </c>
      <c r="B1243" t="str">
        <f t="shared" si="19"/>
        <v>99_0</v>
      </c>
      <c r="C1243" t="s">
        <v>126</v>
      </c>
      <c r="D1243" s="2" t="s">
        <v>140</v>
      </c>
    </row>
    <row r="1244" spans="1:7" x14ac:dyDescent="0.55000000000000004">
      <c r="A1244">
        <v>99</v>
      </c>
      <c r="B1244" t="str">
        <f t="shared" si="19"/>
        <v>99_0</v>
      </c>
      <c r="C1244" t="s">
        <v>126</v>
      </c>
      <c r="D1244" s="2" t="s">
        <v>141</v>
      </c>
      <c r="E1244" t="s">
        <v>139</v>
      </c>
      <c r="F1244">
        <v>100</v>
      </c>
      <c r="G1244" t="s">
        <v>193</v>
      </c>
    </row>
    <row r="1245" spans="1:7" x14ac:dyDescent="0.55000000000000004">
      <c r="A1245">
        <v>99</v>
      </c>
      <c r="B1245" t="str">
        <f t="shared" si="19"/>
        <v>99_0</v>
      </c>
      <c r="C1245" t="s">
        <v>126</v>
      </c>
      <c r="D1245" t="s">
        <v>142</v>
      </c>
      <c r="E1245" t="s">
        <v>139</v>
      </c>
      <c r="F1245">
        <v>0</v>
      </c>
    </row>
    <row r="1246" spans="1:7" x14ac:dyDescent="0.55000000000000004">
      <c r="A1246">
        <v>99</v>
      </c>
      <c r="B1246" t="str">
        <f t="shared" si="19"/>
        <v>99_0</v>
      </c>
      <c r="C1246" t="s">
        <v>126</v>
      </c>
      <c r="D1246" t="s">
        <v>143</v>
      </c>
      <c r="E1246" t="s">
        <v>131</v>
      </c>
      <c r="F1246">
        <v>0</v>
      </c>
    </row>
    <row r="1247" spans="1:7" x14ac:dyDescent="0.55000000000000004">
      <c r="A1247">
        <v>99</v>
      </c>
      <c r="B1247" t="str">
        <f t="shared" si="19"/>
        <v>99_0</v>
      </c>
      <c r="C1247" t="s">
        <v>126</v>
      </c>
      <c r="D1247" t="s">
        <v>144</v>
      </c>
      <c r="E1247" t="s">
        <v>139</v>
      </c>
      <c r="F1247">
        <v>0</v>
      </c>
    </row>
    <row r="1248" spans="1:7" x14ac:dyDescent="0.55000000000000004">
      <c r="A1248">
        <v>99</v>
      </c>
      <c r="B1248" t="str">
        <f t="shared" si="19"/>
        <v>99_0</v>
      </c>
      <c r="C1248" t="s">
        <v>126</v>
      </c>
      <c r="D1248" t="s">
        <v>145</v>
      </c>
      <c r="E1248" t="s">
        <v>139</v>
      </c>
      <c r="F1248">
        <v>0</v>
      </c>
    </row>
    <row r="1249" spans="1:6" x14ac:dyDescent="0.55000000000000004">
      <c r="A1249">
        <v>99</v>
      </c>
      <c r="B1249" t="str">
        <f t="shared" si="19"/>
        <v>99_0</v>
      </c>
      <c r="C1249" t="s">
        <v>126</v>
      </c>
      <c r="D1249" t="s">
        <v>146</v>
      </c>
      <c r="E1249" t="s">
        <v>139</v>
      </c>
      <c r="F1249">
        <v>0</v>
      </c>
    </row>
    <row r="1250" spans="1:6" x14ac:dyDescent="0.55000000000000004">
      <c r="A1250">
        <v>99</v>
      </c>
      <c r="B1250" t="str">
        <f t="shared" si="19"/>
        <v>99_0</v>
      </c>
      <c r="C1250" t="s">
        <v>126</v>
      </c>
      <c r="D1250" t="s">
        <v>147</v>
      </c>
      <c r="E1250" t="s">
        <v>139</v>
      </c>
      <c r="F1250">
        <v>0</v>
      </c>
    </row>
    <row r="1251" spans="1:6" x14ac:dyDescent="0.55000000000000004">
      <c r="A1251">
        <v>99</v>
      </c>
      <c r="B1251" t="str">
        <f t="shared" si="19"/>
        <v>99_0</v>
      </c>
      <c r="C1251" t="s">
        <v>126</v>
      </c>
      <c r="D1251" t="s">
        <v>148</v>
      </c>
      <c r="E1251" t="s">
        <v>139</v>
      </c>
      <c r="F1251">
        <v>100</v>
      </c>
    </row>
    <row r="1252" spans="1:6" x14ac:dyDescent="0.55000000000000004">
      <c r="A1252">
        <v>99</v>
      </c>
      <c r="B1252" t="str">
        <f t="shared" si="19"/>
        <v>99_0</v>
      </c>
      <c r="C1252" t="s">
        <v>126</v>
      </c>
      <c r="D1252" t="s">
        <v>149</v>
      </c>
      <c r="E1252" t="s">
        <v>139</v>
      </c>
      <c r="F1252">
        <v>0</v>
      </c>
    </row>
    <row r="1253" spans="1:6" x14ac:dyDescent="0.55000000000000004">
      <c r="A1253">
        <v>99</v>
      </c>
      <c r="B1253" t="str">
        <f t="shared" si="19"/>
        <v>99_0</v>
      </c>
      <c r="C1253" t="s">
        <v>126</v>
      </c>
      <c r="D1253" t="s">
        <v>150</v>
      </c>
      <c r="E1253" t="s">
        <v>139</v>
      </c>
      <c r="F1253">
        <v>0</v>
      </c>
    </row>
    <row r="1254" spans="1:6" x14ac:dyDescent="0.55000000000000004">
      <c r="A1254">
        <v>99</v>
      </c>
      <c r="B1254" t="str">
        <f t="shared" si="19"/>
        <v>99_0</v>
      </c>
      <c r="C1254" t="s">
        <v>126</v>
      </c>
      <c r="D1254" t="s">
        <v>151</v>
      </c>
      <c r="E1254" t="s">
        <v>139</v>
      </c>
      <c r="F1254">
        <v>0</v>
      </c>
    </row>
    <row r="1255" spans="1:6" x14ac:dyDescent="0.55000000000000004">
      <c r="A1255">
        <v>99</v>
      </c>
      <c r="B1255" t="str">
        <f t="shared" si="19"/>
        <v>99_0</v>
      </c>
      <c r="C1255" t="s">
        <v>126</v>
      </c>
      <c r="D1255" t="s">
        <v>152</v>
      </c>
      <c r="E1255" t="s">
        <v>153</v>
      </c>
    </row>
    <row r="1256" spans="1:6" x14ac:dyDescent="0.55000000000000004">
      <c r="A1256">
        <v>99</v>
      </c>
      <c r="B1256" t="str">
        <f t="shared" si="19"/>
        <v>99_0</v>
      </c>
      <c r="C1256" t="s">
        <v>154</v>
      </c>
      <c r="D1256" t="s">
        <v>155</v>
      </c>
      <c r="E1256" t="s">
        <v>156</v>
      </c>
      <c r="F1256">
        <v>16.3</v>
      </c>
    </row>
    <row r="1257" spans="1:6" x14ac:dyDescent="0.55000000000000004">
      <c r="A1257">
        <v>99</v>
      </c>
      <c r="B1257" t="str">
        <f t="shared" si="19"/>
        <v>99_0</v>
      </c>
      <c r="C1257" t="s">
        <v>154</v>
      </c>
      <c r="D1257" t="s">
        <v>157</v>
      </c>
      <c r="E1257" t="s">
        <v>158</v>
      </c>
      <c r="F1257">
        <v>9.7100000000000009</v>
      </c>
    </row>
    <row r="1258" spans="1:6" x14ac:dyDescent="0.55000000000000004">
      <c r="A1258">
        <v>99</v>
      </c>
      <c r="B1258" t="str">
        <f t="shared" si="19"/>
        <v>99_0</v>
      </c>
      <c r="C1258" t="s">
        <v>154</v>
      </c>
      <c r="D1258" t="s">
        <v>159</v>
      </c>
      <c r="E1258" t="s">
        <v>139</v>
      </c>
      <c r="F1258">
        <v>99.1</v>
      </c>
    </row>
    <row r="1259" spans="1:6" x14ac:dyDescent="0.55000000000000004">
      <c r="A1259">
        <v>99</v>
      </c>
      <c r="B1259" t="str">
        <f t="shared" si="19"/>
        <v>99_0</v>
      </c>
      <c r="C1259" t="s">
        <v>154</v>
      </c>
      <c r="D1259" t="s">
        <v>160</v>
      </c>
      <c r="E1259" t="s">
        <v>161</v>
      </c>
      <c r="F1259">
        <v>132.5</v>
      </c>
    </row>
    <row r="1260" spans="1:6" x14ac:dyDescent="0.55000000000000004">
      <c r="A1260">
        <v>99</v>
      </c>
      <c r="B1260" t="str">
        <f t="shared" si="19"/>
        <v>99_0</v>
      </c>
      <c r="C1260" t="s">
        <v>154</v>
      </c>
      <c r="D1260" t="s">
        <v>162</v>
      </c>
      <c r="F1260">
        <v>8.56</v>
      </c>
    </row>
    <row r="1261" spans="1:6" x14ac:dyDescent="0.55000000000000004">
      <c r="A1261">
        <v>99</v>
      </c>
      <c r="B1261" t="str">
        <f t="shared" si="19"/>
        <v>99_0</v>
      </c>
      <c r="C1261" t="s">
        <v>163</v>
      </c>
      <c r="D1261" t="s">
        <v>164</v>
      </c>
      <c r="E1261" t="s">
        <v>139</v>
      </c>
      <c r="F1261">
        <v>0</v>
      </c>
    </row>
    <row r="1262" spans="1:6" x14ac:dyDescent="0.55000000000000004">
      <c r="A1262">
        <v>99</v>
      </c>
      <c r="B1262" t="str">
        <f t="shared" si="19"/>
        <v>99_0</v>
      </c>
      <c r="C1262" t="s">
        <v>163</v>
      </c>
      <c r="D1262" t="s">
        <v>165</v>
      </c>
    </row>
    <row r="1263" spans="1:6" x14ac:dyDescent="0.55000000000000004">
      <c r="A1263">
        <v>99</v>
      </c>
      <c r="B1263" t="str">
        <f t="shared" si="19"/>
        <v>99_0</v>
      </c>
      <c r="C1263" t="s">
        <v>163</v>
      </c>
      <c r="D1263" t="s">
        <v>166</v>
      </c>
      <c r="E1263" t="s">
        <v>139</v>
      </c>
      <c r="F1263">
        <v>0</v>
      </c>
    </row>
    <row r="1264" spans="1:6" x14ac:dyDescent="0.55000000000000004">
      <c r="A1264">
        <v>99</v>
      </c>
      <c r="B1264" t="str">
        <f t="shared" si="19"/>
        <v>99_0</v>
      </c>
      <c r="C1264" t="s">
        <v>163</v>
      </c>
      <c r="D1264" t="s">
        <v>167</v>
      </c>
    </row>
    <row r="1265" spans="1:7" x14ac:dyDescent="0.55000000000000004">
      <c r="A1265">
        <v>99</v>
      </c>
      <c r="B1265" t="str">
        <f t="shared" si="19"/>
        <v>99_0</v>
      </c>
      <c r="C1265" t="s">
        <v>163</v>
      </c>
      <c r="D1265" t="s">
        <v>168</v>
      </c>
      <c r="E1265" t="s">
        <v>131</v>
      </c>
      <c r="F1265">
        <v>0</v>
      </c>
    </row>
    <row r="1266" spans="1:7" x14ac:dyDescent="0.55000000000000004">
      <c r="A1266">
        <v>99</v>
      </c>
      <c r="B1266" t="str">
        <f t="shared" si="19"/>
        <v>99_0</v>
      </c>
      <c r="C1266" t="s">
        <v>163</v>
      </c>
      <c r="D1266" t="s">
        <v>169</v>
      </c>
    </row>
    <row r="1267" spans="1:7" x14ac:dyDescent="0.55000000000000004">
      <c r="A1267">
        <v>99</v>
      </c>
      <c r="B1267" t="str">
        <f t="shared" si="19"/>
        <v>99_0</v>
      </c>
      <c r="C1267" t="s">
        <v>163</v>
      </c>
      <c r="D1267" t="s">
        <v>170</v>
      </c>
      <c r="E1267" t="s">
        <v>139</v>
      </c>
      <c r="F1267">
        <v>5</v>
      </c>
    </row>
    <row r="1268" spans="1:7" x14ac:dyDescent="0.55000000000000004">
      <c r="A1268">
        <v>99</v>
      </c>
      <c r="B1268" t="str">
        <f t="shared" si="19"/>
        <v>99_0</v>
      </c>
      <c r="C1268" t="s">
        <v>163</v>
      </c>
      <c r="D1268" t="s">
        <v>171</v>
      </c>
    </row>
    <row r="1269" spans="1:7" x14ac:dyDescent="0.55000000000000004">
      <c r="A1269">
        <v>100</v>
      </c>
      <c r="B1269" t="str">
        <f t="shared" si="19"/>
        <v>100_0</v>
      </c>
      <c r="C1269" t="s">
        <v>126</v>
      </c>
      <c r="D1269" t="s">
        <v>127</v>
      </c>
      <c r="E1269" t="s">
        <v>128</v>
      </c>
      <c r="F1269" s="1"/>
      <c r="G1269" t="s">
        <v>129</v>
      </c>
    </row>
    <row r="1270" spans="1:7" x14ac:dyDescent="0.55000000000000004">
      <c r="A1270">
        <v>100</v>
      </c>
      <c r="B1270" t="str">
        <f t="shared" si="19"/>
        <v>100_0</v>
      </c>
      <c r="C1270" t="s">
        <v>126</v>
      </c>
      <c r="D1270" s="11" t="s">
        <v>130</v>
      </c>
      <c r="E1270" t="s">
        <v>131</v>
      </c>
      <c r="F1270">
        <v>1</v>
      </c>
    </row>
    <row r="1271" spans="1:7" x14ac:dyDescent="0.55000000000000004">
      <c r="A1271">
        <v>100</v>
      </c>
      <c r="B1271" t="str">
        <f t="shared" si="19"/>
        <v>100_0</v>
      </c>
      <c r="C1271" t="s">
        <v>126</v>
      </c>
      <c r="D1271" t="s">
        <v>132</v>
      </c>
      <c r="E1271" t="s">
        <v>133</v>
      </c>
    </row>
    <row r="1272" spans="1:7" x14ac:dyDescent="0.55000000000000004">
      <c r="A1272">
        <v>100</v>
      </c>
      <c r="B1272" t="str">
        <f t="shared" si="19"/>
        <v>100_0</v>
      </c>
      <c r="C1272" t="s">
        <v>126</v>
      </c>
      <c r="D1272" t="s">
        <v>134</v>
      </c>
      <c r="E1272" t="s">
        <v>133</v>
      </c>
      <c r="F1272">
        <v>2</v>
      </c>
    </row>
    <row r="1273" spans="1:7" x14ac:dyDescent="0.55000000000000004">
      <c r="A1273">
        <v>100</v>
      </c>
      <c r="B1273" t="str">
        <f t="shared" si="19"/>
        <v>100_0</v>
      </c>
      <c r="C1273" t="s">
        <v>126</v>
      </c>
      <c r="D1273" t="s">
        <v>135</v>
      </c>
      <c r="E1273" t="s">
        <v>136</v>
      </c>
      <c r="F1273">
        <f>F1272/10</f>
        <v>0.2</v>
      </c>
      <c r="G1273" t="s">
        <v>137</v>
      </c>
    </row>
    <row r="1274" spans="1:7" x14ac:dyDescent="0.55000000000000004">
      <c r="A1274">
        <v>100</v>
      </c>
      <c r="B1274" t="str">
        <f t="shared" si="19"/>
        <v>100_0</v>
      </c>
      <c r="C1274" t="s">
        <v>126</v>
      </c>
      <c r="D1274" s="2" t="s">
        <v>138</v>
      </c>
      <c r="E1274" t="s">
        <v>139</v>
      </c>
      <c r="F1274">
        <v>100</v>
      </c>
    </row>
    <row r="1275" spans="1:7" x14ac:dyDescent="0.55000000000000004">
      <c r="A1275">
        <v>100</v>
      </c>
      <c r="B1275" t="str">
        <f t="shared" si="19"/>
        <v>100_0</v>
      </c>
      <c r="C1275" t="s">
        <v>126</v>
      </c>
      <c r="D1275" s="2" t="s">
        <v>140</v>
      </c>
    </row>
    <row r="1276" spans="1:7" x14ac:dyDescent="0.55000000000000004">
      <c r="A1276">
        <v>100</v>
      </c>
      <c r="B1276" t="str">
        <f t="shared" si="19"/>
        <v>100_0</v>
      </c>
      <c r="C1276" t="s">
        <v>126</v>
      </c>
      <c r="D1276" s="2" t="s">
        <v>141</v>
      </c>
      <c r="E1276" t="s">
        <v>139</v>
      </c>
      <c r="F1276">
        <v>100</v>
      </c>
    </row>
    <row r="1277" spans="1:7" x14ac:dyDescent="0.55000000000000004">
      <c r="A1277">
        <v>100</v>
      </c>
      <c r="B1277" t="str">
        <f t="shared" si="19"/>
        <v>100_0</v>
      </c>
      <c r="C1277" t="s">
        <v>126</v>
      </c>
      <c r="D1277" t="s">
        <v>142</v>
      </c>
      <c r="E1277" t="s">
        <v>139</v>
      </c>
      <c r="F1277">
        <v>0</v>
      </c>
    </row>
    <row r="1278" spans="1:7" x14ac:dyDescent="0.55000000000000004">
      <c r="A1278">
        <v>100</v>
      </c>
      <c r="B1278" t="str">
        <f t="shared" si="19"/>
        <v>100_0</v>
      </c>
      <c r="C1278" t="s">
        <v>126</v>
      </c>
      <c r="D1278" t="s">
        <v>143</v>
      </c>
      <c r="E1278" t="s">
        <v>131</v>
      </c>
      <c r="F1278">
        <v>0</v>
      </c>
    </row>
    <row r="1279" spans="1:7" x14ac:dyDescent="0.55000000000000004">
      <c r="A1279">
        <v>100</v>
      </c>
      <c r="B1279" t="str">
        <f t="shared" si="19"/>
        <v>100_0</v>
      </c>
      <c r="C1279" t="s">
        <v>126</v>
      </c>
      <c r="D1279" t="s">
        <v>144</v>
      </c>
      <c r="E1279" t="s">
        <v>139</v>
      </c>
      <c r="F1279">
        <v>0</v>
      </c>
    </row>
    <row r="1280" spans="1:7" x14ac:dyDescent="0.55000000000000004">
      <c r="A1280">
        <v>100</v>
      </c>
      <c r="B1280" t="str">
        <f t="shared" si="19"/>
        <v>100_0</v>
      </c>
      <c r="C1280" t="s">
        <v>126</v>
      </c>
      <c r="D1280" t="s">
        <v>145</v>
      </c>
      <c r="E1280" t="s">
        <v>139</v>
      </c>
      <c r="F1280">
        <v>0</v>
      </c>
    </row>
    <row r="1281" spans="1:6" x14ac:dyDescent="0.55000000000000004">
      <c r="A1281">
        <v>100</v>
      </c>
      <c r="B1281" t="str">
        <f t="shared" si="19"/>
        <v>100_0</v>
      </c>
      <c r="C1281" t="s">
        <v>126</v>
      </c>
      <c r="D1281" t="s">
        <v>146</v>
      </c>
      <c r="E1281" t="s">
        <v>139</v>
      </c>
      <c r="F1281">
        <v>0</v>
      </c>
    </row>
    <row r="1282" spans="1:6" x14ac:dyDescent="0.55000000000000004">
      <c r="A1282">
        <v>100</v>
      </c>
      <c r="B1282" t="str">
        <f t="shared" si="19"/>
        <v>100_0</v>
      </c>
      <c r="C1282" t="s">
        <v>126</v>
      </c>
      <c r="D1282" t="s">
        <v>147</v>
      </c>
      <c r="E1282" t="s">
        <v>139</v>
      </c>
      <c r="F1282">
        <v>0</v>
      </c>
    </row>
    <row r="1283" spans="1:6" x14ac:dyDescent="0.55000000000000004">
      <c r="A1283">
        <v>100</v>
      </c>
      <c r="B1283" t="str">
        <f t="shared" ref="B1283:B1346" si="20">A1283 &amp; "_0"</f>
        <v>100_0</v>
      </c>
      <c r="C1283" t="s">
        <v>126</v>
      </c>
      <c r="D1283" t="s">
        <v>148</v>
      </c>
      <c r="E1283" t="s">
        <v>139</v>
      </c>
      <c r="F1283">
        <v>0</v>
      </c>
    </row>
    <row r="1284" spans="1:6" x14ac:dyDescent="0.55000000000000004">
      <c r="A1284">
        <v>100</v>
      </c>
      <c r="B1284" t="str">
        <f t="shared" si="20"/>
        <v>100_0</v>
      </c>
      <c r="C1284" t="s">
        <v>126</v>
      </c>
      <c r="D1284" t="s">
        <v>149</v>
      </c>
      <c r="E1284" t="s">
        <v>139</v>
      </c>
      <c r="F1284">
        <v>0</v>
      </c>
    </row>
    <row r="1285" spans="1:6" x14ac:dyDescent="0.55000000000000004">
      <c r="A1285">
        <v>100</v>
      </c>
      <c r="B1285" t="str">
        <f t="shared" si="20"/>
        <v>100_0</v>
      </c>
      <c r="C1285" t="s">
        <v>126</v>
      </c>
      <c r="D1285" t="s">
        <v>150</v>
      </c>
      <c r="E1285" t="s">
        <v>139</v>
      </c>
      <c r="F1285">
        <v>100</v>
      </c>
    </row>
    <row r="1286" spans="1:6" x14ac:dyDescent="0.55000000000000004">
      <c r="A1286">
        <v>100</v>
      </c>
      <c r="B1286" t="str">
        <f t="shared" si="20"/>
        <v>100_0</v>
      </c>
      <c r="C1286" t="s">
        <v>126</v>
      </c>
      <c r="D1286" t="s">
        <v>151</v>
      </c>
      <c r="E1286" t="s">
        <v>139</v>
      </c>
      <c r="F1286">
        <v>0</v>
      </c>
    </row>
    <row r="1287" spans="1:6" x14ac:dyDescent="0.55000000000000004">
      <c r="A1287">
        <v>100</v>
      </c>
      <c r="B1287" t="str">
        <f t="shared" si="20"/>
        <v>100_0</v>
      </c>
      <c r="C1287" t="s">
        <v>126</v>
      </c>
      <c r="D1287" t="s">
        <v>152</v>
      </c>
      <c r="E1287" t="s">
        <v>153</v>
      </c>
    </row>
    <row r="1288" spans="1:6" x14ac:dyDescent="0.55000000000000004">
      <c r="A1288">
        <v>100</v>
      </c>
      <c r="B1288" t="str">
        <f t="shared" si="20"/>
        <v>100_0</v>
      </c>
      <c r="C1288" t="s">
        <v>154</v>
      </c>
      <c r="D1288" t="s">
        <v>155</v>
      </c>
      <c r="E1288" t="s">
        <v>156</v>
      </c>
      <c r="F1288">
        <v>17.7</v>
      </c>
    </row>
    <row r="1289" spans="1:6" x14ac:dyDescent="0.55000000000000004">
      <c r="A1289">
        <v>100</v>
      </c>
      <c r="B1289" t="str">
        <f t="shared" si="20"/>
        <v>100_0</v>
      </c>
      <c r="C1289" t="s">
        <v>154</v>
      </c>
      <c r="D1289" t="s">
        <v>157</v>
      </c>
      <c r="E1289" t="s">
        <v>158</v>
      </c>
      <c r="F1289">
        <v>8.66</v>
      </c>
    </row>
    <row r="1290" spans="1:6" x14ac:dyDescent="0.55000000000000004">
      <c r="A1290">
        <v>100</v>
      </c>
      <c r="B1290" t="str">
        <f t="shared" si="20"/>
        <v>100_0</v>
      </c>
      <c r="C1290" t="s">
        <v>154</v>
      </c>
      <c r="D1290" t="s">
        <v>159</v>
      </c>
      <c r="E1290" t="s">
        <v>139</v>
      </c>
      <c r="F1290">
        <v>91.3</v>
      </c>
    </row>
    <row r="1291" spans="1:6" x14ac:dyDescent="0.55000000000000004">
      <c r="A1291">
        <v>100</v>
      </c>
      <c r="B1291" t="str">
        <f t="shared" si="20"/>
        <v>100_0</v>
      </c>
      <c r="C1291" t="s">
        <v>154</v>
      </c>
      <c r="D1291" t="s">
        <v>160</v>
      </c>
      <c r="E1291" t="s">
        <v>161</v>
      </c>
      <c r="F1291">
        <v>142.30000000000001</v>
      </c>
    </row>
    <row r="1292" spans="1:6" x14ac:dyDescent="0.55000000000000004">
      <c r="A1292">
        <v>100</v>
      </c>
      <c r="B1292" t="str">
        <f t="shared" si="20"/>
        <v>100_0</v>
      </c>
      <c r="C1292" t="s">
        <v>154</v>
      </c>
      <c r="D1292" t="s">
        <v>162</v>
      </c>
      <c r="F1292">
        <v>7.4</v>
      </c>
    </row>
    <row r="1293" spans="1:6" x14ac:dyDescent="0.55000000000000004">
      <c r="A1293">
        <v>100</v>
      </c>
      <c r="B1293" t="str">
        <f t="shared" si="20"/>
        <v>100_0</v>
      </c>
      <c r="C1293" t="s">
        <v>163</v>
      </c>
      <c r="D1293" t="s">
        <v>164</v>
      </c>
      <c r="E1293" t="s">
        <v>139</v>
      </c>
      <c r="F1293">
        <v>80</v>
      </c>
    </row>
    <row r="1294" spans="1:6" x14ac:dyDescent="0.55000000000000004">
      <c r="A1294">
        <v>100</v>
      </c>
      <c r="B1294" t="str">
        <f t="shared" si="20"/>
        <v>100_0</v>
      </c>
      <c r="C1294" t="s">
        <v>163</v>
      </c>
      <c r="D1294" t="s">
        <v>165</v>
      </c>
    </row>
    <row r="1295" spans="1:6" x14ac:dyDescent="0.55000000000000004">
      <c r="A1295">
        <v>100</v>
      </c>
      <c r="B1295" t="str">
        <f t="shared" si="20"/>
        <v>100_0</v>
      </c>
      <c r="C1295" t="s">
        <v>163</v>
      </c>
      <c r="D1295" t="s">
        <v>166</v>
      </c>
      <c r="E1295" t="s">
        <v>139</v>
      </c>
      <c r="F1295">
        <v>20</v>
      </c>
    </row>
    <row r="1296" spans="1:6" x14ac:dyDescent="0.55000000000000004">
      <c r="A1296">
        <v>100</v>
      </c>
      <c r="B1296" t="str">
        <f t="shared" si="20"/>
        <v>100_0</v>
      </c>
      <c r="C1296" t="s">
        <v>163</v>
      </c>
      <c r="D1296" t="s">
        <v>167</v>
      </c>
    </row>
    <row r="1297" spans="1:7" x14ac:dyDescent="0.55000000000000004">
      <c r="A1297">
        <v>100</v>
      </c>
      <c r="B1297" t="str">
        <f t="shared" si="20"/>
        <v>100_0</v>
      </c>
      <c r="C1297" t="s">
        <v>163</v>
      </c>
      <c r="D1297" t="s">
        <v>168</v>
      </c>
      <c r="E1297" t="s">
        <v>131</v>
      </c>
      <c r="F1297">
        <v>1</v>
      </c>
    </row>
    <row r="1298" spans="1:7" x14ac:dyDescent="0.55000000000000004">
      <c r="A1298">
        <v>100</v>
      </c>
      <c r="B1298" t="str">
        <f t="shared" si="20"/>
        <v>100_0</v>
      </c>
      <c r="C1298" t="s">
        <v>163</v>
      </c>
      <c r="D1298" t="s">
        <v>169</v>
      </c>
    </row>
    <row r="1299" spans="1:7" x14ac:dyDescent="0.55000000000000004">
      <c r="A1299">
        <v>100</v>
      </c>
      <c r="B1299" t="str">
        <f t="shared" si="20"/>
        <v>100_0</v>
      </c>
      <c r="C1299" t="s">
        <v>163</v>
      </c>
      <c r="D1299" t="s">
        <v>170</v>
      </c>
      <c r="E1299" t="s">
        <v>139</v>
      </c>
      <c r="F1299">
        <v>10</v>
      </c>
    </row>
    <row r="1300" spans="1:7" x14ac:dyDescent="0.55000000000000004">
      <c r="A1300">
        <v>100</v>
      </c>
      <c r="B1300" t="str">
        <f t="shared" si="20"/>
        <v>100_0</v>
      </c>
      <c r="C1300" t="s">
        <v>163</v>
      </c>
      <c r="D1300" t="s">
        <v>171</v>
      </c>
    </row>
    <row r="1301" spans="1:7" x14ac:dyDescent="0.55000000000000004">
      <c r="A1301">
        <v>101</v>
      </c>
      <c r="B1301" t="str">
        <f t="shared" si="20"/>
        <v>101_0</v>
      </c>
      <c r="C1301" t="s">
        <v>126</v>
      </c>
      <c r="D1301" t="s">
        <v>127</v>
      </c>
      <c r="E1301" t="s">
        <v>128</v>
      </c>
      <c r="F1301" s="1"/>
      <c r="G1301" t="s">
        <v>129</v>
      </c>
    </row>
    <row r="1302" spans="1:7" x14ac:dyDescent="0.55000000000000004">
      <c r="A1302">
        <v>101</v>
      </c>
      <c r="B1302" t="str">
        <f t="shared" si="20"/>
        <v>101_0</v>
      </c>
      <c r="C1302" t="s">
        <v>126</v>
      </c>
      <c r="D1302" s="11" t="s">
        <v>130</v>
      </c>
      <c r="E1302" t="s">
        <v>131</v>
      </c>
      <c r="F1302">
        <v>1</v>
      </c>
    </row>
    <row r="1303" spans="1:7" x14ac:dyDescent="0.55000000000000004">
      <c r="A1303">
        <v>101</v>
      </c>
      <c r="B1303" t="str">
        <f t="shared" si="20"/>
        <v>101_0</v>
      </c>
      <c r="C1303" t="s">
        <v>126</v>
      </c>
      <c r="D1303" t="s">
        <v>132</v>
      </c>
      <c r="E1303" t="s">
        <v>133</v>
      </c>
      <c r="F1303">
        <v>7.6</v>
      </c>
      <c r="G1303" t="s">
        <v>175</v>
      </c>
    </row>
    <row r="1304" spans="1:7" x14ac:dyDescent="0.55000000000000004">
      <c r="A1304">
        <v>101</v>
      </c>
      <c r="B1304" t="str">
        <f t="shared" si="20"/>
        <v>101_0</v>
      </c>
      <c r="C1304" t="s">
        <v>126</v>
      </c>
      <c r="D1304" t="s">
        <v>134</v>
      </c>
      <c r="E1304" t="s">
        <v>133</v>
      </c>
      <c r="F1304">
        <v>0.6</v>
      </c>
    </row>
    <row r="1305" spans="1:7" x14ac:dyDescent="0.55000000000000004">
      <c r="A1305">
        <v>101</v>
      </c>
      <c r="B1305" t="str">
        <f t="shared" si="20"/>
        <v>101_0</v>
      </c>
      <c r="C1305" t="s">
        <v>126</v>
      </c>
      <c r="D1305" t="s">
        <v>135</v>
      </c>
      <c r="E1305" t="s">
        <v>136</v>
      </c>
      <c r="F1305">
        <f>F1304/10</f>
        <v>0.06</v>
      </c>
      <c r="G1305" t="s">
        <v>137</v>
      </c>
    </row>
    <row r="1306" spans="1:7" x14ac:dyDescent="0.55000000000000004">
      <c r="A1306">
        <v>101</v>
      </c>
      <c r="B1306" t="str">
        <f t="shared" si="20"/>
        <v>101_0</v>
      </c>
      <c r="C1306" t="s">
        <v>126</v>
      </c>
      <c r="D1306" s="2" t="s">
        <v>138</v>
      </c>
      <c r="E1306" t="s">
        <v>139</v>
      </c>
      <c r="F1306">
        <v>80</v>
      </c>
    </row>
    <row r="1307" spans="1:7" x14ac:dyDescent="0.55000000000000004">
      <c r="A1307">
        <v>101</v>
      </c>
      <c r="B1307" t="str">
        <f t="shared" si="20"/>
        <v>101_0</v>
      </c>
      <c r="C1307" t="s">
        <v>126</v>
      </c>
      <c r="D1307" s="2" t="s">
        <v>140</v>
      </c>
    </row>
    <row r="1308" spans="1:7" x14ac:dyDescent="0.55000000000000004">
      <c r="A1308">
        <v>101</v>
      </c>
      <c r="B1308" t="str">
        <f t="shared" si="20"/>
        <v>101_0</v>
      </c>
      <c r="C1308" t="s">
        <v>126</v>
      </c>
      <c r="D1308" s="2" t="s">
        <v>141</v>
      </c>
      <c r="E1308" t="s">
        <v>139</v>
      </c>
      <c r="F1308">
        <v>30</v>
      </c>
    </row>
    <row r="1309" spans="1:7" x14ac:dyDescent="0.55000000000000004">
      <c r="A1309">
        <v>101</v>
      </c>
      <c r="B1309" t="str">
        <f t="shared" si="20"/>
        <v>101_0</v>
      </c>
      <c r="C1309" t="s">
        <v>126</v>
      </c>
      <c r="D1309" t="s">
        <v>142</v>
      </c>
      <c r="E1309" t="s">
        <v>139</v>
      </c>
      <c r="F1309">
        <v>0</v>
      </c>
    </row>
    <row r="1310" spans="1:7" x14ac:dyDescent="0.55000000000000004">
      <c r="A1310">
        <v>101</v>
      </c>
      <c r="B1310" t="str">
        <f t="shared" si="20"/>
        <v>101_0</v>
      </c>
      <c r="C1310" t="s">
        <v>126</v>
      </c>
      <c r="D1310" t="s">
        <v>143</v>
      </c>
      <c r="E1310" t="s">
        <v>131</v>
      </c>
      <c r="F1310">
        <v>0</v>
      </c>
    </row>
    <row r="1311" spans="1:7" x14ac:dyDescent="0.55000000000000004">
      <c r="A1311">
        <v>101</v>
      </c>
      <c r="B1311" t="str">
        <f t="shared" si="20"/>
        <v>101_0</v>
      </c>
      <c r="C1311" t="s">
        <v>126</v>
      </c>
      <c r="D1311" t="s">
        <v>144</v>
      </c>
      <c r="E1311" t="s">
        <v>139</v>
      </c>
      <c r="F1311">
        <v>0</v>
      </c>
    </row>
    <row r="1312" spans="1:7" x14ac:dyDescent="0.55000000000000004">
      <c r="A1312">
        <v>101</v>
      </c>
      <c r="B1312" t="str">
        <f t="shared" si="20"/>
        <v>101_0</v>
      </c>
      <c r="C1312" t="s">
        <v>126</v>
      </c>
      <c r="D1312" t="s">
        <v>145</v>
      </c>
      <c r="E1312" t="s">
        <v>139</v>
      </c>
      <c r="F1312">
        <v>0</v>
      </c>
    </row>
    <row r="1313" spans="1:6" x14ac:dyDescent="0.55000000000000004">
      <c r="A1313">
        <v>101</v>
      </c>
      <c r="B1313" t="str">
        <f t="shared" si="20"/>
        <v>101_0</v>
      </c>
      <c r="C1313" t="s">
        <v>126</v>
      </c>
      <c r="D1313" t="s">
        <v>146</v>
      </c>
      <c r="E1313" t="s">
        <v>139</v>
      </c>
      <c r="F1313">
        <v>0</v>
      </c>
    </row>
    <row r="1314" spans="1:6" x14ac:dyDescent="0.55000000000000004">
      <c r="A1314">
        <v>101</v>
      </c>
      <c r="B1314" t="str">
        <f t="shared" si="20"/>
        <v>101_0</v>
      </c>
      <c r="C1314" t="s">
        <v>126</v>
      </c>
      <c r="D1314" t="s">
        <v>147</v>
      </c>
      <c r="E1314" t="s">
        <v>139</v>
      </c>
      <c r="F1314">
        <v>0</v>
      </c>
    </row>
    <row r="1315" spans="1:6" x14ac:dyDescent="0.55000000000000004">
      <c r="A1315">
        <v>101</v>
      </c>
      <c r="B1315" t="str">
        <f t="shared" si="20"/>
        <v>101_0</v>
      </c>
      <c r="C1315" t="s">
        <v>126</v>
      </c>
      <c r="D1315" t="s">
        <v>148</v>
      </c>
      <c r="E1315" t="s">
        <v>139</v>
      </c>
      <c r="F1315">
        <v>20</v>
      </c>
    </row>
    <row r="1316" spans="1:6" x14ac:dyDescent="0.55000000000000004">
      <c r="A1316">
        <v>101</v>
      </c>
      <c r="B1316" t="str">
        <f t="shared" si="20"/>
        <v>101_0</v>
      </c>
      <c r="C1316" t="s">
        <v>126</v>
      </c>
      <c r="D1316" t="s">
        <v>149</v>
      </c>
      <c r="E1316" t="s">
        <v>139</v>
      </c>
      <c r="F1316">
        <v>0</v>
      </c>
    </row>
    <row r="1317" spans="1:6" x14ac:dyDescent="0.55000000000000004">
      <c r="A1317">
        <v>101</v>
      </c>
      <c r="B1317" t="str">
        <f t="shared" si="20"/>
        <v>101_0</v>
      </c>
      <c r="C1317" t="s">
        <v>126</v>
      </c>
      <c r="D1317" t="s">
        <v>150</v>
      </c>
      <c r="E1317" t="s">
        <v>139</v>
      </c>
      <c r="F1317">
        <v>80</v>
      </c>
    </row>
    <row r="1318" spans="1:6" x14ac:dyDescent="0.55000000000000004">
      <c r="A1318">
        <v>101</v>
      </c>
      <c r="B1318" t="str">
        <f t="shared" si="20"/>
        <v>101_0</v>
      </c>
      <c r="C1318" t="s">
        <v>126</v>
      </c>
      <c r="D1318" t="s">
        <v>151</v>
      </c>
      <c r="E1318" t="s">
        <v>139</v>
      </c>
      <c r="F1318">
        <v>0</v>
      </c>
    </row>
    <row r="1319" spans="1:6" x14ac:dyDescent="0.55000000000000004">
      <c r="A1319">
        <v>101</v>
      </c>
      <c r="B1319" t="str">
        <f t="shared" si="20"/>
        <v>101_0</v>
      </c>
      <c r="C1319" t="s">
        <v>126</v>
      </c>
      <c r="D1319" t="s">
        <v>152</v>
      </c>
      <c r="E1319" t="s">
        <v>153</v>
      </c>
    </row>
    <row r="1320" spans="1:6" x14ac:dyDescent="0.55000000000000004">
      <c r="A1320">
        <v>101</v>
      </c>
      <c r="B1320" t="str">
        <f t="shared" si="20"/>
        <v>101_0</v>
      </c>
      <c r="C1320" t="s">
        <v>154</v>
      </c>
      <c r="D1320" t="s">
        <v>155</v>
      </c>
      <c r="E1320" t="s">
        <v>156</v>
      </c>
      <c r="F1320">
        <v>16.899999999999999</v>
      </c>
    </row>
    <row r="1321" spans="1:6" x14ac:dyDescent="0.55000000000000004">
      <c r="A1321">
        <v>101</v>
      </c>
      <c r="B1321" t="str">
        <f t="shared" si="20"/>
        <v>101_0</v>
      </c>
      <c r="C1321" t="s">
        <v>154</v>
      </c>
      <c r="D1321" t="s">
        <v>157</v>
      </c>
      <c r="E1321" t="s">
        <v>158</v>
      </c>
      <c r="F1321">
        <v>9.4</v>
      </c>
    </row>
    <row r="1322" spans="1:6" x14ac:dyDescent="0.55000000000000004">
      <c r="A1322">
        <v>101</v>
      </c>
      <c r="B1322" t="str">
        <f t="shared" si="20"/>
        <v>101_0</v>
      </c>
      <c r="C1322" t="s">
        <v>154</v>
      </c>
      <c r="D1322" t="s">
        <v>159</v>
      </c>
      <c r="E1322" t="s">
        <v>139</v>
      </c>
      <c r="F1322">
        <v>97.1</v>
      </c>
    </row>
    <row r="1323" spans="1:6" x14ac:dyDescent="0.55000000000000004">
      <c r="A1323">
        <v>101</v>
      </c>
      <c r="B1323" t="str">
        <f t="shared" si="20"/>
        <v>101_0</v>
      </c>
      <c r="C1323" t="s">
        <v>154</v>
      </c>
      <c r="D1323" t="s">
        <v>160</v>
      </c>
      <c r="E1323" t="s">
        <v>161</v>
      </c>
      <c r="F1323">
        <v>135.80000000000001</v>
      </c>
    </row>
    <row r="1324" spans="1:6" x14ac:dyDescent="0.55000000000000004">
      <c r="A1324">
        <v>101</v>
      </c>
      <c r="B1324" t="str">
        <f t="shared" si="20"/>
        <v>101_0</v>
      </c>
      <c r="C1324" t="s">
        <v>154</v>
      </c>
      <c r="D1324" t="s">
        <v>162</v>
      </c>
      <c r="F1324">
        <v>7.75</v>
      </c>
    </row>
    <row r="1325" spans="1:6" x14ac:dyDescent="0.55000000000000004">
      <c r="A1325">
        <v>101</v>
      </c>
      <c r="B1325" t="str">
        <f t="shared" si="20"/>
        <v>101_0</v>
      </c>
      <c r="C1325" t="s">
        <v>163</v>
      </c>
      <c r="D1325" t="s">
        <v>164</v>
      </c>
      <c r="E1325" t="s">
        <v>139</v>
      </c>
      <c r="F1325">
        <v>40</v>
      </c>
    </row>
    <row r="1326" spans="1:6" x14ac:dyDescent="0.55000000000000004">
      <c r="A1326">
        <v>101</v>
      </c>
      <c r="B1326" t="str">
        <f t="shared" si="20"/>
        <v>101_0</v>
      </c>
      <c r="C1326" t="s">
        <v>163</v>
      </c>
      <c r="D1326" t="s">
        <v>165</v>
      </c>
    </row>
    <row r="1327" spans="1:6" x14ac:dyDescent="0.55000000000000004">
      <c r="A1327">
        <v>101</v>
      </c>
      <c r="B1327" t="str">
        <f t="shared" si="20"/>
        <v>101_0</v>
      </c>
      <c r="C1327" t="s">
        <v>163</v>
      </c>
      <c r="D1327" t="s">
        <v>166</v>
      </c>
      <c r="E1327" t="s">
        <v>139</v>
      </c>
      <c r="F1327">
        <v>10</v>
      </c>
    </row>
    <row r="1328" spans="1:6" x14ac:dyDescent="0.55000000000000004">
      <c r="A1328">
        <v>101</v>
      </c>
      <c r="B1328" t="str">
        <f t="shared" si="20"/>
        <v>101_0</v>
      </c>
      <c r="C1328" t="s">
        <v>163</v>
      </c>
      <c r="D1328" t="s">
        <v>167</v>
      </c>
    </row>
    <row r="1329" spans="1:7" x14ac:dyDescent="0.55000000000000004">
      <c r="A1329">
        <v>101</v>
      </c>
      <c r="B1329" t="str">
        <f t="shared" si="20"/>
        <v>101_0</v>
      </c>
      <c r="C1329" t="s">
        <v>163</v>
      </c>
      <c r="D1329" t="s">
        <v>168</v>
      </c>
      <c r="E1329" t="s">
        <v>131</v>
      </c>
      <c r="F1329">
        <v>1</v>
      </c>
    </row>
    <row r="1330" spans="1:7" x14ac:dyDescent="0.55000000000000004">
      <c r="A1330">
        <v>101</v>
      </c>
      <c r="B1330" t="str">
        <f t="shared" si="20"/>
        <v>101_0</v>
      </c>
      <c r="C1330" t="s">
        <v>163</v>
      </c>
      <c r="D1330" t="s">
        <v>169</v>
      </c>
    </row>
    <row r="1331" spans="1:7" x14ac:dyDescent="0.55000000000000004">
      <c r="A1331">
        <v>101</v>
      </c>
      <c r="B1331" t="str">
        <f t="shared" si="20"/>
        <v>101_0</v>
      </c>
      <c r="C1331" t="s">
        <v>163</v>
      </c>
      <c r="D1331" t="s">
        <v>170</v>
      </c>
      <c r="E1331" t="s">
        <v>139</v>
      </c>
      <c r="F1331">
        <v>20</v>
      </c>
      <c r="G1331" t="s">
        <v>194</v>
      </c>
    </row>
    <row r="1332" spans="1:7" x14ac:dyDescent="0.55000000000000004">
      <c r="A1332">
        <v>101</v>
      </c>
      <c r="B1332" t="str">
        <f t="shared" si="20"/>
        <v>101_0</v>
      </c>
      <c r="C1332" t="s">
        <v>163</v>
      </c>
      <c r="D1332" t="s">
        <v>171</v>
      </c>
    </row>
    <row r="1333" spans="1:7" x14ac:dyDescent="0.55000000000000004">
      <c r="A1333">
        <v>102</v>
      </c>
      <c r="B1333" t="str">
        <f t="shared" si="20"/>
        <v>102_0</v>
      </c>
      <c r="C1333" t="s">
        <v>126</v>
      </c>
      <c r="D1333" t="s">
        <v>127</v>
      </c>
      <c r="E1333" t="s">
        <v>128</v>
      </c>
      <c r="F1333" s="1"/>
      <c r="G1333" t="s">
        <v>129</v>
      </c>
    </row>
    <row r="1334" spans="1:7" x14ac:dyDescent="0.55000000000000004">
      <c r="A1334">
        <v>102</v>
      </c>
      <c r="B1334" t="str">
        <f t="shared" si="20"/>
        <v>102_0</v>
      </c>
      <c r="C1334" t="s">
        <v>126</v>
      </c>
      <c r="D1334" s="11" t="s">
        <v>130</v>
      </c>
      <c r="E1334" t="s">
        <v>131</v>
      </c>
      <c r="F1334">
        <v>1</v>
      </c>
    </row>
    <row r="1335" spans="1:7" x14ac:dyDescent="0.55000000000000004">
      <c r="A1335">
        <v>102</v>
      </c>
      <c r="B1335" t="str">
        <f t="shared" si="20"/>
        <v>102_0</v>
      </c>
      <c r="C1335" t="s">
        <v>126</v>
      </c>
      <c r="D1335" t="s">
        <v>132</v>
      </c>
      <c r="E1335" t="s">
        <v>133</v>
      </c>
    </row>
    <row r="1336" spans="1:7" x14ac:dyDescent="0.55000000000000004">
      <c r="A1336">
        <v>102</v>
      </c>
      <c r="B1336" t="str">
        <f t="shared" si="20"/>
        <v>102_0</v>
      </c>
      <c r="C1336" t="s">
        <v>126</v>
      </c>
      <c r="D1336" t="s">
        <v>134</v>
      </c>
      <c r="E1336" t="s">
        <v>133</v>
      </c>
      <c r="F1336">
        <v>2.9</v>
      </c>
    </row>
    <row r="1337" spans="1:7" x14ac:dyDescent="0.55000000000000004">
      <c r="A1337">
        <v>102</v>
      </c>
      <c r="B1337" t="str">
        <f t="shared" si="20"/>
        <v>102_0</v>
      </c>
      <c r="C1337" t="s">
        <v>126</v>
      </c>
      <c r="D1337" t="s">
        <v>135</v>
      </c>
      <c r="E1337" t="s">
        <v>136</v>
      </c>
      <c r="F1337">
        <f>F1336/10</f>
        <v>0.28999999999999998</v>
      </c>
      <c r="G1337" t="s">
        <v>137</v>
      </c>
    </row>
    <row r="1338" spans="1:7" x14ac:dyDescent="0.55000000000000004">
      <c r="A1338">
        <v>102</v>
      </c>
      <c r="B1338" t="str">
        <f t="shared" si="20"/>
        <v>102_0</v>
      </c>
      <c r="C1338" t="s">
        <v>126</v>
      </c>
      <c r="D1338" s="2" t="s">
        <v>138</v>
      </c>
      <c r="E1338" t="s">
        <v>139</v>
      </c>
      <c r="F1338">
        <v>100</v>
      </c>
    </row>
    <row r="1339" spans="1:7" x14ac:dyDescent="0.55000000000000004">
      <c r="A1339">
        <v>102</v>
      </c>
      <c r="B1339" t="str">
        <f t="shared" si="20"/>
        <v>102_0</v>
      </c>
      <c r="C1339" t="s">
        <v>126</v>
      </c>
      <c r="D1339" s="2" t="s">
        <v>140</v>
      </c>
    </row>
    <row r="1340" spans="1:7" x14ac:dyDescent="0.55000000000000004">
      <c r="A1340">
        <v>102</v>
      </c>
      <c r="B1340" t="str">
        <f t="shared" si="20"/>
        <v>102_0</v>
      </c>
      <c r="C1340" t="s">
        <v>126</v>
      </c>
      <c r="D1340" s="2" t="s">
        <v>141</v>
      </c>
      <c r="E1340" t="s">
        <v>139</v>
      </c>
      <c r="F1340">
        <v>100</v>
      </c>
    </row>
    <row r="1341" spans="1:7" x14ac:dyDescent="0.55000000000000004">
      <c r="A1341">
        <v>102</v>
      </c>
      <c r="B1341" t="str">
        <f t="shared" si="20"/>
        <v>102_0</v>
      </c>
      <c r="C1341" t="s">
        <v>126</v>
      </c>
      <c r="D1341" t="s">
        <v>142</v>
      </c>
      <c r="E1341" t="s">
        <v>139</v>
      </c>
      <c r="F1341">
        <v>0</v>
      </c>
    </row>
    <row r="1342" spans="1:7" x14ac:dyDescent="0.55000000000000004">
      <c r="A1342">
        <v>102</v>
      </c>
      <c r="B1342" t="str">
        <f t="shared" si="20"/>
        <v>102_0</v>
      </c>
      <c r="C1342" t="s">
        <v>126</v>
      </c>
      <c r="D1342" t="s">
        <v>143</v>
      </c>
      <c r="E1342" t="s">
        <v>131</v>
      </c>
      <c r="F1342">
        <v>0</v>
      </c>
    </row>
    <row r="1343" spans="1:7" x14ac:dyDescent="0.55000000000000004">
      <c r="A1343">
        <v>102</v>
      </c>
      <c r="B1343" t="str">
        <f t="shared" si="20"/>
        <v>102_0</v>
      </c>
      <c r="C1343" t="s">
        <v>126</v>
      </c>
      <c r="D1343" t="s">
        <v>144</v>
      </c>
      <c r="E1343" t="s">
        <v>139</v>
      </c>
      <c r="F1343">
        <v>0</v>
      </c>
    </row>
    <row r="1344" spans="1:7" x14ac:dyDescent="0.55000000000000004">
      <c r="A1344">
        <v>102</v>
      </c>
      <c r="B1344" t="str">
        <f t="shared" si="20"/>
        <v>102_0</v>
      </c>
      <c r="C1344" t="s">
        <v>126</v>
      </c>
      <c r="D1344" t="s">
        <v>145</v>
      </c>
      <c r="E1344" t="s">
        <v>139</v>
      </c>
      <c r="F1344">
        <v>80</v>
      </c>
    </row>
    <row r="1345" spans="1:6" x14ac:dyDescent="0.55000000000000004">
      <c r="A1345">
        <v>102</v>
      </c>
      <c r="B1345" t="str">
        <f t="shared" si="20"/>
        <v>102_0</v>
      </c>
      <c r="C1345" t="s">
        <v>126</v>
      </c>
      <c r="D1345" t="s">
        <v>146</v>
      </c>
      <c r="E1345" t="s">
        <v>139</v>
      </c>
      <c r="F1345">
        <v>0</v>
      </c>
    </row>
    <row r="1346" spans="1:6" x14ac:dyDescent="0.55000000000000004">
      <c r="A1346">
        <v>102</v>
      </c>
      <c r="B1346" t="str">
        <f t="shared" si="20"/>
        <v>102_0</v>
      </c>
      <c r="C1346" t="s">
        <v>126</v>
      </c>
      <c r="D1346" t="s">
        <v>147</v>
      </c>
      <c r="E1346" t="s">
        <v>139</v>
      </c>
      <c r="F1346">
        <v>0</v>
      </c>
    </row>
    <row r="1347" spans="1:6" x14ac:dyDescent="0.55000000000000004">
      <c r="A1347">
        <v>102</v>
      </c>
      <c r="B1347" t="str">
        <f t="shared" ref="B1347:B1410" si="21">A1347 &amp; "_0"</f>
        <v>102_0</v>
      </c>
      <c r="C1347" t="s">
        <v>126</v>
      </c>
      <c r="D1347" t="s">
        <v>148</v>
      </c>
      <c r="E1347" t="s">
        <v>139</v>
      </c>
      <c r="F1347">
        <v>20</v>
      </c>
    </row>
    <row r="1348" spans="1:6" x14ac:dyDescent="0.55000000000000004">
      <c r="A1348">
        <v>102</v>
      </c>
      <c r="B1348" t="str">
        <f t="shared" si="21"/>
        <v>102_0</v>
      </c>
      <c r="C1348" t="s">
        <v>126</v>
      </c>
      <c r="D1348" t="s">
        <v>149</v>
      </c>
      <c r="E1348" t="s">
        <v>139</v>
      </c>
      <c r="F1348">
        <v>0</v>
      </c>
    </row>
    <row r="1349" spans="1:6" x14ac:dyDescent="0.55000000000000004">
      <c r="A1349">
        <v>102</v>
      </c>
      <c r="B1349" t="str">
        <f t="shared" si="21"/>
        <v>102_0</v>
      </c>
      <c r="C1349" t="s">
        <v>126</v>
      </c>
      <c r="D1349" t="s">
        <v>150</v>
      </c>
      <c r="E1349" t="s">
        <v>139</v>
      </c>
      <c r="F1349">
        <v>0</v>
      </c>
    </row>
    <row r="1350" spans="1:6" x14ac:dyDescent="0.55000000000000004">
      <c r="A1350">
        <v>102</v>
      </c>
      <c r="B1350" t="str">
        <f t="shared" si="21"/>
        <v>102_0</v>
      </c>
      <c r="C1350" t="s">
        <v>126</v>
      </c>
      <c r="D1350" t="s">
        <v>151</v>
      </c>
      <c r="E1350" t="s">
        <v>139</v>
      </c>
      <c r="F1350">
        <v>0</v>
      </c>
    </row>
    <row r="1351" spans="1:6" x14ac:dyDescent="0.55000000000000004">
      <c r="A1351">
        <v>102</v>
      </c>
      <c r="B1351" t="str">
        <f t="shared" si="21"/>
        <v>102_0</v>
      </c>
      <c r="C1351" t="s">
        <v>126</v>
      </c>
      <c r="D1351" t="s">
        <v>152</v>
      </c>
      <c r="E1351" t="s">
        <v>153</v>
      </c>
    </row>
    <row r="1352" spans="1:6" x14ac:dyDescent="0.55000000000000004">
      <c r="A1352">
        <v>102</v>
      </c>
      <c r="B1352" t="str">
        <f t="shared" si="21"/>
        <v>102_0</v>
      </c>
      <c r="C1352" t="s">
        <v>154</v>
      </c>
      <c r="D1352" t="s">
        <v>155</v>
      </c>
      <c r="E1352" t="s">
        <v>156</v>
      </c>
      <c r="F1352">
        <v>16.600000000000001</v>
      </c>
    </row>
    <row r="1353" spans="1:6" x14ac:dyDescent="0.55000000000000004">
      <c r="A1353">
        <v>102</v>
      </c>
      <c r="B1353" t="str">
        <f t="shared" si="21"/>
        <v>102_0</v>
      </c>
      <c r="C1353" t="s">
        <v>154</v>
      </c>
      <c r="D1353" t="s">
        <v>157</v>
      </c>
      <c r="E1353" t="s">
        <v>158</v>
      </c>
      <c r="F1353">
        <v>9.59</v>
      </c>
    </row>
    <row r="1354" spans="1:6" x14ac:dyDescent="0.55000000000000004">
      <c r="A1354">
        <v>102</v>
      </c>
      <c r="B1354" t="str">
        <f t="shared" si="21"/>
        <v>102_0</v>
      </c>
      <c r="C1354" t="s">
        <v>154</v>
      </c>
      <c r="D1354" t="s">
        <v>159</v>
      </c>
      <c r="E1354" t="s">
        <v>139</v>
      </c>
      <c r="F1354">
        <v>98.4</v>
      </c>
    </row>
    <row r="1355" spans="1:6" x14ac:dyDescent="0.55000000000000004">
      <c r="A1355">
        <v>102</v>
      </c>
      <c r="B1355" t="str">
        <f t="shared" si="21"/>
        <v>102_0</v>
      </c>
      <c r="C1355" t="s">
        <v>154</v>
      </c>
      <c r="D1355" t="s">
        <v>160</v>
      </c>
      <c r="E1355" t="s">
        <v>161</v>
      </c>
      <c r="F1355">
        <v>133</v>
      </c>
    </row>
    <row r="1356" spans="1:6" x14ac:dyDescent="0.55000000000000004">
      <c r="A1356">
        <v>102</v>
      </c>
      <c r="B1356" t="str">
        <f t="shared" si="21"/>
        <v>102_0</v>
      </c>
      <c r="C1356" t="s">
        <v>154</v>
      </c>
      <c r="D1356" t="s">
        <v>162</v>
      </c>
      <c r="F1356">
        <v>7.82</v>
      </c>
    </row>
    <row r="1357" spans="1:6" x14ac:dyDescent="0.55000000000000004">
      <c r="A1357">
        <v>102</v>
      </c>
      <c r="B1357" t="str">
        <f t="shared" si="21"/>
        <v>102_0</v>
      </c>
      <c r="C1357" t="s">
        <v>163</v>
      </c>
      <c r="D1357" t="s">
        <v>164</v>
      </c>
      <c r="E1357" t="s">
        <v>139</v>
      </c>
      <c r="F1357">
        <v>0</v>
      </c>
    </row>
    <row r="1358" spans="1:6" x14ac:dyDescent="0.55000000000000004">
      <c r="A1358">
        <v>102</v>
      </c>
      <c r="B1358" t="str">
        <f t="shared" si="21"/>
        <v>102_0</v>
      </c>
      <c r="C1358" t="s">
        <v>163</v>
      </c>
      <c r="D1358" t="s">
        <v>165</v>
      </c>
    </row>
    <row r="1359" spans="1:6" x14ac:dyDescent="0.55000000000000004">
      <c r="A1359">
        <v>102</v>
      </c>
      <c r="B1359" t="str">
        <f t="shared" si="21"/>
        <v>102_0</v>
      </c>
      <c r="C1359" t="s">
        <v>163</v>
      </c>
      <c r="D1359" t="s">
        <v>166</v>
      </c>
      <c r="E1359" t="s">
        <v>139</v>
      </c>
      <c r="F1359">
        <v>10</v>
      </c>
    </row>
    <row r="1360" spans="1:6" x14ac:dyDescent="0.55000000000000004">
      <c r="A1360">
        <v>102</v>
      </c>
      <c r="B1360" t="str">
        <f t="shared" si="21"/>
        <v>102_0</v>
      </c>
      <c r="C1360" t="s">
        <v>163</v>
      </c>
      <c r="D1360" t="s">
        <v>167</v>
      </c>
    </row>
    <row r="1361" spans="1:7" x14ac:dyDescent="0.55000000000000004">
      <c r="A1361">
        <v>102</v>
      </c>
      <c r="B1361" t="str">
        <f t="shared" si="21"/>
        <v>102_0</v>
      </c>
      <c r="C1361" t="s">
        <v>163</v>
      </c>
      <c r="D1361" t="s">
        <v>168</v>
      </c>
      <c r="E1361" t="s">
        <v>131</v>
      </c>
      <c r="F1361">
        <v>0</v>
      </c>
    </row>
    <row r="1362" spans="1:7" x14ac:dyDescent="0.55000000000000004">
      <c r="A1362">
        <v>102</v>
      </c>
      <c r="B1362" t="str">
        <f t="shared" si="21"/>
        <v>102_0</v>
      </c>
      <c r="C1362" t="s">
        <v>163</v>
      </c>
      <c r="D1362" t="s">
        <v>169</v>
      </c>
    </row>
    <row r="1363" spans="1:7" x14ac:dyDescent="0.55000000000000004">
      <c r="A1363">
        <v>102</v>
      </c>
      <c r="B1363" t="str">
        <f t="shared" si="21"/>
        <v>102_0</v>
      </c>
      <c r="C1363" t="s">
        <v>163</v>
      </c>
      <c r="D1363" t="s">
        <v>170</v>
      </c>
      <c r="E1363" t="s">
        <v>139</v>
      </c>
      <c r="F1363">
        <v>10</v>
      </c>
    </row>
    <row r="1364" spans="1:7" x14ac:dyDescent="0.55000000000000004">
      <c r="A1364">
        <v>102</v>
      </c>
      <c r="B1364" t="str">
        <f t="shared" si="21"/>
        <v>102_0</v>
      </c>
      <c r="C1364" t="s">
        <v>163</v>
      </c>
      <c r="D1364" t="s">
        <v>171</v>
      </c>
    </row>
    <row r="1365" spans="1:7" x14ac:dyDescent="0.55000000000000004">
      <c r="A1365">
        <v>103</v>
      </c>
      <c r="B1365" t="str">
        <f t="shared" si="21"/>
        <v>103_0</v>
      </c>
      <c r="C1365" t="s">
        <v>126</v>
      </c>
      <c r="D1365" t="s">
        <v>127</v>
      </c>
      <c r="E1365" t="s">
        <v>128</v>
      </c>
      <c r="F1365" s="1"/>
      <c r="G1365" t="s">
        <v>129</v>
      </c>
    </row>
    <row r="1366" spans="1:7" x14ac:dyDescent="0.55000000000000004">
      <c r="A1366">
        <v>103</v>
      </c>
      <c r="B1366" t="str">
        <f t="shared" si="21"/>
        <v>103_0</v>
      </c>
      <c r="C1366" t="s">
        <v>126</v>
      </c>
      <c r="D1366" s="11" t="s">
        <v>130</v>
      </c>
      <c r="E1366" t="s">
        <v>131</v>
      </c>
      <c r="F1366">
        <v>1</v>
      </c>
    </row>
    <row r="1367" spans="1:7" x14ac:dyDescent="0.55000000000000004">
      <c r="A1367">
        <v>103</v>
      </c>
      <c r="B1367" t="str">
        <f t="shared" si="21"/>
        <v>103_0</v>
      </c>
      <c r="C1367" t="s">
        <v>126</v>
      </c>
      <c r="D1367" t="s">
        <v>132</v>
      </c>
      <c r="E1367" t="s">
        <v>133</v>
      </c>
    </row>
    <row r="1368" spans="1:7" x14ac:dyDescent="0.55000000000000004">
      <c r="A1368">
        <v>103</v>
      </c>
      <c r="B1368" t="str">
        <f t="shared" si="21"/>
        <v>103_0</v>
      </c>
      <c r="C1368" t="s">
        <v>126</v>
      </c>
      <c r="D1368" t="s">
        <v>134</v>
      </c>
      <c r="E1368" t="s">
        <v>133</v>
      </c>
      <c r="F1368">
        <v>1.7</v>
      </c>
    </row>
    <row r="1369" spans="1:7" x14ac:dyDescent="0.55000000000000004">
      <c r="A1369">
        <v>103</v>
      </c>
      <c r="B1369" t="str">
        <f t="shared" si="21"/>
        <v>103_0</v>
      </c>
      <c r="C1369" t="s">
        <v>126</v>
      </c>
      <c r="D1369" t="s">
        <v>135</v>
      </c>
      <c r="E1369" t="s">
        <v>136</v>
      </c>
      <c r="F1369">
        <f>F1368/10</f>
        <v>0.16999999999999998</v>
      </c>
      <c r="G1369" t="s">
        <v>137</v>
      </c>
    </row>
    <row r="1370" spans="1:7" x14ac:dyDescent="0.55000000000000004">
      <c r="A1370">
        <v>103</v>
      </c>
      <c r="B1370" t="str">
        <f t="shared" si="21"/>
        <v>103_0</v>
      </c>
      <c r="C1370" t="s">
        <v>126</v>
      </c>
      <c r="D1370" s="2" t="s">
        <v>138</v>
      </c>
      <c r="E1370" t="s">
        <v>139</v>
      </c>
      <c r="F1370">
        <v>0</v>
      </c>
    </row>
    <row r="1371" spans="1:7" x14ac:dyDescent="0.55000000000000004">
      <c r="A1371">
        <v>103</v>
      </c>
      <c r="B1371" t="str">
        <f t="shared" si="21"/>
        <v>103_0</v>
      </c>
      <c r="C1371" t="s">
        <v>126</v>
      </c>
      <c r="D1371" s="2" t="s">
        <v>140</v>
      </c>
    </row>
    <row r="1372" spans="1:7" x14ac:dyDescent="0.55000000000000004">
      <c r="A1372">
        <v>103</v>
      </c>
      <c r="B1372" t="str">
        <f t="shared" si="21"/>
        <v>103_0</v>
      </c>
      <c r="C1372" t="s">
        <v>126</v>
      </c>
      <c r="D1372" s="2" t="s">
        <v>141</v>
      </c>
      <c r="E1372" t="s">
        <v>139</v>
      </c>
      <c r="F1372">
        <v>0</v>
      </c>
    </row>
    <row r="1373" spans="1:7" x14ac:dyDescent="0.55000000000000004">
      <c r="A1373">
        <v>103</v>
      </c>
      <c r="B1373" t="str">
        <f t="shared" si="21"/>
        <v>103_0</v>
      </c>
      <c r="C1373" t="s">
        <v>126</v>
      </c>
      <c r="D1373" t="s">
        <v>142</v>
      </c>
      <c r="E1373" t="s">
        <v>139</v>
      </c>
      <c r="F1373">
        <v>0</v>
      </c>
    </row>
    <row r="1374" spans="1:7" x14ac:dyDescent="0.55000000000000004">
      <c r="A1374">
        <v>103</v>
      </c>
      <c r="B1374" t="str">
        <f t="shared" si="21"/>
        <v>103_0</v>
      </c>
      <c r="C1374" t="s">
        <v>126</v>
      </c>
      <c r="D1374" t="s">
        <v>143</v>
      </c>
      <c r="E1374" t="s">
        <v>131</v>
      </c>
      <c r="F1374">
        <v>0</v>
      </c>
    </row>
    <row r="1375" spans="1:7" x14ac:dyDescent="0.55000000000000004">
      <c r="A1375">
        <v>103</v>
      </c>
      <c r="B1375" t="str">
        <f t="shared" si="21"/>
        <v>103_0</v>
      </c>
      <c r="C1375" t="s">
        <v>126</v>
      </c>
      <c r="D1375" t="s">
        <v>144</v>
      </c>
      <c r="E1375" t="s">
        <v>139</v>
      </c>
      <c r="F1375">
        <v>0</v>
      </c>
    </row>
    <row r="1376" spans="1:7" x14ac:dyDescent="0.55000000000000004">
      <c r="A1376">
        <v>103</v>
      </c>
      <c r="B1376" t="str">
        <f t="shared" si="21"/>
        <v>103_0</v>
      </c>
      <c r="C1376" t="s">
        <v>126</v>
      </c>
      <c r="D1376" t="s">
        <v>145</v>
      </c>
      <c r="E1376" t="s">
        <v>139</v>
      </c>
      <c r="F1376">
        <v>5</v>
      </c>
    </row>
    <row r="1377" spans="1:7" x14ac:dyDescent="0.55000000000000004">
      <c r="A1377">
        <v>103</v>
      </c>
      <c r="B1377" t="str">
        <f t="shared" si="21"/>
        <v>103_0</v>
      </c>
      <c r="C1377" t="s">
        <v>126</v>
      </c>
      <c r="D1377" t="s">
        <v>146</v>
      </c>
      <c r="E1377" t="s">
        <v>139</v>
      </c>
      <c r="F1377">
        <v>0</v>
      </c>
    </row>
    <row r="1378" spans="1:7" x14ac:dyDescent="0.55000000000000004">
      <c r="A1378">
        <v>103</v>
      </c>
      <c r="B1378" t="str">
        <f t="shared" si="21"/>
        <v>103_0</v>
      </c>
      <c r="C1378" t="s">
        <v>126</v>
      </c>
      <c r="D1378" t="s">
        <v>147</v>
      </c>
      <c r="E1378" t="s">
        <v>139</v>
      </c>
      <c r="F1378">
        <v>45</v>
      </c>
      <c r="G1378" t="s">
        <v>195</v>
      </c>
    </row>
    <row r="1379" spans="1:7" x14ac:dyDescent="0.55000000000000004">
      <c r="A1379">
        <v>103</v>
      </c>
      <c r="B1379" t="str">
        <f t="shared" si="21"/>
        <v>103_0</v>
      </c>
      <c r="C1379" t="s">
        <v>126</v>
      </c>
      <c r="D1379" t="s">
        <v>148</v>
      </c>
      <c r="E1379" t="s">
        <v>139</v>
      </c>
      <c r="F1379">
        <v>50</v>
      </c>
    </row>
    <row r="1380" spans="1:7" x14ac:dyDescent="0.55000000000000004">
      <c r="A1380">
        <v>103</v>
      </c>
      <c r="B1380" t="str">
        <f t="shared" si="21"/>
        <v>103_0</v>
      </c>
      <c r="C1380" t="s">
        <v>126</v>
      </c>
      <c r="D1380" t="s">
        <v>149</v>
      </c>
      <c r="E1380" t="s">
        <v>139</v>
      </c>
      <c r="F1380">
        <v>0</v>
      </c>
    </row>
    <row r="1381" spans="1:7" x14ac:dyDescent="0.55000000000000004">
      <c r="A1381">
        <v>103</v>
      </c>
      <c r="B1381" t="str">
        <f t="shared" si="21"/>
        <v>103_0</v>
      </c>
      <c r="C1381" t="s">
        <v>126</v>
      </c>
      <c r="D1381" t="s">
        <v>150</v>
      </c>
      <c r="E1381" t="s">
        <v>139</v>
      </c>
      <c r="F1381">
        <v>0</v>
      </c>
    </row>
    <row r="1382" spans="1:7" x14ac:dyDescent="0.55000000000000004">
      <c r="A1382">
        <v>103</v>
      </c>
      <c r="B1382" t="str">
        <f t="shared" si="21"/>
        <v>103_0</v>
      </c>
      <c r="C1382" t="s">
        <v>126</v>
      </c>
      <c r="D1382" t="s">
        <v>151</v>
      </c>
      <c r="E1382" t="s">
        <v>139</v>
      </c>
      <c r="F1382">
        <v>0</v>
      </c>
    </row>
    <row r="1383" spans="1:7" x14ac:dyDescent="0.55000000000000004">
      <c r="A1383">
        <v>103</v>
      </c>
      <c r="B1383" t="str">
        <f t="shared" si="21"/>
        <v>103_0</v>
      </c>
      <c r="C1383" t="s">
        <v>126</v>
      </c>
      <c r="D1383" t="s">
        <v>152</v>
      </c>
      <c r="E1383" t="s">
        <v>153</v>
      </c>
    </row>
    <row r="1384" spans="1:7" x14ac:dyDescent="0.55000000000000004">
      <c r="A1384">
        <v>103</v>
      </c>
      <c r="B1384" t="str">
        <f t="shared" si="21"/>
        <v>103_0</v>
      </c>
      <c r="C1384" t="s">
        <v>154</v>
      </c>
      <c r="D1384" t="s">
        <v>155</v>
      </c>
      <c r="E1384" t="s">
        <v>156</v>
      </c>
      <c r="F1384">
        <v>17</v>
      </c>
    </row>
    <row r="1385" spans="1:7" x14ac:dyDescent="0.55000000000000004">
      <c r="A1385">
        <v>103</v>
      </c>
      <c r="B1385" t="str">
        <f t="shared" si="21"/>
        <v>103_0</v>
      </c>
      <c r="C1385" t="s">
        <v>154</v>
      </c>
      <c r="D1385" t="s">
        <v>157</v>
      </c>
      <c r="E1385" t="s">
        <v>158</v>
      </c>
      <c r="F1385">
        <v>9.91</v>
      </c>
    </row>
    <row r="1386" spans="1:7" x14ac:dyDescent="0.55000000000000004">
      <c r="A1386">
        <v>103</v>
      </c>
      <c r="B1386" t="str">
        <f t="shared" si="21"/>
        <v>103_0</v>
      </c>
      <c r="C1386" t="s">
        <v>154</v>
      </c>
      <c r="D1386" t="s">
        <v>159</v>
      </c>
      <c r="E1386" t="s">
        <v>139</v>
      </c>
      <c r="F1386">
        <v>102.5</v>
      </c>
    </row>
    <row r="1387" spans="1:7" x14ac:dyDescent="0.55000000000000004">
      <c r="A1387">
        <v>103</v>
      </c>
      <c r="B1387" t="str">
        <f t="shared" si="21"/>
        <v>103_0</v>
      </c>
      <c r="C1387" t="s">
        <v>154</v>
      </c>
      <c r="D1387" t="s">
        <v>160</v>
      </c>
      <c r="E1387" t="s">
        <v>161</v>
      </c>
      <c r="F1387">
        <v>130.4</v>
      </c>
    </row>
    <row r="1388" spans="1:7" x14ac:dyDescent="0.55000000000000004">
      <c r="A1388">
        <v>103</v>
      </c>
      <c r="B1388" t="str">
        <f t="shared" si="21"/>
        <v>103_0</v>
      </c>
      <c r="C1388" t="s">
        <v>154</v>
      </c>
      <c r="D1388" t="s">
        <v>162</v>
      </c>
      <c r="F1388">
        <v>7.61</v>
      </c>
    </row>
    <row r="1389" spans="1:7" x14ac:dyDescent="0.55000000000000004">
      <c r="A1389">
        <v>103</v>
      </c>
      <c r="B1389" t="str">
        <f t="shared" si="21"/>
        <v>103_0</v>
      </c>
      <c r="C1389" t="s">
        <v>163</v>
      </c>
      <c r="D1389" t="s">
        <v>164</v>
      </c>
      <c r="E1389" t="s">
        <v>139</v>
      </c>
      <c r="F1389">
        <v>0</v>
      </c>
    </row>
    <row r="1390" spans="1:7" x14ac:dyDescent="0.55000000000000004">
      <c r="A1390">
        <v>103</v>
      </c>
      <c r="B1390" t="str">
        <f t="shared" si="21"/>
        <v>103_0</v>
      </c>
      <c r="C1390" t="s">
        <v>163</v>
      </c>
      <c r="D1390" t="s">
        <v>165</v>
      </c>
    </row>
    <row r="1391" spans="1:7" x14ac:dyDescent="0.55000000000000004">
      <c r="A1391">
        <v>103</v>
      </c>
      <c r="B1391" t="str">
        <f t="shared" si="21"/>
        <v>103_0</v>
      </c>
      <c r="C1391" t="s">
        <v>163</v>
      </c>
      <c r="D1391" t="s">
        <v>166</v>
      </c>
      <c r="E1391" t="s">
        <v>139</v>
      </c>
      <c r="F1391">
        <v>0</v>
      </c>
    </row>
    <row r="1392" spans="1:7" x14ac:dyDescent="0.55000000000000004">
      <c r="A1392">
        <v>103</v>
      </c>
      <c r="B1392" t="str">
        <f t="shared" si="21"/>
        <v>103_0</v>
      </c>
      <c r="C1392" t="s">
        <v>163</v>
      </c>
      <c r="D1392" t="s">
        <v>167</v>
      </c>
    </row>
    <row r="1393" spans="1:7" x14ac:dyDescent="0.55000000000000004">
      <c r="A1393">
        <v>103</v>
      </c>
      <c r="B1393" t="str">
        <f t="shared" si="21"/>
        <v>103_0</v>
      </c>
      <c r="C1393" t="s">
        <v>163</v>
      </c>
      <c r="D1393" t="s">
        <v>168</v>
      </c>
      <c r="E1393" t="s">
        <v>131</v>
      </c>
      <c r="F1393">
        <v>0</v>
      </c>
    </row>
    <row r="1394" spans="1:7" x14ac:dyDescent="0.55000000000000004">
      <c r="A1394">
        <v>103</v>
      </c>
      <c r="B1394" t="str">
        <f t="shared" si="21"/>
        <v>103_0</v>
      </c>
      <c r="C1394" t="s">
        <v>163</v>
      </c>
      <c r="D1394" t="s">
        <v>169</v>
      </c>
    </row>
    <row r="1395" spans="1:7" x14ac:dyDescent="0.55000000000000004">
      <c r="A1395">
        <v>103</v>
      </c>
      <c r="B1395" t="str">
        <f t="shared" si="21"/>
        <v>103_0</v>
      </c>
      <c r="C1395" t="s">
        <v>163</v>
      </c>
      <c r="D1395" t="s">
        <v>170</v>
      </c>
      <c r="E1395" t="s">
        <v>139</v>
      </c>
      <c r="F1395">
        <v>3</v>
      </c>
    </row>
    <row r="1396" spans="1:7" x14ac:dyDescent="0.55000000000000004">
      <c r="A1396">
        <v>103</v>
      </c>
      <c r="B1396" t="str">
        <f t="shared" si="21"/>
        <v>103_0</v>
      </c>
      <c r="C1396" t="s">
        <v>163</v>
      </c>
      <c r="D1396" t="s">
        <v>171</v>
      </c>
    </row>
    <row r="1397" spans="1:7" x14ac:dyDescent="0.55000000000000004">
      <c r="A1397">
        <v>104</v>
      </c>
      <c r="B1397" t="str">
        <f t="shared" si="21"/>
        <v>104_0</v>
      </c>
      <c r="C1397" t="s">
        <v>126</v>
      </c>
      <c r="D1397" t="s">
        <v>127</v>
      </c>
      <c r="E1397" t="s">
        <v>128</v>
      </c>
      <c r="F1397" s="1"/>
      <c r="G1397" t="s">
        <v>129</v>
      </c>
    </row>
    <row r="1398" spans="1:7" x14ac:dyDescent="0.55000000000000004">
      <c r="A1398">
        <v>104</v>
      </c>
      <c r="B1398" t="str">
        <f t="shared" si="21"/>
        <v>104_0</v>
      </c>
      <c r="C1398" t="s">
        <v>126</v>
      </c>
      <c r="D1398" s="11" t="s">
        <v>130</v>
      </c>
      <c r="E1398" t="s">
        <v>131</v>
      </c>
      <c r="F1398">
        <v>1</v>
      </c>
    </row>
    <row r="1399" spans="1:7" x14ac:dyDescent="0.55000000000000004">
      <c r="A1399">
        <v>104</v>
      </c>
      <c r="B1399" t="str">
        <f t="shared" si="21"/>
        <v>104_0</v>
      </c>
      <c r="C1399" t="s">
        <v>126</v>
      </c>
      <c r="D1399" t="s">
        <v>132</v>
      </c>
      <c r="E1399" t="s">
        <v>133</v>
      </c>
    </row>
    <row r="1400" spans="1:7" x14ac:dyDescent="0.55000000000000004">
      <c r="A1400">
        <v>104</v>
      </c>
      <c r="B1400" t="str">
        <f t="shared" si="21"/>
        <v>104_0</v>
      </c>
      <c r="C1400" t="s">
        <v>126</v>
      </c>
      <c r="D1400" t="s">
        <v>134</v>
      </c>
      <c r="E1400" t="s">
        <v>133</v>
      </c>
      <c r="F1400">
        <v>3</v>
      </c>
    </row>
    <row r="1401" spans="1:7" x14ac:dyDescent="0.55000000000000004">
      <c r="A1401">
        <v>104</v>
      </c>
      <c r="B1401" t="str">
        <f t="shared" si="21"/>
        <v>104_0</v>
      </c>
      <c r="C1401" t="s">
        <v>126</v>
      </c>
      <c r="D1401" t="s">
        <v>135</v>
      </c>
      <c r="E1401" t="s">
        <v>136</v>
      </c>
      <c r="F1401">
        <f>F1400/10</f>
        <v>0.3</v>
      </c>
      <c r="G1401" t="s">
        <v>137</v>
      </c>
    </row>
    <row r="1402" spans="1:7" x14ac:dyDescent="0.55000000000000004">
      <c r="A1402">
        <v>104</v>
      </c>
      <c r="B1402" t="str">
        <f t="shared" si="21"/>
        <v>104_0</v>
      </c>
      <c r="C1402" t="s">
        <v>126</v>
      </c>
      <c r="D1402" s="2" t="s">
        <v>138</v>
      </c>
      <c r="E1402" t="s">
        <v>139</v>
      </c>
      <c r="F1402">
        <v>100</v>
      </c>
    </row>
    <row r="1403" spans="1:7" x14ac:dyDescent="0.55000000000000004">
      <c r="A1403">
        <v>104</v>
      </c>
      <c r="B1403" t="str">
        <f t="shared" si="21"/>
        <v>104_0</v>
      </c>
      <c r="C1403" t="s">
        <v>126</v>
      </c>
      <c r="D1403" s="2" t="s">
        <v>140</v>
      </c>
    </row>
    <row r="1404" spans="1:7" x14ac:dyDescent="0.55000000000000004">
      <c r="A1404">
        <v>104</v>
      </c>
      <c r="B1404" t="str">
        <f t="shared" si="21"/>
        <v>104_0</v>
      </c>
      <c r="C1404" t="s">
        <v>126</v>
      </c>
      <c r="D1404" s="2" t="s">
        <v>141</v>
      </c>
      <c r="E1404" t="s">
        <v>139</v>
      </c>
      <c r="F1404">
        <v>20</v>
      </c>
    </row>
    <row r="1405" spans="1:7" x14ac:dyDescent="0.55000000000000004">
      <c r="A1405">
        <v>104</v>
      </c>
      <c r="B1405" t="str">
        <f t="shared" si="21"/>
        <v>104_0</v>
      </c>
      <c r="C1405" t="s">
        <v>126</v>
      </c>
      <c r="D1405" t="s">
        <v>142</v>
      </c>
      <c r="E1405" t="s">
        <v>139</v>
      </c>
      <c r="F1405">
        <v>0</v>
      </c>
    </row>
    <row r="1406" spans="1:7" x14ac:dyDescent="0.55000000000000004">
      <c r="A1406">
        <v>104</v>
      </c>
      <c r="B1406" t="str">
        <f t="shared" si="21"/>
        <v>104_0</v>
      </c>
      <c r="C1406" t="s">
        <v>126</v>
      </c>
      <c r="D1406" t="s">
        <v>143</v>
      </c>
      <c r="E1406" t="s">
        <v>131</v>
      </c>
      <c r="F1406">
        <v>0</v>
      </c>
    </row>
    <row r="1407" spans="1:7" x14ac:dyDescent="0.55000000000000004">
      <c r="A1407">
        <v>104</v>
      </c>
      <c r="B1407" t="str">
        <f t="shared" si="21"/>
        <v>104_0</v>
      </c>
      <c r="C1407" t="s">
        <v>126</v>
      </c>
      <c r="D1407" t="s">
        <v>144</v>
      </c>
      <c r="E1407" t="s">
        <v>139</v>
      </c>
      <c r="F1407">
        <v>0</v>
      </c>
    </row>
    <row r="1408" spans="1:7" x14ac:dyDescent="0.55000000000000004">
      <c r="A1408">
        <v>104</v>
      </c>
      <c r="B1408" t="str">
        <f t="shared" si="21"/>
        <v>104_0</v>
      </c>
      <c r="C1408" t="s">
        <v>126</v>
      </c>
      <c r="D1408" t="s">
        <v>145</v>
      </c>
      <c r="E1408" t="s">
        <v>139</v>
      </c>
      <c r="F1408">
        <v>0</v>
      </c>
    </row>
    <row r="1409" spans="1:6" x14ac:dyDescent="0.55000000000000004">
      <c r="A1409">
        <v>104</v>
      </c>
      <c r="B1409" t="str">
        <f t="shared" si="21"/>
        <v>104_0</v>
      </c>
      <c r="C1409" t="s">
        <v>126</v>
      </c>
      <c r="D1409" t="s">
        <v>146</v>
      </c>
      <c r="E1409" t="s">
        <v>139</v>
      </c>
      <c r="F1409">
        <v>0</v>
      </c>
    </row>
    <row r="1410" spans="1:6" x14ac:dyDescent="0.55000000000000004">
      <c r="A1410">
        <v>104</v>
      </c>
      <c r="B1410" t="str">
        <f t="shared" si="21"/>
        <v>104_0</v>
      </c>
      <c r="C1410" t="s">
        <v>126</v>
      </c>
      <c r="D1410" t="s">
        <v>147</v>
      </c>
      <c r="E1410" t="s">
        <v>139</v>
      </c>
      <c r="F1410">
        <v>0</v>
      </c>
    </row>
    <row r="1411" spans="1:6" x14ac:dyDescent="0.55000000000000004">
      <c r="A1411">
        <v>104</v>
      </c>
      <c r="B1411" t="str">
        <f t="shared" ref="B1411:B1474" si="22">A1411 &amp; "_0"</f>
        <v>104_0</v>
      </c>
      <c r="C1411" t="s">
        <v>126</v>
      </c>
      <c r="D1411" t="s">
        <v>148</v>
      </c>
      <c r="E1411" t="s">
        <v>139</v>
      </c>
      <c r="F1411">
        <v>0</v>
      </c>
    </row>
    <row r="1412" spans="1:6" x14ac:dyDescent="0.55000000000000004">
      <c r="A1412">
        <v>104</v>
      </c>
      <c r="B1412" t="str">
        <f t="shared" si="22"/>
        <v>104_0</v>
      </c>
      <c r="C1412" t="s">
        <v>126</v>
      </c>
      <c r="D1412" t="s">
        <v>149</v>
      </c>
      <c r="E1412" t="s">
        <v>139</v>
      </c>
      <c r="F1412">
        <v>0</v>
      </c>
    </row>
    <row r="1413" spans="1:6" x14ac:dyDescent="0.55000000000000004">
      <c r="A1413">
        <v>104</v>
      </c>
      <c r="B1413" t="str">
        <f t="shared" si="22"/>
        <v>104_0</v>
      </c>
      <c r="C1413" t="s">
        <v>126</v>
      </c>
      <c r="D1413" t="s">
        <v>150</v>
      </c>
      <c r="E1413" t="s">
        <v>139</v>
      </c>
      <c r="F1413">
        <v>100</v>
      </c>
    </row>
    <row r="1414" spans="1:6" x14ac:dyDescent="0.55000000000000004">
      <c r="A1414">
        <v>104</v>
      </c>
      <c r="B1414" t="str">
        <f t="shared" si="22"/>
        <v>104_0</v>
      </c>
      <c r="C1414" t="s">
        <v>126</v>
      </c>
      <c r="D1414" t="s">
        <v>151</v>
      </c>
      <c r="E1414" t="s">
        <v>139</v>
      </c>
      <c r="F1414">
        <v>0</v>
      </c>
    </row>
    <row r="1415" spans="1:6" x14ac:dyDescent="0.55000000000000004">
      <c r="A1415">
        <v>104</v>
      </c>
      <c r="B1415" t="str">
        <f t="shared" si="22"/>
        <v>104_0</v>
      </c>
      <c r="C1415" t="s">
        <v>126</v>
      </c>
      <c r="D1415" t="s">
        <v>152</v>
      </c>
      <c r="E1415" t="s">
        <v>153</v>
      </c>
    </row>
    <row r="1416" spans="1:6" x14ac:dyDescent="0.55000000000000004">
      <c r="A1416">
        <v>104</v>
      </c>
      <c r="B1416" t="str">
        <f t="shared" si="22"/>
        <v>104_0</v>
      </c>
      <c r="C1416" t="s">
        <v>154</v>
      </c>
      <c r="D1416" t="s">
        <v>155</v>
      </c>
      <c r="E1416" t="s">
        <v>156</v>
      </c>
      <c r="F1416">
        <v>18.100000000000001</v>
      </c>
    </row>
    <row r="1417" spans="1:6" x14ac:dyDescent="0.55000000000000004">
      <c r="A1417">
        <v>104</v>
      </c>
      <c r="B1417" t="str">
        <f t="shared" si="22"/>
        <v>104_0</v>
      </c>
      <c r="C1417" t="s">
        <v>154</v>
      </c>
      <c r="D1417" t="s">
        <v>157</v>
      </c>
      <c r="E1417" t="s">
        <v>158</v>
      </c>
      <c r="F1417">
        <v>9.61</v>
      </c>
    </row>
    <row r="1418" spans="1:6" x14ac:dyDescent="0.55000000000000004">
      <c r="A1418">
        <v>104</v>
      </c>
      <c r="B1418" t="str">
        <f t="shared" si="22"/>
        <v>104_0</v>
      </c>
      <c r="C1418" t="s">
        <v>154</v>
      </c>
      <c r="D1418" t="s">
        <v>159</v>
      </c>
      <c r="E1418" t="s">
        <v>139</v>
      </c>
      <c r="F1418">
        <v>101.8</v>
      </c>
    </row>
    <row r="1419" spans="1:6" x14ac:dyDescent="0.55000000000000004">
      <c r="A1419">
        <v>104</v>
      </c>
      <c r="B1419" t="str">
        <f t="shared" si="22"/>
        <v>104_0</v>
      </c>
      <c r="C1419" t="s">
        <v>154</v>
      </c>
      <c r="D1419" t="s">
        <v>160</v>
      </c>
      <c r="E1419" t="s">
        <v>161</v>
      </c>
      <c r="F1419">
        <v>138.30000000000001</v>
      </c>
    </row>
    <row r="1420" spans="1:6" x14ac:dyDescent="0.55000000000000004">
      <c r="A1420">
        <v>104</v>
      </c>
      <c r="B1420" t="str">
        <f t="shared" si="22"/>
        <v>104_0</v>
      </c>
      <c r="C1420" t="s">
        <v>154</v>
      </c>
      <c r="D1420" t="s">
        <v>162</v>
      </c>
      <c r="F1420">
        <v>8.2100000000000009</v>
      </c>
    </row>
    <row r="1421" spans="1:6" x14ac:dyDescent="0.55000000000000004">
      <c r="A1421">
        <v>104</v>
      </c>
      <c r="B1421" t="str">
        <f t="shared" si="22"/>
        <v>104_0</v>
      </c>
      <c r="C1421" t="s">
        <v>163</v>
      </c>
      <c r="D1421" t="s">
        <v>164</v>
      </c>
      <c r="E1421" t="s">
        <v>139</v>
      </c>
      <c r="F1421">
        <v>5</v>
      </c>
    </row>
    <row r="1422" spans="1:6" x14ac:dyDescent="0.55000000000000004">
      <c r="A1422">
        <v>104</v>
      </c>
      <c r="B1422" t="str">
        <f t="shared" si="22"/>
        <v>104_0</v>
      </c>
      <c r="C1422" t="s">
        <v>163</v>
      </c>
      <c r="D1422" t="s">
        <v>165</v>
      </c>
    </row>
    <row r="1423" spans="1:6" x14ac:dyDescent="0.55000000000000004">
      <c r="A1423">
        <v>104</v>
      </c>
      <c r="B1423" t="str">
        <f t="shared" si="22"/>
        <v>104_0</v>
      </c>
      <c r="C1423" t="s">
        <v>163</v>
      </c>
      <c r="D1423" t="s">
        <v>166</v>
      </c>
      <c r="E1423" t="s">
        <v>139</v>
      </c>
      <c r="F1423">
        <v>85</v>
      </c>
    </row>
    <row r="1424" spans="1:6" x14ac:dyDescent="0.55000000000000004">
      <c r="A1424">
        <v>104</v>
      </c>
      <c r="B1424" t="str">
        <f t="shared" si="22"/>
        <v>104_0</v>
      </c>
      <c r="C1424" t="s">
        <v>163</v>
      </c>
      <c r="D1424" t="s">
        <v>167</v>
      </c>
    </row>
    <row r="1425" spans="1:7" x14ac:dyDescent="0.55000000000000004">
      <c r="A1425">
        <v>104</v>
      </c>
      <c r="B1425" t="str">
        <f t="shared" si="22"/>
        <v>104_0</v>
      </c>
      <c r="C1425" t="s">
        <v>163</v>
      </c>
      <c r="D1425" t="s">
        <v>168</v>
      </c>
      <c r="E1425" t="s">
        <v>131</v>
      </c>
      <c r="F1425">
        <v>1</v>
      </c>
    </row>
    <row r="1426" spans="1:7" x14ac:dyDescent="0.55000000000000004">
      <c r="A1426">
        <v>104</v>
      </c>
      <c r="B1426" t="str">
        <f t="shared" si="22"/>
        <v>104_0</v>
      </c>
      <c r="C1426" t="s">
        <v>163</v>
      </c>
      <c r="D1426" t="s">
        <v>169</v>
      </c>
    </row>
    <row r="1427" spans="1:7" x14ac:dyDescent="0.55000000000000004">
      <c r="A1427">
        <v>104</v>
      </c>
      <c r="B1427" t="str">
        <f t="shared" si="22"/>
        <v>104_0</v>
      </c>
      <c r="C1427" t="s">
        <v>163</v>
      </c>
      <c r="D1427" t="s">
        <v>170</v>
      </c>
      <c r="E1427" t="s">
        <v>139</v>
      </c>
      <c r="F1427">
        <v>10</v>
      </c>
    </row>
    <row r="1428" spans="1:7" x14ac:dyDescent="0.55000000000000004">
      <c r="A1428">
        <v>104</v>
      </c>
      <c r="B1428" t="str">
        <f t="shared" si="22"/>
        <v>104_0</v>
      </c>
      <c r="C1428" t="s">
        <v>163</v>
      </c>
      <c r="D1428" t="s">
        <v>171</v>
      </c>
    </row>
    <row r="1429" spans="1:7" x14ac:dyDescent="0.55000000000000004">
      <c r="A1429">
        <v>105</v>
      </c>
      <c r="B1429" t="str">
        <f t="shared" si="22"/>
        <v>105_0</v>
      </c>
      <c r="C1429" t="s">
        <v>126</v>
      </c>
      <c r="D1429" t="s">
        <v>127</v>
      </c>
      <c r="E1429" t="s">
        <v>128</v>
      </c>
      <c r="F1429" s="1"/>
      <c r="G1429" t="s">
        <v>129</v>
      </c>
    </row>
    <row r="1430" spans="1:7" x14ac:dyDescent="0.55000000000000004">
      <c r="A1430">
        <v>105</v>
      </c>
      <c r="B1430" t="str">
        <f t="shared" si="22"/>
        <v>105_0</v>
      </c>
      <c r="C1430" t="s">
        <v>126</v>
      </c>
      <c r="D1430" s="11" t="s">
        <v>130</v>
      </c>
      <c r="E1430" t="s">
        <v>131</v>
      </c>
      <c r="F1430">
        <v>1</v>
      </c>
    </row>
    <row r="1431" spans="1:7" x14ac:dyDescent="0.55000000000000004">
      <c r="A1431">
        <v>105</v>
      </c>
      <c r="B1431" t="str">
        <f t="shared" si="22"/>
        <v>105_0</v>
      </c>
      <c r="C1431" t="s">
        <v>126</v>
      </c>
      <c r="D1431" t="s">
        <v>132</v>
      </c>
      <c r="E1431" t="s">
        <v>133</v>
      </c>
    </row>
    <row r="1432" spans="1:7" x14ac:dyDescent="0.55000000000000004">
      <c r="A1432">
        <v>105</v>
      </c>
      <c r="B1432" t="str">
        <f t="shared" si="22"/>
        <v>105_0</v>
      </c>
      <c r="C1432" t="s">
        <v>126</v>
      </c>
      <c r="D1432" t="s">
        <v>134</v>
      </c>
      <c r="E1432" t="s">
        <v>133</v>
      </c>
      <c r="F1432">
        <v>2</v>
      </c>
    </row>
    <row r="1433" spans="1:7" x14ac:dyDescent="0.55000000000000004">
      <c r="A1433">
        <v>105</v>
      </c>
      <c r="B1433" t="str">
        <f t="shared" si="22"/>
        <v>105_0</v>
      </c>
      <c r="C1433" t="s">
        <v>126</v>
      </c>
      <c r="D1433" t="s">
        <v>135</v>
      </c>
      <c r="E1433" t="s">
        <v>136</v>
      </c>
      <c r="F1433">
        <f>F1432/10</f>
        <v>0.2</v>
      </c>
      <c r="G1433" t="s">
        <v>137</v>
      </c>
    </row>
    <row r="1434" spans="1:7" x14ac:dyDescent="0.55000000000000004">
      <c r="A1434">
        <v>105</v>
      </c>
      <c r="B1434" t="str">
        <f t="shared" si="22"/>
        <v>105_0</v>
      </c>
      <c r="C1434" t="s">
        <v>126</v>
      </c>
      <c r="D1434" s="2" t="s">
        <v>138</v>
      </c>
      <c r="E1434" t="s">
        <v>139</v>
      </c>
      <c r="F1434">
        <v>100</v>
      </c>
    </row>
    <row r="1435" spans="1:7" x14ac:dyDescent="0.55000000000000004">
      <c r="A1435">
        <v>105</v>
      </c>
      <c r="B1435" t="str">
        <f t="shared" si="22"/>
        <v>105_0</v>
      </c>
      <c r="C1435" t="s">
        <v>126</v>
      </c>
      <c r="D1435" s="2" t="s">
        <v>140</v>
      </c>
    </row>
    <row r="1436" spans="1:7" x14ac:dyDescent="0.55000000000000004">
      <c r="A1436">
        <v>105</v>
      </c>
      <c r="B1436" t="str">
        <f t="shared" si="22"/>
        <v>105_0</v>
      </c>
      <c r="C1436" t="s">
        <v>126</v>
      </c>
      <c r="D1436" s="2" t="s">
        <v>141</v>
      </c>
      <c r="E1436" t="s">
        <v>139</v>
      </c>
      <c r="F1436">
        <v>100</v>
      </c>
    </row>
    <row r="1437" spans="1:7" x14ac:dyDescent="0.55000000000000004">
      <c r="A1437">
        <v>105</v>
      </c>
      <c r="B1437" t="str">
        <f t="shared" si="22"/>
        <v>105_0</v>
      </c>
      <c r="C1437" t="s">
        <v>126</v>
      </c>
      <c r="D1437" t="s">
        <v>142</v>
      </c>
      <c r="E1437" t="s">
        <v>139</v>
      </c>
      <c r="F1437">
        <v>0</v>
      </c>
    </row>
    <row r="1438" spans="1:7" x14ac:dyDescent="0.55000000000000004">
      <c r="A1438">
        <v>105</v>
      </c>
      <c r="B1438" t="str">
        <f t="shared" si="22"/>
        <v>105_0</v>
      </c>
      <c r="C1438" t="s">
        <v>126</v>
      </c>
      <c r="D1438" t="s">
        <v>143</v>
      </c>
      <c r="E1438" t="s">
        <v>131</v>
      </c>
      <c r="F1438">
        <v>0</v>
      </c>
    </row>
    <row r="1439" spans="1:7" x14ac:dyDescent="0.55000000000000004">
      <c r="A1439">
        <v>105</v>
      </c>
      <c r="B1439" t="str">
        <f t="shared" si="22"/>
        <v>105_0</v>
      </c>
      <c r="C1439" t="s">
        <v>126</v>
      </c>
      <c r="D1439" t="s">
        <v>144</v>
      </c>
      <c r="E1439" t="s">
        <v>139</v>
      </c>
      <c r="F1439">
        <v>0</v>
      </c>
    </row>
    <row r="1440" spans="1:7" x14ac:dyDescent="0.55000000000000004">
      <c r="A1440">
        <v>105</v>
      </c>
      <c r="B1440" t="str">
        <f t="shared" si="22"/>
        <v>105_0</v>
      </c>
      <c r="C1440" t="s">
        <v>126</v>
      </c>
      <c r="D1440" t="s">
        <v>145</v>
      </c>
      <c r="E1440" t="s">
        <v>139</v>
      </c>
      <c r="F1440">
        <v>60</v>
      </c>
    </row>
    <row r="1441" spans="1:6" x14ac:dyDescent="0.55000000000000004">
      <c r="A1441">
        <v>105</v>
      </c>
      <c r="B1441" t="str">
        <f t="shared" si="22"/>
        <v>105_0</v>
      </c>
      <c r="C1441" t="s">
        <v>126</v>
      </c>
      <c r="D1441" t="s">
        <v>146</v>
      </c>
      <c r="E1441" t="s">
        <v>139</v>
      </c>
      <c r="F1441">
        <v>0</v>
      </c>
    </row>
    <row r="1442" spans="1:6" x14ac:dyDescent="0.55000000000000004">
      <c r="A1442">
        <v>105</v>
      </c>
      <c r="B1442" t="str">
        <f t="shared" si="22"/>
        <v>105_0</v>
      </c>
      <c r="C1442" t="s">
        <v>126</v>
      </c>
      <c r="D1442" t="s">
        <v>147</v>
      </c>
      <c r="E1442" t="s">
        <v>139</v>
      </c>
      <c r="F1442">
        <v>0</v>
      </c>
    </row>
    <row r="1443" spans="1:6" x14ac:dyDescent="0.55000000000000004">
      <c r="A1443">
        <v>105</v>
      </c>
      <c r="B1443" t="str">
        <f t="shared" si="22"/>
        <v>105_0</v>
      </c>
      <c r="C1443" t="s">
        <v>126</v>
      </c>
      <c r="D1443" t="s">
        <v>148</v>
      </c>
      <c r="E1443" t="s">
        <v>139</v>
      </c>
      <c r="F1443">
        <v>40</v>
      </c>
    </row>
    <row r="1444" spans="1:6" x14ac:dyDescent="0.55000000000000004">
      <c r="A1444">
        <v>105</v>
      </c>
      <c r="B1444" t="str">
        <f t="shared" si="22"/>
        <v>105_0</v>
      </c>
      <c r="C1444" t="s">
        <v>126</v>
      </c>
      <c r="D1444" t="s">
        <v>149</v>
      </c>
      <c r="E1444" t="s">
        <v>139</v>
      </c>
      <c r="F1444">
        <v>0</v>
      </c>
    </row>
    <row r="1445" spans="1:6" x14ac:dyDescent="0.55000000000000004">
      <c r="A1445">
        <v>105</v>
      </c>
      <c r="B1445" t="str">
        <f t="shared" si="22"/>
        <v>105_0</v>
      </c>
      <c r="C1445" t="s">
        <v>126</v>
      </c>
      <c r="D1445" t="s">
        <v>150</v>
      </c>
      <c r="E1445" t="s">
        <v>139</v>
      </c>
      <c r="F1445">
        <v>0</v>
      </c>
    </row>
    <row r="1446" spans="1:6" x14ac:dyDescent="0.55000000000000004">
      <c r="A1446">
        <v>105</v>
      </c>
      <c r="B1446" t="str">
        <f t="shared" si="22"/>
        <v>105_0</v>
      </c>
      <c r="C1446" t="s">
        <v>126</v>
      </c>
      <c r="D1446" t="s">
        <v>151</v>
      </c>
      <c r="E1446" t="s">
        <v>139</v>
      </c>
      <c r="F1446">
        <v>0</v>
      </c>
    </row>
    <row r="1447" spans="1:6" x14ac:dyDescent="0.55000000000000004">
      <c r="A1447">
        <v>105</v>
      </c>
      <c r="B1447" t="str">
        <f t="shared" si="22"/>
        <v>105_0</v>
      </c>
      <c r="C1447" t="s">
        <v>126</v>
      </c>
      <c r="D1447" t="s">
        <v>152</v>
      </c>
      <c r="E1447" t="s">
        <v>153</v>
      </c>
    </row>
    <row r="1448" spans="1:6" x14ac:dyDescent="0.55000000000000004">
      <c r="A1448">
        <v>105</v>
      </c>
      <c r="B1448" t="str">
        <f t="shared" si="22"/>
        <v>105_0</v>
      </c>
      <c r="C1448" t="s">
        <v>154</v>
      </c>
      <c r="D1448" t="s">
        <v>155</v>
      </c>
      <c r="E1448" t="s">
        <v>156</v>
      </c>
      <c r="F1448">
        <v>16.600000000000001</v>
      </c>
    </row>
    <row r="1449" spans="1:6" x14ac:dyDescent="0.55000000000000004">
      <c r="A1449">
        <v>105</v>
      </c>
      <c r="B1449" t="str">
        <f t="shared" si="22"/>
        <v>105_0</v>
      </c>
      <c r="C1449" t="s">
        <v>154</v>
      </c>
      <c r="D1449" t="s">
        <v>157</v>
      </c>
      <c r="E1449" t="s">
        <v>158</v>
      </c>
      <c r="F1449">
        <v>9.9</v>
      </c>
    </row>
    <row r="1450" spans="1:6" x14ac:dyDescent="0.55000000000000004">
      <c r="A1450">
        <v>105</v>
      </c>
      <c r="B1450" t="str">
        <f t="shared" si="22"/>
        <v>105_0</v>
      </c>
      <c r="C1450" t="s">
        <v>154</v>
      </c>
      <c r="D1450" t="s">
        <v>159</v>
      </c>
      <c r="E1450" t="s">
        <v>139</v>
      </c>
      <c r="F1450">
        <v>101.5</v>
      </c>
    </row>
    <row r="1451" spans="1:6" x14ac:dyDescent="0.55000000000000004">
      <c r="A1451">
        <v>105</v>
      </c>
      <c r="B1451" t="str">
        <f t="shared" si="22"/>
        <v>105_0</v>
      </c>
      <c r="C1451" t="s">
        <v>154</v>
      </c>
      <c r="D1451" t="s">
        <v>160</v>
      </c>
      <c r="E1451" t="s">
        <v>161</v>
      </c>
      <c r="F1451">
        <v>133.30000000000001</v>
      </c>
    </row>
    <row r="1452" spans="1:6" x14ac:dyDescent="0.55000000000000004">
      <c r="A1452">
        <v>105</v>
      </c>
      <c r="B1452" t="str">
        <f t="shared" si="22"/>
        <v>105_0</v>
      </c>
      <c r="C1452" t="s">
        <v>154</v>
      </c>
      <c r="D1452" t="s">
        <v>162</v>
      </c>
      <c r="F1452">
        <v>8.02</v>
      </c>
    </row>
    <row r="1453" spans="1:6" x14ac:dyDescent="0.55000000000000004">
      <c r="A1453">
        <v>105</v>
      </c>
      <c r="B1453" t="str">
        <f t="shared" si="22"/>
        <v>105_0</v>
      </c>
      <c r="C1453" t="s">
        <v>163</v>
      </c>
      <c r="D1453" t="s">
        <v>164</v>
      </c>
      <c r="E1453" t="s">
        <v>139</v>
      </c>
      <c r="F1453">
        <v>0</v>
      </c>
    </row>
    <row r="1454" spans="1:6" x14ac:dyDescent="0.55000000000000004">
      <c r="A1454">
        <v>105</v>
      </c>
      <c r="B1454" t="str">
        <f t="shared" si="22"/>
        <v>105_0</v>
      </c>
      <c r="C1454" t="s">
        <v>163</v>
      </c>
      <c r="D1454" t="s">
        <v>165</v>
      </c>
    </row>
    <row r="1455" spans="1:6" x14ac:dyDescent="0.55000000000000004">
      <c r="A1455">
        <v>105</v>
      </c>
      <c r="B1455" t="str">
        <f t="shared" si="22"/>
        <v>105_0</v>
      </c>
      <c r="C1455" t="s">
        <v>163</v>
      </c>
      <c r="D1455" t="s">
        <v>166</v>
      </c>
      <c r="E1455" t="s">
        <v>139</v>
      </c>
      <c r="F1455">
        <v>0</v>
      </c>
    </row>
    <row r="1456" spans="1:6" x14ac:dyDescent="0.55000000000000004">
      <c r="A1456">
        <v>105</v>
      </c>
      <c r="B1456" t="str">
        <f t="shared" si="22"/>
        <v>105_0</v>
      </c>
      <c r="C1456" t="s">
        <v>163</v>
      </c>
      <c r="D1456" t="s">
        <v>167</v>
      </c>
    </row>
    <row r="1457" spans="1:7" x14ac:dyDescent="0.55000000000000004">
      <c r="A1457">
        <v>105</v>
      </c>
      <c r="B1457" t="str">
        <f t="shared" si="22"/>
        <v>105_0</v>
      </c>
      <c r="C1457" t="s">
        <v>163</v>
      </c>
      <c r="D1457" t="s">
        <v>168</v>
      </c>
      <c r="E1457" t="s">
        <v>131</v>
      </c>
      <c r="F1457">
        <v>0</v>
      </c>
    </row>
    <row r="1458" spans="1:7" x14ac:dyDescent="0.55000000000000004">
      <c r="A1458">
        <v>105</v>
      </c>
      <c r="B1458" t="str">
        <f t="shared" si="22"/>
        <v>105_0</v>
      </c>
      <c r="C1458" t="s">
        <v>163</v>
      </c>
      <c r="D1458" t="s">
        <v>169</v>
      </c>
    </row>
    <row r="1459" spans="1:7" x14ac:dyDescent="0.55000000000000004">
      <c r="A1459">
        <v>105</v>
      </c>
      <c r="B1459" t="str">
        <f t="shared" si="22"/>
        <v>105_0</v>
      </c>
      <c r="C1459" t="s">
        <v>163</v>
      </c>
      <c r="D1459" t="s">
        <v>170</v>
      </c>
      <c r="E1459" t="s">
        <v>139</v>
      </c>
      <c r="F1459">
        <v>20</v>
      </c>
    </row>
    <row r="1460" spans="1:7" x14ac:dyDescent="0.55000000000000004">
      <c r="A1460">
        <v>105</v>
      </c>
      <c r="B1460" t="str">
        <f t="shared" si="22"/>
        <v>105_0</v>
      </c>
      <c r="C1460" t="s">
        <v>163</v>
      </c>
      <c r="D1460" t="s">
        <v>171</v>
      </c>
    </row>
    <row r="1461" spans="1:7" x14ac:dyDescent="0.55000000000000004">
      <c r="A1461">
        <v>106</v>
      </c>
      <c r="B1461" t="str">
        <f t="shared" si="22"/>
        <v>106_0</v>
      </c>
      <c r="C1461" t="s">
        <v>126</v>
      </c>
      <c r="D1461" t="s">
        <v>127</v>
      </c>
      <c r="E1461" t="s">
        <v>128</v>
      </c>
      <c r="F1461" s="1"/>
      <c r="G1461" t="s">
        <v>129</v>
      </c>
    </row>
    <row r="1462" spans="1:7" x14ac:dyDescent="0.55000000000000004">
      <c r="A1462">
        <v>106</v>
      </c>
      <c r="B1462" t="str">
        <f t="shared" si="22"/>
        <v>106_0</v>
      </c>
      <c r="C1462" t="s">
        <v>126</v>
      </c>
      <c r="D1462" s="11" t="s">
        <v>130</v>
      </c>
      <c r="E1462" t="s">
        <v>131</v>
      </c>
      <c r="F1462">
        <v>1</v>
      </c>
    </row>
    <row r="1463" spans="1:7" x14ac:dyDescent="0.55000000000000004">
      <c r="A1463">
        <v>106</v>
      </c>
      <c r="B1463" t="str">
        <f t="shared" si="22"/>
        <v>106_0</v>
      </c>
      <c r="C1463" t="s">
        <v>126</v>
      </c>
      <c r="D1463" t="s">
        <v>132</v>
      </c>
      <c r="E1463" t="s">
        <v>133</v>
      </c>
    </row>
    <row r="1464" spans="1:7" x14ac:dyDescent="0.55000000000000004">
      <c r="A1464">
        <v>106</v>
      </c>
      <c r="B1464" t="str">
        <f t="shared" si="22"/>
        <v>106_0</v>
      </c>
      <c r="C1464" t="s">
        <v>126</v>
      </c>
      <c r="D1464" t="s">
        <v>134</v>
      </c>
      <c r="E1464" t="s">
        <v>133</v>
      </c>
      <c r="F1464">
        <v>1</v>
      </c>
    </row>
    <row r="1465" spans="1:7" x14ac:dyDescent="0.55000000000000004">
      <c r="A1465">
        <v>106</v>
      </c>
      <c r="B1465" t="str">
        <f t="shared" si="22"/>
        <v>106_0</v>
      </c>
      <c r="C1465" t="s">
        <v>126</v>
      </c>
      <c r="D1465" t="s">
        <v>135</v>
      </c>
      <c r="E1465" t="s">
        <v>136</v>
      </c>
      <c r="F1465">
        <f>F1464/10</f>
        <v>0.1</v>
      </c>
      <c r="G1465" t="s">
        <v>137</v>
      </c>
    </row>
    <row r="1466" spans="1:7" x14ac:dyDescent="0.55000000000000004">
      <c r="A1466">
        <v>106</v>
      </c>
      <c r="B1466" t="str">
        <f t="shared" si="22"/>
        <v>106_0</v>
      </c>
      <c r="C1466" t="s">
        <v>126</v>
      </c>
      <c r="D1466" s="2" t="s">
        <v>138</v>
      </c>
      <c r="E1466" t="s">
        <v>139</v>
      </c>
      <c r="F1466">
        <v>50</v>
      </c>
    </row>
    <row r="1467" spans="1:7" x14ac:dyDescent="0.55000000000000004">
      <c r="A1467">
        <v>106</v>
      </c>
      <c r="B1467" t="str">
        <f t="shared" si="22"/>
        <v>106_0</v>
      </c>
      <c r="C1467" t="s">
        <v>126</v>
      </c>
      <c r="D1467" s="2" t="s">
        <v>140</v>
      </c>
    </row>
    <row r="1468" spans="1:7" x14ac:dyDescent="0.55000000000000004">
      <c r="A1468">
        <v>106</v>
      </c>
      <c r="B1468" t="str">
        <f t="shared" si="22"/>
        <v>106_0</v>
      </c>
      <c r="C1468" t="s">
        <v>126</v>
      </c>
      <c r="D1468" s="2" t="s">
        <v>141</v>
      </c>
      <c r="E1468" t="s">
        <v>139</v>
      </c>
      <c r="F1468">
        <v>0</v>
      </c>
    </row>
    <row r="1469" spans="1:7" x14ac:dyDescent="0.55000000000000004">
      <c r="A1469">
        <v>106</v>
      </c>
      <c r="B1469" t="str">
        <f t="shared" si="22"/>
        <v>106_0</v>
      </c>
      <c r="C1469" t="s">
        <v>126</v>
      </c>
      <c r="D1469" t="s">
        <v>142</v>
      </c>
      <c r="E1469" t="s">
        <v>139</v>
      </c>
      <c r="F1469">
        <v>0</v>
      </c>
    </row>
    <row r="1470" spans="1:7" x14ac:dyDescent="0.55000000000000004">
      <c r="A1470">
        <v>106</v>
      </c>
      <c r="B1470" t="str">
        <f t="shared" si="22"/>
        <v>106_0</v>
      </c>
      <c r="C1470" t="s">
        <v>126</v>
      </c>
      <c r="D1470" t="s">
        <v>143</v>
      </c>
      <c r="E1470" t="s">
        <v>131</v>
      </c>
      <c r="F1470">
        <v>0</v>
      </c>
    </row>
    <row r="1471" spans="1:7" x14ac:dyDescent="0.55000000000000004">
      <c r="A1471">
        <v>106</v>
      </c>
      <c r="B1471" t="str">
        <f t="shared" si="22"/>
        <v>106_0</v>
      </c>
      <c r="C1471" t="s">
        <v>126</v>
      </c>
      <c r="D1471" t="s">
        <v>144</v>
      </c>
      <c r="E1471" t="s">
        <v>139</v>
      </c>
      <c r="F1471">
        <v>0</v>
      </c>
    </row>
    <row r="1472" spans="1:7" x14ac:dyDescent="0.55000000000000004">
      <c r="A1472">
        <v>106</v>
      </c>
      <c r="B1472" t="str">
        <f t="shared" si="22"/>
        <v>106_0</v>
      </c>
      <c r="C1472" t="s">
        <v>126</v>
      </c>
      <c r="D1472" t="s">
        <v>145</v>
      </c>
      <c r="E1472" t="s">
        <v>139</v>
      </c>
      <c r="F1472">
        <v>0</v>
      </c>
    </row>
    <row r="1473" spans="1:6" x14ac:dyDescent="0.55000000000000004">
      <c r="A1473">
        <v>106</v>
      </c>
      <c r="B1473" t="str">
        <f t="shared" si="22"/>
        <v>106_0</v>
      </c>
      <c r="C1473" t="s">
        <v>126</v>
      </c>
      <c r="D1473" t="s">
        <v>146</v>
      </c>
      <c r="E1473" t="s">
        <v>139</v>
      </c>
      <c r="F1473">
        <v>0</v>
      </c>
    </row>
    <row r="1474" spans="1:6" x14ac:dyDescent="0.55000000000000004">
      <c r="A1474">
        <v>106</v>
      </c>
      <c r="B1474" t="str">
        <f t="shared" si="22"/>
        <v>106_0</v>
      </c>
      <c r="C1474" t="s">
        <v>126</v>
      </c>
      <c r="D1474" t="s">
        <v>147</v>
      </c>
      <c r="E1474" t="s">
        <v>139</v>
      </c>
      <c r="F1474">
        <v>5</v>
      </c>
    </row>
    <row r="1475" spans="1:6" x14ac:dyDescent="0.55000000000000004">
      <c r="A1475">
        <v>106</v>
      </c>
      <c r="B1475" t="str">
        <f t="shared" ref="B1475:B1538" si="23">A1475 &amp; "_0"</f>
        <v>106_0</v>
      </c>
      <c r="C1475" t="s">
        <v>126</v>
      </c>
      <c r="D1475" t="s">
        <v>148</v>
      </c>
      <c r="E1475" t="s">
        <v>139</v>
      </c>
      <c r="F1475">
        <v>95</v>
      </c>
    </row>
    <row r="1476" spans="1:6" x14ac:dyDescent="0.55000000000000004">
      <c r="A1476">
        <v>106</v>
      </c>
      <c r="B1476" t="str">
        <f t="shared" si="23"/>
        <v>106_0</v>
      </c>
      <c r="C1476" t="s">
        <v>126</v>
      </c>
      <c r="D1476" t="s">
        <v>149</v>
      </c>
      <c r="E1476" t="s">
        <v>139</v>
      </c>
      <c r="F1476">
        <v>0</v>
      </c>
    </row>
    <row r="1477" spans="1:6" x14ac:dyDescent="0.55000000000000004">
      <c r="A1477">
        <v>106</v>
      </c>
      <c r="B1477" t="str">
        <f t="shared" si="23"/>
        <v>106_0</v>
      </c>
      <c r="C1477" t="s">
        <v>126</v>
      </c>
      <c r="D1477" t="s">
        <v>150</v>
      </c>
      <c r="E1477" t="s">
        <v>139</v>
      </c>
      <c r="F1477">
        <v>0</v>
      </c>
    </row>
    <row r="1478" spans="1:6" x14ac:dyDescent="0.55000000000000004">
      <c r="A1478">
        <v>106</v>
      </c>
      <c r="B1478" t="str">
        <f t="shared" si="23"/>
        <v>106_0</v>
      </c>
      <c r="C1478" t="s">
        <v>126</v>
      </c>
      <c r="D1478" t="s">
        <v>151</v>
      </c>
      <c r="E1478" t="s">
        <v>139</v>
      </c>
      <c r="F1478">
        <v>0</v>
      </c>
    </row>
    <row r="1479" spans="1:6" x14ac:dyDescent="0.55000000000000004">
      <c r="A1479">
        <v>106</v>
      </c>
      <c r="B1479" t="str">
        <f t="shared" si="23"/>
        <v>106_0</v>
      </c>
      <c r="C1479" t="s">
        <v>126</v>
      </c>
      <c r="D1479" t="s">
        <v>152</v>
      </c>
      <c r="E1479" t="s">
        <v>153</v>
      </c>
    </row>
    <row r="1480" spans="1:6" x14ac:dyDescent="0.55000000000000004">
      <c r="A1480">
        <v>106</v>
      </c>
      <c r="B1480" t="str">
        <f t="shared" si="23"/>
        <v>106_0</v>
      </c>
      <c r="C1480" t="s">
        <v>154</v>
      </c>
      <c r="D1480" t="s">
        <v>155</v>
      </c>
      <c r="E1480" t="s">
        <v>156</v>
      </c>
      <c r="F1480">
        <v>16.8</v>
      </c>
    </row>
    <row r="1481" spans="1:6" x14ac:dyDescent="0.55000000000000004">
      <c r="A1481">
        <v>106</v>
      </c>
      <c r="B1481" t="str">
        <f t="shared" si="23"/>
        <v>106_0</v>
      </c>
      <c r="C1481" t="s">
        <v>154</v>
      </c>
      <c r="D1481" t="s">
        <v>157</v>
      </c>
      <c r="E1481" t="s">
        <v>158</v>
      </c>
      <c r="F1481">
        <v>10.06</v>
      </c>
    </row>
    <row r="1482" spans="1:6" x14ac:dyDescent="0.55000000000000004">
      <c r="A1482">
        <v>106</v>
      </c>
      <c r="B1482" t="str">
        <f t="shared" si="23"/>
        <v>106_0</v>
      </c>
      <c r="C1482" t="s">
        <v>154</v>
      </c>
      <c r="D1482" t="s">
        <v>159</v>
      </c>
      <c r="E1482" t="s">
        <v>139</v>
      </c>
      <c r="F1482">
        <v>103.6</v>
      </c>
    </row>
    <row r="1483" spans="1:6" x14ac:dyDescent="0.55000000000000004">
      <c r="A1483">
        <v>106</v>
      </c>
      <c r="B1483" t="str">
        <f t="shared" si="23"/>
        <v>106_0</v>
      </c>
      <c r="C1483" t="s">
        <v>154</v>
      </c>
      <c r="D1483" t="s">
        <v>160</v>
      </c>
      <c r="E1483" t="s">
        <v>161</v>
      </c>
      <c r="F1483">
        <v>131.30000000000001</v>
      </c>
    </row>
    <row r="1484" spans="1:6" x14ac:dyDescent="0.55000000000000004">
      <c r="A1484">
        <v>106</v>
      </c>
      <c r="B1484" t="str">
        <f t="shared" si="23"/>
        <v>106_0</v>
      </c>
      <c r="C1484" t="s">
        <v>154</v>
      </c>
      <c r="D1484" t="s">
        <v>162</v>
      </c>
      <c r="F1484">
        <v>7.98</v>
      </c>
    </row>
    <row r="1485" spans="1:6" x14ac:dyDescent="0.55000000000000004">
      <c r="A1485">
        <v>106</v>
      </c>
      <c r="B1485" t="str">
        <f t="shared" si="23"/>
        <v>106_0</v>
      </c>
      <c r="C1485" t="s">
        <v>163</v>
      </c>
      <c r="D1485" t="s">
        <v>164</v>
      </c>
      <c r="E1485" t="s">
        <v>139</v>
      </c>
      <c r="F1485">
        <v>0</v>
      </c>
    </row>
    <row r="1486" spans="1:6" x14ac:dyDescent="0.55000000000000004">
      <c r="A1486">
        <v>106</v>
      </c>
      <c r="B1486" t="str">
        <f t="shared" si="23"/>
        <v>106_0</v>
      </c>
      <c r="C1486" t="s">
        <v>163</v>
      </c>
      <c r="D1486" t="s">
        <v>165</v>
      </c>
    </row>
    <row r="1487" spans="1:6" x14ac:dyDescent="0.55000000000000004">
      <c r="A1487">
        <v>106</v>
      </c>
      <c r="B1487" t="str">
        <f t="shared" si="23"/>
        <v>106_0</v>
      </c>
      <c r="C1487" t="s">
        <v>163</v>
      </c>
      <c r="D1487" t="s">
        <v>166</v>
      </c>
      <c r="E1487" t="s">
        <v>139</v>
      </c>
      <c r="F1487">
        <v>10</v>
      </c>
    </row>
    <row r="1488" spans="1:6" x14ac:dyDescent="0.55000000000000004">
      <c r="A1488">
        <v>106</v>
      </c>
      <c r="B1488" t="str">
        <f t="shared" si="23"/>
        <v>106_0</v>
      </c>
      <c r="C1488" t="s">
        <v>163</v>
      </c>
      <c r="D1488" t="s">
        <v>167</v>
      </c>
    </row>
    <row r="1489" spans="1:7" x14ac:dyDescent="0.55000000000000004">
      <c r="A1489">
        <v>106</v>
      </c>
      <c r="B1489" t="str">
        <f t="shared" si="23"/>
        <v>106_0</v>
      </c>
      <c r="C1489" t="s">
        <v>163</v>
      </c>
      <c r="D1489" t="s">
        <v>168</v>
      </c>
      <c r="E1489" t="s">
        <v>131</v>
      </c>
      <c r="F1489">
        <v>1</v>
      </c>
    </row>
    <row r="1490" spans="1:7" x14ac:dyDescent="0.55000000000000004">
      <c r="A1490">
        <v>106</v>
      </c>
      <c r="B1490" t="str">
        <f t="shared" si="23"/>
        <v>106_0</v>
      </c>
      <c r="C1490" t="s">
        <v>163</v>
      </c>
      <c r="D1490" t="s">
        <v>169</v>
      </c>
    </row>
    <row r="1491" spans="1:7" x14ac:dyDescent="0.55000000000000004">
      <c r="A1491">
        <v>106</v>
      </c>
      <c r="B1491" t="str">
        <f t="shared" si="23"/>
        <v>106_0</v>
      </c>
      <c r="C1491" t="s">
        <v>163</v>
      </c>
      <c r="D1491" t="s">
        <v>170</v>
      </c>
      <c r="E1491" t="s">
        <v>139</v>
      </c>
      <c r="F1491">
        <v>2</v>
      </c>
    </row>
    <row r="1492" spans="1:7" x14ac:dyDescent="0.55000000000000004">
      <c r="A1492">
        <v>106</v>
      </c>
      <c r="B1492" t="str">
        <f t="shared" si="23"/>
        <v>106_0</v>
      </c>
      <c r="C1492" t="s">
        <v>163</v>
      </c>
      <c r="D1492" t="s">
        <v>171</v>
      </c>
    </row>
    <row r="1493" spans="1:7" x14ac:dyDescent="0.55000000000000004">
      <c r="A1493">
        <v>107</v>
      </c>
      <c r="B1493" t="str">
        <f t="shared" si="23"/>
        <v>107_0</v>
      </c>
      <c r="C1493" t="s">
        <v>126</v>
      </c>
      <c r="D1493" t="s">
        <v>127</v>
      </c>
      <c r="E1493" t="s">
        <v>128</v>
      </c>
      <c r="F1493" s="1"/>
      <c r="G1493" t="s">
        <v>129</v>
      </c>
    </row>
    <row r="1494" spans="1:7" x14ac:dyDescent="0.55000000000000004">
      <c r="A1494">
        <v>107</v>
      </c>
      <c r="B1494" t="str">
        <f t="shared" si="23"/>
        <v>107_0</v>
      </c>
      <c r="C1494" t="s">
        <v>126</v>
      </c>
      <c r="D1494" s="11" t="s">
        <v>130</v>
      </c>
      <c r="E1494" t="s">
        <v>131</v>
      </c>
      <c r="F1494">
        <v>1</v>
      </c>
    </row>
    <row r="1495" spans="1:7" x14ac:dyDescent="0.55000000000000004">
      <c r="A1495">
        <v>107</v>
      </c>
      <c r="B1495" t="str">
        <f t="shared" si="23"/>
        <v>107_0</v>
      </c>
      <c r="C1495" t="s">
        <v>126</v>
      </c>
      <c r="D1495" t="s">
        <v>132</v>
      </c>
      <c r="E1495" t="s">
        <v>133</v>
      </c>
    </row>
    <row r="1496" spans="1:7" x14ac:dyDescent="0.55000000000000004">
      <c r="A1496">
        <v>107</v>
      </c>
      <c r="B1496" t="str">
        <f t="shared" si="23"/>
        <v>107_0</v>
      </c>
      <c r="C1496" t="s">
        <v>126</v>
      </c>
      <c r="D1496" t="s">
        <v>134</v>
      </c>
      <c r="E1496" t="s">
        <v>133</v>
      </c>
      <c r="F1496">
        <v>0.8</v>
      </c>
    </row>
    <row r="1497" spans="1:7" x14ac:dyDescent="0.55000000000000004">
      <c r="A1497">
        <v>107</v>
      </c>
      <c r="B1497" t="str">
        <f t="shared" si="23"/>
        <v>107_0</v>
      </c>
      <c r="C1497" t="s">
        <v>126</v>
      </c>
      <c r="D1497" t="s">
        <v>135</v>
      </c>
      <c r="E1497" t="s">
        <v>136</v>
      </c>
      <c r="F1497">
        <f>F1496/10</f>
        <v>0.08</v>
      </c>
      <c r="G1497" t="s">
        <v>137</v>
      </c>
    </row>
    <row r="1498" spans="1:7" x14ac:dyDescent="0.55000000000000004">
      <c r="A1498">
        <v>107</v>
      </c>
      <c r="B1498" t="str">
        <f t="shared" si="23"/>
        <v>107_0</v>
      </c>
      <c r="C1498" t="s">
        <v>126</v>
      </c>
      <c r="D1498" s="2" t="s">
        <v>138</v>
      </c>
      <c r="E1498" t="s">
        <v>139</v>
      </c>
      <c r="F1498">
        <v>0</v>
      </c>
    </row>
    <row r="1499" spans="1:7" x14ac:dyDescent="0.55000000000000004">
      <c r="A1499">
        <v>107</v>
      </c>
      <c r="B1499" t="str">
        <f t="shared" si="23"/>
        <v>107_0</v>
      </c>
      <c r="C1499" t="s">
        <v>126</v>
      </c>
      <c r="D1499" s="2" t="s">
        <v>140</v>
      </c>
    </row>
    <row r="1500" spans="1:7" x14ac:dyDescent="0.55000000000000004">
      <c r="A1500">
        <v>107</v>
      </c>
      <c r="B1500" t="str">
        <f t="shared" si="23"/>
        <v>107_0</v>
      </c>
      <c r="C1500" t="s">
        <v>126</v>
      </c>
      <c r="D1500" s="2" t="s">
        <v>141</v>
      </c>
      <c r="E1500" t="s">
        <v>139</v>
      </c>
      <c r="F1500">
        <v>0</v>
      </c>
    </row>
    <row r="1501" spans="1:7" x14ac:dyDescent="0.55000000000000004">
      <c r="A1501">
        <v>107</v>
      </c>
      <c r="B1501" t="str">
        <f t="shared" si="23"/>
        <v>107_0</v>
      </c>
      <c r="C1501" t="s">
        <v>126</v>
      </c>
      <c r="D1501" t="s">
        <v>142</v>
      </c>
      <c r="E1501" t="s">
        <v>139</v>
      </c>
      <c r="F1501">
        <v>0</v>
      </c>
    </row>
    <row r="1502" spans="1:7" x14ac:dyDescent="0.55000000000000004">
      <c r="A1502">
        <v>107</v>
      </c>
      <c r="B1502" t="str">
        <f t="shared" si="23"/>
        <v>107_0</v>
      </c>
      <c r="C1502" t="s">
        <v>126</v>
      </c>
      <c r="D1502" t="s">
        <v>143</v>
      </c>
      <c r="E1502" t="s">
        <v>131</v>
      </c>
      <c r="F1502">
        <v>0</v>
      </c>
    </row>
    <row r="1503" spans="1:7" x14ac:dyDescent="0.55000000000000004">
      <c r="A1503">
        <v>107</v>
      </c>
      <c r="B1503" t="str">
        <f t="shared" si="23"/>
        <v>107_0</v>
      </c>
      <c r="C1503" t="s">
        <v>126</v>
      </c>
      <c r="D1503" t="s">
        <v>144</v>
      </c>
      <c r="E1503" t="s">
        <v>139</v>
      </c>
      <c r="F1503">
        <v>0</v>
      </c>
    </row>
    <row r="1504" spans="1:7" x14ac:dyDescent="0.55000000000000004">
      <c r="A1504">
        <v>107</v>
      </c>
      <c r="B1504" t="str">
        <f t="shared" si="23"/>
        <v>107_0</v>
      </c>
      <c r="C1504" t="s">
        <v>126</v>
      </c>
      <c r="D1504" t="s">
        <v>145</v>
      </c>
      <c r="E1504" t="s">
        <v>139</v>
      </c>
      <c r="F1504">
        <v>0</v>
      </c>
    </row>
    <row r="1505" spans="1:6" x14ac:dyDescent="0.55000000000000004">
      <c r="A1505">
        <v>107</v>
      </c>
      <c r="B1505" t="str">
        <f t="shared" si="23"/>
        <v>107_0</v>
      </c>
      <c r="C1505" t="s">
        <v>126</v>
      </c>
      <c r="D1505" t="s">
        <v>146</v>
      </c>
      <c r="E1505" t="s">
        <v>139</v>
      </c>
      <c r="F1505">
        <v>0</v>
      </c>
    </row>
    <row r="1506" spans="1:6" x14ac:dyDescent="0.55000000000000004">
      <c r="A1506">
        <v>107</v>
      </c>
      <c r="B1506" t="str">
        <f t="shared" si="23"/>
        <v>107_0</v>
      </c>
      <c r="C1506" t="s">
        <v>126</v>
      </c>
      <c r="D1506" t="s">
        <v>147</v>
      </c>
      <c r="E1506" t="s">
        <v>139</v>
      </c>
      <c r="F1506">
        <v>50</v>
      </c>
    </row>
    <row r="1507" spans="1:6" x14ac:dyDescent="0.55000000000000004">
      <c r="A1507">
        <v>107</v>
      </c>
      <c r="B1507" t="str">
        <f t="shared" si="23"/>
        <v>107_0</v>
      </c>
      <c r="C1507" t="s">
        <v>126</v>
      </c>
      <c r="D1507" t="s">
        <v>148</v>
      </c>
      <c r="E1507" t="s">
        <v>139</v>
      </c>
      <c r="F1507">
        <v>50</v>
      </c>
    </row>
    <row r="1508" spans="1:6" x14ac:dyDescent="0.55000000000000004">
      <c r="A1508">
        <v>107</v>
      </c>
      <c r="B1508" t="str">
        <f t="shared" si="23"/>
        <v>107_0</v>
      </c>
      <c r="C1508" t="s">
        <v>126</v>
      </c>
      <c r="D1508" t="s">
        <v>149</v>
      </c>
      <c r="E1508" t="s">
        <v>139</v>
      </c>
      <c r="F1508">
        <v>0</v>
      </c>
    </row>
    <row r="1509" spans="1:6" x14ac:dyDescent="0.55000000000000004">
      <c r="A1509">
        <v>107</v>
      </c>
      <c r="B1509" t="str">
        <f t="shared" si="23"/>
        <v>107_0</v>
      </c>
      <c r="C1509" t="s">
        <v>126</v>
      </c>
      <c r="D1509" t="s">
        <v>150</v>
      </c>
      <c r="E1509" t="s">
        <v>139</v>
      </c>
      <c r="F1509">
        <v>0</v>
      </c>
    </row>
    <row r="1510" spans="1:6" x14ac:dyDescent="0.55000000000000004">
      <c r="A1510">
        <v>107</v>
      </c>
      <c r="B1510" t="str">
        <f t="shared" si="23"/>
        <v>107_0</v>
      </c>
      <c r="C1510" t="s">
        <v>126</v>
      </c>
      <c r="D1510" t="s">
        <v>151</v>
      </c>
      <c r="E1510" t="s">
        <v>139</v>
      </c>
      <c r="F1510">
        <v>0</v>
      </c>
    </row>
    <row r="1511" spans="1:6" x14ac:dyDescent="0.55000000000000004">
      <c r="A1511">
        <v>107</v>
      </c>
      <c r="B1511" t="str">
        <f t="shared" si="23"/>
        <v>107_0</v>
      </c>
      <c r="C1511" t="s">
        <v>126</v>
      </c>
      <c r="D1511" t="s">
        <v>152</v>
      </c>
      <c r="E1511" t="s">
        <v>153</v>
      </c>
    </row>
    <row r="1512" spans="1:6" x14ac:dyDescent="0.55000000000000004">
      <c r="A1512">
        <v>107</v>
      </c>
      <c r="B1512" t="str">
        <f t="shared" si="23"/>
        <v>107_0</v>
      </c>
      <c r="C1512" t="s">
        <v>154</v>
      </c>
      <c r="D1512" t="s">
        <v>155</v>
      </c>
      <c r="E1512" t="s">
        <v>156</v>
      </c>
      <c r="F1512">
        <v>18</v>
      </c>
    </row>
    <row r="1513" spans="1:6" x14ac:dyDescent="0.55000000000000004">
      <c r="A1513">
        <v>107</v>
      </c>
      <c r="B1513" t="str">
        <f t="shared" si="23"/>
        <v>107_0</v>
      </c>
      <c r="C1513" t="s">
        <v>154</v>
      </c>
      <c r="D1513" t="s">
        <v>157</v>
      </c>
      <c r="E1513" t="s">
        <v>158</v>
      </c>
      <c r="F1513">
        <v>9.66</v>
      </c>
    </row>
    <row r="1514" spans="1:6" x14ac:dyDescent="0.55000000000000004">
      <c r="A1514">
        <v>107</v>
      </c>
      <c r="B1514" t="str">
        <f t="shared" si="23"/>
        <v>107_0</v>
      </c>
      <c r="C1514" t="s">
        <v>154</v>
      </c>
      <c r="D1514" t="s">
        <v>159</v>
      </c>
      <c r="E1514" t="s">
        <v>139</v>
      </c>
      <c r="F1514">
        <v>101.8</v>
      </c>
    </row>
    <row r="1515" spans="1:6" x14ac:dyDescent="0.55000000000000004">
      <c r="A1515">
        <v>107</v>
      </c>
      <c r="B1515" t="str">
        <f t="shared" si="23"/>
        <v>107_0</v>
      </c>
      <c r="C1515" t="s">
        <v>154</v>
      </c>
      <c r="D1515" t="s">
        <v>160</v>
      </c>
      <c r="E1515" t="s">
        <v>161</v>
      </c>
      <c r="F1515">
        <v>137.69999999999999</v>
      </c>
    </row>
    <row r="1516" spans="1:6" x14ac:dyDescent="0.55000000000000004">
      <c r="A1516">
        <v>107</v>
      </c>
      <c r="B1516" t="str">
        <f t="shared" si="23"/>
        <v>107_0</v>
      </c>
      <c r="C1516" t="s">
        <v>154</v>
      </c>
      <c r="D1516" t="s">
        <v>162</v>
      </c>
      <c r="F1516">
        <v>7.89</v>
      </c>
    </row>
    <row r="1517" spans="1:6" x14ac:dyDescent="0.55000000000000004">
      <c r="A1517">
        <v>107</v>
      </c>
      <c r="B1517" t="str">
        <f t="shared" si="23"/>
        <v>107_0</v>
      </c>
      <c r="C1517" t="s">
        <v>163</v>
      </c>
      <c r="D1517" t="s">
        <v>164</v>
      </c>
      <c r="E1517" t="s">
        <v>139</v>
      </c>
      <c r="F1517">
        <v>0</v>
      </c>
    </row>
    <row r="1518" spans="1:6" x14ac:dyDescent="0.55000000000000004">
      <c r="A1518">
        <v>107</v>
      </c>
      <c r="B1518" t="str">
        <f t="shared" si="23"/>
        <v>107_0</v>
      </c>
      <c r="C1518" t="s">
        <v>163</v>
      </c>
      <c r="D1518" t="s">
        <v>165</v>
      </c>
    </row>
    <row r="1519" spans="1:6" x14ac:dyDescent="0.55000000000000004">
      <c r="A1519">
        <v>107</v>
      </c>
      <c r="B1519" t="str">
        <f t="shared" si="23"/>
        <v>107_0</v>
      </c>
      <c r="C1519" t="s">
        <v>163</v>
      </c>
      <c r="D1519" t="s">
        <v>166</v>
      </c>
      <c r="E1519" t="s">
        <v>139</v>
      </c>
      <c r="F1519">
        <v>0</v>
      </c>
    </row>
    <row r="1520" spans="1:6" x14ac:dyDescent="0.55000000000000004">
      <c r="A1520">
        <v>107</v>
      </c>
      <c r="B1520" t="str">
        <f t="shared" si="23"/>
        <v>107_0</v>
      </c>
      <c r="C1520" t="s">
        <v>163</v>
      </c>
      <c r="D1520" t="s">
        <v>167</v>
      </c>
    </row>
    <row r="1521" spans="1:7" x14ac:dyDescent="0.55000000000000004">
      <c r="A1521">
        <v>107</v>
      </c>
      <c r="B1521" t="str">
        <f t="shared" si="23"/>
        <v>107_0</v>
      </c>
      <c r="C1521" t="s">
        <v>163</v>
      </c>
      <c r="D1521" t="s">
        <v>168</v>
      </c>
      <c r="E1521" t="s">
        <v>131</v>
      </c>
      <c r="F1521">
        <v>0</v>
      </c>
    </row>
    <row r="1522" spans="1:7" x14ac:dyDescent="0.55000000000000004">
      <c r="A1522">
        <v>107</v>
      </c>
      <c r="B1522" t="str">
        <f t="shared" si="23"/>
        <v>107_0</v>
      </c>
      <c r="C1522" t="s">
        <v>163</v>
      </c>
      <c r="D1522" t="s">
        <v>169</v>
      </c>
    </row>
    <row r="1523" spans="1:7" x14ac:dyDescent="0.55000000000000004">
      <c r="A1523">
        <v>107</v>
      </c>
      <c r="B1523" t="str">
        <f t="shared" si="23"/>
        <v>107_0</v>
      </c>
      <c r="C1523" t="s">
        <v>163</v>
      </c>
      <c r="D1523" t="s">
        <v>170</v>
      </c>
      <c r="E1523" t="s">
        <v>139</v>
      </c>
      <c r="F1523">
        <v>0</v>
      </c>
    </row>
    <row r="1524" spans="1:7" x14ac:dyDescent="0.55000000000000004">
      <c r="A1524">
        <v>107</v>
      </c>
      <c r="B1524" t="str">
        <f t="shared" si="23"/>
        <v>107_0</v>
      </c>
      <c r="C1524" t="s">
        <v>163</v>
      </c>
      <c r="D1524" t="s">
        <v>171</v>
      </c>
    </row>
    <row r="1525" spans="1:7" x14ac:dyDescent="0.55000000000000004">
      <c r="A1525">
        <v>108</v>
      </c>
      <c r="B1525" t="str">
        <f t="shared" si="23"/>
        <v>108_0</v>
      </c>
      <c r="C1525" t="s">
        <v>126</v>
      </c>
      <c r="D1525" t="s">
        <v>127</v>
      </c>
      <c r="E1525" t="s">
        <v>128</v>
      </c>
      <c r="F1525" s="1"/>
      <c r="G1525" t="s">
        <v>129</v>
      </c>
    </row>
    <row r="1526" spans="1:7" x14ac:dyDescent="0.55000000000000004">
      <c r="A1526">
        <v>108</v>
      </c>
      <c r="B1526" t="str">
        <f t="shared" si="23"/>
        <v>108_0</v>
      </c>
      <c r="C1526" t="s">
        <v>126</v>
      </c>
      <c r="D1526" s="11" t="s">
        <v>130</v>
      </c>
      <c r="E1526" t="s">
        <v>131</v>
      </c>
      <c r="F1526">
        <v>1</v>
      </c>
    </row>
    <row r="1527" spans="1:7" x14ac:dyDescent="0.55000000000000004">
      <c r="A1527">
        <v>108</v>
      </c>
      <c r="B1527" t="str">
        <f t="shared" si="23"/>
        <v>108_0</v>
      </c>
      <c r="C1527" t="s">
        <v>126</v>
      </c>
      <c r="D1527" t="s">
        <v>132</v>
      </c>
      <c r="E1527" t="s">
        <v>133</v>
      </c>
    </row>
    <row r="1528" spans="1:7" x14ac:dyDescent="0.55000000000000004">
      <c r="A1528">
        <v>108</v>
      </c>
      <c r="B1528" t="str">
        <f t="shared" si="23"/>
        <v>108_0</v>
      </c>
      <c r="C1528" t="s">
        <v>126</v>
      </c>
      <c r="D1528" t="s">
        <v>134</v>
      </c>
      <c r="E1528" t="s">
        <v>133</v>
      </c>
      <c r="F1528">
        <v>1.5</v>
      </c>
    </row>
    <row r="1529" spans="1:7" x14ac:dyDescent="0.55000000000000004">
      <c r="A1529">
        <v>108</v>
      </c>
      <c r="B1529" t="str">
        <f t="shared" si="23"/>
        <v>108_0</v>
      </c>
      <c r="C1529" t="s">
        <v>126</v>
      </c>
      <c r="D1529" t="s">
        <v>135</v>
      </c>
      <c r="E1529" t="s">
        <v>136</v>
      </c>
      <c r="F1529">
        <f>F1528/10</f>
        <v>0.15</v>
      </c>
      <c r="G1529" t="s">
        <v>137</v>
      </c>
    </row>
    <row r="1530" spans="1:7" x14ac:dyDescent="0.55000000000000004">
      <c r="A1530">
        <v>108</v>
      </c>
      <c r="B1530" t="str">
        <f t="shared" si="23"/>
        <v>108_0</v>
      </c>
      <c r="C1530" t="s">
        <v>126</v>
      </c>
      <c r="D1530" s="2" t="s">
        <v>138</v>
      </c>
      <c r="E1530" t="s">
        <v>139</v>
      </c>
      <c r="F1530">
        <v>0</v>
      </c>
    </row>
    <row r="1531" spans="1:7" x14ac:dyDescent="0.55000000000000004">
      <c r="A1531">
        <v>108</v>
      </c>
      <c r="B1531" t="str">
        <f t="shared" si="23"/>
        <v>108_0</v>
      </c>
      <c r="C1531" t="s">
        <v>126</v>
      </c>
      <c r="D1531" s="2" t="s">
        <v>140</v>
      </c>
    </row>
    <row r="1532" spans="1:7" x14ac:dyDescent="0.55000000000000004">
      <c r="A1532">
        <v>108</v>
      </c>
      <c r="B1532" t="str">
        <f t="shared" si="23"/>
        <v>108_0</v>
      </c>
      <c r="C1532" t="s">
        <v>126</v>
      </c>
      <c r="D1532" s="2" t="s">
        <v>141</v>
      </c>
      <c r="E1532" t="s">
        <v>139</v>
      </c>
      <c r="F1532">
        <v>0</v>
      </c>
    </row>
    <row r="1533" spans="1:7" x14ac:dyDescent="0.55000000000000004">
      <c r="A1533">
        <v>108</v>
      </c>
      <c r="B1533" t="str">
        <f t="shared" si="23"/>
        <v>108_0</v>
      </c>
      <c r="C1533" t="s">
        <v>126</v>
      </c>
      <c r="D1533" t="s">
        <v>142</v>
      </c>
      <c r="E1533" t="s">
        <v>139</v>
      </c>
      <c r="F1533">
        <v>0</v>
      </c>
    </row>
    <row r="1534" spans="1:7" x14ac:dyDescent="0.55000000000000004">
      <c r="A1534">
        <v>108</v>
      </c>
      <c r="B1534" t="str">
        <f t="shared" si="23"/>
        <v>108_0</v>
      </c>
      <c r="C1534" t="s">
        <v>126</v>
      </c>
      <c r="D1534" t="s">
        <v>143</v>
      </c>
      <c r="E1534" t="s">
        <v>131</v>
      </c>
      <c r="F1534">
        <v>0</v>
      </c>
    </row>
    <row r="1535" spans="1:7" x14ac:dyDescent="0.55000000000000004">
      <c r="A1535">
        <v>108</v>
      </c>
      <c r="B1535" t="str">
        <f t="shared" si="23"/>
        <v>108_0</v>
      </c>
      <c r="C1535" t="s">
        <v>126</v>
      </c>
      <c r="D1535" t="s">
        <v>144</v>
      </c>
      <c r="E1535" t="s">
        <v>139</v>
      </c>
      <c r="F1535">
        <v>0</v>
      </c>
    </row>
    <row r="1536" spans="1:7" x14ac:dyDescent="0.55000000000000004">
      <c r="A1536">
        <v>108</v>
      </c>
      <c r="B1536" t="str">
        <f t="shared" si="23"/>
        <v>108_0</v>
      </c>
      <c r="C1536" t="s">
        <v>126</v>
      </c>
      <c r="D1536" t="s">
        <v>145</v>
      </c>
      <c r="E1536" t="s">
        <v>139</v>
      </c>
      <c r="F1536">
        <v>0</v>
      </c>
    </row>
    <row r="1537" spans="1:6" x14ac:dyDescent="0.55000000000000004">
      <c r="A1537">
        <v>108</v>
      </c>
      <c r="B1537" t="str">
        <f t="shared" si="23"/>
        <v>108_0</v>
      </c>
      <c r="C1537" t="s">
        <v>126</v>
      </c>
      <c r="D1537" t="s">
        <v>146</v>
      </c>
      <c r="E1537" t="s">
        <v>139</v>
      </c>
      <c r="F1537">
        <v>0</v>
      </c>
    </row>
    <row r="1538" spans="1:6" x14ac:dyDescent="0.55000000000000004">
      <c r="A1538">
        <v>108</v>
      </c>
      <c r="B1538" t="str">
        <f t="shared" si="23"/>
        <v>108_0</v>
      </c>
      <c r="C1538" t="s">
        <v>126</v>
      </c>
      <c r="D1538" t="s">
        <v>147</v>
      </c>
      <c r="E1538" t="s">
        <v>139</v>
      </c>
      <c r="F1538">
        <v>0</v>
      </c>
    </row>
    <row r="1539" spans="1:6" x14ac:dyDescent="0.55000000000000004">
      <c r="A1539">
        <v>108</v>
      </c>
      <c r="B1539" t="str">
        <f t="shared" ref="B1539:B1634" si="24">A1539 &amp; "_0"</f>
        <v>108_0</v>
      </c>
      <c r="C1539" t="s">
        <v>126</v>
      </c>
      <c r="D1539" t="s">
        <v>148</v>
      </c>
      <c r="E1539" t="s">
        <v>139</v>
      </c>
      <c r="F1539">
        <v>100</v>
      </c>
    </row>
    <row r="1540" spans="1:6" x14ac:dyDescent="0.55000000000000004">
      <c r="A1540">
        <v>108</v>
      </c>
      <c r="B1540" t="str">
        <f t="shared" si="24"/>
        <v>108_0</v>
      </c>
      <c r="C1540" t="s">
        <v>126</v>
      </c>
      <c r="D1540" t="s">
        <v>149</v>
      </c>
      <c r="E1540" t="s">
        <v>139</v>
      </c>
      <c r="F1540">
        <v>0</v>
      </c>
    </row>
    <row r="1541" spans="1:6" x14ac:dyDescent="0.55000000000000004">
      <c r="A1541">
        <v>108</v>
      </c>
      <c r="B1541" t="str">
        <f t="shared" si="24"/>
        <v>108_0</v>
      </c>
      <c r="C1541" t="s">
        <v>126</v>
      </c>
      <c r="D1541" t="s">
        <v>150</v>
      </c>
      <c r="E1541" t="s">
        <v>139</v>
      </c>
      <c r="F1541">
        <v>0</v>
      </c>
    </row>
    <row r="1542" spans="1:6" x14ac:dyDescent="0.55000000000000004">
      <c r="A1542">
        <v>108</v>
      </c>
      <c r="B1542" t="str">
        <f t="shared" si="24"/>
        <v>108_0</v>
      </c>
      <c r="C1542" t="s">
        <v>126</v>
      </c>
      <c r="D1542" t="s">
        <v>151</v>
      </c>
      <c r="E1542" t="s">
        <v>139</v>
      </c>
      <c r="F1542">
        <v>0</v>
      </c>
    </row>
    <row r="1543" spans="1:6" x14ac:dyDescent="0.55000000000000004">
      <c r="A1543">
        <v>108</v>
      </c>
      <c r="B1543" t="str">
        <f t="shared" si="24"/>
        <v>108_0</v>
      </c>
      <c r="C1543" t="s">
        <v>126</v>
      </c>
      <c r="D1543" t="s">
        <v>152</v>
      </c>
      <c r="E1543" t="s">
        <v>153</v>
      </c>
    </row>
    <row r="1544" spans="1:6" x14ac:dyDescent="0.55000000000000004">
      <c r="A1544">
        <v>108</v>
      </c>
      <c r="B1544" t="str">
        <f t="shared" si="24"/>
        <v>108_0</v>
      </c>
      <c r="C1544" t="s">
        <v>154</v>
      </c>
      <c r="D1544" t="s">
        <v>155</v>
      </c>
      <c r="E1544" t="s">
        <v>156</v>
      </c>
      <c r="F1544">
        <v>16.899999999999999</v>
      </c>
    </row>
    <row r="1545" spans="1:6" x14ac:dyDescent="0.55000000000000004">
      <c r="A1545">
        <v>108</v>
      </c>
      <c r="B1545" t="str">
        <f t="shared" si="24"/>
        <v>108_0</v>
      </c>
      <c r="C1545" t="s">
        <v>154</v>
      </c>
      <c r="D1545" t="s">
        <v>157</v>
      </c>
      <c r="E1545" t="s">
        <v>158</v>
      </c>
      <c r="F1545">
        <v>10.31</v>
      </c>
    </row>
    <row r="1546" spans="1:6" x14ac:dyDescent="0.55000000000000004">
      <c r="A1546">
        <v>108</v>
      </c>
      <c r="B1546" t="str">
        <f t="shared" si="24"/>
        <v>108_0</v>
      </c>
      <c r="C1546" t="s">
        <v>154</v>
      </c>
      <c r="D1546" t="s">
        <v>159</v>
      </c>
      <c r="E1546" t="s">
        <v>139</v>
      </c>
      <c r="F1546">
        <v>106.5</v>
      </c>
    </row>
    <row r="1547" spans="1:6" x14ac:dyDescent="0.55000000000000004">
      <c r="A1547">
        <v>108</v>
      </c>
      <c r="B1547" t="str">
        <f t="shared" si="24"/>
        <v>108_0</v>
      </c>
      <c r="C1547" t="s">
        <v>154</v>
      </c>
      <c r="D1547" t="s">
        <v>160</v>
      </c>
      <c r="E1547" t="s">
        <v>161</v>
      </c>
      <c r="F1547">
        <v>145.19999999999999</v>
      </c>
    </row>
    <row r="1548" spans="1:6" x14ac:dyDescent="0.55000000000000004">
      <c r="A1548">
        <v>108</v>
      </c>
      <c r="B1548" t="str">
        <f t="shared" si="24"/>
        <v>108_0</v>
      </c>
      <c r="C1548" t="s">
        <v>154</v>
      </c>
      <c r="D1548" t="s">
        <v>162</v>
      </c>
      <c r="F1548">
        <v>6.44</v>
      </c>
    </row>
    <row r="1549" spans="1:6" x14ac:dyDescent="0.55000000000000004">
      <c r="A1549">
        <v>108</v>
      </c>
      <c r="B1549" t="str">
        <f t="shared" si="24"/>
        <v>108_0</v>
      </c>
      <c r="C1549" t="s">
        <v>163</v>
      </c>
      <c r="D1549" t="s">
        <v>164</v>
      </c>
      <c r="E1549" t="s">
        <v>139</v>
      </c>
      <c r="F1549">
        <v>5</v>
      </c>
    </row>
    <row r="1550" spans="1:6" x14ac:dyDescent="0.55000000000000004">
      <c r="A1550">
        <v>108</v>
      </c>
      <c r="B1550" t="str">
        <f t="shared" si="24"/>
        <v>108_0</v>
      </c>
      <c r="C1550" t="s">
        <v>163</v>
      </c>
      <c r="D1550" t="s">
        <v>165</v>
      </c>
    </row>
    <row r="1551" spans="1:6" x14ac:dyDescent="0.55000000000000004">
      <c r="A1551">
        <v>108</v>
      </c>
      <c r="B1551" t="str">
        <f t="shared" si="24"/>
        <v>108_0</v>
      </c>
      <c r="C1551" t="s">
        <v>163</v>
      </c>
      <c r="D1551" t="s">
        <v>166</v>
      </c>
      <c r="E1551" t="s">
        <v>139</v>
      </c>
      <c r="F1551">
        <v>40</v>
      </c>
    </row>
    <row r="1552" spans="1:6" x14ac:dyDescent="0.55000000000000004">
      <c r="A1552">
        <v>108</v>
      </c>
      <c r="B1552" t="str">
        <f t="shared" si="24"/>
        <v>108_0</v>
      </c>
      <c r="C1552" t="s">
        <v>163</v>
      </c>
      <c r="D1552" t="s">
        <v>167</v>
      </c>
    </row>
    <row r="1553" spans="1:6" x14ac:dyDescent="0.55000000000000004">
      <c r="A1553">
        <v>108</v>
      </c>
      <c r="B1553" t="str">
        <f t="shared" si="24"/>
        <v>108_0</v>
      </c>
      <c r="C1553" t="s">
        <v>163</v>
      </c>
      <c r="D1553" t="s">
        <v>168</v>
      </c>
      <c r="E1553" t="s">
        <v>131</v>
      </c>
      <c r="F1553">
        <v>0</v>
      </c>
    </row>
    <row r="1554" spans="1:6" x14ac:dyDescent="0.55000000000000004">
      <c r="A1554">
        <v>108</v>
      </c>
      <c r="B1554" t="str">
        <f t="shared" si="24"/>
        <v>108_0</v>
      </c>
      <c r="C1554" t="s">
        <v>163</v>
      </c>
      <c r="D1554" t="s">
        <v>169</v>
      </c>
    </row>
    <row r="1555" spans="1:6" x14ac:dyDescent="0.55000000000000004">
      <c r="A1555">
        <v>108</v>
      </c>
      <c r="B1555" t="str">
        <f t="shared" si="24"/>
        <v>108_0</v>
      </c>
      <c r="C1555" t="s">
        <v>163</v>
      </c>
      <c r="D1555" t="s">
        <v>170</v>
      </c>
      <c r="E1555" t="s">
        <v>139</v>
      </c>
      <c r="F1555">
        <v>0</v>
      </c>
    </row>
    <row r="1556" spans="1:6" x14ac:dyDescent="0.55000000000000004">
      <c r="A1556">
        <v>108</v>
      </c>
      <c r="B1556" t="str">
        <f t="shared" si="24"/>
        <v>108_0</v>
      </c>
      <c r="C1556" t="s">
        <v>163</v>
      </c>
      <c r="D1556" t="s">
        <v>171</v>
      </c>
    </row>
    <row r="1557" spans="1:6" x14ac:dyDescent="0.55000000000000004">
      <c r="A1557">
        <v>109</v>
      </c>
      <c r="B1557" t="str">
        <f t="shared" si="24"/>
        <v>109_0</v>
      </c>
      <c r="C1557" t="s">
        <v>126</v>
      </c>
      <c r="D1557" t="s">
        <v>127</v>
      </c>
      <c r="E1557" t="s">
        <v>128</v>
      </c>
      <c r="F1557" s="1"/>
    </row>
    <row r="1558" spans="1:6" x14ac:dyDescent="0.55000000000000004">
      <c r="A1558">
        <v>109</v>
      </c>
      <c r="B1558" t="str">
        <f t="shared" si="24"/>
        <v>109_0</v>
      </c>
      <c r="C1558" t="s">
        <v>126</v>
      </c>
      <c r="D1558" s="11" t="s">
        <v>130</v>
      </c>
      <c r="E1558" t="s">
        <v>131</v>
      </c>
      <c r="F1558">
        <v>1</v>
      </c>
    </row>
    <row r="1559" spans="1:6" x14ac:dyDescent="0.55000000000000004">
      <c r="A1559">
        <v>109</v>
      </c>
      <c r="B1559" t="str">
        <f t="shared" si="24"/>
        <v>109_0</v>
      </c>
      <c r="C1559" t="s">
        <v>126</v>
      </c>
      <c r="D1559" t="s">
        <v>132</v>
      </c>
      <c r="E1559" t="s">
        <v>133</v>
      </c>
    </row>
    <row r="1560" spans="1:6" x14ac:dyDescent="0.55000000000000004">
      <c r="A1560">
        <v>109</v>
      </c>
      <c r="B1560" t="str">
        <f t="shared" si="24"/>
        <v>109_0</v>
      </c>
      <c r="C1560" t="s">
        <v>126</v>
      </c>
      <c r="D1560" t="s">
        <v>134</v>
      </c>
      <c r="E1560" t="s">
        <v>133</v>
      </c>
      <c r="F1560">
        <v>1.5</v>
      </c>
    </row>
    <row r="1561" spans="1:6" x14ac:dyDescent="0.55000000000000004">
      <c r="A1561">
        <v>109</v>
      </c>
      <c r="B1561" t="str">
        <f t="shared" si="24"/>
        <v>109_0</v>
      </c>
      <c r="C1561" t="s">
        <v>126</v>
      </c>
      <c r="D1561" t="s">
        <v>135</v>
      </c>
      <c r="E1561" t="s">
        <v>136</v>
      </c>
      <c r="F1561">
        <f>F1560/10</f>
        <v>0.15</v>
      </c>
    </row>
    <row r="1562" spans="1:6" x14ac:dyDescent="0.55000000000000004">
      <c r="A1562">
        <v>109</v>
      </c>
      <c r="B1562" t="str">
        <f t="shared" si="24"/>
        <v>109_0</v>
      </c>
      <c r="C1562" t="s">
        <v>126</v>
      </c>
      <c r="D1562" s="2" t="s">
        <v>138</v>
      </c>
      <c r="E1562" t="s">
        <v>139</v>
      </c>
      <c r="F1562">
        <v>100</v>
      </c>
    </row>
    <row r="1563" spans="1:6" x14ac:dyDescent="0.55000000000000004">
      <c r="A1563">
        <v>109</v>
      </c>
      <c r="B1563" t="str">
        <f t="shared" si="24"/>
        <v>109_0</v>
      </c>
      <c r="C1563" t="s">
        <v>126</v>
      </c>
      <c r="D1563" s="2" t="s">
        <v>140</v>
      </c>
    </row>
    <row r="1564" spans="1:6" x14ac:dyDescent="0.55000000000000004">
      <c r="A1564">
        <v>109</v>
      </c>
      <c r="B1564" t="str">
        <f t="shared" si="24"/>
        <v>109_0</v>
      </c>
      <c r="C1564" t="s">
        <v>126</v>
      </c>
      <c r="D1564" s="2" t="s">
        <v>141</v>
      </c>
      <c r="E1564" t="s">
        <v>139</v>
      </c>
      <c r="F1564">
        <v>100</v>
      </c>
    </row>
    <row r="1565" spans="1:6" x14ac:dyDescent="0.55000000000000004">
      <c r="A1565">
        <v>109</v>
      </c>
      <c r="B1565" t="str">
        <f t="shared" si="24"/>
        <v>109_0</v>
      </c>
      <c r="C1565" t="s">
        <v>126</v>
      </c>
      <c r="D1565" t="s">
        <v>142</v>
      </c>
      <c r="E1565" t="s">
        <v>139</v>
      </c>
      <c r="F1565">
        <v>0</v>
      </c>
    </row>
    <row r="1566" spans="1:6" x14ac:dyDescent="0.55000000000000004">
      <c r="A1566">
        <v>109</v>
      </c>
      <c r="B1566" t="str">
        <f t="shared" si="24"/>
        <v>109_0</v>
      </c>
      <c r="C1566" t="s">
        <v>126</v>
      </c>
      <c r="D1566" t="s">
        <v>143</v>
      </c>
      <c r="E1566" t="s">
        <v>131</v>
      </c>
      <c r="F1566">
        <v>0</v>
      </c>
    </row>
    <row r="1567" spans="1:6" x14ac:dyDescent="0.55000000000000004">
      <c r="A1567">
        <v>109</v>
      </c>
      <c r="B1567" t="str">
        <f t="shared" si="24"/>
        <v>109_0</v>
      </c>
      <c r="C1567" t="s">
        <v>126</v>
      </c>
      <c r="D1567" t="s">
        <v>144</v>
      </c>
      <c r="E1567" t="s">
        <v>139</v>
      </c>
      <c r="F1567">
        <v>0</v>
      </c>
    </row>
    <row r="1568" spans="1:6" x14ac:dyDescent="0.55000000000000004">
      <c r="A1568">
        <v>109</v>
      </c>
      <c r="B1568" t="str">
        <f t="shared" si="24"/>
        <v>109_0</v>
      </c>
      <c r="C1568" t="s">
        <v>126</v>
      </c>
      <c r="D1568" t="s">
        <v>145</v>
      </c>
      <c r="E1568" t="s">
        <v>139</v>
      </c>
      <c r="F1568">
        <v>30</v>
      </c>
    </row>
    <row r="1569" spans="1:6" x14ac:dyDescent="0.55000000000000004">
      <c r="A1569">
        <v>109</v>
      </c>
      <c r="B1569" t="str">
        <f t="shared" si="24"/>
        <v>109_0</v>
      </c>
      <c r="C1569" t="s">
        <v>126</v>
      </c>
      <c r="D1569" t="s">
        <v>146</v>
      </c>
      <c r="E1569" t="s">
        <v>139</v>
      </c>
      <c r="F1569">
        <v>0</v>
      </c>
    </row>
    <row r="1570" spans="1:6" x14ac:dyDescent="0.55000000000000004">
      <c r="A1570">
        <v>109</v>
      </c>
      <c r="B1570" t="str">
        <f t="shared" si="24"/>
        <v>109_0</v>
      </c>
      <c r="C1570" t="s">
        <v>126</v>
      </c>
      <c r="D1570" t="s">
        <v>147</v>
      </c>
      <c r="E1570" t="s">
        <v>139</v>
      </c>
      <c r="F1570">
        <v>0</v>
      </c>
    </row>
    <row r="1571" spans="1:6" x14ac:dyDescent="0.55000000000000004">
      <c r="A1571">
        <v>109</v>
      </c>
      <c r="B1571" t="str">
        <f t="shared" si="24"/>
        <v>109_0</v>
      </c>
      <c r="C1571" t="s">
        <v>126</v>
      </c>
      <c r="D1571" t="s">
        <v>148</v>
      </c>
      <c r="E1571" t="s">
        <v>139</v>
      </c>
      <c r="F1571">
        <v>70</v>
      </c>
    </row>
    <row r="1572" spans="1:6" x14ac:dyDescent="0.55000000000000004">
      <c r="A1572">
        <v>109</v>
      </c>
      <c r="B1572" t="str">
        <f t="shared" si="24"/>
        <v>109_0</v>
      </c>
      <c r="C1572" t="s">
        <v>126</v>
      </c>
      <c r="D1572" t="s">
        <v>149</v>
      </c>
      <c r="E1572" t="s">
        <v>139</v>
      </c>
      <c r="F1572">
        <v>0</v>
      </c>
    </row>
    <row r="1573" spans="1:6" x14ac:dyDescent="0.55000000000000004">
      <c r="A1573">
        <v>109</v>
      </c>
      <c r="B1573" t="str">
        <f t="shared" si="24"/>
        <v>109_0</v>
      </c>
      <c r="C1573" t="s">
        <v>126</v>
      </c>
      <c r="D1573" t="s">
        <v>150</v>
      </c>
      <c r="E1573" t="s">
        <v>139</v>
      </c>
      <c r="F1573">
        <v>0</v>
      </c>
    </row>
    <row r="1574" spans="1:6" x14ac:dyDescent="0.55000000000000004">
      <c r="A1574">
        <v>109</v>
      </c>
      <c r="B1574" t="str">
        <f t="shared" si="24"/>
        <v>109_0</v>
      </c>
      <c r="C1574" t="s">
        <v>126</v>
      </c>
      <c r="D1574" t="s">
        <v>151</v>
      </c>
      <c r="E1574" t="s">
        <v>139</v>
      </c>
      <c r="F1574">
        <v>0</v>
      </c>
    </row>
    <row r="1575" spans="1:6" x14ac:dyDescent="0.55000000000000004">
      <c r="A1575">
        <v>109</v>
      </c>
      <c r="B1575" t="str">
        <f t="shared" si="24"/>
        <v>109_0</v>
      </c>
      <c r="C1575" t="s">
        <v>126</v>
      </c>
      <c r="D1575" t="s">
        <v>152</v>
      </c>
      <c r="E1575" t="s">
        <v>153</v>
      </c>
    </row>
    <row r="1576" spans="1:6" x14ac:dyDescent="0.55000000000000004">
      <c r="A1576">
        <v>109</v>
      </c>
      <c r="B1576" t="str">
        <f t="shared" si="24"/>
        <v>109_0</v>
      </c>
      <c r="C1576" t="s">
        <v>154</v>
      </c>
      <c r="D1576" t="s">
        <v>155</v>
      </c>
      <c r="E1576" t="s">
        <v>156</v>
      </c>
      <c r="F1576">
        <v>16.3</v>
      </c>
    </row>
    <row r="1577" spans="1:6" x14ac:dyDescent="0.55000000000000004">
      <c r="A1577">
        <v>109</v>
      </c>
      <c r="B1577" t="str">
        <f t="shared" si="24"/>
        <v>109_0</v>
      </c>
      <c r="C1577" t="s">
        <v>154</v>
      </c>
      <c r="D1577" t="s">
        <v>157</v>
      </c>
      <c r="E1577" t="s">
        <v>158</v>
      </c>
      <c r="F1577">
        <v>9.2100000000000009</v>
      </c>
    </row>
    <row r="1578" spans="1:6" x14ac:dyDescent="0.55000000000000004">
      <c r="A1578">
        <v>109</v>
      </c>
      <c r="B1578" t="str">
        <f t="shared" si="24"/>
        <v>109_0</v>
      </c>
      <c r="C1578" t="s">
        <v>154</v>
      </c>
      <c r="D1578" t="s">
        <v>159</v>
      </c>
      <c r="E1578" t="s">
        <v>139</v>
      </c>
      <c r="F1578">
        <v>93.8</v>
      </c>
    </row>
    <row r="1579" spans="1:6" x14ac:dyDescent="0.55000000000000004">
      <c r="A1579">
        <v>109</v>
      </c>
      <c r="B1579" t="str">
        <f t="shared" si="24"/>
        <v>109_0</v>
      </c>
      <c r="C1579" t="s">
        <v>154</v>
      </c>
      <c r="D1579" t="s">
        <v>160</v>
      </c>
      <c r="E1579" t="s">
        <v>161</v>
      </c>
      <c r="F1579">
        <v>61.9</v>
      </c>
    </row>
    <row r="1580" spans="1:6" x14ac:dyDescent="0.55000000000000004">
      <c r="A1580">
        <v>109</v>
      </c>
      <c r="B1580" t="str">
        <f t="shared" si="24"/>
        <v>109_0</v>
      </c>
      <c r="C1580" t="s">
        <v>154</v>
      </c>
      <c r="D1580" t="s">
        <v>162</v>
      </c>
      <c r="F1580">
        <v>8.2799999999999994</v>
      </c>
    </row>
    <row r="1581" spans="1:6" x14ac:dyDescent="0.55000000000000004">
      <c r="A1581">
        <v>109</v>
      </c>
      <c r="B1581" t="str">
        <f t="shared" si="24"/>
        <v>109_0</v>
      </c>
      <c r="C1581" t="s">
        <v>163</v>
      </c>
      <c r="D1581" t="s">
        <v>164</v>
      </c>
      <c r="E1581" t="s">
        <v>139</v>
      </c>
      <c r="F1581">
        <v>0</v>
      </c>
    </row>
    <row r="1582" spans="1:6" x14ac:dyDescent="0.55000000000000004">
      <c r="A1582">
        <v>109</v>
      </c>
      <c r="B1582" t="str">
        <f t="shared" si="24"/>
        <v>109_0</v>
      </c>
      <c r="C1582" t="s">
        <v>163</v>
      </c>
      <c r="D1582" t="s">
        <v>165</v>
      </c>
    </row>
    <row r="1583" spans="1:6" x14ac:dyDescent="0.55000000000000004">
      <c r="A1583">
        <v>109</v>
      </c>
      <c r="B1583" t="str">
        <f t="shared" si="24"/>
        <v>109_0</v>
      </c>
      <c r="C1583" t="s">
        <v>163</v>
      </c>
      <c r="D1583" t="s">
        <v>166</v>
      </c>
      <c r="E1583" t="s">
        <v>139</v>
      </c>
      <c r="F1583">
        <v>0</v>
      </c>
    </row>
    <row r="1584" spans="1:6" x14ac:dyDescent="0.55000000000000004">
      <c r="A1584">
        <v>109</v>
      </c>
      <c r="B1584" t="str">
        <f t="shared" si="24"/>
        <v>109_0</v>
      </c>
      <c r="C1584" t="s">
        <v>163</v>
      </c>
      <c r="D1584" t="s">
        <v>167</v>
      </c>
    </row>
    <row r="1585" spans="1:7" x14ac:dyDescent="0.55000000000000004">
      <c r="A1585">
        <v>109</v>
      </c>
      <c r="B1585" t="str">
        <f t="shared" si="24"/>
        <v>109_0</v>
      </c>
      <c r="C1585" t="s">
        <v>163</v>
      </c>
      <c r="D1585" t="s">
        <v>168</v>
      </c>
      <c r="E1585" t="s">
        <v>131</v>
      </c>
      <c r="F1585">
        <v>0</v>
      </c>
    </row>
    <row r="1586" spans="1:7" x14ac:dyDescent="0.55000000000000004">
      <c r="A1586">
        <v>109</v>
      </c>
      <c r="B1586" t="str">
        <f t="shared" si="24"/>
        <v>109_0</v>
      </c>
      <c r="C1586" t="s">
        <v>163</v>
      </c>
      <c r="D1586" t="s">
        <v>169</v>
      </c>
    </row>
    <row r="1587" spans="1:7" x14ac:dyDescent="0.55000000000000004">
      <c r="A1587">
        <v>109</v>
      </c>
      <c r="B1587" t="str">
        <f t="shared" si="24"/>
        <v>109_0</v>
      </c>
      <c r="C1587" t="s">
        <v>163</v>
      </c>
      <c r="D1587" t="s">
        <v>170</v>
      </c>
      <c r="E1587" t="s">
        <v>139</v>
      </c>
      <c r="F1587">
        <v>40</v>
      </c>
    </row>
    <row r="1588" spans="1:7" x14ac:dyDescent="0.55000000000000004">
      <c r="A1588">
        <v>109</v>
      </c>
      <c r="B1588" t="str">
        <f t="shared" si="24"/>
        <v>109_0</v>
      </c>
      <c r="C1588" t="s">
        <v>163</v>
      </c>
      <c r="D1588" t="s">
        <v>171</v>
      </c>
    </row>
    <row r="1589" spans="1:7" x14ac:dyDescent="0.55000000000000004">
      <c r="A1589">
        <v>109</v>
      </c>
      <c r="B1589" t="str">
        <f>A1589 &amp; "_1"</f>
        <v>109_1</v>
      </c>
      <c r="C1589" t="s">
        <v>126</v>
      </c>
      <c r="D1589" t="s">
        <v>127</v>
      </c>
      <c r="E1589" t="s">
        <v>128</v>
      </c>
      <c r="F1589" s="1"/>
      <c r="G1589" t="s">
        <v>129</v>
      </c>
    </row>
    <row r="1590" spans="1:7" x14ac:dyDescent="0.55000000000000004">
      <c r="A1590">
        <v>109</v>
      </c>
      <c r="B1590" t="str">
        <f t="shared" ref="B1590:B1620" si="25">A1590 &amp; "_1"</f>
        <v>109_1</v>
      </c>
      <c r="C1590" t="s">
        <v>126</v>
      </c>
      <c r="D1590" s="11" t="s">
        <v>130</v>
      </c>
      <c r="E1590" t="s">
        <v>131</v>
      </c>
      <c r="F1590">
        <v>1</v>
      </c>
    </row>
    <row r="1591" spans="1:7" x14ac:dyDescent="0.55000000000000004">
      <c r="A1591">
        <v>109</v>
      </c>
      <c r="B1591" t="str">
        <f t="shared" si="25"/>
        <v>109_1</v>
      </c>
      <c r="C1591" t="s">
        <v>126</v>
      </c>
      <c r="D1591" t="s">
        <v>132</v>
      </c>
      <c r="E1591" t="s">
        <v>133</v>
      </c>
    </row>
    <row r="1592" spans="1:7" x14ac:dyDescent="0.55000000000000004">
      <c r="A1592">
        <v>109</v>
      </c>
      <c r="B1592" t="str">
        <f t="shared" si="25"/>
        <v>109_1</v>
      </c>
      <c r="C1592" t="s">
        <v>126</v>
      </c>
      <c r="D1592" t="s">
        <v>134</v>
      </c>
      <c r="E1592" t="s">
        <v>133</v>
      </c>
      <c r="F1592">
        <v>1.45</v>
      </c>
    </row>
    <row r="1593" spans="1:7" x14ac:dyDescent="0.55000000000000004">
      <c r="A1593">
        <v>109</v>
      </c>
      <c r="B1593" t="str">
        <f t="shared" si="25"/>
        <v>109_1</v>
      </c>
      <c r="C1593" t="s">
        <v>126</v>
      </c>
      <c r="D1593" t="s">
        <v>135</v>
      </c>
      <c r="E1593" t="s">
        <v>136</v>
      </c>
      <c r="F1593">
        <f>F1592/10</f>
        <v>0.14499999999999999</v>
      </c>
      <c r="G1593" t="s">
        <v>137</v>
      </c>
    </row>
    <row r="1594" spans="1:7" x14ac:dyDescent="0.55000000000000004">
      <c r="A1594">
        <v>109</v>
      </c>
      <c r="B1594" t="str">
        <f t="shared" si="25"/>
        <v>109_1</v>
      </c>
      <c r="C1594" t="s">
        <v>126</v>
      </c>
      <c r="D1594" s="2" t="s">
        <v>138</v>
      </c>
      <c r="E1594" t="s">
        <v>139</v>
      </c>
      <c r="F1594">
        <v>100</v>
      </c>
    </row>
    <row r="1595" spans="1:7" x14ac:dyDescent="0.55000000000000004">
      <c r="A1595">
        <v>109</v>
      </c>
      <c r="B1595" t="str">
        <f t="shared" si="25"/>
        <v>109_1</v>
      </c>
      <c r="C1595" t="s">
        <v>126</v>
      </c>
      <c r="D1595" s="2" t="s">
        <v>140</v>
      </c>
      <c r="F1595" t="s">
        <v>172</v>
      </c>
    </row>
    <row r="1596" spans="1:7" x14ac:dyDescent="0.55000000000000004">
      <c r="A1596">
        <v>109</v>
      </c>
      <c r="B1596" t="str">
        <f t="shared" si="25"/>
        <v>109_1</v>
      </c>
      <c r="C1596" t="s">
        <v>126</v>
      </c>
      <c r="D1596" s="2" t="s">
        <v>141</v>
      </c>
      <c r="E1596" t="s">
        <v>139</v>
      </c>
      <c r="F1596">
        <v>100</v>
      </c>
    </row>
    <row r="1597" spans="1:7" x14ac:dyDescent="0.55000000000000004">
      <c r="A1597">
        <v>109</v>
      </c>
      <c r="B1597" t="str">
        <f t="shared" si="25"/>
        <v>109_1</v>
      </c>
      <c r="C1597" t="s">
        <v>126</v>
      </c>
      <c r="D1597" t="s">
        <v>142</v>
      </c>
      <c r="E1597" t="s">
        <v>139</v>
      </c>
      <c r="F1597">
        <v>0</v>
      </c>
    </row>
    <row r="1598" spans="1:7" x14ac:dyDescent="0.55000000000000004">
      <c r="A1598">
        <v>109</v>
      </c>
      <c r="B1598" t="str">
        <f t="shared" si="25"/>
        <v>109_1</v>
      </c>
      <c r="C1598" t="s">
        <v>126</v>
      </c>
      <c r="D1598" t="s">
        <v>143</v>
      </c>
      <c r="E1598" t="s">
        <v>131</v>
      </c>
      <c r="F1598">
        <v>0</v>
      </c>
    </row>
    <row r="1599" spans="1:7" x14ac:dyDescent="0.55000000000000004">
      <c r="A1599">
        <v>109</v>
      </c>
      <c r="B1599" t="str">
        <f t="shared" si="25"/>
        <v>109_1</v>
      </c>
      <c r="C1599" t="s">
        <v>126</v>
      </c>
      <c r="D1599" t="s">
        <v>144</v>
      </c>
      <c r="E1599" t="s">
        <v>139</v>
      </c>
      <c r="F1599">
        <v>0</v>
      </c>
    </row>
    <row r="1600" spans="1:7" x14ac:dyDescent="0.55000000000000004">
      <c r="A1600">
        <v>109</v>
      </c>
      <c r="B1600" t="str">
        <f t="shared" si="25"/>
        <v>109_1</v>
      </c>
      <c r="C1600" t="s">
        <v>126</v>
      </c>
      <c r="D1600" t="s">
        <v>145</v>
      </c>
      <c r="E1600" t="s">
        <v>139</v>
      </c>
      <c r="F1600">
        <v>30</v>
      </c>
    </row>
    <row r="1601" spans="1:6" x14ac:dyDescent="0.55000000000000004">
      <c r="A1601">
        <v>109</v>
      </c>
      <c r="B1601" t="str">
        <f t="shared" si="25"/>
        <v>109_1</v>
      </c>
      <c r="C1601" t="s">
        <v>126</v>
      </c>
      <c r="D1601" t="s">
        <v>146</v>
      </c>
      <c r="E1601" t="s">
        <v>139</v>
      </c>
      <c r="F1601">
        <v>0</v>
      </c>
    </row>
    <row r="1602" spans="1:6" x14ac:dyDescent="0.55000000000000004">
      <c r="A1602">
        <v>109</v>
      </c>
      <c r="B1602" t="str">
        <f t="shared" si="25"/>
        <v>109_1</v>
      </c>
      <c r="C1602" t="s">
        <v>126</v>
      </c>
      <c r="D1602" t="s">
        <v>147</v>
      </c>
      <c r="E1602" t="s">
        <v>139</v>
      </c>
      <c r="F1602">
        <v>0</v>
      </c>
    </row>
    <row r="1603" spans="1:6" x14ac:dyDescent="0.55000000000000004">
      <c r="A1603">
        <v>109</v>
      </c>
      <c r="B1603" t="str">
        <f t="shared" si="25"/>
        <v>109_1</v>
      </c>
      <c r="C1603" t="s">
        <v>126</v>
      </c>
      <c r="D1603" t="s">
        <v>148</v>
      </c>
      <c r="E1603" t="s">
        <v>139</v>
      </c>
      <c r="F1603">
        <v>70</v>
      </c>
    </row>
    <row r="1604" spans="1:6" x14ac:dyDescent="0.55000000000000004">
      <c r="A1604">
        <v>109</v>
      </c>
      <c r="B1604" t="str">
        <f t="shared" si="25"/>
        <v>109_1</v>
      </c>
      <c r="C1604" t="s">
        <v>126</v>
      </c>
      <c r="D1604" t="s">
        <v>149</v>
      </c>
      <c r="E1604" t="s">
        <v>139</v>
      </c>
      <c r="F1604">
        <v>0</v>
      </c>
    </row>
    <row r="1605" spans="1:6" x14ac:dyDescent="0.55000000000000004">
      <c r="A1605">
        <v>109</v>
      </c>
      <c r="B1605" t="str">
        <f t="shared" si="25"/>
        <v>109_1</v>
      </c>
      <c r="C1605" t="s">
        <v>126</v>
      </c>
      <c r="D1605" t="s">
        <v>150</v>
      </c>
      <c r="E1605" t="s">
        <v>139</v>
      </c>
      <c r="F1605">
        <v>0</v>
      </c>
    </row>
    <row r="1606" spans="1:6" x14ac:dyDescent="0.55000000000000004">
      <c r="A1606">
        <v>109</v>
      </c>
      <c r="B1606" t="str">
        <f t="shared" si="25"/>
        <v>109_1</v>
      </c>
      <c r="C1606" t="s">
        <v>126</v>
      </c>
      <c r="D1606" t="s">
        <v>151</v>
      </c>
      <c r="E1606" t="s">
        <v>139</v>
      </c>
      <c r="F1606">
        <v>0</v>
      </c>
    </row>
    <row r="1607" spans="1:6" x14ac:dyDescent="0.55000000000000004">
      <c r="A1607">
        <v>109</v>
      </c>
      <c r="B1607" t="str">
        <f t="shared" si="25"/>
        <v>109_1</v>
      </c>
      <c r="C1607" t="s">
        <v>126</v>
      </c>
      <c r="D1607" t="s">
        <v>152</v>
      </c>
      <c r="E1607" t="s">
        <v>153</v>
      </c>
    </row>
    <row r="1608" spans="1:6" x14ac:dyDescent="0.55000000000000004">
      <c r="A1608">
        <v>109</v>
      </c>
      <c r="B1608" t="str">
        <f t="shared" si="25"/>
        <v>109_1</v>
      </c>
      <c r="C1608" t="s">
        <v>154</v>
      </c>
      <c r="D1608" t="s">
        <v>155</v>
      </c>
      <c r="E1608" t="s">
        <v>156</v>
      </c>
      <c r="F1608">
        <v>20.6</v>
      </c>
    </row>
    <row r="1609" spans="1:6" x14ac:dyDescent="0.55000000000000004">
      <c r="A1609">
        <v>109</v>
      </c>
      <c r="B1609" t="str">
        <f t="shared" si="25"/>
        <v>109_1</v>
      </c>
      <c r="C1609" t="s">
        <v>154</v>
      </c>
      <c r="D1609" t="s">
        <v>157</v>
      </c>
      <c r="E1609" t="s">
        <v>158</v>
      </c>
      <c r="F1609">
        <v>8.85</v>
      </c>
    </row>
    <row r="1610" spans="1:6" x14ac:dyDescent="0.55000000000000004">
      <c r="A1610">
        <v>109</v>
      </c>
      <c r="B1610" t="str">
        <f t="shared" si="25"/>
        <v>109_1</v>
      </c>
      <c r="C1610" t="s">
        <v>154</v>
      </c>
      <c r="D1610" t="s">
        <v>159</v>
      </c>
      <c r="E1610" t="s">
        <v>139</v>
      </c>
      <c r="F1610">
        <v>98.7</v>
      </c>
    </row>
    <row r="1611" spans="1:6" x14ac:dyDescent="0.55000000000000004">
      <c r="A1611">
        <v>109</v>
      </c>
      <c r="B1611" t="str">
        <f t="shared" si="25"/>
        <v>109_1</v>
      </c>
      <c r="C1611" t="s">
        <v>154</v>
      </c>
      <c r="D1611" t="s">
        <v>160</v>
      </c>
      <c r="E1611" t="s">
        <v>161</v>
      </c>
      <c r="F1611">
        <v>69.8</v>
      </c>
    </row>
    <row r="1612" spans="1:6" x14ac:dyDescent="0.55000000000000004">
      <c r="A1612">
        <v>109</v>
      </c>
      <c r="B1612" t="str">
        <f t="shared" si="25"/>
        <v>109_1</v>
      </c>
      <c r="C1612" t="s">
        <v>154</v>
      </c>
      <c r="D1612" t="s">
        <v>162</v>
      </c>
      <c r="F1612">
        <v>8.5299999999999994</v>
      </c>
    </row>
    <row r="1613" spans="1:6" x14ac:dyDescent="0.55000000000000004">
      <c r="A1613">
        <v>109</v>
      </c>
      <c r="B1613" t="str">
        <f t="shared" si="25"/>
        <v>109_1</v>
      </c>
      <c r="C1613" t="s">
        <v>163</v>
      </c>
      <c r="D1613" t="s">
        <v>164</v>
      </c>
      <c r="E1613" t="s">
        <v>139</v>
      </c>
      <c r="F1613">
        <v>0</v>
      </c>
    </row>
    <row r="1614" spans="1:6" x14ac:dyDescent="0.55000000000000004">
      <c r="A1614">
        <v>109</v>
      </c>
      <c r="B1614" t="str">
        <f t="shared" si="25"/>
        <v>109_1</v>
      </c>
      <c r="C1614" t="s">
        <v>163</v>
      </c>
      <c r="D1614" t="s">
        <v>165</v>
      </c>
    </row>
    <row r="1615" spans="1:6" x14ac:dyDescent="0.55000000000000004">
      <c r="A1615">
        <v>109</v>
      </c>
      <c r="B1615" t="str">
        <f t="shared" si="25"/>
        <v>109_1</v>
      </c>
      <c r="C1615" t="s">
        <v>163</v>
      </c>
      <c r="D1615" t="s">
        <v>166</v>
      </c>
      <c r="E1615" t="s">
        <v>139</v>
      </c>
      <c r="F1615">
        <v>0</v>
      </c>
    </row>
    <row r="1616" spans="1:6" x14ac:dyDescent="0.55000000000000004">
      <c r="A1616">
        <v>109</v>
      </c>
      <c r="B1616" t="str">
        <f t="shared" si="25"/>
        <v>109_1</v>
      </c>
      <c r="C1616" t="s">
        <v>163</v>
      </c>
      <c r="D1616" t="s">
        <v>167</v>
      </c>
    </row>
    <row r="1617" spans="1:6" x14ac:dyDescent="0.55000000000000004">
      <c r="A1617">
        <v>109</v>
      </c>
      <c r="B1617" t="str">
        <f t="shared" si="25"/>
        <v>109_1</v>
      </c>
      <c r="C1617" t="s">
        <v>163</v>
      </c>
      <c r="D1617" t="s">
        <v>168</v>
      </c>
      <c r="E1617" t="s">
        <v>131</v>
      </c>
      <c r="F1617">
        <v>0</v>
      </c>
    </row>
    <row r="1618" spans="1:6" x14ac:dyDescent="0.55000000000000004">
      <c r="A1618">
        <v>109</v>
      </c>
      <c r="B1618" t="str">
        <f t="shared" si="25"/>
        <v>109_1</v>
      </c>
      <c r="C1618" t="s">
        <v>163</v>
      </c>
      <c r="D1618" t="s">
        <v>169</v>
      </c>
    </row>
    <row r="1619" spans="1:6" x14ac:dyDescent="0.55000000000000004">
      <c r="A1619">
        <v>109</v>
      </c>
      <c r="B1619" t="str">
        <f t="shared" si="25"/>
        <v>109_1</v>
      </c>
      <c r="C1619" t="s">
        <v>163</v>
      </c>
      <c r="D1619" t="s">
        <v>170</v>
      </c>
      <c r="E1619" t="s">
        <v>139</v>
      </c>
      <c r="F1619">
        <v>40</v>
      </c>
    </row>
    <row r="1620" spans="1:6" x14ac:dyDescent="0.55000000000000004">
      <c r="A1620">
        <v>109</v>
      </c>
      <c r="B1620" t="str">
        <f t="shared" si="25"/>
        <v>109_1</v>
      </c>
      <c r="C1620" t="s">
        <v>163</v>
      </c>
      <c r="D1620" t="s">
        <v>171</v>
      </c>
    </row>
    <row r="1621" spans="1:6" x14ac:dyDescent="0.55000000000000004">
      <c r="A1621">
        <v>110</v>
      </c>
      <c r="B1621" t="str">
        <f t="shared" si="24"/>
        <v>110_0</v>
      </c>
      <c r="C1621" t="s">
        <v>126</v>
      </c>
      <c r="D1621" t="s">
        <v>127</v>
      </c>
      <c r="E1621" t="s">
        <v>128</v>
      </c>
    </row>
    <row r="1622" spans="1:6" x14ac:dyDescent="0.55000000000000004">
      <c r="A1622">
        <v>110</v>
      </c>
      <c r="B1622" t="str">
        <f t="shared" si="24"/>
        <v>110_0</v>
      </c>
      <c r="C1622" t="s">
        <v>126</v>
      </c>
      <c r="D1622" s="11" t="s">
        <v>130</v>
      </c>
      <c r="E1622" t="s">
        <v>131</v>
      </c>
      <c r="F1622">
        <v>1</v>
      </c>
    </row>
    <row r="1623" spans="1:6" x14ac:dyDescent="0.55000000000000004">
      <c r="A1623">
        <v>110</v>
      </c>
      <c r="B1623" t="str">
        <f t="shared" si="24"/>
        <v>110_0</v>
      </c>
      <c r="C1623" t="s">
        <v>126</v>
      </c>
      <c r="D1623" t="s">
        <v>132</v>
      </c>
      <c r="E1623" t="s">
        <v>133</v>
      </c>
    </row>
    <row r="1624" spans="1:6" x14ac:dyDescent="0.55000000000000004">
      <c r="A1624">
        <v>110</v>
      </c>
      <c r="B1624" t="str">
        <f t="shared" si="24"/>
        <v>110_0</v>
      </c>
      <c r="C1624" t="s">
        <v>126</v>
      </c>
      <c r="D1624" t="s">
        <v>134</v>
      </c>
      <c r="E1624" t="s">
        <v>133</v>
      </c>
      <c r="F1624">
        <v>0.6</v>
      </c>
    </row>
    <row r="1625" spans="1:6" x14ac:dyDescent="0.55000000000000004">
      <c r="A1625">
        <v>110</v>
      </c>
      <c r="B1625" t="str">
        <f t="shared" si="24"/>
        <v>110_0</v>
      </c>
      <c r="C1625" t="s">
        <v>126</v>
      </c>
      <c r="D1625" t="s">
        <v>135</v>
      </c>
      <c r="E1625" t="s">
        <v>136</v>
      </c>
      <c r="F1625">
        <f>F1624/10</f>
        <v>0.06</v>
      </c>
    </row>
    <row r="1626" spans="1:6" x14ac:dyDescent="0.55000000000000004">
      <c r="A1626">
        <v>110</v>
      </c>
      <c r="B1626" t="str">
        <f t="shared" si="24"/>
        <v>110_0</v>
      </c>
      <c r="C1626" t="s">
        <v>126</v>
      </c>
      <c r="D1626" s="2" t="s">
        <v>138</v>
      </c>
      <c r="E1626" t="s">
        <v>139</v>
      </c>
      <c r="F1626">
        <v>100</v>
      </c>
    </row>
    <row r="1627" spans="1:6" x14ac:dyDescent="0.55000000000000004">
      <c r="A1627">
        <v>110</v>
      </c>
      <c r="B1627" t="str">
        <f t="shared" si="24"/>
        <v>110_0</v>
      </c>
      <c r="C1627" t="s">
        <v>126</v>
      </c>
      <c r="D1627" s="2" t="s">
        <v>140</v>
      </c>
    </row>
    <row r="1628" spans="1:6" x14ac:dyDescent="0.55000000000000004">
      <c r="A1628">
        <v>110</v>
      </c>
      <c r="B1628" t="str">
        <f t="shared" si="24"/>
        <v>110_0</v>
      </c>
      <c r="C1628" t="s">
        <v>126</v>
      </c>
      <c r="D1628" s="2" t="s">
        <v>141</v>
      </c>
      <c r="E1628" t="s">
        <v>139</v>
      </c>
      <c r="F1628">
        <v>80</v>
      </c>
    </row>
    <row r="1629" spans="1:6" x14ac:dyDescent="0.55000000000000004">
      <c r="A1629">
        <v>110</v>
      </c>
      <c r="B1629" t="str">
        <f t="shared" si="24"/>
        <v>110_0</v>
      </c>
      <c r="C1629" t="s">
        <v>126</v>
      </c>
      <c r="D1629" t="s">
        <v>142</v>
      </c>
      <c r="E1629" t="s">
        <v>139</v>
      </c>
      <c r="F1629">
        <v>0</v>
      </c>
    </row>
    <row r="1630" spans="1:6" x14ac:dyDescent="0.55000000000000004">
      <c r="A1630">
        <v>110</v>
      </c>
      <c r="B1630" t="str">
        <f t="shared" si="24"/>
        <v>110_0</v>
      </c>
      <c r="C1630" t="s">
        <v>126</v>
      </c>
      <c r="D1630" t="s">
        <v>143</v>
      </c>
      <c r="E1630" t="s">
        <v>131</v>
      </c>
      <c r="F1630">
        <v>0</v>
      </c>
    </row>
    <row r="1631" spans="1:6" x14ac:dyDescent="0.55000000000000004">
      <c r="A1631">
        <v>110</v>
      </c>
      <c r="B1631" t="str">
        <f t="shared" si="24"/>
        <v>110_0</v>
      </c>
      <c r="C1631" t="s">
        <v>126</v>
      </c>
      <c r="D1631" t="s">
        <v>144</v>
      </c>
      <c r="E1631" t="s">
        <v>139</v>
      </c>
      <c r="F1631">
        <v>0</v>
      </c>
    </row>
    <row r="1632" spans="1:6" x14ac:dyDescent="0.55000000000000004">
      <c r="A1632">
        <v>110</v>
      </c>
      <c r="B1632" t="str">
        <f t="shared" si="24"/>
        <v>110_0</v>
      </c>
      <c r="C1632" t="s">
        <v>126</v>
      </c>
      <c r="D1632" t="s">
        <v>145</v>
      </c>
      <c r="E1632" t="s">
        <v>139</v>
      </c>
      <c r="F1632">
        <v>0</v>
      </c>
    </row>
    <row r="1633" spans="1:6" x14ac:dyDescent="0.55000000000000004">
      <c r="A1633">
        <v>110</v>
      </c>
      <c r="B1633" t="str">
        <f t="shared" si="24"/>
        <v>110_0</v>
      </c>
      <c r="C1633" t="s">
        <v>126</v>
      </c>
      <c r="D1633" t="s">
        <v>146</v>
      </c>
      <c r="E1633" t="s">
        <v>139</v>
      </c>
      <c r="F1633">
        <v>0</v>
      </c>
    </row>
    <row r="1634" spans="1:6" x14ac:dyDescent="0.55000000000000004">
      <c r="A1634">
        <v>110</v>
      </c>
      <c r="B1634" t="str">
        <f t="shared" si="24"/>
        <v>110_0</v>
      </c>
      <c r="C1634" t="s">
        <v>126</v>
      </c>
      <c r="D1634" t="s">
        <v>147</v>
      </c>
      <c r="E1634" t="s">
        <v>139</v>
      </c>
      <c r="F1634">
        <v>0</v>
      </c>
    </row>
    <row r="1635" spans="1:6" x14ac:dyDescent="0.55000000000000004">
      <c r="A1635">
        <v>110</v>
      </c>
      <c r="B1635" t="str">
        <f t="shared" ref="B1635:B1733" si="26">A1635 &amp; "_0"</f>
        <v>110_0</v>
      </c>
      <c r="C1635" t="s">
        <v>126</v>
      </c>
      <c r="D1635" t="s">
        <v>148</v>
      </c>
      <c r="E1635" t="s">
        <v>139</v>
      </c>
      <c r="F1635">
        <v>90</v>
      </c>
    </row>
    <row r="1636" spans="1:6" x14ac:dyDescent="0.55000000000000004">
      <c r="A1636">
        <v>110</v>
      </c>
      <c r="B1636" t="str">
        <f t="shared" si="26"/>
        <v>110_0</v>
      </c>
      <c r="C1636" t="s">
        <v>126</v>
      </c>
      <c r="D1636" t="s">
        <v>149</v>
      </c>
      <c r="E1636" t="s">
        <v>139</v>
      </c>
      <c r="F1636">
        <v>0</v>
      </c>
    </row>
    <row r="1637" spans="1:6" x14ac:dyDescent="0.55000000000000004">
      <c r="A1637">
        <v>110</v>
      </c>
      <c r="B1637" t="str">
        <f t="shared" si="26"/>
        <v>110_0</v>
      </c>
      <c r="C1637" t="s">
        <v>126</v>
      </c>
      <c r="D1637" t="s">
        <v>150</v>
      </c>
      <c r="E1637" t="s">
        <v>139</v>
      </c>
      <c r="F1637">
        <v>10</v>
      </c>
    </row>
    <row r="1638" spans="1:6" x14ac:dyDescent="0.55000000000000004">
      <c r="A1638">
        <v>110</v>
      </c>
      <c r="B1638" t="str">
        <f t="shared" si="26"/>
        <v>110_0</v>
      </c>
      <c r="C1638" t="s">
        <v>126</v>
      </c>
      <c r="D1638" t="s">
        <v>151</v>
      </c>
      <c r="E1638" t="s">
        <v>139</v>
      </c>
      <c r="F1638">
        <v>0</v>
      </c>
    </row>
    <row r="1639" spans="1:6" x14ac:dyDescent="0.55000000000000004">
      <c r="A1639">
        <v>110</v>
      </c>
      <c r="B1639" t="str">
        <f t="shared" si="26"/>
        <v>110_0</v>
      </c>
      <c r="C1639" t="s">
        <v>126</v>
      </c>
      <c r="D1639" t="s">
        <v>152</v>
      </c>
      <c r="E1639" t="s">
        <v>153</v>
      </c>
    </row>
    <row r="1640" spans="1:6" x14ac:dyDescent="0.55000000000000004">
      <c r="A1640">
        <v>110</v>
      </c>
      <c r="B1640" t="str">
        <f t="shared" si="26"/>
        <v>110_0</v>
      </c>
      <c r="C1640" t="s">
        <v>154</v>
      </c>
      <c r="D1640" t="s">
        <v>155</v>
      </c>
      <c r="E1640" t="s">
        <v>156</v>
      </c>
      <c r="F1640">
        <v>16.3</v>
      </c>
    </row>
    <row r="1641" spans="1:6" x14ac:dyDescent="0.55000000000000004">
      <c r="A1641">
        <v>110</v>
      </c>
      <c r="B1641" t="str">
        <f t="shared" si="26"/>
        <v>110_0</v>
      </c>
      <c r="C1641" t="s">
        <v>154</v>
      </c>
      <c r="D1641" t="s">
        <v>157</v>
      </c>
      <c r="E1641" t="s">
        <v>158</v>
      </c>
      <c r="F1641">
        <v>9.61</v>
      </c>
    </row>
    <row r="1642" spans="1:6" x14ac:dyDescent="0.55000000000000004">
      <c r="A1642">
        <v>110</v>
      </c>
      <c r="B1642" t="str">
        <f t="shared" si="26"/>
        <v>110_0</v>
      </c>
      <c r="C1642" t="s">
        <v>154</v>
      </c>
      <c r="D1642" t="s">
        <v>159</v>
      </c>
      <c r="E1642" t="s">
        <v>139</v>
      </c>
      <c r="F1642">
        <v>98</v>
      </c>
    </row>
    <row r="1643" spans="1:6" x14ac:dyDescent="0.55000000000000004">
      <c r="A1643">
        <v>110</v>
      </c>
      <c r="B1643" t="str">
        <f t="shared" si="26"/>
        <v>110_0</v>
      </c>
      <c r="C1643" t="s">
        <v>154</v>
      </c>
      <c r="D1643" t="s">
        <v>160</v>
      </c>
      <c r="E1643" t="s">
        <v>161</v>
      </c>
      <c r="F1643">
        <v>62.2</v>
      </c>
    </row>
    <row r="1644" spans="1:6" x14ac:dyDescent="0.55000000000000004">
      <c r="A1644">
        <v>110</v>
      </c>
      <c r="B1644" t="str">
        <f t="shared" si="26"/>
        <v>110_0</v>
      </c>
      <c r="C1644" t="s">
        <v>154</v>
      </c>
      <c r="D1644" t="s">
        <v>162</v>
      </c>
      <c r="F1644">
        <v>8.35</v>
      </c>
    </row>
    <row r="1645" spans="1:6" x14ac:dyDescent="0.55000000000000004">
      <c r="A1645">
        <v>110</v>
      </c>
      <c r="B1645" t="str">
        <f t="shared" si="26"/>
        <v>110_0</v>
      </c>
      <c r="C1645" t="s">
        <v>163</v>
      </c>
      <c r="D1645" t="s">
        <v>164</v>
      </c>
      <c r="E1645" t="s">
        <v>139</v>
      </c>
      <c r="F1645">
        <v>0</v>
      </c>
    </row>
    <row r="1646" spans="1:6" x14ac:dyDescent="0.55000000000000004">
      <c r="A1646">
        <v>110</v>
      </c>
      <c r="B1646" t="str">
        <f t="shared" si="26"/>
        <v>110_0</v>
      </c>
      <c r="C1646" t="s">
        <v>163</v>
      </c>
      <c r="D1646" t="s">
        <v>165</v>
      </c>
    </row>
    <row r="1647" spans="1:6" x14ac:dyDescent="0.55000000000000004">
      <c r="A1647">
        <v>110</v>
      </c>
      <c r="B1647" t="str">
        <f t="shared" si="26"/>
        <v>110_0</v>
      </c>
      <c r="C1647" t="s">
        <v>163</v>
      </c>
      <c r="D1647" t="s">
        <v>166</v>
      </c>
      <c r="E1647" t="s">
        <v>139</v>
      </c>
      <c r="F1647">
        <v>0</v>
      </c>
    </row>
    <row r="1648" spans="1:6" x14ac:dyDescent="0.55000000000000004">
      <c r="A1648">
        <v>110</v>
      </c>
      <c r="B1648" t="str">
        <f t="shared" si="26"/>
        <v>110_0</v>
      </c>
      <c r="C1648" t="s">
        <v>163</v>
      </c>
      <c r="D1648" t="s">
        <v>167</v>
      </c>
    </row>
    <row r="1649" spans="1:6" x14ac:dyDescent="0.55000000000000004">
      <c r="A1649">
        <v>110</v>
      </c>
      <c r="B1649" t="str">
        <f t="shared" si="26"/>
        <v>110_0</v>
      </c>
      <c r="C1649" t="s">
        <v>163</v>
      </c>
      <c r="D1649" t="s">
        <v>168</v>
      </c>
      <c r="E1649" t="s">
        <v>131</v>
      </c>
      <c r="F1649">
        <v>0</v>
      </c>
    </row>
    <row r="1650" spans="1:6" x14ac:dyDescent="0.55000000000000004">
      <c r="A1650">
        <v>110</v>
      </c>
      <c r="B1650" t="str">
        <f t="shared" si="26"/>
        <v>110_0</v>
      </c>
      <c r="C1650" t="s">
        <v>163</v>
      </c>
      <c r="D1650" t="s">
        <v>169</v>
      </c>
    </row>
    <row r="1651" spans="1:6" x14ac:dyDescent="0.55000000000000004">
      <c r="A1651">
        <v>110</v>
      </c>
      <c r="B1651" t="str">
        <f t="shared" si="26"/>
        <v>110_0</v>
      </c>
      <c r="C1651" t="s">
        <v>163</v>
      </c>
      <c r="D1651" t="s">
        <v>170</v>
      </c>
      <c r="E1651" t="s">
        <v>139</v>
      </c>
      <c r="F1651">
        <v>10</v>
      </c>
    </row>
    <row r="1652" spans="1:6" x14ac:dyDescent="0.55000000000000004">
      <c r="A1652">
        <v>110</v>
      </c>
      <c r="B1652" t="str">
        <f t="shared" si="26"/>
        <v>110_0</v>
      </c>
      <c r="C1652" t="s">
        <v>163</v>
      </c>
      <c r="D1652" t="s">
        <v>171</v>
      </c>
    </row>
    <row r="1653" spans="1:6" x14ac:dyDescent="0.55000000000000004">
      <c r="A1653">
        <v>111</v>
      </c>
      <c r="B1653" t="str">
        <f t="shared" si="26"/>
        <v>111_0</v>
      </c>
      <c r="C1653" t="s">
        <v>126</v>
      </c>
      <c r="D1653" t="s">
        <v>127</v>
      </c>
      <c r="E1653" t="s">
        <v>128</v>
      </c>
    </row>
    <row r="1654" spans="1:6" x14ac:dyDescent="0.55000000000000004">
      <c r="A1654">
        <v>111</v>
      </c>
      <c r="B1654" t="str">
        <f t="shared" si="26"/>
        <v>111_0</v>
      </c>
      <c r="C1654" t="s">
        <v>126</v>
      </c>
      <c r="D1654" s="11" t="s">
        <v>130</v>
      </c>
      <c r="E1654" t="s">
        <v>131</v>
      </c>
      <c r="F1654">
        <v>1</v>
      </c>
    </row>
    <row r="1655" spans="1:6" x14ac:dyDescent="0.55000000000000004">
      <c r="A1655">
        <v>111</v>
      </c>
      <c r="B1655" t="str">
        <f t="shared" si="26"/>
        <v>111_0</v>
      </c>
      <c r="C1655" t="s">
        <v>126</v>
      </c>
      <c r="D1655" t="s">
        <v>132</v>
      </c>
      <c r="E1655" t="s">
        <v>133</v>
      </c>
    </row>
    <row r="1656" spans="1:6" x14ac:dyDescent="0.55000000000000004">
      <c r="A1656">
        <v>111</v>
      </c>
      <c r="B1656" t="str">
        <f t="shared" si="26"/>
        <v>111_0</v>
      </c>
      <c r="C1656" t="s">
        <v>126</v>
      </c>
      <c r="D1656" t="s">
        <v>134</v>
      </c>
      <c r="E1656" t="s">
        <v>133</v>
      </c>
      <c r="F1656">
        <v>3</v>
      </c>
    </row>
    <row r="1657" spans="1:6" x14ac:dyDescent="0.55000000000000004">
      <c r="A1657">
        <v>111</v>
      </c>
      <c r="B1657" t="str">
        <f t="shared" si="26"/>
        <v>111_0</v>
      </c>
      <c r="C1657" t="s">
        <v>126</v>
      </c>
      <c r="D1657" t="s">
        <v>135</v>
      </c>
      <c r="E1657" t="s">
        <v>136</v>
      </c>
      <c r="F1657">
        <f>F1656/10</f>
        <v>0.3</v>
      </c>
    </row>
    <row r="1658" spans="1:6" x14ac:dyDescent="0.55000000000000004">
      <c r="A1658">
        <v>111</v>
      </c>
      <c r="B1658" t="str">
        <f t="shared" si="26"/>
        <v>111_0</v>
      </c>
      <c r="C1658" t="s">
        <v>126</v>
      </c>
      <c r="D1658" s="2" t="s">
        <v>138</v>
      </c>
      <c r="E1658" t="s">
        <v>139</v>
      </c>
      <c r="F1658">
        <v>100</v>
      </c>
    </row>
    <row r="1659" spans="1:6" x14ac:dyDescent="0.55000000000000004">
      <c r="A1659">
        <v>111</v>
      </c>
      <c r="B1659" t="str">
        <f t="shared" si="26"/>
        <v>111_0</v>
      </c>
      <c r="C1659" t="s">
        <v>126</v>
      </c>
      <c r="D1659" s="2" t="s">
        <v>140</v>
      </c>
    </row>
    <row r="1660" spans="1:6" x14ac:dyDescent="0.55000000000000004">
      <c r="A1660">
        <v>111</v>
      </c>
      <c r="B1660" t="str">
        <f t="shared" si="26"/>
        <v>111_0</v>
      </c>
      <c r="C1660" t="s">
        <v>126</v>
      </c>
      <c r="D1660" s="2" t="s">
        <v>141</v>
      </c>
      <c r="E1660" t="s">
        <v>139</v>
      </c>
      <c r="F1660">
        <v>0</v>
      </c>
    </row>
    <row r="1661" spans="1:6" x14ac:dyDescent="0.55000000000000004">
      <c r="A1661">
        <v>111</v>
      </c>
      <c r="B1661" t="str">
        <f t="shared" si="26"/>
        <v>111_0</v>
      </c>
      <c r="C1661" t="s">
        <v>126</v>
      </c>
      <c r="D1661" t="s">
        <v>142</v>
      </c>
      <c r="E1661" t="s">
        <v>139</v>
      </c>
      <c r="F1661">
        <v>0</v>
      </c>
    </row>
    <row r="1662" spans="1:6" x14ac:dyDescent="0.55000000000000004">
      <c r="A1662">
        <v>111</v>
      </c>
      <c r="B1662" t="str">
        <f t="shared" si="26"/>
        <v>111_0</v>
      </c>
      <c r="C1662" t="s">
        <v>126</v>
      </c>
      <c r="D1662" t="s">
        <v>143</v>
      </c>
      <c r="E1662" t="s">
        <v>131</v>
      </c>
      <c r="F1662">
        <v>0</v>
      </c>
    </row>
    <row r="1663" spans="1:6" x14ac:dyDescent="0.55000000000000004">
      <c r="A1663">
        <v>111</v>
      </c>
      <c r="B1663" t="str">
        <f t="shared" si="26"/>
        <v>111_0</v>
      </c>
      <c r="C1663" t="s">
        <v>126</v>
      </c>
      <c r="D1663" t="s">
        <v>144</v>
      </c>
      <c r="E1663" t="s">
        <v>139</v>
      </c>
      <c r="F1663">
        <v>0</v>
      </c>
    </row>
    <row r="1664" spans="1:6" x14ac:dyDescent="0.55000000000000004">
      <c r="A1664">
        <v>111</v>
      </c>
      <c r="B1664" t="str">
        <f t="shared" si="26"/>
        <v>111_0</v>
      </c>
      <c r="C1664" t="s">
        <v>126</v>
      </c>
      <c r="D1664" t="s">
        <v>145</v>
      </c>
      <c r="E1664" t="s">
        <v>139</v>
      </c>
      <c r="F1664">
        <v>0</v>
      </c>
    </row>
    <row r="1665" spans="1:6" x14ac:dyDescent="0.55000000000000004">
      <c r="A1665">
        <v>111</v>
      </c>
      <c r="B1665" t="str">
        <f t="shared" si="26"/>
        <v>111_0</v>
      </c>
      <c r="C1665" t="s">
        <v>126</v>
      </c>
      <c r="D1665" t="s">
        <v>146</v>
      </c>
      <c r="E1665" t="s">
        <v>139</v>
      </c>
      <c r="F1665">
        <v>0</v>
      </c>
    </row>
    <row r="1666" spans="1:6" x14ac:dyDescent="0.55000000000000004">
      <c r="A1666">
        <v>111</v>
      </c>
      <c r="B1666" t="str">
        <f t="shared" si="26"/>
        <v>111_0</v>
      </c>
      <c r="C1666" t="s">
        <v>126</v>
      </c>
      <c r="D1666" t="s">
        <v>147</v>
      </c>
      <c r="E1666" t="s">
        <v>139</v>
      </c>
      <c r="F1666">
        <v>0</v>
      </c>
    </row>
    <row r="1667" spans="1:6" x14ac:dyDescent="0.55000000000000004">
      <c r="A1667">
        <v>111</v>
      </c>
      <c r="B1667" t="str">
        <f t="shared" si="26"/>
        <v>111_0</v>
      </c>
      <c r="C1667" t="s">
        <v>126</v>
      </c>
      <c r="D1667" t="s">
        <v>148</v>
      </c>
      <c r="E1667" t="s">
        <v>139</v>
      </c>
      <c r="F1667">
        <v>0</v>
      </c>
    </row>
    <row r="1668" spans="1:6" x14ac:dyDescent="0.55000000000000004">
      <c r="A1668">
        <v>111</v>
      </c>
      <c r="B1668" t="str">
        <f t="shared" si="26"/>
        <v>111_0</v>
      </c>
      <c r="C1668" t="s">
        <v>126</v>
      </c>
      <c r="D1668" t="s">
        <v>149</v>
      </c>
      <c r="E1668" t="s">
        <v>139</v>
      </c>
      <c r="F1668">
        <v>0</v>
      </c>
    </row>
    <row r="1669" spans="1:6" x14ac:dyDescent="0.55000000000000004">
      <c r="A1669">
        <v>111</v>
      </c>
      <c r="B1669" t="str">
        <f t="shared" si="26"/>
        <v>111_0</v>
      </c>
      <c r="C1669" t="s">
        <v>126</v>
      </c>
      <c r="D1669" t="s">
        <v>150</v>
      </c>
      <c r="E1669" t="s">
        <v>139</v>
      </c>
      <c r="F1669">
        <v>100</v>
      </c>
    </row>
    <row r="1670" spans="1:6" x14ac:dyDescent="0.55000000000000004">
      <c r="A1670">
        <v>111</v>
      </c>
      <c r="B1670" t="str">
        <f t="shared" si="26"/>
        <v>111_0</v>
      </c>
      <c r="C1670" t="s">
        <v>126</v>
      </c>
      <c r="D1670" t="s">
        <v>151</v>
      </c>
      <c r="E1670" t="s">
        <v>139</v>
      </c>
      <c r="F1670">
        <v>0</v>
      </c>
    </row>
    <row r="1671" spans="1:6" x14ac:dyDescent="0.55000000000000004">
      <c r="A1671">
        <v>111</v>
      </c>
      <c r="B1671" t="str">
        <f t="shared" si="26"/>
        <v>111_0</v>
      </c>
      <c r="C1671" t="s">
        <v>126</v>
      </c>
      <c r="D1671" t="s">
        <v>152</v>
      </c>
      <c r="E1671" t="s">
        <v>153</v>
      </c>
    </row>
    <row r="1672" spans="1:6" x14ac:dyDescent="0.55000000000000004">
      <c r="A1672">
        <v>111</v>
      </c>
      <c r="B1672" t="str">
        <f t="shared" si="26"/>
        <v>111_0</v>
      </c>
      <c r="C1672" t="s">
        <v>154</v>
      </c>
      <c r="D1672" t="s">
        <v>155</v>
      </c>
      <c r="E1672" t="s">
        <v>156</v>
      </c>
      <c r="F1672">
        <v>16.600000000000001</v>
      </c>
    </row>
    <row r="1673" spans="1:6" x14ac:dyDescent="0.55000000000000004">
      <c r="A1673">
        <v>111</v>
      </c>
      <c r="B1673" t="str">
        <f t="shared" si="26"/>
        <v>111_0</v>
      </c>
      <c r="C1673" t="s">
        <v>154</v>
      </c>
      <c r="D1673" t="s">
        <v>157</v>
      </c>
      <c r="E1673" t="s">
        <v>158</v>
      </c>
      <c r="F1673">
        <v>9.43</v>
      </c>
    </row>
    <row r="1674" spans="1:6" x14ac:dyDescent="0.55000000000000004">
      <c r="A1674">
        <v>111</v>
      </c>
      <c r="B1674" t="str">
        <f t="shared" si="26"/>
        <v>111_0</v>
      </c>
      <c r="C1674" t="s">
        <v>154</v>
      </c>
      <c r="D1674" t="s">
        <v>159</v>
      </c>
      <c r="E1674" t="s">
        <v>139</v>
      </c>
      <c r="F1674">
        <v>96.8</v>
      </c>
    </row>
    <row r="1675" spans="1:6" x14ac:dyDescent="0.55000000000000004">
      <c r="A1675">
        <v>111</v>
      </c>
      <c r="B1675" t="str">
        <f t="shared" si="26"/>
        <v>111_0</v>
      </c>
      <c r="C1675" t="s">
        <v>154</v>
      </c>
      <c r="D1675" t="s">
        <v>160</v>
      </c>
      <c r="E1675" t="s">
        <v>161</v>
      </c>
      <c r="F1675">
        <v>62.6</v>
      </c>
    </row>
    <row r="1676" spans="1:6" x14ac:dyDescent="0.55000000000000004">
      <c r="A1676">
        <v>111</v>
      </c>
      <c r="B1676" t="str">
        <f t="shared" si="26"/>
        <v>111_0</v>
      </c>
      <c r="C1676" t="s">
        <v>154</v>
      </c>
      <c r="D1676" t="s">
        <v>162</v>
      </c>
      <c r="F1676">
        <v>8.3000000000000007</v>
      </c>
    </row>
    <row r="1677" spans="1:6" x14ac:dyDescent="0.55000000000000004">
      <c r="A1677">
        <v>111</v>
      </c>
      <c r="B1677" t="str">
        <f t="shared" si="26"/>
        <v>111_0</v>
      </c>
      <c r="C1677" t="s">
        <v>163</v>
      </c>
      <c r="D1677" t="s">
        <v>164</v>
      </c>
      <c r="E1677" t="s">
        <v>139</v>
      </c>
      <c r="F1677">
        <v>90</v>
      </c>
    </row>
    <row r="1678" spans="1:6" x14ac:dyDescent="0.55000000000000004">
      <c r="A1678">
        <v>111</v>
      </c>
      <c r="B1678" t="str">
        <f t="shared" si="26"/>
        <v>111_0</v>
      </c>
      <c r="C1678" t="s">
        <v>163</v>
      </c>
      <c r="D1678" t="s">
        <v>165</v>
      </c>
    </row>
    <row r="1679" spans="1:6" x14ac:dyDescent="0.55000000000000004">
      <c r="A1679">
        <v>111</v>
      </c>
      <c r="B1679" t="str">
        <f t="shared" si="26"/>
        <v>111_0</v>
      </c>
      <c r="C1679" t="s">
        <v>163</v>
      </c>
      <c r="D1679" t="s">
        <v>166</v>
      </c>
      <c r="E1679" t="s">
        <v>139</v>
      </c>
      <c r="F1679">
        <v>100</v>
      </c>
    </row>
    <row r="1680" spans="1:6" x14ac:dyDescent="0.55000000000000004">
      <c r="A1680">
        <v>111</v>
      </c>
      <c r="B1680" t="str">
        <f t="shared" si="26"/>
        <v>111_0</v>
      </c>
      <c r="C1680" t="s">
        <v>163</v>
      </c>
      <c r="D1680" t="s">
        <v>167</v>
      </c>
    </row>
    <row r="1681" spans="1:7" x14ac:dyDescent="0.55000000000000004">
      <c r="A1681">
        <v>111</v>
      </c>
      <c r="B1681" t="str">
        <f t="shared" si="26"/>
        <v>111_0</v>
      </c>
      <c r="C1681" t="s">
        <v>163</v>
      </c>
      <c r="D1681" t="s">
        <v>168</v>
      </c>
      <c r="E1681" t="s">
        <v>131</v>
      </c>
      <c r="F1681">
        <v>1</v>
      </c>
    </row>
    <row r="1682" spans="1:7" x14ac:dyDescent="0.55000000000000004">
      <c r="A1682">
        <v>111</v>
      </c>
      <c r="B1682" t="str">
        <f t="shared" si="26"/>
        <v>111_0</v>
      </c>
      <c r="C1682" t="s">
        <v>163</v>
      </c>
      <c r="D1682" t="s">
        <v>169</v>
      </c>
    </row>
    <row r="1683" spans="1:7" x14ac:dyDescent="0.55000000000000004">
      <c r="A1683">
        <v>111</v>
      </c>
      <c r="B1683" t="str">
        <f t="shared" si="26"/>
        <v>111_0</v>
      </c>
      <c r="C1683" t="s">
        <v>163</v>
      </c>
      <c r="D1683" t="s">
        <v>170</v>
      </c>
      <c r="E1683" t="s">
        <v>139</v>
      </c>
      <c r="F1683">
        <v>0</v>
      </c>
    </row>
    <row r="1684" spans="1:7" x14ac:dyDescent="0.55000000000000004">
      <c r="A1684">
        <v>111</v>
      </c>
      <c r="B1684" t="str">
        <f t="shared" si="26"/>
        <v>111_0</v>
      </c>
      <c r="C1684" t="s">
        <v>163</v>
      </c>
      <c r="D1684" t="s">
        <v>171</v>
      </c>
    </row>
    <row r="1685" spans="1:7" x14ac:dyDescent="0.55000000000000004">
      <c r="A1685">
        <v>111</v>
      </c>
      <c r="B1685" t="str">
        <f>A1685 &amp; "_1"</f>
        <v>111_1</v>
      </c>
      <c r="C1685" t="s">
        <v>126</v>
      </c>
      <c r="D1685" t="s">
        <v>127</v>
      </c>
      <c r="E1685" t="s">
        <v>128</v>
      </c>
      <c r="F1685" s="1"/>
      <c r="G1685" t="s">
        <v>129</v>
      </c>
    </row>
    <row r="1686" spans="1:7" x14ac:dyDescent="0.55000000000000004">
      <c r="A1686">
        <v>111</v>
      </c>
      <c r="B1686" t="str">
        <f t="shared" ref="B1686:B1719" si="27">A1686 &amp; "_1"</f>
        <v>111_1</v>
      </c>
      <c r="C1686" t="s">
        <v>126</v>
      </c>
      <c r="D1686" s="11" t="s">
        <v>130</v>
      </c>
      <c r="E1686" t="s">
        <v>131</v>
      </c>
      <c r="F1686">
        <v>1</v>
      </c>
    </row>
    <row r="1687" spans="1:7" x14ac:dyDescent="0.55000000000000004">
      <c r="A1687">
        <v>111</v>
      </c>
      <c r="B1687" t="str">
        <f t="shared" si="27"/>
        <v>111_1</v>
      </c>
      <c r="C1687" t="s">
        <v>126</v>
      </c>
      <c r="D1687" t="s">
        <v>132</v>
      </c>
      <c r="E1687" t="s">
        <v>133</v>
      </c>
    </row>
    <row r="1688" spans="1:7" x14ac:dyDescent="0.55000000000000004">
      <c r="A1688">
        <v>111</v>
      </c>
      <c r="B1688" t="str">
        <f t="shared" si="27"/>
        <v>111_1</v>
      </c>
      <c r="C1688" t="s">
        <v>126</v>
      </c>
      <c r="D1688" t="s">
        <v>134</v>
      </c>
      <c r="E1688" t="s">
        <v>133</v>
      </c>
      <c r="F1688">
        <v>2.4</v>
      </c>
    </row>
    <row r="1689" spans="1:7" x14ac:dyDescent="0.55000000000000004">
      <c r="A1689">
        <v>111</v>
      </c>
      <c r="B1689" t="str">
        <f t="shared" si="27"/>
        <v>111_1</v>
      </c>
      <c r="C1689" t="s">
        <v>126</v>
      </c>
      <c r="D1689" t="s">
        <v>135</v>
      </c>
      <c r="E1689" t="s">
        <v>136</v>
      </c>
      <c r="F1689">
        <f>F1688/10</f>
        <v>0.24</v>
      </c>
      <c r="G1689" t="s">
        <v>137</v>
      </c>
    </row>
    <row r="1690" spans="1:7" x14ac:dyDescent="0.55000000000000004">
      <c r="A1690">
        <v>111</v>
      </c>
      <c r="B1690" t="str">
        <f t="shared" si="27"/>
        <v>111_1</v>
      </c>
      <c r="C1690" t="s">
        <v>126</v>
      </c>
      <c r="D1690" s="2" t="s">
        <v>138</v>
      </c>
      <c r="E1690" t="s">
        <v>139</v>
      </c>
      <c r="F1690">
        <v>100</v>
      </c>
    </row>
    <row r="1691" spans="1:7" x14ac:dyDescent="0.55000000000000004">
      <c r="A1691">
        <v>111</v>
      </c>
      <c r="B1691" t="str">
        <f t="shared" si="27"/>
        <v>111_1</v>
      </c>
      <c r="C1691" t="s">
        <v>126</v>
      </c>
      <c r="D1691" s="2" t="s">
        <v>140</v>
      </c>
      <c r="F1691" t="s">
        <v>182</v>
      </c>
    </row>
    <row r="1692" spans="1:7" x14ac:dyDescent="0.55000000000000004">
      <c r="A1692">
        <v>111</v>
      </c>
      <c r="B1692" t="str">
        <f t="shared" si="27"/>
        <v>111_1</v>
      </c>
      <c r="C1692" t="s">
        <v>126</v>
      </c>
      <c r="D1692" s="2" t="s">
        <v>141</v>
      </c>
      <c r="E1692" t="s">
        <v>139</v>
      </c>
      <c r="F1692">
        <v>0</v>
      </c>
    </row>
    <row r="1693" spans="1:7" x14ac:dyDescent="0.55000000000000004">
      <c r="A1693">
        <v>111</v>
      </c>
      <c r="B1693" t="str">
        <f t="shared" si="27"/>
        <v>111_1</v>
      </c>
      <c r="C1693" t="s">
        <v>126</v>
      </c>
      <c r="D1693" t="s">
        <v>142</v>
      </c>
      <c r="E1693" t="s">
        <v>139</v>
      </c>
      <c r="F1693">
        <v>0</v>
      </c>
    </row>
    <row r="1694" spans="1:7" x14ac:dyDescent="0.55000000000000004">
      <c r="A1694">
        <v>111</v>
      </c>
      <c r="B1694" t="str">
        <f t="shared" si="27"/>
        <v>111_1</v>
      </c>
      <c r="C1694" t="s">
        <v>126</v>
      </c>
      <c r="D1694" t="s">
        <v>143</v>
      </c>
      <c r="E1694" t="s">
        <v>131</v>
      </c>
      <c r="F1694">
        <v>0</v>
      </c>
    </row>
    <row r="1695" spans="1:7" x14ac:dyDescent="0.55000000000000004">
      <c r="A1695">
        <v>111</v>
      </c>
      <c r="B1695" t="str">
        <f t="shared" si="27"/>
        <v>111_1</v>
      </c>
      <c r="C1695" t="s">
        <v>126</v>
      </c>
      <c r="D1695" t="s">
        <v>144</v>
      </c>
      <c r="E1695" t="s">
        <v>139</v>
      </c>
      <c r="F1695">
        <v>0</v>
      </c>
    </row>
    <row r="1696" spans="1:7" x14ac:dyDescent="0.55000000000000004">
      <c r="A1696">
        <v>111</v>
      </c>
      <c r="B1696" t="str">
        <f t="shared" si="27"/>
        <v>111_1</v>
      </c>
      <c r="C1696" t="s">
        <v>126</v>
      </c>
      <c r="D1696" t="s">
        <v>145</v>
      </c>
      <c r="E1696" t="s">
        <v>139</v>
      </c>
      <c r="F1696">
        <v>0</v>
      </c>
    </row>
    <row r="1697" spans="1:6" x14ac:dyDescent="0.55000000000000004">
      <c r="A1697">
        <v>111</v>
      </c>
      <c r="B1697" t="str">
        <f t="shared" si="27"/>
        <v>111_1</v>
      </c>
      <c r="C1697" t="s">
        <v>126</v>
      </c>
      <c r="D1697" t="s">
        <v>146</v>
      </c>
      <c r="E1697" t="s">
        <v>139</v>
      </c>
      <c r="F1697">
        <v>0</v>
      </c>
    </row>
    <row r="1698" spans="1:6" x14ac:dyDescent="0.55000000000000004">
      <c r="A1698">
        <v>111</v>
      </c>
      <c r="B1698" t="str">
        <f t="shared" si="27"/>
        <v>111_1</v>
      </c>
      <c r="C1698" t="s">
        <v>126</v>
      </c>
      <c r="D1698" t="s">
        <v>147</v>
      </c>
      <c r="E1698" t="s">
        <v>139</v>
      </c>
      <c r="F1698">
        <v>0</v>
      </c>
    </row>
    <row r="1699" spans="1:6" x14ac:dyDescent="0.55000000000000004">
      <c r="A1699">
        <v>111</v>
      </c>
      <c r="B1699" t="str">
        <f t="shared" si="27"/>
        <v>111_1</v>
      </c>
      <c r="C1699" t="s">
        <v>126</v>
      </c>
      <c r="D1699" t="s">
        <v>148</v>
      </c>
      <c r="E1699" t="s">
        <v>139</v>
      </c>
      <c r="F1699">
        <v>0</v>
      </c>
    </row>
    <row r="1700" spans="1:6" x14ac:dyDescent="0.55000000000000004">
      <c r="A1700">
        <v>111</v>
      </c>
      <c r="B1700" t="str">
        <f t="shared" si="27"/>
        <v>111_1</v>
      </c>
      <c r="C1700" t="s">
        <v>126</v>
      </c>
      <c r="D1700" t="s">
        <v>149</v>
      </c>
      <c r="E1700" t="s">
        <v>139</v>
      </c>
      <c r="F1700">
        <v>0</v>
      </c>
    </row>
    <row r="1701" spans="1:6" x14ac:dyDescent="0.55000000000000004">
      <c r="A1701">
        <v>111</v>
      </c>
      <c r="B1701" t="str">
        <f t="shared" si="27"/>
        <v>111_1</v>
      </c>
      <c r="C1701" t="s">
        <v>126</v>
      </c>
      <c r="D1701" t="s">
        <v>150</v>
      </c>
      <c r="E1701" t="s">
        <v>139</v>
      </c>
      <c r="F1701">
        <v>100</v>
      </c>
    </row>
    <row r="1702" spans="1:6" x14ac:dyDescent="0.55000000000000004">
      <c r="A1702">
        <v>111</v>
      </c>
      <c r="B1702" t="str">
        <f t="shared" si="27"/>
        <v>111_1</v>
      </c>
      <c r="C1702" t="s">
        <v>126</v>
      </c>
      <c r="D1702" t="s">
        <v>151</v>
      </c>
      <c r="E1702" t="s">
        <v>139</v>
      </c>
      <c r="F1702">
        <v>0</v>
      </c>
    </row>
    <row r="1703" spans="1:6" x14ac:dyDescent="0.55000000000000004">
      <c r="A1703">
        <v>111</v>
      </c>
      <c r="B1703" t="str">
        <f t="shared" si="27"/>
        <v>111_1</v>
      </c>
      <c r="C1703" t="s">
        <v>126</v>
      </c>
      <c r="D1703" t="s">
        <v>152</v>
      </c>
      <c r="E1703" t="s">
        <v>153</v>
      </c>
    </row>
    <row r="1704" spans="1:6" x14ac:dyDescent="0.55000000000000004">
      <c r="A1704">
        <v>111</v>
      </c>
      <c r="B1704" t="str">
        <f t="shared" si="27"/>
        <v>111_1</v>
      </c>
      <c r="C1704" t="s">
        <v>154</v>
      </c>
      <c r="D1704" t="s">
        <v>155</v>
      </c>
      <c r="E1704" t="s">
        <v>156</v>
      </c>
      <c r="F1704">
        <v>21.4</v>
      </c>
    </row>
    <row r="1705" spans="1:6" x14ac:dyDescent="0.55000000000000004">
      <c r="A1705">
        <v>111</v>
      </c>
      <c r="B1705" t="str">
        <f t="shared" si="27"/>
        <v>111_1</v>
      </c>
      <c r="C1705" t="s">
        <v>154</v>
      </c>
      <c r="D1705" t="s">
        <v>157</v>
      </c>
      <c r="E1705" t="s">
        <v>158</v>
      </c>
      <c r="F1705">
        <v>9.19</v>
      </c>
    </row>
    <row r="1706" spans="1:6" x14ac:dyDescent="0.55000000000000004">
      <c r="A1706">
        <v>111</v>
      </c>
      <c r="B1706" t="str">
        <f t="shared" si="27"/>
        <v>111_1</v>
      </c>
      <c r="C1706" t="s">
        <v>154</v>
      </c>
      <c r="D1706" t="s">
        <v>159</v>
      </c>
      <c r="E1706" t="s">
        <v>139</v>
      </c>
      <c r="F1706">
        <v>104</v>
      </c>
    </row>
    <row r="1707" spans="1:6" x14ac:dyDescent="0.55000000000000004">
      <c r="A1707">
        <v>111</v>
      </c>
      <c r="B1707" t="str">
        <f t="shared" si="27"/>
        <v>111_1</v>
      </c>
      <c r="C1707" t="s">
        <v>154</v>
      </c>
      <c r="D1707" t="s">
        <v>160</v>
      </c>
      <c r="E1707" t="s">
        <v>161</v>
      </c>
      <c r="F1707">
        <v>70.900000000000006</v>
      </c>
    </row>
    <row r="1708" spans="1:6" x14ac:dyDescent="0.55000000000000004">
      <c r="A1708">
        <v>111</v>
      </c>
      <c r="B1708" t="str">
        <f t="shared" si="27"/>
        <v>111_1</v>
      </c>
      <c r="C1708" t="s">
        <v>154</v>
      </c>
      <c r="D1708" t="s">
        <v>162</v>
      </c>
      <c r="F1708">
        <v>8.48</v>
      </c>
    </row>
    <row r="1709" spans="1:6" x14ac:dyDescent="0.55000000000000004">
      <c r="A1709">
        <v>111</v>
      </c>
      <c r="B1709" t="str">
        <f t="shared" si="27"/>
        <v>111_1</v>
      </c>
      <c r="C1709" t="s">
        <v>163</v>
      </c>
      <c r="D1709" t="s">
        <v>164</v>
      </c>
      <c r="E1709" t="s">
        <v>139</v>
      </c>
      <c r="F1709">
        <v>20</v>
      </c>
    </row>
    <row r="1710" spans="1:6" x14ac:dyDescent="0.55000000000000004">
      <c r="A1710">
        <v>111</v>
      </c>
      <c r="B1710" t="str">
        <f t="shared" si="27"/>
        <v>111_1</v>
      </c>
      <c r="C1710" t="s">
        <v>163</v>
      </c>
      <c r="D1710" t="s">
        <v>165</v>
      </c>
      <c r="F1710" t="s">
        <v>182</v>
      </c>
    </row>
    <row r="1711" spans="1:6" x14ac:dyDescent="0.55000000000000004">
      <c r="A1711">
        <v>111</v>
      </c>
      <c r="B1711" t="str">
        <f t="shared" si="27"/>
        <v>111_1</v>
      </c>
      <c r="C1711" t="s">
        <v>163</v>
      </c>
      <c r="D1711" t="s">
        <v>166</v>
      </c>
      <c r="E1711" t="s">
        <v>139</v>
      </c>
      <c r="F1711">
        <v>65</v>
      </c>
    </row>
    <row r="1712" spans="1:6" x14ac:dyDescent="0.55000000000000004">
      <c r="A1712">
        <v>111</v>
      </c>
      <c r="B1712" t="str">
        <f t="shared" si="27"/>
        <v>111_1</v>
      </c>
      <c r="C1712" t="s">
        <v>163</v>
      </c>
      <c r="D1712" t="s">
        <v>166</v>
      </c>
      <c r="E1712" t="s">
        <v>139</v>
      </c>
      <c r="F1712">
        <v>60</v>
      </c>
    </row>
    <row r="1713" spans="1:6" x14ac:dyDescent="0.55000000000000004">
      <c r="A1713">
        <v>111</v>
      </c>
      <c r="B1713" t="str">
        <f t="shared" si="27"/>
        <v>111_1</v>
      </c>
      <c r="C1713" t="s">
        <v>163</v>
      </c>
      <c r="D1713" t="s">
        <v>167</v>
      </c>
      <c r="F1713" t="s">
        <v>298</v>
      </c>
    </row>
    <row r="1714" spans="1:6" x14ac:dyDescent="0.55000000000000004">
      <c r="A1714">
        <v>111</v>
      </c>
      <c r="B1714" t="str">
        <f t="shared" si="27"/>
        <v>111_1</v>
      </c>
      <c r="C1714" t="s">
        <v>163</v>
      </c>
      <c r="D1714" t="s">
        <v>166</v>
      </c>
      <c r="E1714" t="s">
        <v>139</v>
      </c>
      <c r="F1714">
        <v>5</v>
      </c>
    </row>
    <row r="1715" spans="1:6" x14ac:dyDescent="0.55000000000000004">
      <c r="A1715">
        <v>111</v>
      </c>
      <c r="B1715" t="str">
        <f t="shared" si="27"/>
        <v>111_1</v>
      </c>
      <c r="C1715" t="s">
        <v>163</v>
      </c>
      <c r="D1715" t="s">
        <v>167</v>
      </c>
      <c r="F1715" t="s">
        <v>190</v>
      </c>
    </row>
    <row r="1716" spans="1:6" x14ac:dyDescent="0.55000000000000004">
      <c r="A1716">
        <v>111</v>
      </c>
      <c r="B1716" t="str">
        <f t="shared" si="27"/>
        <v>111_1</v>
      </c>
      <c r="C1716" t="s">
        <v>163</v>
      </c>
      <c r="D1716" t="s">
        <v>168</v>
      </c>
      <c r="E1716" t="s">
        <v>131</v>
      </c>
      <c r="F1716">
        <v>1</v>
      </c>
    </row>
    <row r="1717" spans="1:6" x14ac:dyDescent="0.55000000000000004">
      <c r="A1717">
        <v>111</v>
      </c>
      <c r="B1717" t="str">
        <f t="shared" si="27"/>
        <v>111_1</v>
      </c>
      <c r="C1717" t="s">
        <v>163</v>
      </c>
      <c r="D1717" t="s">
        <v>169</v>
      </c>
    </row>
    <row r="1718" spans="1:6" x14ac:dyDescent="0.55000000000000004">
      <c r="A1718">
        <v>111</v>
      </c>
      <c r="B1718" t="str">
        <f t="shared" si="27"/>
        <v>111_1</v>
      </c>
      <c r="C1718" t="s">
        <v>163</v>
      </c>
      <c r="D1718" t="s">
        <v>170</v>
      </c>
      <c r="E1718" t="s">
        <v>139</v>
      </c>
      <c r="F1718">
        <v>0</v>
      </c>
    </row>
    <row r="1719" spans="1:6" x14ac:dyDescent="0.55000000000000004">
      <c r="A1719">
        <v>111</v>
      </c>
      <c r="B1719" t="str">
        <f t="shared" si="27"/>
        <v>111_1</v>
      </c>
      <c r="C1719" t="s">
        <v>163</v>
      </c>
      <c r="D1719" t="s">
        <v>171</v>
      </c>
    </row>
    <row r="1720" spans="1:6" x14ac:dyDescent="0.55000000000000004">
      <c r="A1720">
        <v>112</v>
      </c>
      <c r="B1720" t="str">
        <f t="shared" si="26"/>
        <v>112_0</v>
      </c>
      <c r="C1720" t="s">
        <v>126</v>
      </c>
      <c r="D1720" t="s">
        <v>127</v>
      </c>
      <c r="E1720" t="s">
        <v>128</v>
      </c>
    </row>
    <row r="1721" spans="1:6" x14ac:dyDescent="0.55000000000000004">
      <c r="A1721">
        <v>112</v>
      </c>
      <c r="B1721" t="str">
        <f t="shared" si="26"/>
        <v>112_0</v>
      </c>
      <c r="C1721" t="s">
        <v>126</v>
      </c>
      <c r="D1721" s="11" t="s">
        <v>130</v>
      </c>
      <c r="E1721" t="s">
        <v>131</v>
      </c>
      <c r="F1721">
        <v>1</v>
      </c>
    </row>
    <row r="1722" spans="1:6" x14ac:dyDescent="0.55000000000000004">
      <c r="A1722">
        <v>112</v>
      </c>
      <c r="B1722" t="str">
        <f t="shared" si="26"/>
        <v>112_0</v>
      </c>
      <c r="C1722" t="s">
        <v>126</v>
      </c>
      <c r="D1722" t="s">
        <v>132</v>
      </c>
      <c r="E1722" t="s">
        <v>133</v>
      </c>
    </row>
    <row r="1723" spans="1:6" x14ac:dyDescent="0.55000000000000004">
      <c r="A1723">
        <v>112</v>
      </c>
      <c r="B1723" t="str">
        <f t="shared" si="26"/>
        <v>112_0</v>
      </c>
      <c r="C1723" t="s">
        <v>126</v>
      </c>
      <c r="D1723" t="s">
        <v>134</v>
      </c>
      <c r="E1723" t="s">
        <v>133</v>
      </c>
      <c r="F1723">
        <v>0.5</v>
      </c>
    </row>
    <row r="1724" spans="1:6" x14ac:dyDescent="0.55000000000000004">
      <c r="A1724">
        <v>112</v>
      </c>
      <c r="B1724" t="str">
        <f t="shared" si="26"/>
        <v>112_0</v>
      </c>
      <c r="C1724" t="s">
        <v>126</v>
      </c>
      <c r="D1724" t="s">
        <v>135</v>
      </c>
      <c r="E1724" t="s">
        <v>136</v>
      </c>
      <c r="F1724">
        <f>F1723/10</f>
        <v>0.05</v>
      </c>
    </row>
    <row r="1725" spans="1:6" x14ac:dyDescent="0.55000000000000004">
      <c r="A1725">
        <v>112</v>
      </c>
      <c r="B1725" t="str">
        <f t="shared" si="26"/>
        <v>112_0</v>
      </c>
      <c r="C1725" t="s">
        <v>126</v>
      </c>
      <c r="D1725" s="2" t="s">
        <v>138</v>
      </c>
      <c r="E1725" t="s">
        <v>139</v>
      </c>
      <c r="F1725">
        <v>0</v>
      </c>
    </row>
    <row r="1726" spans="1:6" x14ac:dyDescent="0.55000000000000004">
      <c r="A1726">
        <v>112</v>
      </c>
      <c r="B1726" t="str">
        <f t="shared" si="26"/>
        <v>112_0</v>
      </c>
      <c r="C1726" t="s">
        <v>126</v>
      </c>
      <c r="D1726" s="2" t="s">
        <v>140</v>
      </c>
    </row>
    <row r="1727" spans="1:6" x14ac:dyDescent="0.55000000000000004">
      <c r="A1727">
        <v>112</v>
      </c>
      <c r="B1727" t="str">
        <f t="shared" si="26"/>
        <v>112_0</v>
      </c>
      <c r="C1727" t="s">
        <v>126</v>
      </c>
      <c r="D1727" s="2" t="s">
        <v>141</v>
      </c>
      <c r="E1727" t="s">
        <v>139</v>
      </c>
      <c r="F1727">
        <v>0</v>
      </c>
    </row>
    <row r="1728" spans="1:6" x14ac:dyDescent="0.55000000000000004">
      <c r="A1728">
        <v>112</v>
      </c>
      <c r="B1728" t="str">
        <f t="shared" si="26"/>
        <v>112_0</v>
      </c>
      <c r="C1728" t="s">
        <v>126</v>
      </c>
      <c r="D1728" t="s">
        <v>142</v>
      </c>
      <c r="E1728" t="s">
        <v>139</v>
      </c>
      <c r="F1728">
        <v>0</v>
      </c>
    </row>
    <row r="1729" spans="1:7" x14ac:dyDescent="0.55000000000000004">
      <c r="A1729">
        <v>112</v>
      </c>
      <c r="B1729" t="str">
        <f t="shared" si="26"/>
        <v>112_0</v>
      </c>
      <c r="C1729" t="s">
        <v>126</v>
      </c>
      <c r="D1729" t="s">
        <v>143</v>
      </c>
      <c r="E1729" t="s">
        <v>131</v>
      </c>
      <c r="F1729">
        <v>0</v>
      </c>
    </row>
    <row r="1730" spans="1:7" x14ac:dyDescent="0.55000000000000004">
      <c r="A1730">
        <v>112</v>
      </c>
      <c r="B1730" t="str">
        <f t="shared" si="26"/>
        <v>112_0</v>
      </c>
      <c r="C1730" t="s">
        <v>126</v>
      </c>
      <c r="D1730" t="s">
        <v>144</v>
      </c>
      <c r="E1730" t="s">
        <v>139</v>
      </c>
      <c r="F1730">
        <v>0</v>
      </c>
    </row>
    <row r="1731" spans="1:7" x14ac:dyDescent="0.55000000000000004">
      <c r="A1731">
        <v>112</v>
      </c>
      <c r="B1731" t="str">
        <f t="shared" si="26"/>
        <v>112_0</v>
      </c>
      <c r="C1731" t="s">
        <v>126</v>
      </c>
      <c r="D1731" t="s">
        <v>145</v>
      </c>
      <c r="E1731" t="s">
        <v>139</v>
      </c>
      <c r="F1731">
        <v>0</v>
      </c>
    </row>
    <row r="1732" spans="1:7" x14ac:dyDescent="0.55000000000000004">
      <c r="A1732">
        <v>112</v>
      </c>
      <c r="B1732" t="str">
        <f t="shared" si="26"/>
        <v>112_0</v>
      </c>
      <c r="C1732" t="s">
        <v>126</v>
      </c>
      <c r="D1732" t="s">
        <v>146</v>
      </c>
      <c r="E1732" t="s">
        <v>139</v>
      </c>
      <c r="F1732">
        <v>0</v>
      </c>
    </row>
    <row r="1733" spans="1:7" x14ac:dyDescent="0.55000000000000004">
      <c r="A1733">
        <v>112</v>
      </c>
      <c r="B1733" t="str">
        <f t="shared" si="26"/>
        <v>112_0</v>
      </c>
      <c r="C1733" t="s">
        <v>126</v>
      </c>
      <c r="D1733" t="s">
        <v>147</v>
      </c>
      <c r="E1733" t="s">
        <v>139</v>
      </c>
      <c r="F1733">
        <v>0</v>
      </c>
    </row>
    <row r="1734" spans="1:7" x14ac:dyDescent="0.55000000000000004">
      <c r="A1734">
        <v>112</v>
      </c>
      <c r="B1734" t="str">
        <f t="shared" ref="B1734:B1797" si="28">A1734 &amp; "_0"</f>
        <v>112_0</v>
      </c>
      <c r="C1734" t="s">
        <v>126</v>
      </c>
      <c r="D1734" t="s">
        <v>148</v>
      </c>
      <c r="E1734" t="s">
        <v>139</v>
      </c>
      <c r="F1734">
        <v>0</v>
      </c>
    </row>
    <row r="1735" spans="1:7" x14ac:dyDescent="0.55000000000000004">
      <c r="A1735">
        <v>112</v>
      </c>
      <c r="B1735" t="str">
        <f t="shared" si="28"/>
        <v>112_0</v>
      </c>
      <c r="C1735" t="s">
        <v>126</v>
      </c>
      <c r="D1735" t="s">
        <v>149</v>
      </c>
      <c r="E1735" t="s">
        <v>139</v>
      </c>
      <c r="F1735">
        <v>50</v>
      </c>
    </row>
    <row r="1736" spans="1:7" x14ac:dyDescent="0.55000000000000004">
      <c r="A1736">
        <v>112</v>
      </c>
      <c r="B1736" t="str">
        <f t="shared" si="28"/>
        <v>112_0</v>
      </c>
      <c r="C1736" t="s">
        <v>126</v>
      </c>
      <c r="D1736" t="s">
        <v>150</v>
      </c>
      <c r="E1736" t="s">
        <v>139</v>
      </c>
      <c r="F1736">
        <v>0</v>
      </c>
    </row>
    <row r="1737" spans="1:7" x14ac:dyDescent="0.55000000000000004">
      <c r="A1737">
        <v>112</v>
      </c>
      <c r="B1737" t="str">
        <f t="shared" si="28"/>
        <v>112_0</v>
      </c>
      <c r="C1737" t="s">
        <v>126</v>
      </c>
      <c r="D1737" t="s">
        <v>151</v>
      </c>
      <c r="E1737" t="s">
        <v>139</v>
      </c>
      <c r="F1737">
        <v>50</v>
      </c>
      <c r="G1737" t="s">
        <v>299</v>
      </c>
    </row>
    <row r="1738" spans="1:7" x14ac:dyDescent="0.55000000000000004">
      <c r="A1738">
        <v>112</v>
      </c>
      <c r="B1738" t="str">
        <f t="shared" si="28"/>
        <v>112_0</v>
      </c>
      <c r="C1738" t="s">
        <v>126</v>
      </c>
      <c r="D1738" t="s">
        <v>152</v>
      </c>
      <c r="E1738" t="s">
        <v>153</v>
      </c>
    </row>
    <row r="1739" spans="1:7" x14ac:dyDescent="0.55000000000000004">
      <c r="A1739">
        <v>112</v>
      </c>
      <c r="B1739" t="str">
        <f t="shared" si="28"/>
        <v>112_0</v>
      </c>
      <c r="C1739" t="s">
        <v>154</v>
      </c>
      <c r="D1739" t="s">
        <v>155</v>
      </c>
      <c r="E1739" t="s">
        <v>156</v>
      </c>
      <c r="F1739">
        <v>20.3</v>
      </c>
    </row>
    <row r="1740" spans="1:7" x14ac:dyDescent="0.55000000000000004">
      <c r="A1740">
        <v>112</v>
      </c>
      <c r="B1740" t="str">
        <f t="shared" si="28"/>
        <v>112_0</v>
      </c>
      <c r="C1740" t="s">
        <v>154</v>
      </c>
      <c r="D1740" t="s">
        <v>157</v>
      </c>
      <c r="E1740" t="s">
        <v>158</v>
      </c>
      <c r="F1740">
        <v>9.32</v>
      </c>
    </row>
    <row r="1741" spans="1:7" x14ac:dyDescent="0.55000000000000004">
      <c r="A1741">
        <v>112</v>
      </c>
      <c r="B1741" t="str">
        <f t="shared" si="28"/>
        <v>112_0</v>
      </c>
      <c r="C1741" t="s">
        <v>154</v>
      </c>
      <c r="D1741" t="s">
        <v>159</v>
      </c>
      <c r="E1741" t="s">
        <v>139</v>
      </c>
      <c r="F1741">
        <v>102.8</v>
      </c>
    </row>
    <row r="1742" spans="1:7" x14ac:dyDescent="0.55000000000000004">
      <c r="A1742">
        <v>112</v>
      </c>
      <c r="B1742" t="str">
        <f t="shared" si="28"/>
        <v>112_0</v>
      </c>
      <c r="C1742" t="s">
        <v>154</v>
      </c>
      <c r="D1742" t="s">
        <v>160</v>
      </c>
      <c r="E1742" t="s">
        <v>161</v>
      </c>
      <c r="F1742">
        <v>69.2</v>
      </c>
    </row>
    <row r="1743" spans="1:7" x14ac:dyDescent="0.55000000000000004">
      <c r="A1743">
        <v>112</v>
      </c>
      <c r="B1743" t="str">
        <f t="shared" si="28"/>
        <v>112_0</v>
      </c>
      <c r="C1743" t="s">
        <v>154</v>
      </c>
      <c r="D1743" t="s">
        <v>162</v>
      </c>
      <c r="F1743">
        <v>8.6</v>
      </c>
    </row>
    <row r="1744" spans="1:7" x14ac:dyDescent="0.55000000000000004">
      <c r="A1744">
        <v>112</v>
      </c>
      <c r="B1744" t="str">
        <f t="shared" si="28"/>
        <v>112_0</v>
      </c>
      <c r="C1744" t="s">
        <v>163</v>
      </c>
      <c r="D1744" t="s">
        <v>164</v>
      </c>
      <c r="E1744" t="s">
        <v>139</v>
      </c>
      <c r="F1744">
        <v>0</v>
      </c>
    </row>
    <row r="1745" spans="1:7" x14ac:dyDescent="0.55000000000000004">
      <c r="A1745">
        <v>112</v>
      </c>
      <c r="B1745" t="str">
        <f t="shared" si="28"/>
        <v>112_0</v>
      </c>
      <c r="C1745" t="s">
        <v>163</v>
      </c>
      <c r="D1745" t="s">
        <v>165</v>
      </c>
    </row>
    <row r="1746" spans="1:7" x14ac:dyDescent="0.55000000000000004">
      <c r="A1746">
        <v>112</v>
      </c>
      <c r="B1746" t="str">
        <f t="shared" si="28"/>
        <v>112_0</v>
      </c>
      <c r="C1746" t="s">
        <v>163</v>
      </c>
      <c r="D1746" t="s">
        <v>166</v>
      </c>
      <c r="E1746" t="s">
        <v>139</v>
      </c>
      <c r="F1746">
        <v>0</v>
      </c>
    </row>
    <row r="1747" spans="1:7" x14ac:dyDescent="0.55000000000000004">
      <c r="A1747">
        <v>112</v>
      </c>
      <c r="B1747" t="str">
        <f t="shared" si="28"/>
        <v>112_0</v>
      </c>
      <c r="C1747" t="s">
        <v>163</v>
      </c>
      <c r="D1747" t="s">
        <v>167</v>
      </c>
    </row>
    <row r="1748" spans="1:7" x14ac:dyDescent="0.55000000000000004">
      <c r="A1748">
        <v>112</v>
      </c>
      <c r="B1748" t="str">
        <f t="shared" si="28"/>
        <v>112_0</v>
      </c>
      <c r="C1748" t="s">
        <v>163</v>
      </c>
      <c r="D1748" t="s">
        <v>168</v>
      </c>
      <c r="E1748" t="s">
        <v>131</v>
      </c>
      <c r="F1748">
        <v>0</v>
      </c>
    </row>
    <row r="1749" spans="1:7" x14ac:dyDescent="0.55000000000000004">
      <c r="A1749">
        <v>112</v>
      </c>
      <c r="B1749" t="str">
        <f t="shared" si="28"/>
        <v>112_0</v>
      </c>
      <c r="C1749" t="s">
        <v>163</v>
      </c>
      <c r="D1749" t="s">
        <v>169</v>
      </c>
    </row>
    <row r="1750" spans="1:7" x14ac:dyDescent="0.55000000000000004">
      <c r="A1750">
        <v>112</v>
      </c>
      <c r="B1750" t="str">
        <f t="shared" si="28"/>
        <v>112_0</v>
      </c>
      <c r="C1750" t="s">
        <v>163</v>
      </c>
      <c r="D1750" t="s">
        <v>170</v>
      </c>
      <c r="E1750" t="s">
        <v>139</v>
      </c>
      <c r="F1750">
        <v>0</v>
      </c>
    </row>
    <row r="1751" spans="1:7" x14ac:dyDescent="0.55000000000000004">
      <c r="A1751">
        <v>112</v>
      </c>
      <c r="B1751" t="str">
        <f t="shared" si="28"/>
        <v>112_0</v>
      </c>
      <c r="C1751" t="s">
        <v>163</v>
      </c>
      <c r="D1751" t="s">
        <v>171</v>
      </c>
    </row>
    <row r="1752" spans="1:7" x14ac:dyDescent="0.55000000000000004">
      <c r="A1752">
        <v>113</v>
      </c>
      <c r="B1752" t="str">
        <f t="shared" si="28"/>
        <v>113_0</v>
      </c>
      <c r="C1752" t="s">
        <v>126</v>
      </c>
      <c r="D1752" t="s">
        <v>127</v>
      </c>
      <c r="E1752" t="s">
        <v>128</v>
      </c>
    </row>
    <row r="1753" spans="1:7" x14ac:dyDescent="0.55000000000000004">
      <c r="A1753">
        <v>113</v>
      </c>
      <c r="B1753" t="str">
        <f t="shared" si="28"/>
        <v>113_0</v>
      </c>
      <c r="C1753" t="s">
        <v>126</v>
      </c>
      <c r="D1753" s="11" t="s">
        <v>130</v>
      </c>
      <c r="E1753" t="s">
        <v>131</v>
      </c>
      <c r="F1753">
        <v>1</v>
      </c>
    </row>
    <row r="1754" spans="1:7" x14ac:dyDescent="0.55000000000000004">
      <c r="A1754">
        <v>113</v>
      </c>
      <c r="B1754" t="str">
        <f t="shared" si="28"/>
        <v>113_0</v>
      </c>
      <c r="C1754" t="s">
        <v>126</v>
      </c>
      <c r="D1754" t="s">
        <v>132</v>
      </c>
      <c r="E1754" t="s">
        <v>133</v>
      </c>
      <c r="F1754">
        <v>9.1999999999999993</v>
      </c>
      <c r="G1754" t="s">
        <v>175</v>
      </c>
    </row>
    <row r="1755" spans="1:7" x14ac:dyDescent="0.55000000000000004">
      <c r="A1755">
        <v>113</v>
      </c>
      <c r="B1755" t="str">
        <f t="shared" si="28"/>
        <v>113_0</v>
      </c>
      <c r="C1755" t="s">
        <v>126</v>
      </c>
      <c r="D1755" t="s">
        <v>134</v>
      </c>
      <c r="E1755" t="s">
        <v>133</v>
      </c>
      <c r="F1755">
        <v>1.8</v>
      </c>
    </row>
    <row r="1756" spans="1:7" x14ac:dyDescent="0.55000000000000004">
      <c r="A1756">
        <v>113</v>
      </c>
      <c r="B1756" t="str">
        <f t="shared" si="28"/>
        <v>113_0</v>
      </c>
      <c r="C1756" t="s">
        <v>126</v>
      </c>
      <c r="D1756" t="s">
        <v>135</v>
      </c>
      <c r="E1756" t="s">
        <v>136</v>
      </c>
      <c r="F1756">
        <f>F1755/10</f>
        <v>0.18</v>
      </c>
    </row>
    <row r="1757" spans="1:7" x14ac:dyDescent="0.55000000000000004">
      <c r="A1757">
        <v>113</v>
      </c>
      <c r="B1757" t="str">
        <f t="shared" si="28"/>
        <v>113_0</v>
      </c>
      <c r="C1757" t="s">
        <v>126</v>
      </c>
      <c r="D1757" s="2" t="s">
        <v>138</v>
      </c>
      <c r="E1757" t="s">
        <v>139</v>
      </c>
      <c r="F1757">
        <v>100</v>
      </c>
    </row>
    <row r="1758" spans="1:7" x14ac:dyDescent="0.55000000000000004">
      <c r="A1758">
        <v>113</v>
      </c>
      <c r="B1758" t="str">
        <f t="shared" si="28"/>
        <v>113_0</v>
      </c>
      <c r="C1758" t="s">
        <v>126</v>
      </c>
      <c r="D1758" s="2" t="s">
        <v>140</v>
      </c>
      <c r="F1758" t="s">
        <v>172</v>
      </c>
    </row>
    <row r="1759" spans="1:7" x14ac:dyDescent="0.55000000000000004">
      <c r="A1759">
        <v>113</v>
      </c>
      <c r="B1759" t="str">
        <f t="shared" si="28"/>
        <v>113_0</v>
      </c>
      <c r="C1759" t="s">
        <v>126</v>
      </c>
      <c r="D1759" s="2" t="s">
        <v>141</v>
      </c>
      <c r="E1759" t="s">
        <v>139</v>
      </c>
      <c r="F1759">
        <v>100</v>
      </c>
    </row>
    <row r="1760" spans="1:7" x14ac:dyDescent="0.55000000000000004">
      <c r="A1760">
        <v>113</v>
      </c>
      <c r="B1760" t="str">
        <f t="shared" si="28"/>
        <v>113_0</v>
      </c>
      <c r="C1760" t="s">
        <v>126</v>
      </c>
      <c r="D1760" t="s">
        <v>142</v>
      </c>
      <c r="E1760" t="s">
        <v>139</v>
      </c>
      <c r="F1760">
        <v>0</v>
      </c>
    </row>
    <row r="1761" spans="1:6" x14ac:dyDescent="0.55000000000000004">
      <c r="A1761">
        <v>113</v>
      </c>
      <c r="B1761" t="str">
        <f t="shared" si="28"/>
        <v>113_0</v>
      </c>
      <c r="C1761" t="s">
        <v>126</v>
      </c>
      <c r="D1761" t="s">
        <v>143</v>
      </c>
      <c r="E1761" t="s">
        <v>131</v>
      </c>
      <c r="F1761">
        <v>0</v>
      </c>
    </row>
    <row r="1762" spans="1:6" x14ac:dyDescent="0.55000000000000004">
      <c r="A1762">
        <v>113</v>
      </c>
      <c r="B1762" t="str">
        <f t="shared" si="28"/>
        <v>113_0</v>
      </c>
      <c r="C1762" t="s">
        <v>126</v>
      </c>
      <c r="D1762" t="s">
        <v>144</v>
      </c>
      <c r="E1762" t="s">
        <v>139</v>
      </c>
      <c r="F1762">
        <v>0</v>
      </c>
    </row>
    <row r="1763" spans="1:6" x14ac:dyDescent="0.55000000000000004">
      <c r="A1763">
        <v>113</v>
      </c>
      <c r="B1763" t="str">
        <f t="shared" si="28"/>
        <v>113_0</v>
      </c>
      <c r="C1763" t="s">
        <v>126</v>
      </c>
      <c r="D1763" t="s">
        <v>145</v>
      </c>
      <c r="E1763" t="s">
        <v>139</v>
      </c>
      <c r="F1763">
        <v>30</v>
      </c>
    </row>
    <row r="1764" spans="1:6" x14ac:dyDescent="0.55000000000000004">
      <c r="A1764">
        <v>113</v>
      </c>
      <c r="B1764" t="str">
        <f t="shared" si="28"/>
        <v>113_0</v>
      </c>
      <c r="C1764" t="s">
        <v>126</v>
      </c>
      <c r="D1764" t="s">
        <v>146</v>
      </c>
      <c r="E1764" t="s">
        <v>139</v>
      </c>
      <c r="F1764">
        <v>0</v>
      </c>
    </row>
    <row r="1765" spans="1:6" x14ac:dyDescent="0.55000000000000004">
      <c r="A1765">
        <v>113</v>
      </c>
      <c r="B1765" t="str">
        <f t="shared" si="28"/>
        <v>113_0</v>
      </c>
      <c r="C1765" t="s">
        <v>126</v>
      </c>
      <c r="D1765" t="s">
        <v>147</v>
      </c>
      <c r="E1765" t="s">
        <v>139</v>
      </c>
      <c r="F1765">
        <v>0</v>
      </c>
    </row>
    <row r="1766" spans="1:6" x14ac:dyDescent="0.55000000000000004">
      <c r="A1766">
        <v>113</v>
      </c>
      <c r="B1766" t="str">
        <f t="shared" si="28"/>
        <v>113_0</v>
      </c>
      <c r="C1766" t="s">
        <v>126</v>
      </c>
      <c r="D1766" t="s">
        <v>148</v>
      </c>
      <c r="E1766" t="s">
        <v>139</v>
      </c>
      <c r="F1766">
        <v>70</v>
      </c>
    </row>
    <row r="1767" spans="1:6" x14ac:dyDescent="0.55000000000000004">
      <c r="A1767">
        <v>113</v>
      </c>
      <c r="B1767" t="str">
        <f t="shared" si="28"/>
        <v>113_0</v>
      </c>
      <c r="C1767" t="s">
        <v>126</v>
      </c>
      <c r="D1767" t="s">
        <v>149</v>
      </c>
      <c r="E1767" t="s">
        <v>139</v>
      </c>
      <c r="F1767">
        <v>0</v>
      </c>
    </row>
    <row r="1768" spans="1:6" x14ac:dyDescent="0.55000000000000004">
      <c r="A1768">
        <v>113</v>
      </c>
      <c r="B1768" t="str">
        <f t="shared" si="28"/>
        <v>113_0</v>
      </c>
      <c r="C1768" t="s">
        <v>126</v>
      </c>
      <c r="D1768" t="s">
        <v>150</v>
      </c>
      <c r="E1768" t="s">
        <v>139</v>
      </c>
      <c r="F1768">
        <v>0</v>
      </c>
    </row>
    <row r="1769" spans="1:6" x14ac:dyDescent="0.55000000000000004">
      <c r="A1769">
        <v>113</v>
      </c>
      <c r="B1769" t="str">
        <f t="shared" si="28"/>
        <v>113_0</v>
      </c>
      <c r="C1769" t="s">
        <v>126</v>
      </c>
      <c r="D1769" t="s">
        <v>151</v>
      </c>
      <c r="E1769" t="s">
        <v>139</v>
      </c>
      <c r="F1769">
        <v>0</v>
      </c>
    </row>
    <row r="1770" spans="1:6" x14ac:dyDescent="0.55000000000000004">
      <c r="A1770">
        <v>113</v>
      </c>
      <c r="B1770" t="str">
        <f t="shared" si="28"/>
        <v>113_0</v>
      </c>
      <c r="C1770" t="s">
        <v>126</v>
      </c>
      <c r="D1770" t="s">
        <v>152</v>
      </c>
      <c r="E1770" t="s">
        <v>153</v>
      </c>
    </row>
    <row r="1771" spans="1:6" x14ac:dyDescent="0.55000000000000004">
      <c r="A1771">
        <v>113</v>
      </c>
      <c r="B1771" t="str">
        <f t="shared" si="28"/>
        <v>113_0</v>
      </c>
      <c r="C1771" t="s">
        <v>154</v>
      </c>
      <c r="D1771" t="s">
        <v>155</v>
      </c>
      <c r="E1771" t="s">
        <v>156</v>
      </c>
      <c r="F1771">
        <v>20.7</v>
      </c>
    </row>
    <row r="1772" spans="1:6" x14ac:dyDescent="0.55000000000000004">
      <c r="A1772">
        <v>113</v>
      </c>
      <c r="B1772" t="str">
        <f t="shared" si="28"/>
        <v>113_0</v>
      </c>
      <c r="C1772" t="s">
        <v>154</v>
      </c>
      <c r="D1772" t="s">
        <v>157</v>
      </c>
      <c r="E1772" t="s">
        <v>158</v>
      </c>
      <c r="F1772">
        <v>8.83</v>
      </c>
    </row>
    <row r="1773" spans="1:6" x14ac:dyDescent="0.55000000000000004">
      <c r="A1773">
        <v>113</v>
      </c>
      <c r="B1773" t="str">
        <f t="shared" si="28"/>
        <v>113_0</v>
      </c>
      <c r="C1773" t="s">
        <v>154</v>
      </c>
      <c r="D1773" t="s">
        <v>159</v>
      </c>
      <c r="E1773" t="s">
        <v>139</v>
      </c>
      <c r="F1773">
        <v>98.5</v>
      </c>
    </row>
    <row r="1774" spans="1:6" x14ac:dyDescent="0.55000000000000004">
      <c r="A1774">
        <v>113</v>
      </c>
      <c r="B1774" t="str">
        <f t="shared" si="28"/>
        <v>113_0</v>
      </c>
      <c r="C1774" t="s">
        <v>154</v>
      </c>
      <c r="D1774" t="s">
        <v>160</v>
      </c>
      <c r="E1774" t="s">
        <v>161</v>
      </c>
      <c r="F1774">
        <v>69.7</v>
      </c>
    </row>
    <row r="1775" spans="1:6" x14ac:dyDescent="0.55000000000000004">
      <c r="A1775">
        <v>113</v>
      </c>
      <c r="B1775" t="str">
        <f t="shared" si="28"/>
        <v>113_0</v>
      </c>
      <c r="C1775" t="s">
        <v>154</v>
      </c>
      <c r="D1775" t="s">
        <v>162</v>
      </c>
      <c r="F1775">
        <v>9</v>
      </c>
    </row>
    <row r="1776" spans="1:6" x14ac:dyDescent="0.55000000000000004">
      <c r="A1776">
        <v>113</v>
      </c>
      <c r="B1776" t="str">
        <f t="shared" si="28"/>
        <v>113_0</v>
      </c>
      <c r="C1776" t="s">
        <v>163</v>
      </c>
      <c r="D1776" t="s">
        <v>164</v>
      </c>
      <c r="E1776" t="s">
        <v>139</v>
      </c>
      <c r="F1776">
        <v>0</v>
      </c>
    </row>
    <row r="1777" spans="1:7" x14ac:dyDescent="0.55000000000000004">
      <c r="A1777">
        <v>113</v>
      </c>
      <c r="B1777" t="str">
        <f t="shared" si="28"/>
        <v>113_0</v>
      </c>
      <c r="C1777" t="s">
        <v>163</v>
      </c>
      <c r="D1777" t="s">
        <v>165</v>
      </c>
    </row>
    <row r="1778" spans="1:7" x14ac:dyDescent="0.55000000000000004">
      <c r="A1778">
        <v>113</v>
      </c>
      <c r="B1778" t="str">
        <f t="shared" si="28"/>
        <v>113_0</v>
      </c>
      <c r="C1778" t="s">
        <v>163</v>
      </c>
      <c r="D1778" t="s">
        <v>166</v>
      </c>
      <c r="E1778" t="s">
        <v>139</v>
      </c>
      <c r="F1778">
        <v>0</v>
      </c>
    </row>
    <row r="1779" spans="1:7" x14ac:dyDescent="0.55000000000000004">
      <c r="A1779">
        <v>113</v>
      </c>
      <c r="B1779" t="str">
        <f t="shared" si="28"/>
        <v>113_0</v>
      </c>
      <c r="C1779" t="s">
        <v>163</v>
      </c>
      <c r="D1779" t="s">
        <v>167</v>
      </c>
    </row>
    <row r="1780" spans="1:7" x14ac:dyDescent="0.55000000000000004">
      <c r="A1780">
        <v>113</v>
      </c>
      <c r="B1780" t="str">
        <f t="shared" si="28"/>
        <v>113_0</v>
      </c>
      <c r="C1780" t="s">
        <v>163</v>
      </c>
      <c r="D1780" t="s">
        <v>168</v>
      </c>
      <c r="E1780" t="s">
        <v>131</v>
      </c>
      <c r="F1780">
        <v>0</v>
      </c>
    </row>
    <row r="1781" spans="1:7" x14ac:dyDescent="0.55000000000000004">
      <c r="A1781">
        <v>113</v>
      </c>
      <c r="B1781" t="str">
        <f t="shared" si="28"/>
        <v>113_0</v>
      </c>
      <c r="C1781" t="s">
        <v>163</v>
      </c>
      <c r="D1781" t="s">
        <v>169</v>
      </c>
    </row>
    <row r="1782" spans="1:7" x14ac:dyDescent="0.55000000000000004">
      <c r="A1782">
        <v>113</v>
      </c>
      <c r="B1782" t="str">
        <f t="shared" si="28"/>
        <v>113_0</v>
      </c>
      <c r="C1782" t="s">
        <v>163</v>
      </c>
      <c r="D1782" t="s">
        <v>170</v>
      </c>
      <c r="E1782" t="s">
        <v>139</v>
      </c>
      <c r="F1782">
        <v>30</v>
      </c>
    </row>
    <row r="1783" spans="1:7" x14ac:dyDescent="0.55000000000000004">
      <c r="A1783">
        <v>113</v>
      </c>
      <c r="B1783" t="str">
        <f t="shared" si="28"/>
        <v>113_0</v>
      </c>
      <c r="C1783" t="s">
        <v>163</v>
      </c>
      <c r="D1783" t="s">
        <v>171</v>
      </c>
    </row>
    <row r="1784" spans="1:7" x14ac:dyDescent="0.55000000000000004">
      <c r="A1784">
        <v>114</v>
      </c>
      <c r="B1784" t="str">
        <f t="shared" si="28"/>
        <v>114_0</v>
      </c>
      <c r="C1784" t="s">
        <v>126</v>
      </c>
      <c r="D1784" t="s">
        <v>127</v>
      </c>
      <c r="E1784" t="s">
        <v>128</v>
      </c>
    </row>
    <row r="1785" spans="1:7" x14ac:dyDescent="0.55000000000000004">
      <c r="A1785">
        <v>114</v>
      </c>
      <c r="B1785" t="str">
        <f t="shared" si="28"/>
        <v>114_0</v>
      </c>
      <c r="C1785" t="s">
        <v>126</v>
      </c>
      <c r="D1785" s="11" t="s">
        <v>130</v>
      </c>
      <c r="E1785" t="s">
        <v>131</v>
      </c>
      <c r="F1785">
        <v>1</v>
      </c>
    </row>
    <row r="1786" spans="1:7" x14ac:dyDescent="0.55000000000000004">
      <c r="A1786">
        <v>114</v>
      </c>
      <c r="B1786" t="str">
        <f t="shared" si="28"/>
        <v>114_0</v>
      </c>
      <c r="C1786" t="s">
        <v>126</v>
      </c>
      <c r="D1786" t="s">
        <v>132</v>
      </c>
      <c r="E1786" t="s">
        <v>133</v>
      </c>
      <c r="F1786">
        <v>6.4</v>
      </c>
      <c r="G1786" t="s">
        <v>175</v>
      </c>
    </row>
    <row r="1787" spans="1:7" x14ac:dyDescent="0.55000000000000004">
      <c r="A1787">
        <v>114</v>
      </c>
      <c r="B1787" t="str">
        <f t="shared" si="28"/>
        <v>114_0</v>
      </c>
      <c r="C1787" t="s">
        <v>126</v>
      </c>
      <c r="D1787" t="s">
        <v>134</v>
      </c>
      <c r="E1787" t="s">
        <v>133</v>
      </c>
      <c r="F1787">
        <v>1.1000000000000001</v>
      </c>
    </row>
    <row r="1788" spans="1:7" x14ac:dyDescent="0.55000000000000004">
      <c r="A1788">
        <v>114</v>
      </c>
      <c r="B1788" t="str">
        <f t="shared" si="28"/>
        <v>114_0</v>
      </c>
      <c r="C1788" t="s">
        <v>126</v>
      </c>
      <c r="D1788" t="s">
        <v>135</v>
      </c>
      <c r="E1788" t="s">
        <v>136</v>
      </c>
      <c r="F1788">
        <f>F1787/10</f>
        <v>0.11000000000000001</v>
      </c>
    </row>
    <row r="1789" spans="1:7" x14ac:dyDescent="0.55000000000000004">
      <c r="A1789">
        <v>114</v>
      </c>
      <c r="B1789" t="str">
        <f t="shared" si="28"/>
        <v>114_0</v>
      </c>
      <c r="C1789" t="s">
        <v>126</v>
      </c>
      <c r="D1789" s="2" t="s">
        <v>138</v>
      </c>
      <c r="E1789" t="s">
        <v>139</v>
      </c>
      <c r="F1789">
        <v>100</v>
      </c>
    </row>
    <row r="1790" spans="1:7" x14ac:dyDescent="0.55000000000000004">
      <c r="A1790">
        <v>114</v>
      </c>
      <c r="B1790" t="str">
        <f t="shared" si="28"/>
        <v>114_0</v>
      </c>
      <c r="C1790" t="s">
        <v>126</v>
      </c>
      <c r="D1790" s="2" t="s">
        <v>140</v>
      </c>
    </row>
    <row r="1791" spans="1:7" x14ac:dyDescent="0.55000000000000004">
      <c r="A1791">
        <v>114</v>
      </c>
      <c r="B1791" t="str">
        <f t="shared" si="28"/>
        <v>114_0</v>
      </c>
      <c r="C1791" t="s">
        <v>126</v>
      </c>
      <c r="D1791" s="2" t="s">
        <v>141</v>
      </c>
      <c r="E1791" t="s">
        <v>139</v>
      </c>
      <c r="F1791">
        <v>50</v>
      </c>
    </row>
    <row r="1792" spans="1:7" x14ac:dyDescent="0.55000000000000004">
      <c r="A1792">
        <v>114</v>
      </c>
      <c r="B1792" t="str">
        <f t="shared" si="28"/>
        <v>114_0</v>
      </c>
      <c r="C1792" t="s">
        <v>126</v>
      </c>
      <c r="D1792" t="s">
        <v>142</v>
      </c>
      <c r="E1792" t="s">
        <v>139</v>
      </c>
      <c r="F1792">
        <v>0</v>
      </c>
    </row>
    <row r="1793" spans="1:6" x14ac:dyDescent="0.55000000000000004">
      <c r="A1793">
        <v>114</v>
      </c>
      <c r="B1793" t="str">
        <f t="shared" si="28"/>
        <v>114_0</v>
      </c>
      <c r="C1793" t="s">
        <v>126</v>
      </c>
      <c r="D1793" t="s">
        <v>143</v>
      </c>
      <c r="E1793" t="s">
        <v>131</v>
      </c>
      <c r="F1793">
        <v>0</v>
      </c>
    </row>
    <row r="1794" spans="1:6" x14ac:dyDescent="0.55000000000000004">
      <c r="A1794">
        <v>114</v>
      </c>
      <c r="B1794" t="str">
        <f t="shared" si="28"/>
        <v>114_0</v>
      </c>
      <c r="C1794" t="s">
        <v>126</v>
      </c>
      <c r="D1794" t="s">
        <v>144</v>
      </c>
      <c r="E1794" t="s">
        <v>139</v>
      </c>
      <c r="F1794">
        <v>0</v>
      </c>
    </row>
    <row r="1795" spans="1:6" x14ac:dyDescent="0.55000000000000004">
      <c r="A1795">
        <v>114</v>
      </c>
      <c r="B1795" t="str">
        <f t="shared" si="28"/>
        <v>114_0</v>
      </c>
      <c r="C1795" t="s">
        <v>126</v>
      </c>
      <c r="D1795" t="s">
        <v>145</v>
      </c>
      <c r="E1795" t="s">
        <v>139</v>
      </c>
      <c r="F1795">
        <v>0</v>
      </c>
    </row>
    <row r="1796" spans="1:6" x14ac:dyDescent="0.55000000000000004">
      <c r="A1796">
        <v>114</v>
      </c>
      <c r="B1796" t="str">
        <f t="shared" si="28"/>
        <v>114_0</v>
      </c>
      <c r="C1796" t="s">
        <v>126</v>
      </c>
      <c r="D1796" t="s">
        <v>146</v>
      </c>
      <c r="E1796" t="s">
        <v>139</v>
      </c>
      <c r="F1796">
        <v>0</v>
      </c>
    </row>
    <row r="1797" spans="1:6" x14ac:dyDescent="0.55000000000000004">
      <c r="A1797">
        <v>114</v>
      </c>
      <c r="B1797" t="str">
        <f t="shared" si="28"/>
        <v>114_0</v>
      </c>
      <c r="C1797" t="s">
        <v>126</v>
      </c>
      <c r="D1797" t="s">
        <v>147</v>
      </c>
      <c r="E1797" t="s">
        <v>139</v>
      </c>
      <c r="F1797">
        <v>0</v>
      </c>
    </row>
    <row r="1798" spans="1:6" x14ac:dyDescent="0.55000000000000004">
      <c r="A1798">
        <v>114</v>
      </c>
      <c r="B1798" t="str">
        <f t="shared" ref="B1798:B1893" si="29">A1798 &amp; "_0"</f>
        <v>114_0</v>
      </c>
      <c r="C1798" t="s">
        <v>126</v>
      </c>
      <c r="D1798" t="s">
        <v>148</v>
      </c>
      <c r="E1798" t="s">
        <v>139</v>
      </c>
      <c r="F1798">
        <v>0</v>
      </c>
    </row>
    <row r="1799" spans="1:6" x14ac:dyDescent="0.55000000000000004">
      <c r="A1799">
        <v>114</v>
      </c>
      <c r="B1799" t="str">
        <f t="shared" si="29"/>
        <v>114_0</v>
      </c>
      <c r="C1799" t="s">
        <v>126</v>
      </c>
      <c r="D1799" t="s">
        <v>149</v>
      </c>
      <c r="E1799" t="s">
        <v>139</v>
      </c>
      <c r="F1799">
        <v>0</v>
      </c>
    </row>
    <row r="1800" spans="1:6" x14ac:dyDescent="0.55000000000000004">
      <c r="A1800">
        <v>114</v>
      </c>
      <c r="B1800" t="str">
        <f t="shared" si="29"/>
        <v>114_0</v>
      </c>
      <c r="C1800" t="s">
        <v>126</v>
      </c>
      <c r="D1800" t="s">
        <v>150</v>
      </c>
      <c r="E1800" t="s">
        <v>139</v>
      </c>
      <c r="F1800">
        <v>100</v>
      </c>
    </row>
    <row r="1801" spans="1:6" x14ac:dyDescent="0.55000000000000004">
      <c r="A1801">
        <v>114</v>
      </c>
      <c r="B1801" t="str">
        <f t="shared" si="29"/>
        <v>114_0</v>
      </c>
      <c r="C1801" t="s">
        <v>126</v>
      </c>
      <c r="D1801" t="s">
        <v>151</v>
      </c>
      <c r="E1801" t="s">
        <v>139</v>
      </c>
      <c r="F1801">
        <v>0</v>
      </c>
    </row>
    <row r="1802" spans="1:6" x14ac:dyDescent="0.55000000000000004">
      <c r="A1802">
        <v>114</v>
      </c>
      <c r="B1802" t="str">
        <f t="shared" si="29"/>
        <v>114_0</v>
      </c>
      <c r="C1802" t="s">
        <v>126</v>
      </c>
      <c r="D1802" t="s">
        <v>152</v>
      </c>
      <c r="E1802" t="s">
        <v>153</v>
      </c>
    </row>
    <row r="1803" spans="1:6" x14ac:dyDescent="0.55000000000000004">
      <c r="A1803">
        <v>114</v>
      </c>
      <c r="B1803" t="str">
        <f t="shared" si="29"/>
        <v>114_0</v>
      </c>
      <c r="C1803" t="s">
        <v>154</v>
      </c>
      <c r="D1803" t="s">
        <v>155</v>
      </c>
      <c r="E1803" t="s">
        <v>156</v>
      </c>
      <c r="F1803">
        <v>16</v>
      </c>
    </row>
    <row r="1804" spans="1:6" x14ac:dyDescent="0.55000000000000004">
      <c r="A1804">
        <v>114</v>
      </c>
      <c r="B1804" t="str">
        <f t="shared" si="29"/>
        <v>114_0</v>
      </c>
      <c r="C1804" t="s">
        <v>154</v>
      </c>
      <c r="D1804" t="s">
        <v>157</v>
      </c>
      <c r="E1804" t="s">
        <v>158</v>
      </c>
      <c r="F1804">
        <v>9.18</v>
      </c>
    </row>
    <row r="1805" spans="1:6" x14ac:dyDescent="0.55000000000000004">
      <c r="A1805">
        <v>114</v>
      </c>
      <c r="B1805" t="str">
        <f t="shared" si="29"/>
        <v>114_0</v>
      </c>
      <c r="C1805" t="s">
        <v>154</v>
      </c>
      <c r="D1805" t="s">
        <v>159</v>
      </c>
      <c r="E1805" t="s">
        <v>139</v>
      </c>
      <c r="F1805">
        <v>93.1</v>
      </c>
    </row>
    <row r="1806" spans="1:6" x14ac:dyDescent="0.55000000000000004">
      <c r="A1806">
        <v>114</v>
      </c>
      <c r="B1806" t="str">
        <f t="shared" si="29"/>
        <v>114_0</v>
      </c>
      <c r="C1806" t="s">
        <v>154</v>
      </c>
      <c r="D1806" t="s">
        <v>160</v>
      </c>
      <c r="E1806" t="s">
        <v>161</v>
      </c>
      <c r="F1806">
        <v>61.8</v>
      </c>
    </row>
    <row r="1807" spans="1:6" x14ac:dyDescent="0.55000000000000004">
      <c r="A1807">
        <v>114</v>
      </c>
      <c r="B1807" t="str">
        <f t="shared" si="29"/>
        <v>114_0</v>
      </c>
      <c r="C1807" t="s">
        <v>154</v>
      </c>
      <c r="D1807" t="s">
        <v>162</v>
      </c>
      <c r="F1807">
        <v>8.31</v>
      </c>
    </row>
    <row r="1808" spans="1:6" x14ac:dyDescent="0.55000000000000004">
      <c r="A1808">
        <v>114</v>
      </c>
      <c r="B1808" t="str">
        <f t="shared" si="29"/>
        <v>114_0</v>
      </c>
      <c r="C1808" t="s">
        <v>163</v>
      </c>
      <c r="D1808" t="s">
        <v>164</v>
      </c>
      <c r="E1808" t="s">
        <v>139</v>
      </c>
      <c r="F1808">
        <v>90</v>
      </c>
    </row>
    <row r="1809" spans="1:7" x14ac:dyDescent="0.55000000000000004">
      <c r="A1809">
        <v>114</v>
      </c>
      <c r="B1809" t="str">
        <f t="shared" si="29"/>
        <v>114_0</v>
      </c>
      <c r="C1809" t="s">
        <v>163</v>
      </c>
      <c r="D1809" t="s">
        <v>165</v>
      </c>
    </row>
    <row r="1810" spans="1:7" x14ac:dyDescent="0.55000000000000004">
      <c r="A1810">
        <v>114</v>
      </c>
      <c r="B1810" t="str">
        <f t="shared" si="29"/>
        <v>114_0</v>
      </c>
      <c r="C1810" t="s">
        <v>163</v>
      </c>
      <c r="D1810" t="s">
        <v>166</v>
      </c>
      <c r="E1810" t="s">
        <v>139</v>
      </c>
      <c r="F1810">
        <v>0</v>
      </c>
    </row>
    <row r="1811" spans="1:7" x14ac:dyDescent="0.55000000000000004">
      <c r="A1811">
        <v>114</v>
      </c>
      <c r="B1811" t="str">
        <f t="shared" si="29"/>
        <v>114_0</v>
      </c>
      <c r="C1811" t="s">
        <v>163</v>
      </c>
      <c r="D1811" t="s">
        <v>167</v>
      </c>
    </row>
    <row r="1812" spans="1:7" x14ac:dyDescent="0.55000000000000004">
      <c r="A1812">
        <v>114</v>
      </c>
      <c r="B1812" t="str">
        <f t="shared" si="29"/>
        <v>114_0</v>
      </c>
      <c r="C1812" t="s">
        <v>163</v>
      </c>
      <c r="D1812" t="s">
        <v>168</v>
      </c>
      <c r="E1812" t="s">
        <v>131</v>
      </c>
      <c r="F1812">
        <v>1</v>
      </c>
    </row>
    <row r="1813" spans="1:7" x14ac:dyDescent="0.55000000000000004">
      <c r="A1813">
        <v>114</v>
      </c>
      <c r="B1813" t="str">
        <f t="shared" si="29"/>
        <v>114_0</v>
      </c>
      <c r="C1813" t="s">
        <v>163</v>
      </c>
      <c r="D1813" t="s">
        <v>169</v>
      </c>
    </row>
    <row r="1814" spans="1:7" x14ac:dyDescent="0.55000000000000004">
      <c r="A1814">
        <v>114</v>
      </c>
      <c r="B1814" t="str">
        <f t="shared" si="29"/>
        <v>114_0</v>
      </c>
      <c r="C1814" t="s">
        <v>163</v>
      </c>
      <c r="D1814" t="s">
        <v>170</v>
      </c>
      <c r="E1814" t="s">
        <v>139</v>
      </c>
      <c r="F1814">
        <v>0</v>
      </c>
    </row>
    <row r="1815" spans="1:7" x14ac:dyDescent="0.55000000000000004">
      <c r="A1815">
        <v>114</v>
      </c>
      <c r="B1815" t="str">
        <f t="shared" si="29"/>
        <v>114_0</v>
      </c>
      <c r="C1815" t="s">
        <v>163</v>
      </c>
      <c r="D1815" t="s">
        <v>171</v>
      </c>
    </row>
    <row r="1816" spans="1:7" x14ac:dyDescent="0.55000000000000004">
      <c r="A1816">
        <v>115</v>
      </c>
      <c r="B1816" t="str">
        <f t="shared" si="29"/>
        <v>115_0</v>
      </c>
      <c r="C1816" t="s">
        <v>126</v>
      </c>
      <c r="D1816" t="s">
        <v>127</v>
      </c>
      <c r="E1816" t="s">
        <v>128</v>
      </c>
    </row>
    <row r="1817" spans="1:7" x14ac:dyDescent="0.55000000000000004">
      <c r="A1817">
        <v>115</v>
      </c>
      <c r="B1817" t="str">
        <f t="shared" si="29"/>
        <v>115_0</v>
      </c>
      <c r="C1817" t="s">
        <v>126</v>
      </c>
      <c r="D1817" s="11" t="s">
        <v>130</v>
      </c>
      <c r="E1817" t="s">
        <v>131</v>
      </c>
      <c r="F1817">
        <v>1</v>
      </c>
    </row>
    <row r="1818" spans="1:7" x14ac:dyDescent="0.55000000000000004">
      <c r="A1818">
        <v>115</v>
      </c>
      <c r="B1818" t="str">
        <f t="shared" si="29"/>
        <v>115_0</v>
      </c>
      <c r="C1818" t="s">
        <v>126</v>
      </c>
      <c r="D1818" t="s">
        <v>132</v>
      </c>
      <c r="E1818" t="s">
        <v>133</v>
      </c>
    </row>
    <row r="1819" spans="1:7" x14ac:dyDescent="0.55000000000000004">
      <c r="A1819">
        <v>115</v>
      </c>
      <c r="B1819" t="str">
        <f t="shared" si="29"/>
        <v>115_0</v>
      </c>
      <c r="C1819" t="s">
        <v>126</v>
      </c>
      <c r="D1819" t="s">
        <v>134</v>
      </c>
      <c r="E1819" t="s">
        <v>133</v>
      </c>
      <c r="F1819">
        <v>0.8</v>
      </c>
    </row>
    <row r="1820" spans="1:7" x14ac:dyDescent="0.55000000000000004">
      <c r="A1820">
        <v>115</v>
      </c>
      <c r="B1820" t="str">
        <f t="shared" si="29"/>
        <v>115_0</v>
      </c>
      <c r="C1820" t="s">
        <v>126</v>
      </c>
      <c r="D1820" t="s">
        <v>135</v>
      </c>
      <c r="E1820" t="s">
        <v>136</v>
      </c>
      <c r="F1820">
        <f>F1819/10</f>
        <v>0.08</v>
      </c>
      <c r="G1820" t="s">
        <v>196</v>
      </c>
    </row>
    <row r="1821" spans="1:7" x14ac:dyDescent="0.55000000000000004">
      <c r="A1821">
        <v>115</v>
      </c>
      <c r="B1821" t="str">
        <f t="shared" si="29"/>
        <v>115_0</v>
      </c>
      <c r="C1821" t="s">
        <v>126</v>
      </c>
      <c r="D1821" s="2" t="s">
        <v>138</v>
      </c>
      <c r="E1821" t="s">
        <v>139</v>
      </c>
      <c r="F1821">
        <v>100</v>
      </c>
    </row>
    <row r="1822" spans="1:7" x14ac:dyDescent="0.55000000000000004">
      <c r="A1822">
        <v>115</v>
      </c>
      <c r="B1822" t="str">
        <f t="shared" si="29"/>
        <v>115_0</v>
      </c>
      <c r="C1822" t="s">
        <v>126</v>
      </c>
      <c r="D1822" s="2" t="s">
        <v>140</v>
      </c>
    </row>
    <row r="1823" spans="1:7" x14ac:dyDescent="0.55000000000000004">
      <c r="A1823">
        <v>115</v>
      </c>
      <c r="B1823" t="str">
        <f t="shared" si="29"/>
        <v>115_0</v>
      </c>
      <c r="C1823" t="s">
        <v>126</v>
      </c>
      <c r="D1823" s="2" t="s">
        <v>141</v>
      </c>
      <c r="E1823" t="s">
        <v>139</v>
      </c>
      <c r="F1823">
        <v>100</v>
      </c>
    </row>
    <row r="1824" spans="1:7" x14ac:dyDescent="0.55000000000000004">
      <c r="A1824">
        <v>115</v>
      </c>
      <c r="B1824" t="str">
        <f t="shared" si="29"/>
        <v>115_0</v>
      </c>
      <c r="C1824" t="s">
        <v>126</v>
      </c>
      <c r="D1824" t="s">
        <v>142</v>
      </c>
      <c r="E1824" t="s">
        <v>139</v>
      </c>
      <c r="F1824">
        <v>0</v>
      </c>
    </row>
    <row r="1825" spans="1:6" x14ac:dyDescent="0.55000000000000004">
      <c r="A1825">
        <v>115</v>
      </c>
      <c r="B1825" t="str">
        <f t="shared" si="29"/>
        <v>115_0</v>
      </c>
      <c r="C1825" t="s">
        <v>126</v>
      </c>
      <c r="D1825" t="s">
        <v>143</v>
      </c>
      <c r="E1825" t="s">
        <v>131</v>
      </c>
      <c r="F1825">
        <v>0</v>
      </c>
    </row>
    <row r="1826" spans="1:6" x14ac:dyDescent="0.55000000000000004">
      <c r="A1826">
        <v>115</v>
      </c>
      <c r="B1826" t="str">
        <f t="shared" si="29"/>
        <v>115_0</v>
      </c>
      <c r="C1826" t="s">
        <v>126</v>
      </c>
      <c r="D1826" t="s">
        <v>144</v>
      </c>
      <c r="E1826" t="s">
        <v>139</v>
      </c>
      <c r="F1826">
        <v>0</v>
      </c>
    </row>
    <row r="1827" spans="1:6" x14ac:dyDescent="0.55000000000000004">
      <c r="A1827">
        <v>115</v>
      </c>
      <c r="B1827" t="str">
        <f t="shared" si="29"/>
        <v>115_0</v>
      </c>
      <c r="C1827" t="s">
        <v>126</v>
      </c>
      <c r="D1827" t="s">
        <v>145</v>
      </c>
      <c r="E1827" t="s">
        <v>139</v>
      </c>
      <c r="F1827">
        <v>0</v>
      </c>
    </row>
    <row r="1828" spans="1:6" x14ac:dyDescent="0.55000000000000004">
      <c r="A1828">
        <v>115</v>
      </c>
      <c r="B1828" t="str">
        <f t="shared" si="29"/>
        <v>115_0</v>
      </c>
      <c r="C1828" t="s">
        <v>126</v>
      </c>
      <c r="D1828" t="s">
        <v>146</v>
      </c>
      <c r="E1828" t="s">
        <v>139</v>
      </c>
      <c r="F1828">
        <v>0</v>
      </c>
    </row>
    <row r="1829" spans="1:6" x14ac:dyDescent="0.55000000000000004">
      <c r="A1829">
        <v>115</v>
      </c>
      <c r="B1829" t="str">
        <f t="shared" si="29"/>
        <v>115_0</v>
      </c>
      <c r="C1829" t="s">
        <v>126</v>
      </c>
      <c r="D1829" t="s">
        <v>147</v>
      </c>
      <c r="E1829" t="s">
        <v>139</v>
      </c>
      <c r="F1829">
        <v>0</v>
      </c>
    </row>
    <row r="1830" spans="1:6" x14ac:dyDescent="0.55000000000000004">
      <c r="A1830">
        <v>115</v>
      </c>
      <c r="B1830" t="str">
        <f t="shared" si="29"/>
        <v>115_0</v>
      </c>
      <c r="C1830" t="s">
        <v>126</v>
      </c>
      <c r="D1830" t="s">
        <v>148</v>
      </c>
      <c r="E1830" t="s">
        <v>139</v>
      </c>
      <c r="F1830">
        <v>50</v>
      </c>
    </row>
    <row r="1831" spans="1:6" x14ac:dyDescent="0.55000000000000004">
      <c r="A1831">
        <v>115</v>
      </c>
      <c r="B1831" t="str">
        <f t="shared" si="29"/>
        <v>115_0</v>
      </c>
      <c r="C1831" t="s">
        <v>126</v>
      </c>
      <c r="D1831" t="s">
        <v>149</v>
      </c>
      <c r="E1831" t="s">
        <v>139</v>
      </c>
      <c r="F1831">
        <v>0</v>
      </c>
    </row>
    <row r="1832" spans="1:6" x14ac:dyDescent="0.55000000000000004">
      <c r="A1832">
        <v>115</v>
      </c>
      <c r="B1832" t="str">
        <f t="shared" si="29"/>
        <v>115_0</v>
      </c>
      <c r="C1832" t="s">
        <v>126</v>
      </c>
      <c r="D1832" t="s">
        <v>150</v>
      </c>
      <c r="E1832" t="s">
        <v>139</v>
      </c>
      <c r="F1832">
        <v>50</v>
      </c>
    </row>
    <row r="1833" spans="1:6" x14ac:dyDescent="0.55000000000000004">
      <c r="A1833">
        <v>115</v>
      </c>
      <c r="B1833" t="str">
        <f t="shared" si="29"/>
        <v>115_0</v>
      </c>
      <c r="C1833" t="s">
        <v>126</v>
      </c>
      <c r="D1833" t="s">
        <v>151</v>
      </c>
      <c r="E1833" t="s">
        <v>139</v>
      </c>
      <c r="F1833">
        <v>0</v>
      </c>
    </row>
    <row r="1834" spans="1:6" x14ac:dyDescent="0.55000000000000004">
      <c r="A1834">
        <v>115</v>
      </c>
      <c r="B1834" t="str">
        <f t="shared" si="29"/>
        <v>115_0</v>
      </c>
      <c r="C1834" t="s">
        <v>126</v>
      </c>
      <c r="D1834" t="s">
        <v>152</v>
      </c>
      <c r="E1834" t="s">
        <v>153</v>
      </c>
    </row>
    <row r="1835" spans="1:6" x14ac:dyDescent="0.55000000000000004">
      <c r="A1835">
        <v>115</v>
      </c>
      <c r="B1835" t="str">
        <f t="shared" si="29"/>
        <v>115_0</v>
      </c>
      <c r="C1835" t="s">
        <v>154</v>
      </c>
      <c r="D1835" t="s">
        <v>155</v>
      </c>
      <c r="E1835" t="s">
        <v>156</v>
      </c>
      <c r="F1835">
        <v>16.399999999999999</v>
      </c>
    </row>
    <row r="1836" spans="1:6" x14ac:dyDescent="0.55000000000000004">
      <c r="A1836">
        <v>115</v>
      </c>
      <c r="B1836" t="str">
        <f t="shared" si="29"/>
        <v>115_0</v>
      </c>
      <c r="C1836" t="s">
        <v>154</v>
      </c>
      <c r="D1836" t="s">
        <v>157</v>
      </c>
      <c r="E1836" t="s">
        <v>158</v>
      </c>
      <c r="F1836">
        <v>9.5500000000000007</v>
      </c>
    </row>
    <row r="1837" spans="1:6" x14ac:dyDescent="0.55000000000000004">
      <c r="A1837">
        <v>115</v>
      </c>
      <c r="B1837" t="str">
        <f t="shared" si="29"/>
        <v>115_0</v>
      </c>
      <c r="C1837" t="s">
        <v>154</v>
      </c>
      <c r="D1837" t="s">
        <v>159</v>
      </c>
      <c r="E1837" t="s">
        <v>139</v>
      </c>
      <c r="F1837">
        <v>97.5</v>
      </c>
    </row>
    <row r="1838" spans="1:6" x14ac:dyDescent="0.55000000000000004">
      <c r="A1838">
        <v>115</v>
      </c>
      <c r="B1838" t="str">
        <f t="shared" si="29"/>
        <v>115_0</v>
      </c>
      <c r="C1838" t="s">
        <v>154</v>
      </c>
      <c r="D1838" t="s">
        <v>160</v>
      </c>
      <c r="E1838" t="s">
        <v>161</v>
      </c>
      <c r="F1838">
        <v>62</v>
      </c>
    </row>
    <row r="1839" spans="1:6" x14ac:dyDescent="0.55000000000000004">
      <c r="A1839">
        <v>115</v>
      </c>
      <c r="B1839" t="str">
        <f t="shared" si="29"/>
        <v>115_0</v>
      </c>
      <c r="C1839" t="s">
        <v>154</v>
      </c>
      <c r="D1839" t="s">
        <v>162</v>
      </c>
      <c r="F1839">
        <v>8.2200000000000006</v>
      </c>
    </row>
    <row r="1840" spans="1:6" x14ac:dyDescent="0.55000000000000004">
      <c r="A1840">
        <v>115</v>
      </c>
      <c r="B1840" t="str">
        <f t="shared" si="29"/>
        <v>115_0</v>
      </c>
      <c r="C1840" t="s">
        <v>163</v>
      </c>
      <c r="D1840" t="s">
        <v>164</v>
      </c>
      <c r="E1840" t="s">
        <v>139</v>
      </c>
      <c r="F1840">
        <v>0</v>
      </c>
    </row>
    <row r="1841" spans="1:7" x14ac:dyDescent="0.55000000000000004">
      <c r="A1841">
        <v>115</v>
      </c>
      <c r="B1841" t="str">
        <f t="shared" si="29"/>
        <v>115_0</v>
      </c>
      <c r="C1841" t="s">
        <v>163</v>
      </c>
      <c r="D1841" t="s">
        <v>165</v>
      </c>
    </row>
    <row r="1842" spans="1:7" x14ac:dyDescent="0.55000000000000004">
      <c r="A1842">
        <v>115</v>
      </c>
      <c r="B1842" t="str">
        <f t="shared" si="29"/>
        <v>115_0</v>
      </c>
      <c r="C1842" t="s">
        <v>163</v>
      </c>
      <c r="D1842" t="s">
        <v>166</v>
      </c>
      <c r="E1842" t="s">
        <v>139</v>
      </c>
      <c r="F1842">
        <v>0</v>
      </c>
    </row>
    <row r="1843" spans="1:7" x14ac:dyDescent="0.55000000000000004">
      <c r="A1843">
        <v>115</v>
      </c>
      <c r="B1843" t="str">
        <f t="shared" si="29"/>
        <v>115_0</v>
      </c>
      <c r="C1843" t="s">
        <v>163</v>
      </c>
      <c r="D1843" t="s">
        <v>167</v>
      </c>
    </row>
    <row r="1844" spans="1:7" x14ac:dyDescent="0.55000000000000004">
      <c r="A1844">
        <v>115</v>
      </c>
      <c r="B1844" t="str">
        <f t="shared" si="29"/>
        <v>115_0</v>
      </c>
      <c r="C1844" t="s">
        <v>163</v>
      </c>
      <c r="D1844" t="s">
        <v>168</v>
      </c>
      <c r="E1844" t="s">
        <v>131</v>
      </c>
      <c r="F1844">
        <v>0</v>
      </c>
    </row>
    <row r="1845" spans="1:7" x14ac:dyDescent="0.55000000000000004">
      <c r="A1845">
        <v>115</v>
      </c>
      <c r="B1845" t="str">
        <f t="shared" si="29"/>
        <v>115_0</v>
      </c>
      <c r="C1845" t="s">
        <v>163</v>
      </c>
      <c r="D1845" t="s">
        <v>169</v>
      </c>
    </row>
    <row r="1846" spans="1:7" x14ac:dyDescent="0.55000000000000004">
      <c r="A1846">
        <v>115</v>
      </c>
      <c r="B1846" t="str">
        <f t="shared" si="29"/>
        <v>115_0</v>
      </c>
      <c r="C1846" t="s">
        <v>163</v>
      </c>
      <c r="D1846" t="s">
        <v>170</v>
      </c>
      <c r="E1846" t="s">
        <v>139</v>
      </c>
      <c r="F1846">
        <v>25</v>
      </c>
    </row>
    <row r="1847" spans="1:7" x14ac:dyDescent="0.55000000000000004">
      <c r="A1847">
        <v>115</v>
      </c>
      <c r="B1847" t="str">
        <f t="shared" si="29"/>
        <v>115_0</v>
      </c>
      <c r="C1847" t="s">
        <v>163</v>
      </c>
      <c r="D1847" t="s">
        <v>171</v>
      </c>
    </row>
    <row r="1848" spans="1:7" x14ac:dyDescent="0.55000000000000004">
      <c r="A1848">
        <v>115</v>
      </c>
      <c r="B1848" t="str">
        <f>A1848 &amp; "_1"</f>
        <v>115_1</v>
      </c>
      <c r="C1848" t="s">
        <v>126</v>
      </c>
      <c r="D1848" t="s">
        <v>127</v>
      </c>
      <c r="E1848" t="s">
        <v>128</v>
      </c>
      <c r="F1848" s="1"/>
      <c r="G1848" t="s">
        <v>129</v>
      </c>
    </row>
    <row r="1849" spans="1:7" x14ac:dyDescent="0.55000000000000004">
      <c r="A1849">
        <v>115</v>
      </c>
      <c r="B1849" t="str">
        <f t="shared" ref="B1849:B1879" si="30">A1849 &amp; "_1"</f>
        <v>115_1</v>
      </c>
      <c r="C1849" t="s">
        <v>126</v>
      </c>
      <c r="D1849" s="11" t="s">
        <v>130</v>
      </c>
      <c r="E1849" t="s">
        <v>131</v>
      </c>
      <c r="F1849">
        <v>1</v>
      </c>
    </row>
    <row r="1850" spans="1:7" x14ac:dyDescent="0.55000000000000004">
      <c r="A1850">
        <v>115</v>
      </c>
      <c r="B1850" t="str">
        <f t="shared" si="30"/>
        <v>115_1</v>
      </c>
      <c r="C1850" t="s">
        <v>126</v>
      </c>
      <c r="D1850" t="s">
        <v>132</v>
      </c>
      <c r="E1850" t="s">
        <v>133</v>
      </c>
    </row>
    <row r="1851" spans="1:7" x14ac:dyDescent="0.55000000000000004">
      <c r="A1851">
        <v>115</v>
      </c>
      <c r="B1851" t="str">
        <f t="shared" si="30"/>
        <v>115_1</v>
      </c>
      <c r="C1851" t="s">
        <v>126</v>
      </c>
      <c r="D1851" t="s">
        <v>134</v>
      </c>
      <c r="E1851" t="s">
        <v>133</v>
      </c>
      <c r="F1851">
        <v>1.9</v>
      </c>
    </row>
    <row r="1852" spans="1:7" x14ac:dyDescent="0.55000000000000004">
      <c r="A1852">
        <v>115</v>
      </c>
      <c r="B1852" t="str">
        <f t="shared" si="30"/>
        <v>115_1</v>
      </c>
      <c r="C1852" t="s">
        <v>126</v>
      </c>
      <c r="D1852" t="s">
        <v>135</v>
      </c>
      <c r="E1852" t="s">
        <v>136</v>
      </c>
      <c r="F1852">
        <f>F1851/10</f>
        <v>0.19</v>
      </c>
      <c r="G1852" t="s">
        <v>137</v>
      </c>
    </row>
    <row r="1853" spans="1:7" x14ac:dyDescent="0.55000000000000004">
      <c r="A1853">
        <v>115</v>
      </c>
      <c r="B1853" t="str">
        <f t="shared" si="30"/>
        <v>115_1</v>
      </c>
      <c r="C1853" t="s">
        <v>126</v>
      </c>
      <c r="D1853" s="2" t="s">
        <v>138</v>
      </c>
      <c r="E1853" t="s">
        <v>139</v>
      </c>
      <c r="F1853">
        <v>100</v>
      </c>
    </row>
    <row r="1854" spans="1:7" x14ac:dyDescent="0.55000000000000004">
      <c r="A1854">
        <v>115</v>
      </c>
      <c r="B1854" t="str">
        <f t="shared" si="30"/>
        <v>115_1</v>
      </c>
      <c r="C1854" t="s">
        <v>126</v>
      </c>
      <c r="D1854" s="2" t="s">
        <v>140</v>
      </c>
      <c r="F1854" t="s">
        <v>172</v>
      </c>
    </row>
    <row r="1855" spans="1:7" x14ac:dyDescent="0.55000000000000004">
      <c r="A1855">
        <v>115</v>
      </c>
      <c r="B1855" t="str">
        <f t="shared" si="30"/>
        <v>115_1</v>
      </c>
      <c r="C1855" t="s">
        <v>126</v>
      </c>
      <c r="D1855" s="2" t="s">
        <v>141</v>
      </c>
      <c r="E1855" t="s">
        <v>139</v>
      </c>
      <c r="F1855">
        <v>100</v>
      </c>
    </row>
    <row r="1856" spans="1:7" x14ac:dyDescent="0.55000000000000004">
      <c r="A1856">
        <v>115</v>
      </c>
      <c r="B1856" t="str">
        <f t="shared" si="30"/>
        <v>115_1</v>
      </c>
      <c r="C1856" t="s">
        <v>126</v>
      </c>
      <c r="D1856" t="s">
        <v>142</v>
      </c>
      <c r="E1856" t="s">
        <v>139</v>
      </c>
      <c r="F1856">
        <v>0</v>
      </c>
    </row>
    <row r="1857" spans="1:6" x14ac:dyDescent="0.55000000000000004">
      <c r="A1857">
        <v>115</v>
      </c>
      <c r="B1857" t="str">
        <f t="shared" si="30"/>
        <v>115_1</v>
      </c>
      <c r="C1857" t="s">
        <v>126</v>
      </c>
      <c r="D1857" t="s">
        <v>143</v>
      </c>
      <c r="E1857" t="s">
        <v>131</v>
      </c>
      <c r="F1857">
        <v>0</v>
      </c>
    </row>
    <row r="1858" spans="1:6" x14ac:dyDescent="0.55000000000000004">
      <c r="A1858">
        <v>115</v>
      </c>
      <c r="B1858" t="str">
        <f t="shared" si="30"/>
        <v>115_1</v>
      </c>
      <c r="C1858" t="s">
        <v>126</v>
      </c>
      <c r="D1858" t="s">
        <v>144</v>
      </c>
      <c r="E1858" t="s">
        <v>139</v>
      </c>
      <c r="F1858">
        <v>0</v>
      </c>
    </row>
    <row r="1859" spans="1:6" x14ac:dyDescent="0.55000000000000004">
      <c r="A1859">
        <v>115</v>
      </c>
      <c r="B1859" t="str">
        <f t="shared" si="30"/>
        <v>115_1</v>
      </c>
      <c r="C1859" t="s">
        <v>126</v>
      </c>
      <c r="D1859" t="s">
        <v>145</v>
      </c>
      <c r="E1859" t="s">
        <v>139</v>
      </c>
      <c r="F1859">
        <v>0</v>
      </c>
    </row>
    <row r="1860" spans="1:6" x14ac:dyDescent="0.55000000000000004">
      <c r="A1860">
        <v>115</v>
      </c>
      <c r="B1860" t="str">
        <f t="shared" si="30"/>
        <v>115_1</v>
      </c>
      <c r="C1860" t="s">
        <v>126</v>
      </c>
      <c r="D1860" t="s">
        <v>146</v>
      </c>
      <c r="E1860" t="s">
        <v>139</v>
      </c>
      <c r="F1860">
        <v>0</v>
      </c>
    </row>
    <row r="1861" spans="1:6" x14ac:dyDescent="0.55000000000000004">
      <c r="A1861">
        <v>115</v>
      </c>
      <c r="B1861" t="str">
        <f t="shared" si="30"/>
        <v>115_1</v>
      </c>
      <c r="C1861" t="s">
        <v>126</v>
      </c>
      <c r="D1861" t="s">
        <v>147</v>
      </c>
      <c r="E1861" t="s">
        <v>139</v>
      </c>
      <c r="F1861">
        <v>0</v>
      </c>
    </row>
    <row r="1862" spans="1:6" x14ac:dyDescent="0.55000000000000004">
      <c r="A1862">
        <v>115</v>
      </c>
      <c r="B1862" t="str">
        <f t="shared" si="30"/>
        <v>115_1</v>
      </c>
      <c r="C1862" t="s">
        <v>126</v>
      </c>
      <c r="D1862" t="s">
        <v>148</v>
      </c>
      <c r="E1862" t="s">
        <v>139</v>
      </c>
      <c r="F1862">
        <v>80</v>
      </c>
    </row>
    <row r="1863" spans="1:6" x14ac:dyDescent="0.55000000000000004">
      <c r="A1863">
        <v>115</v>
      </c>
      <c r="B1863" t="str">
        <f t="shared" si="30"/>
        <v>115_1</v>
      </c>
      <c r="C1863" t="s">
        <v>126</v>
      </c>
      <c r="D1863" t="s">
        <v>149</v>
      </c>
      <c r="E1863" t="s">
        <v>139</v>
      </c>
      <c r="F1863">
        <v>0</v>
      </c>
    </row>
    <row r="1864" spans="1:6" x14ac:dyDescent="0.55000000000000004">
      <c r="A1864">
        <v>115</v>
      </c>
      <c r="B1864" t="str">
        <f t="shared" si="30"/>
        <v>115_1</v>
      </c>
      <c r="C1864" t="s">
        <v>126</v>
      </c>
      <c r="D1864" t="s">
        <v>150</v>
      </c>
      <c r="E1864" t="s">
        <v>139</v>
      </c>
      <c r="F1864">
        <v>0</v>
      </c>
    </row>
    <row r="1865" spans="1:6" x14ac:dyDescent="0.55000000000000004">
      <c r="A1865">
        <v>115</v>
      </c>
      <c r="B1865" t="str">
        <f t="shared" si="30"/>
        <v>115_1</v>
      </c>
      <c r="C1865" t="s">
        <v>126</v>
      </c>
      <c r="D1865" t="s">
        <v>151</v>
      </c>
      <c r="E1865" t="s">
        <v>139</v>
      </c>
      <c r="F1865">
        <v>20</v>
      </c>
    </row>
    <row r="1866" spans="1:6" x14ac:dyDescent="0.55000000000000004">
      <c r="A1866">
        <v>115</v>
      </c>
      <c r="B1866" t="str">
        <f t="shared" si="30"/>
        <v>115_1</v>
      </c>
      <c r="C1866" t="s">
        <v>126</v>
      </c>
      <c r="D1866" t="s">
        <v>152</v>
      </c>
      <c r="E1866" t="s">
        <v>153</v>
      </c>
    </row>
    <row r="1867" spans="1:6" x14ac:dyDescent="0.55000000000000004">
      <c r="A1867">
        <v>115</v>
      </c>
      <c r="B1867" t="str">
        <f t="shared" si="30"/>
        <v>115_1</v>
      </c>
      <c r="C1867" t="s">
        <v>154</v>
      </c>
      <c r="D1867" t="s">
        <v>155</v>
      </c>
      <c r="E1867" t="s">
        <v>156</v>
      </c>
      <c r="F1867">
        <v>21.2</v>
      </c>
    </row>
    <row r="1868" spans="1:6" x14ac:dyDescent="0.55000000000000004">
      <c r="A1868">
        <v>115</v>
      </c>
      <c r="B1868" t="str">
        <f t="shared" si="30"/>
        <v>115_1</v>
      </c>
      <c r="C1868" t="s">
        <v>154</v>
      </c>
      <c r="D1868" t="s">
        <v>157</v>
      </c>
      <c r="E1868" t="s">
        <v>158</v>
      </c>
      <c r="F1868">
        <v>9.0399999999999991</v>
      </c>
    </row>
    <row r="1869" spans="1:6" x14ac:dyDescent="0.55000000000000004">
      <c r="A1869">
        <v>115</v>
      </c>
      <c r="B1869" t="str">
        <f t="shared" si="30"/>
        <v>115_1</v>
      </c>
      <c r="C1869" t="s">
        <v>154</v>
      </c>
      <c r="D1869" t="s">
        <v>159</v>
      </c>
      <c r="E1869" t="s">
        <v>139</v>
      </c>
      <c r="F1869">
        <v>101.7</v>
      </c>
    </row>
    <row r="1870" spans="1:6" x14ac:dyDescent="0.55000000000000004">
      <c r="A1870">
        <v>115</v>
      </c>
      <c r="B1870" t="str">
        <f t="shared" si="30"/>
        <v>115_1</v>
      </c>
      <c r="C1870" t="s">
        <v>154</v>
      </c>
      <c r="D1870" t="s">
        <v>160</v>
      </c>
      <c r="E1870" t="s">
        <v>161</v>
      </c>
      <c r="F1870">
        <v>70.400000000000006</v>
      </c>
    </row>
    <row r="1871" spans="1:6" x14ac:dyDescent="0.55000000000000004">
      <c r="A1871">
        <v>115</v>
      </c>
      <c r="B1871" t="str">
        <f t="shared" si="30"/>
        <v>115_1</v>
      </c>
      <c r="C1871" t="s">
        <v>154</v>
      </c>
      <c r="D1871" t="s">
        <v>162</v>
      </c>
      <c r="F1871">
        <v>8.41</v>
      </c>
    </row>
    <row r="1872" spans="1:6" x14ac:dyDescent="0.55000000000000004">
      <c r="A1872">
        <v>115</v>
      </c>
      <c r="B1872" t="str">
        <f t="shared" si="30"/>
        <v>115_1</v>
      </c>
      <c r="C1872" t="s">
        <v>163</v>
      </c>
      <c r="D1872" t="s">
        <v>164</v>
      </c>
      <c r="E1872" t="s">
        <v>139</v>
      </c>
      <c r="F1872">
        <v>0</v>
      </c>
    </row>
    <row r="1873" spans="1:6" x14ac:dyDescent="0.55000000000000004">
      <c r="A1873">
        <v>115</v>
      </c>
      <c r="B1873" t="str">
        <f t="shared" si="30"/>
        <v>115_1</v>
      </c>
      <c r="C1873" t="s">
        <v>163</v>
      </c>
      <c r="D1873" t="s">
        <v>165</v>
      </c>
    </row>
    <row r="1874" spans="1:6" x14ac:dyDescent="0.55000000000000004">
      <c r="A1874">
        <v>115</v>
      </c>
      <c r="B1874" t="str">
        <f t="shared" si="30"/>
        <v>115_1</v>
      </c>
      <c r="C1874" t="s">
        <v>163</v>
      </c>
      <c r="D1874" t="s">
        <v>166</v>
      </c>
      <c r="E1874" t="s">
        <v>139</v>
      </c>
      <c r="F1874">
        <v>0</v>
      </c>
    </row>
    <row r="1875" spans="1:6" x14ac:dyDescent="0.55000000000000004">
      <c r="A1875">
        <v>115</v>
      </c>
      <c r="B1875" t="str">
        <f t="shared" si="30"/>
        <v>115_1</v>
      </c>
      <c r="C1875" t="s">
        <v>163</v>
      </c>
      <c r="D1875" t="s">
        <v>167</v>
      </c>
    </row>
    <row r="1876" spans="1:6" x14ac:dyDescent="0.55000000000000004">
      <c r="A1876">
        <v>115</v>
      </c>
      <c r="B1876" t="str">
        <f t="shared" si="30"/>
        <v>115_1</v>
      </c>
      <c r="C1876" t="s">
        <v>163</v>
      </c>
      <c r="D1876" t="s">
        <v>168</v>
      </c>
      <c r="E1876" t="s">
        <v>131</v>
      </c>
      <c r="F1876">
        <v>0</v>
      </c>
    </row>
    <row r="1877" spans="1:6" x14ac:dyDescent="0.55000000000000004">
      <c r="A1877">
        <v>115</v>
      </c>
      <c r="B1877" t="str">
        <f t="shared" si="30"/>
        <v>115_1</v>
      </c>
      <c r="C1877" t="s">
        <v>163</v>
      </c>
      <c r="D1877" t="s">
        <v>169</v>
      </c>
    </row>
    <row r="1878" spans="1:6" x14ac:dyDescent="0.55000000000000004">
      <c r="A1878">
        <v>115</v>
      </c>
      <c r="B1878" t="str">
        <f t="shared" si="30"/>
        <v>115_1</v>
      </c>
      <c r="C1878" t="s">
        <v>163</v>
      </c>
      <c r="D1878" t="s">
        <v>170</v>
      </c>
      <c r="E1878" t="s">
        <v>139</v>
      </c>
      <c r="F1878">
        <v>50</v>
      </c>
    </row>
    <row r="1879" spans="1:6" x14ac:dyDescent="0.55000000000000004">
      <c r="A1879">
        <v>115</v>
      </c>
      <c r="B1879" t="str">
        <f t="shared" si="30"/>
        <v>115_1</v>
      </c>
      <c r="C1879" t="s">
        <v>163</v>
      </c>
      <c r="D1879" t="s">
        <v>171</v>
      </c>
    </row>
    <row r="1880" spans="1:6" x14ac:dyDescent="0.55000000000000004">
      <c r="A1880">
        <v>116</v>
      </c>
      <c r="B1880" t="str">
        <f t="shared" si="29"/>
        <v>116_0</v>
      </c>
      <c r="C1880" t="s">
        <v>126</v>
      </c>
      <c r="D1880" t="s">
        <v>127</v>
      </c>
      <c r="E1880" t="s">
        <v>128</v>
      </c>
    </row>
    <row r="1881" spans="1:6" x14ac:dyDescent="0.55000000000000004">
      <c r="A1881">
        <v>116</v>
      </c>
      <c r="B1881" t="str">
        <f t="shared" si="29"/>
        <v>116_0</v>
      </c>
      <c r="C1881" t="s">
        <v>126</v>
      </c>
      <c r="D1881" s="11" t="s">
        <v>130</v>
      </c>
      <c r="E1881" t="s">
        <v>131</v>
      </c>
      <c r="F1881">
        <v>1</v>
      </c>
    </row>
    <row r="1882" spans="1:6" x14ac:dyDescent="0.55000000000000004">
      <c r="A1882">
        <v>116</v>
      </c>
      <c r="B1882" t="str">
        <f t="shared" si="29"/>
        <v>116_0</v>
      </c>
      <c r="C1882" t="s">
        <v>126</v>
      </c>
      <c r="D1882" t="s">
        <v>132</v>
      </c>
      <c r="E1882" t="s">
        <v>133</v>
      </c>
    </row>
    <row r="1883" spans="1:6" x14ac:dyDescent="0.55000000000000004">
      <c r="A1883">
        <v>116</v>
      </c>
      <c r="B1883" t="str">
        <f t="shared" si="29"/>
        <v>116_0</v>
      </c>
      <c r="C1883" t="s">
        <v>126</v>
      </c>
      <c r="D1883" t="s">
        <v>134</v>
      </c>
      <c r="E1883" t="s">
        <v>133</v>
      </c>
      <c r="F1883">
        <v>0.5</v>
      </c>
    </row>
    <row r="1884" spans="1:6" x14ac:dyDescent="0.55000000000000004">
      <c r="A1884">
        <v>116</v>
      </c>
      <c r="B1884" t="str">
        <f t="shared" si="29"/>
        <v>116_0</v>
      </c>
      <c r="C1884" t="s">
        <v>126</v>
      </c>
      <c r="D1884" t="s">
        <v>135</v>
      </c>
      <c r="E1884" t="s">
        <v>136</v>
      </c>
      <c r="F1884">
        <f>F1883/10</f>
        <v>0.05</v>
      </c>
    </row>
    <row r="1885" spans="1:6" x14ac:dyDescent="0.55000000000000004">
      <c r="A1885">
        <v>116</v>
      </c>
      <c r="B1885" t="str">
        <f t="shared" si="29"/>
        <v>116_0</v>
      </c>
      <c r="C1885" t="s">
        <v>126</v>
      </c>
      <c r="D1885" s="2" t="s">
        <v>138</v>
      </c>
      <c r="E1885" t="s">
        <v>139</v>
      </c>
      <c r="F1885">
        <v>10</v>
      </c>
    </row>
    <row r="1886" spans="1:6" x14ac:dyDescent="0.55000000000000004">
      <c r="A1886">
        <v>116</v>
      </c>
      <c r="B1886" t="str">
        <f t="shared" si="29"/>
        <v>116_0</v>
      </c>
      <c r="C1886" t="s">
        <v>126</v>
      </c>
      <c r="D1886" s="2" t="s">
        <v>140</v>
      </c>
    </row>
    <row r="1887" spans="1:6" x14ac:dyDescent="0.55000000000000004">
      <c r="A1887">
        <v>116</v>
      </c>
      <c r="B1887" t="str">
        <f t="shared" si="29"/>
        <v>116_0</v>
      </c>
      <c r="C1887" t="s">
        <v>126</v>
      </c>
      <c r="D1887" s="2" t="s">
        <v>141</v>
      </c>
      <c r="E1887" t="s">
        <v>139</v>
      </c>
      <c r="F1887">
        <v>0</v>
      </c>
    </row>
    <row r="1888" spans="1:6" x14ac:dyDescent="0.55000000000000004">
      <c r="A1888">
        <v>116</v>
      </c>
      <c r="B1888" t="str">
        <f t="shared" si="29"/>
        <v>116_0</v>
      </c>
      <c r="C1888" t="s">
        <v>126</v>
      </c>
      <c r="D1888" t="s">
        <v>142</v>
      </c>
      <c r="E1888" t="s">
        <v>139</v>
      </c>
      <c r="F1888">
        <v>0</v>
      </c>
    </row>
    <row r="1889" spans="1:7" x14ac:dyDescent="0.55000000000000004">
      <c r="A1889">
        <v>116</v>
      </c>
      <c r="B1889" t="str">
        <f t="shared" si="29"/>
        <v>116_0</v>
      </c>
      <c r="C1889" t="s">
        <v>126</v>
      </c>
      <c r="D1889" t="s">
        <v>143</v>
      </c>
      <c r="E1889" t="s">
        <v>131</v>
      </c>
      <c r="F1889">
        <v>1</v>
      </c>
      <c r="G1889" t="s">
        <v>197</v>
      </c>
    </row>
    <row r="1890" spans="1:7" x14ac:dyDescent="0.55000000000000004">
      <c r="A1890">
        <v>116</v>
      </c>
      <c r="B1890" t="str">
        <f t="shared" si="29"/>
        <v>116_0</v>
      </c>
      <c r="C1890" t="s">
        <v>126</v>
      </c>
      <c r="D1890" t="s">
        <v>144</v>
      </c>
      <c r="E1890" t="s">
        <v>139</v>
      </c>
      <c r="F1890">
        <v>0</v>
      </c>
    </row>
    <row r="1891" spans="1:7" x14ac:dyDescent="0.55000000000000004">
      <c r="A1891">
        <v>116</v>
      </c>
      <c r="B1891" t="str">
        <f t="shared" si="29"/>
        <v>116_0</v>
      </c>
      <c r="C1891" t="s">
        <v>126</v>
      </c>
      <c r="D1891" t="s">
        <v>145</v>
      </c>
      <c r="E1891" t="s">
        <v>139</v>
      </c>
      <c r="F1891">
        <v>0</v>
      </c>
    </row>
    <row r="1892" spans="1:7" x14ac:dyDescent="0.55000000000000004">
      <c r="A1892">
        <v>116</v>
      </c>
      <c r="B1892" t="str">
        <f t="shared" si="29"/>
        <v>116_0</v>
      </c>
      <c r="C1892" t="s">
        <v>126</v>
      </c>
      <c r="D1892" t="s">
        <v>146</v>
      </c>
      <c r="E1892" t="s">
        <v>139</v>
      </c>
      <c r="F1892">
        <v>0</v>
      </c>
    </row>
    <row r="1893" spans="1:7" x14ac:dyDescent="0.55000000000000004">
      <c r="A1893">
        <v>116</v>
      </c>
      <c r="B1893" t="str">
        <f t="shared" si="29"/>
        <v>116_0</v>
      </c>
      <c r="C1893" t="s">
        <v>126</v>
      </c>
      <c r="D1893" t="s">
        <v>147</v>
      </c>
      <c r="E1893" t="s">
        <v>139</v>
      </c>
      <c r="F1893">
        <v>0</v>
      </c>
    </row>
    <row r="1894" spans="1:7" x14ac:dyDescent="0.55000000000000004">
      <c r="A1894">
        <v>116</v>
      </c>
      <c r="B1894" t="str">
        <f t="shared" ref="B1894:B2024" si="31">A1894 &amp; "_0"</f>
        <v>116_0</v>
      </c>
      <c r="C1894" t="s">
        <v>126</v>
      </c>
      <c r="D1894" t="s">
        <v>148</v>
      </c>
      <c r="E1894" t="s">
        <v>139</v>
      </c>
      <c r="F1894">
        <v>0</v>
      </c>
    </row>
    <row r="1895" spans="1:7" x14ac:dyDescent="0.55000000000000004">
      <c r="A1895">
        <v>116</v>
      </c>
      <c r="B1895" t="str">
        <f t="shared" si="31"/>
        <v>116_0</v>
      </c>
      <c r="C1895" t="s">
        <v>126</v>
      </c>
      <c r="D1895" t="s">
        <v>149</v>
      </c>
      <c r="E1895" t="s">
        <v>139</v>
      </c>
      <c r="F1895">
        <v>90</v>
      </c>
    </row>
    <row r="1896" spans="1:7" x14ac:dyDescent="0.55000000000000004">
      <c r="A1896">
        <v>116</v>
      </c>
      <c r="B1896" t="str">
        <f t="shared" si="31"/>
        <v>116_0</v>
      </c>
      <c r="C1896" t="s">
        <v>126</v>
      </c>
      <c r="D1896" t="s">
        <v>150</v>
      </c>
      <c r="E1896" t="s">
        <v>139</v>
      </c>
      <c r="F1896">
        <v>10</v>
      </c>
    </row>
    <row r="1897" spans="1:7" x14ac:dyDescent="0.55000000000000004">
      <c r="A1897">
        <v>116</v>
      </c>
      <c r="B1897" t="str">
        <f t="shared" si="31"/>
        <v>116_0</v>
      </c>
      <c r="C1897" t="s">
        <v>126</v>
      </c>
      <c r="D1897" t="s">
        <v>151</v>
      </c>
      <c r="E1897" t="s">
        <v>139</v>
      </c>
      <c r="F1897">
        <v>0</v>
      </c>
    </row>
    <row r="1898" spans="1:7" x14ac:dyDescent="0.55000000000000004">
      <c r="A1898">
        <v>116</v>
      </c>
      <c r="B1898" t="str">
        <f t="shared" si="31"/>
        <v>116_0</v>
      </c>
      <c r="C1898" t="s">
        <v>126</v>
      </c>
      <c r="D1898" t="s">
        <v>152</v>
      </c>
      <c r="E1898" t="s">
        <v>153</v>
      </c>
    </row>
    <row r="1899" spans="1:7" x14ac:dyDescent="0.55000000000000004">
      <c r="A1899">
        <v>116</v>
      </c>
      <c r="B1899" t="str">
        <f t="shared" si="31"/>
        <v>116_0</v>
      </c>
      <c r="C1899" t="s">
        <v>154</v>
      </c>
      <c r="D1899" t="s">
        <v>155</v>
      </c>
      <c r="E1899" t="s">
        <v>156</v>
      </c>
      <c r="F1899">
        <v>16.100000000000001</v>
      </c>
    </row>
    <row r="1900" spans="1:7" x14ac:dyDescent="0.55000000000000004">
      <c r="A1900">
        <v>116</v>
      </c>
      <c r="B1900" t="str">
        <f t="shared" si="31"/>
        <v>116_0</v>
      </c>
      <c r="C1900" t="s">
        <v>154</v>
      </c>
      <c r="D1900" t="s">
        <v>157</v>
      </c>
      <c r="E1900" t="s">
        <v>158</v>
      </c>
      <c r="F1900">
        <v>9.14</v>
      </c>
    </row>
    <row r="1901" spans="1:7" x14ac:dyDescent="0.55000000000000004">
      <c r="A1901">
        <v>116</v>
      </c>
      <c r="B1901" t="str">
        <f t="shared" si="31"/>
        <v>116_0</v>
      </c>
      <c r="C1901" t="s">
        <v>154</v>
      </c>
      <c r="D1901" t="s">
        <v>159</v>
      </c>
      <c r="E1901" t="s">
        <v>139</v>
      </c>
      <c r="F1901">
        <v>94.1</v>
      </c>
    </row>
    <row r="1902" spans="1:7" x14ac:dyDescent="0.55000000000000004">
      <c r="A1902">
        <v>116</v>
      </c>
      <c r="B1902" t="str">
        <f t="shared" si="31"/>
        <v>116_0</v>
      </c>
      <c r="C1902" t="s">
        <v>154</v>
      </c>
      <c r="D1902" t="s">
        <v>160</v>
      </c>
      <c r="E1902" t="s">
        <v>161</v>
      </c>
      <c r="F1902">
        <v>63.9</v>
      </c>
    </row>
    <row r="1903" spans="1:7" x14ac:dyDescent="0.55000000000000004">
      <c r="A1903">
        <v>116</v>
      </c>
      <c r="B1903" t="str">
        <f t="shared" si="31"/>
        <v>116_0</v>
      </c>
      <c r="C1903" t="s">
        <v>154</v>
      </c>
      <c r="D1903" t="s">
        <v>162</v>
      </c>
      <c r="F1903">
        <v>7.77</v>
      </c>
    </row>
    <row r="1904" spans="1:7" x14ac:dyDescent="0.55000000000000004">
      <c r="A1904">
        <v>116</v>
      </c>
      <c r="B1904" t="str">
        <f t="shared" si="31"/>
        <v>116_0</v>
      </c>
      <c r="C1904" t="s">
        <v>163</v>
      </c>
      <c r="D1904" t="s">
        <v>164</v>
      </c>
      <c r="E1904" t="s">
        <v>139</v>
      </c>
      <c r="F1904">
        <v>20</v>
      </c>
    </row>
    <row r="1905" spans="1:7" x14ac:dyDescent="0.55000000000000004">
      <c r="A1905">
        <v>116</v>
      </c>
      <c r="B1905" t="str">
        <f t="shared" si="31"/>
        <v>116_0</v>
      </c>
      <c r="C1905" t="s">
        <v>163</v>
      </c>
      <c r="D1905" t="s">
        <v>165</v>
      </c>
      <c r="F1905" s="30" t="s">
        <v>198</v>
      </c>
    </row>
    <row r="1906" spans="1:7" x14ac:dyDescent="0.55000000000000004">
      <c r="A1906">
        <v>116</v>
      </c>
      <c r="B1906" t="str">
        <f t="shared" si="31"/>
        <v>116_0</v>
      </c>
      <c r="C1906" t="s">
        <v>163</v>
      </c>
      <c r="D1906" t="s">
        <v>166</v>
      </c>
      <c r="E1906" t="s">
        <v>139</v>
      </c>
      <c r="F1906">
        <v>90</v>
      </c>
    </row>
    <row r="1907" spans="1:7" x14ac:dyDescent="0.55000000000000004">
      <c r="A1907">
        <v>116</v>
      </c>
      <c r="B1907" t="str">
        <f t="shared" si="31"/>
        <v>116_0</v>
      </c>
      <c r="C1907" t="s">
        <v>163</v>
      </c>
      <c r="D1907" t="s">
        <v>167</v>
      </c>
    </row>
    <row r="1908" spans="1:7" x14ac:dyDescent="0.55000000000000004">
      <c r="A1908">
        <v>116</v>
      </c>
      <c r="B1908" t="str">
        <f t="shared" si="31"/>
        <v>116_0</v>
      </c>
      <c r="C1908" t="s">
        <v>163</v>
      </c>
      <c r="D1908" t="s">
        <v>168</v>
      </c>
      <c r="E1908" t="s">
        <v>131</v>
      </c>
      <c r="F1908">
        <v>1</v>
      </c>
    </row>
    <row r="1909" spans="1:7" x14ac:dyDescent="0.55000000000000004">
      <c r="A1909">
        <v>116</v>
      </c>
      <c r="B1909" t="str">
        <f t="shared" si="31"/>
        <v>116_0</v>
      </c>
      <c r="C1909" t="s">
        <v>163</v>
      </c>
      <c r="D1909" t="s">
        <v>169</v>
      </c>
      <c r="F1909" s="30" t="s">
        <v>198</v>
      </c>
    </row>
    <row r="1910" spans="1:7" x14ac:dyDescent="0.55000000000000004">
      <c r="A1910">
        <v>116</v>
      </c>
      <c r="B1910" t="str">
        <f t="shared" si="31"/>
        <v>116_0</v>
      </c>
      <c r="C1910" t="s">
        <v>163</v>
      </c>
      <c r="D1910" t="s">
        <v>170</v>
      </c>
      <c r="E1910" t="s">
        <v>139</v>
      </c>
      <c r="F1910">
        <v>0</v>
      </c>
    </row>
    <row r="1911" spans="1:7" x14ac:dyDescent="0.55000000000000004">
      <c r="A1911">
        <v>116</v>
      </c>
      <c r="B1911" t="str">
        <f t="shared" si="31"/>
        <v>116_0</v>
      </c>
      <c r="C1911" t="s">
        <v>163</v>
      </c>
      <c r="D1911" t="s">
        <v>171</v>
      </c>
    </row>
    <row r="1912" spans="1:7" x14ac:dyDescent="0.55000000000000004">
      <c r="A1912">
        <v>116</v>
      </c>
      <c r="B1912" t="str">
        <f>A1912 &amp; "_1"</f>
        <v>116_1</v>
      </c>
      <c r="C1912" t="s">
        <v>126</v>
      </c>
      <c r="D1912" t="s">
        <v>127</v>
      </c>
      <c r="E1912" t="s">
        <v>128</v>
      </c>
      <c r="F1912" s="1"/>
      <c r="G1912" t="s">
        <v>129</v>
      </c>
    </row>
    <row r="1913" spans="1:7" x14ac:dyDescent="0.55000000000000004">
      <c r="A1913">
        <v>116</v>
      </c>
      <c r="B1913" t="str">
        <f t="shared" ref="B1913:B1946" si="32">A1913 &amp; "_1"</f>
        <v>116_1</v>
      </c>
      <c r="C1913" t="s">
        <v>126</v>
      </c>
      <c r="D1913" s="11" t="s">
        <v>130</v>
      </c>
      <c r="E1913" t="s">
        <v>131</v>
      </c>
      <c r="F1913">
        <v>1</v>
      </c>
    </row>
    <row r="1914" spans="1:7" x14ac:dyDescent="0.55000000000000004">
      <c r="A1914">
        <v>116</v>
      </c>
      <c r="B1914" t="str">
        <f t="shared" si="32"/>
        <v>116_1</v>
      </c>
      <c r="C1914" t="s">
        <v>126</v>
      </c>
      <c r="D1914" t="s">
        <v>132</v>
      </c>
      <c r="E1914" t="s">
        <v>133</v>
      </c>
    </row>
    <row r="1915" spans="1:7" x14ac:dyDescent="0.55000000000000004">
      <c r="A1915">
        <v>116</v>
      </c>
      <c r="B1915" t="str">
        <f t="shared" si="32"/>
        <v>116_1</v>
      </c>
      <c r="C1915" t="s">
        <v>126</v>
      </c>
      <c r="D1915" t="s">
        <v>134</v>
      </c>
      <c r="E1915" t="s">
        <v>133</v>
      </c>
      <c r="F1915">
        <v>0.65</v>
      </c>
    </row>
    <row r="1916" spans="1:7" x14ac:dyDescent="0.55000000000000004">
      <c r="A1916">
        <v>116</v>
      </c>
      <c r="B1916" t="str">
        <f t="shared" si="32"/>
        <v>116_1</v>
      </c>
      <c r="C1916" t="s">
        <v>126</v>
      </c>
      <c r="D1916" t="s">
        <v>135</v>
      </c>
      <c r="E1916" t="s">
        <v>136</v>
      </c>
      <c r="F1916">
        <f>F1915/10</f>
        <v>6.5000000000000002E-2</v>
      </c>
      <c r="G1916" t="s">
        <v>137</v>
      </c>
    </row>
    <row r="1917" spans="1:7" x14ac:dyDescent="0.55000000000000004">
      <c r="A1917">
        <v>116</v>
      </c>
      <c r="B1917" t="str">
        <f t="shared" si="32"/>
        <v>116_1</v>
      </c>
      <c r="C1917" t="s">
        <v>126</v>
      </c>
      <c r="D1917" s="2" t="s">
        <v>138</v>
      </c>
      <c r="E1917" t="s">
        <v>139</v>
      </c>
      <c r="F1917">
        <v>20</v>
      </c>
    </row>
    <row r="1918" spans="1:7" x14ac:dyDescent="0.55000000000000004">
      <c r="A1918">
        <v>116</v>
      </c>
      <c r="B1918" t="str">
        <f t="shared" si="32"/>
        <v>116_1</v>
      </c>
      <c r="C1918" t="s">
        <v>126</v>
      </c>
      <c r="D1918" s="2" t="s">
        <v>140</v>
      </c>
      <c r="F1918" t="s">
        <v>186</v>
      </c>
    </row>
    <row r="1919" spans="1:7" x14ac:dyDescent="0.55000000000000004">
      <c r="A1919">
        <v>116</v>
      </c>
      <c r="B1919" t="str">
        <f t="shared" si="32"/>
        <v>116_1</v>
      </c>
      <c r="C1919" t="s">
        <v>126</v>
      </c>
      <c r="D1919" s="2" t="s">
        <v>141</v>
      </c>
      <c r="E1919" t="s">
        <v>139</v>
      </c>
      <c r="F1919">
        <v>0</v>
      </c>
    </row>
    <row r="1920" spans="1:7" x14ac:dyDescent="0.55000000000000004">
      <c r="A1920">
        <v>116</v>
      </c>
      <c r="B1920" t="str">
        <f t="shared" si="32"/>
        <v>116_1</v>
      </c>
      <c r="C1920" t="s">
        <v>126</v>
      </c>
      <c r="D1920" t="s">
        <v>142</v>
      </c>
      <c r="E1920" t="s">
        <v>139</v>
      </c>
      <c r="F1920">
        <v>0</v>
      </c>
    </row>
    <row r="1921" spans="1:6" x14ac:dyDescent="0.55000000000000004">
      <c r="A1921">
        <v>116</v>
      </c>
      <c r="B1921" t="str">
        <f t="shared" si="32"/>
        <v>116_1</v>
      </c>
      <c r="C1921" t="s">
        <v>126</v>
      </c>
      <c r="D1921" t="s">
        <v>143</v>
      </c>
      <c r="E1921" t="s">
        <v>131</v>
      </c>
      <c r="F1921">
        <v>0</v>
      </c>
    </row>
    <row r="1922" spans="1:6" x14ac:dyDescent="0.55000000000000004">
      <c r="A1922">
        <v>116</v>
      </c>
      <c r="B1922" t="str">
        <f t="shared" si="32"/>
        <v>116_1</v>
      </c>
      <c r="C1922" t="s">
        <v>126</v>
      </c>
      <c r="D1922" t="s">
        <v>144</v>
      </c>
      <c r="E1922" t="s">
        <v>139</v>
      </c>
      <c r="F1922">
        <v>0</v>
      </c>
    </row>
    <row r="1923" spans="1:6" x14ac:dyDescent="0.55000000000000004">
      <c r="A1923">
        <v>116</v>
      </c>
      <c r="B1923" t="str">
        <f t="shared" si="32"/>
        <v>116_1</v>
      </c>
      <c r="C1923" t="s">
        <v>126</v>
      </c>
      <c r="D1923" t="s">
        <v>145</v>
      </c>
      <c r="E1923" t="s">
        <v>139</v>
      </c>
      <c r="F1923">
        <v>0</v>
      </c>
    </row>
    <row r="1924" spans="1:6" x14ac:dyDescent="0.55000000000000004">
      <c r="A1924">
        <v>116</v>
      </c>
      <c r="B1924" t="str">
        <f t="shared" si="32"/>
        <v>116_1</v>
      </c>
      <c r="C1924" t="s">
        <v>126</v>
      </c>
      <c r="D1924" t="s">
        <v>146</v>
      </c>
      <c r="E1924" t="s">
        <v>139</v>
      </c>
      <c r="F1924">
        <v>0</v>
      </c>
    </row>
    <row r="1925" spans="1:6" x14ac:dyDescent="0.55000000000000004">
      <c r="A1925">
        <v>116</v>
      </c>
      <c r="B1925" t="str">
        <f t="shared" si="32"/>
        <v>116_1</v>
      </c>
      <c r="C1925" t="s">
        <v>126</v>
      </c>
      <c r="D1925" t="s">
        <v>147</v>
      </c>
      <c r="E1925" t="s">
        <v>139</v>
      </c>
      <c r="F1925">
        <v>0</v>
      </c>
    </row>
    <row r="1926" spans="1:6" x14ac:dyDescent="0.55000000000000004">
      <c r="A1926">
        <v>116</v>
      </c>
      <c r="B1926" t="str">
        <f t="shared" si="32"/>
        <v>116_1</v>
      </c>
      <c r="C1926" t="s">
        <v>126</v>
      </c>
      <c r="D1926" t="s">
        <v>148</v>
      </c>
      <c r="E1926" t="s">
        <v>139</v>
      </c>
      <c r="F1926">
        <v>0</v>
      </c>
    </row>
    <row r="1927" spans="1:6" x14ac:dyDescent="0.55000000000000004">
      <c r="A1927">
        <v>116</v>
      </c>
      <c r="B1927" t="str">
        <f t="shared" si="32"/>
        <v>116_1</v>
      </c>
      <c r="C1927" t="s">
        <v>126</v>
      </c>
      <c r="D1927" t="s">
        <v>149</v>
      </c>
      <c r="E1927" t="s">
        <v>139</v>
      </c>
      <c r="F1927">
        <v>50</v>
      </c>
    </row>
    <row r="1928" spans="1:6" x14ac:dyDescent="0.55000000000000004">
      <c r="A1928">
        <v>116</v>
      </c>
      <c r="B1928" t="str">
        <f t="shared" si="32"/>
        <v>116_1</v>
      </c>
      <c r="C1928" t="s">
        <v>126</v>
      </c>
      <c r="D1928" t="s">
        <v>150</v>
      </c>
      <c r="E1928" t="s">
        <v>139</v>
      </c>
      <c r="F1928">
        <v>0</v>
      </c>
    </row>
    <row r="1929" spans="1:6" x14ac:dyDescent="0.55000000000000004">
      <c r="A1929">
        <v>116</v>
      </c>
      <c r="B1929" t="str">
        <f t="shared" si="32"/>
        <v>116_1</v>
      </c>
      <c r="C1929" t="s">
        <v>126</v>
      </c>
      <c r="D1929" t="s">
        <v>151</v>
      </c>
      <c r="E1929" t="s">
        <v>139</v>
      </c>
      <c r="F1929">
        <v>50</v>
      </c>
    </row>
    <row r="1930" spans="1:6" x14ac:dyDescent="0.55000000000000004">
      <c r="A1930">
        <v>116</v>
      </c>
      <c r="B1930" t="str">
        <f t="shared" si="32"/>
        <v>116_1</v>
      </c>
      <c r="C1930" t="s">
        <v>126</v>
      </c>
      <c r="D1930" t="s">
        <v>152</v>
      </c>
      <c r="E1930" t="s">
        <v>153</v>
      </c>
    </row>
    <row r="1931" spans="1:6" x14ac:dyDescent="0.55000000000000004">
      <c r="A1931">
        <v>116</v>
      </c>
      <c r="B1931" t="str">
        <f t="shared" si="32"/>
        <v>116_1</v>
      </c>
      <c r="C1931" t="s">
        <v>154</v>
      </c>
      <c r="D1931" t="s">
        <v>155</v>
      </c>
      <c r="E1931" t="s">
        <v>156</v>
      </c>
      <c r="F1931">
        <v>20.5</v>
      </c>
    </row>
    <row r="1932" spans="1:6" x14ac:dyDescent="0.55000000000000004">
      <c r="A1932">
        <v>116</v>
      </c>
      <c r="B1932" t="str">
        <f t="shared" si="32"/>
        <v>116_1</v>
      </c>
      <c r="C1932" t="s">
        <v>154</v>
      </c>
      <c r="D1932" t="s">
        <v>157</v>
      </c>
      <c r="E1932" t="s">
        <v>158</v>
      </c>
      <c r="F1932">
        <v>8.8800000000000008</v>
      </c>
    </row>
    <row r="1933" spans="1:6" x14ac:dyDescent="0.55000000000000004">
      <c r="A1933">
        <v>116</v>
      </c>
      <c r="B1933" t="str">
        <f t="shared" si="32"/>
        <v>116_1</v>
      </c>
      <c r="C1933" t="s">
        <v>154</v>
      </c>
      <c r="D1933" t="s">
        <v>159</v>
      </c>
      <c r="E1933" t="s">
        <v>139</v>
      </c>
      <c r="F1933">
        <v>98.3</v>
      </c>
    </row>
    <row r="1934" spans="1:6" x14ac:dyDescent="0.55000000000000004">
      <c r="A1934">
        <v>116</v>
      </c>
      <c r="B1934" t="str">
        <f t="shared" si="32"/>
        <v>116_1</v>
      </c>
      <c r="C1934" t="s">
        <v>154</v>
      </c>
      <c r="D1934" t="s">
        <v>160</v>
      </c>
      <c r="E1934" t="s">
        <v>161</v>
      </c>
      <c r="F1934">
        <v>69</v>
      </c>
    </row>
    <row r="1935" spans="1:6" x14ac:dyDescent="0.55000000000000004">
      <c r="A1935">
        <v>116</v>
      </c>
      <c r="B1935" t="str">
        <f t="shared" si="32"/>
        <v>116_1</v>
      </c>
      <c r="C1935" t="s">
        <v>154</v>
      </c>
      <c r="D1935" t="s">
        <v>162</v>
      </c>
      <c r="F1935">
        <v>8.26</v>
      </c>
    </row>
    <row r="1936" spans="1:6" x14ac:dyDescent="0.55000000000000004">
      <c r="A1936">
        <v>116</v>
      </c>
      <c r="B1936" t="str">
        <f t="shared" si="32"/>
        <v>116_1</v>
      </c>
      <c r="C1936" t="s">
        <v>163</v>
      </c>
      <c r="D1936" t="s">
        <v>164</v>
      </c>
      <c r="E1936" t="s">
        <v>139</v>
      </c>
      <c r="F1936">
        <v>80</v>
      </c>
    </row>
    <row r="1937" spans="1:6" x14ac:dyDescent="0.55000000000000004">
      <c r="A1937">
        <v>116</v>
      </c>
      <c r="B1937" t="str">
        <f t="shared" si="32"/>
        <v>116_1</v>
      </c>
      <c r="C1937" t="s">
        <v>163</v>
      </c>
      <c r="D1937" t="s">
        <v>164</v>
      </c>
      <c r="E1937" t="s">
        <v>139</v>
      </c>
      <c r="F1937">
        <v>30</v>
      </c>
    </row>
    <row r="1938" spans="1:6" x14ac:dyDescent="0.55000000000000004">
      <c r="A1938">
        <v>116</v>
      </c>
      <c r="B1938" t="str">
        <f t="shared" si="32"/>
        <v>116_1</v>
      </c>
      <c r="C1938" t="s">
        <v>163</v>
      </c>
      <c r="D1938" t="s">
        <v>165</v>
      </c>
      <c r="F1938" t="s">
        <v>181</v>
      </c>
    </row>
    <row r="1939" spans="1:6" x14ac:dyDescent="0.55000000000000004">
      <c r="A1939">
        <v>116</v>
      </c>
      <c r="B1939" t="str">
        <f t="shared" si="32"/>
        <v>116_1</v>
      </c>
      <c r="C1939" t="s">
        <v>163</v>
      </c>
      <c r="D1939" t="s">
        <v>164</v>
      </c>
      <c r="E1939" t="s">
        <v>139</v>
      </c>
      <c r="F1939">
        <v>50</v>
      </c>
    </row>
    <row r="1940" spans="1:6" x14ac:dyDescent="0.55000000000000004">
      <c r="A1940">
        <v>116</v>
      </c>
      <c r="B1940" t="str">
        <f t="shared" si="32"/>
        <v>116_1</v>
      </c>
      <c r="C1940" t="s">
        <v>163</v>
      </c>
      <c r="D1940" t="s">
        <v>165</v>
      </c>
      <c r="F1940" t="s">
        <v>300</v>
      </c>
    </row>
    <row r="1941" spans="1:6" x14ac:dyDescent="0.55000000000000004">
      <c r="A1941">
        <v>116</v>
      </c>
      <c r="B1941" t="str">
        <f t="shared" si="32"/>
        <v>116_1</v>
      </c>
      <c r="C1941" t="s">
        <v>163</v>
      </c>
      <c r="D1941" t="s">
        <v>166</v>
      </c>
      <c r="E1941" t="s">
        <v>139</v>
      </c>
      <c r="F1941">
        <v>2</v>
      </c>
    </row>
    <row r="1942" spans="1:6" x14ac:dyDescent="0.55000000000000004">
      <c r="A1942">
        <v>116</v>
      </c>
      <c r="B1942" t="str">
        <f t="shared" si="32"/>
        <v>116_1</v>
      </c>
      <c r="C1942" t="s">
        <v>163</v>
      </c>
      <c r="D1942" t="s">
        <v>167</v>
      </c>
      <c r="F1942" t="s">
        <v>187</v>
      </c>
    </row>
    <row r="1943" spans="1:6" x14ac:dyDescent="0.55000000000000004">
      <c r="A1943">
        <v>116</v>
      </c>
      <c r="B1943" t="str">
        <f t="shared" si="32"/>
        <v>116_1</v>
      </c>
      <c r="C1943" t="s">
        <v>163</v>
      </c>
      <c r="D1943" t="s">
        <v>168</v>
      </c>
      <c r="E1943" t="s">
        <v>131</v>
      </c>
      <c r="F1943">
        <v>1</v>
      </c>
    </row>
    <row r="1944" spans="1:6" x14ac:dyDescent="0.55000000000000004">
      <c r="A1944">
        <v>116</v>
      </c>
      <c r="B1944" t="str">
        <f t="shared" si="32"/>
        <v>116_1</v>
      </c>
      <c r="C1944" t="s">
        <v>163</v>
      </c>
      <c r="D1944" t="s">
        <v>169</v>
      </c>
      <c r="F1944" t="s">
        <v>300</v>
      </c>
    </row>
    <row r="1945" spans="1:6" x14ac:dyDescent="0.55000000000000004">
      <c r="A1945">
        <v>116</v>
      </c>
      <c r="B1945" t="str">
        <f t="shared" si="32"/>
        <v>116_1</v>
      </c>
      <c r="C1945" t="s">
        <v>163</v>
      </c>
      <c r="D1945" t="s">
        <v>170</v>
      </c>
      <c r="E1945" t="s">
        <v>139</v>
      </c>
      <c r="F1945">
        <v>0</v>
      </c>
    </row>
    <row r="1946" spans="1:6" x14ac:dyDescent="0.55000000000000004">
      <c r="A1946">
        <v>116</v>
      </c>
      <c r="B1946" t="str">
        <f t="shared" si="32"/>
        <v>116_1</v>
      </c>
      <c r="C1946" t="s">
        <v>163</v>
      </c>
      <c r="D1946" t="s">
        <v>171</v>
      </c>
    </row>
    <row r="1947" spans="1:6" x14ac:dyDescent="0.55000000000000004">
      <c r="A1947">
        <v>117</v>
      </c>
      <c r="B1947" t="str">
        <f t="shared" si="31"/>
        <v>117_0</v>
      </c>
      <c r="C1947" t="s">
        <v>126</v>
      </c>
      <c r="D1947" t="s">
        <v>127</v>
      </c>
      <c r="E1947" t="s">
        <v>128</v>
      </c>
    </row>
    <row r="1948" spans="1:6" x14ac:dyDescent="0.55000000000000004">
      <c r="A1948">
        <v>117</v>
      </c>
      <c r="B1948" t="str">
        <f t="shared" si="31"/>
        <v>117_0</v>
      </c>
      <c r="C1948" t="s">
        <v>126</v>
      </c>
      <c r="D1948" s="11" t="s">
        <v>130</v>
      </c>
      <c r="E1948" t="s">
        <v>131</v>
      </c>
      <c r="F1948">
        <v>1</v>
      </c>
    </row>
    <row r="1949" spans="1:6" x14ac:dyDescent="0.55000000000000004">
      <c r="A1949">
        <v>117</v>
      </c>
      <c r="B1949" t="str">
        <f t="shared" si="31"/>
        <v>117_0</v>
      </c>
      <c r="C1949" t="s">
        <v>126</v>
      </c>
      <c r="D1949" t="s">
        <v>132</v>
      </c>
      <c r="E1949" t="s">
        <v>133</v>
      </c>
    </row>
    <row r="1950" spans="1:6" x14ac:dyDescent="0.55000000000000004">
      <c r="A1950">
        <v>117</v>
      </c>
      <c r="B1950" t="str">
        <f t="shared" si="31"/>
        <v>117_0</v>
      </c>
      <c r="C1950" t="s">
        <v>126</v>
      </c>
      <c r="D1950" t="s">
        <v>134</v>
      </c>
      <c r="E1950" t="s">
        <v>133</v>
      </c>
      <c r="F1950">
        <v>2</v>
      </c>
    </row>
    <row r="1951" spans="1:6" x14ac:dyDescent="0.55000000000000004">
      <c r="A1951">
        <v>117</v>
      </c>
      <c r="B1951" t="str">
        <f t="shared" si="31"/>
        <v>117_0</v>
      </c>
      <c r="C1951" t="s">
        <v>126</v>
      </c>
      <c r="D1951" t="s">
        <v>135</v>
      </c>
      <c r="E1951" t="s">
        <v>136</v>
      </c>
      <c r="F1951">
        <f>F1950/10</f>
        <v>0.2</v>
      </c>
    </row>
    <row r="1952" spans="1:6" x14ac:dyDescent="0.55000000000000004">
      <c r="A1952">
        <v>117</v>
      </c>
      <c r="B1952" t="str">
        <f t="shared" si="31"/>
        <v>117_0</v>
      </c>
      <c r="C1952" t="s">
        <v>126</v>
      </c>
      <c r="D1952" s="2" t="s">
        <v>138</v>
      </c>
      <c r="E1952" t="s">
        <v>139</v>
      </c>
      <c r="F1952">
        <v>100</v>
      </c>
    </row>
    <row r="1953" spans="1:6" x14ac:dyDescent="0.55000000000000004">
      <c r="A1953">
        <v>117</v>
      </c>
      <c r="B1953" t="str">
        <f t="shared" si="31"/>
        <v>117_0</v>
      </c>
      <c r="C1953" t="s">
        <v>126</v>
      </c>
      <c r="D1953" s="2" t="s">
        <v>140</v>
      </c>
    </row>
    <row r="1954" spans="1:6" x14ac:dyDescent="0.55000000000000004">
      <c r="A1954">
        <v>117</v>
      </c>
      <c r="B1954" t="str">
        <f t="shared" si="31"/>
        <v>117_0</v>
      </c>
      <c r="C1954" t="s">
        <v>126</v>
      </c>
      <c r="D1954" s="2" t="s">
        <v>141</v>
      </c>
      <c r="E1954" t="s">
        <v>139</v>
      </c>
      <c r="F1954">
        <v>100</v>
      </c>
    </row>
    <row r="1955" spans="1:6" x14ac:dyDescent="0.55000000000000004">
      <c r="A1955">
        <v>117</v>
      </c>
      <c r="B1955" t="str">
        <f t="shared" si="31"/>
        <v>117_0</v>
      </c>
      <c r="C1955" t="s">
        <v>126</v>
      </c>
      <c r="D1955" t="s">
        <v>142</v>
      </c>
      <c r="E1955" t="s">
        <v>139</v>
      </c>
      <c r="F1955">
        <v>0</v>
      </c>
    </row>
    <row r="1956" spans="1:6" x14ac:dyDescent="0.55000000000000004">
      <c r="A1956">
        <v>117</v>
      </c>
      <c r="B1956" t="str">
        <f t="shared" si="31"/>
        <v>117_0</v>
      </c>
      <c r="C1956" t="s">
        <v>126</v>
      </c>
      <c r="D1956" t="s">
        <v>143</v>
      </c>
      <c r="E1956" t="s">
        <v>131</v>
      </c>
      <c r="F1956">
        <v>0</v>
      </c>
    </row>
    <row r="1957" spans="1:6" x14ac:dyDescent="0.55000000000000004">
      <c r="A1957">
        <v>117</v>
      </c>
      <c r="B1957" t="str">
        <f t="shared" si="31"/>
        <v>117_0</v>
      </c>
      <c r="C1957" t="s">
        <v>126</v>
      </c>
      <c r="D1957" t="s">
        <v>144</v>
      </c>
      <c r="E1957" t="s">
        <v>139</v>
      </c>
      <c r="F1957">
        <v>0</v>
      </c>
    </row>
    <row r="1958" spans="1:6" x14ac:dyDescent="0.55000000000000004">
      <c r="A1958">
        <v>117</v>
      </c>
      <c r="B1958" t="str">
        <f t="shared" si="31"/>
        <v>117_0</v>
      </c>
      <c r="C1958" t="s">
        <v>126</v>
      </c>
      <c r="D1958" t="s">
        <v>145</v>
      </c>
      <c r="E1958" t="s">
        <v>139</v>
      </c>
      <c r="F1958">
        <v>80</v>
      </c>
    </row>
    <row r="1959" spans="1:6" x14ac:dyDescent="0.55000000000000004">
      <c r="A1959">
        <v>117</v>
      </c>
      <c r="B1959" t="str">
        <f t="shared" si="31"/>
        <v>117_0</v>
      </c>
      <c r="C1959" t="s">
        <v>126</v>
      </c>
      <c r="D1959" t="s">
        <v>146</v>
      </c>
      <c r="E1959" t="s">
        <v>139</v>
      </c>
      <c r="F1959">
        <v>0</v>
      </c>
    </row>
    <row r="1960" spans="1:6" x14ac:dyDescent="0.55000000000000004">
      <c r="A1960">
        <v>117</v>
      </c>
      <c r="B1960" t="str">
        <f t="shared" si="31"/>
        <v>117_0</v>
      </c>
      <c r="C1960" t="s">
        <v>126</v>
      </c>
      <c r="D1960" t="s">
        <v>147</v>
      </c>
      <c r="E1960" t="s">
        <v>139</v>
      </c>
      <c r="F1960">
        <v>0</v>
      </c>
    </row>
    <row r="1961" spans="1:6" x14ac:dyDescent="0.55000000000000004">
      <c r="A1961">
        <v>117</v>
      </c>
      <c r="B1961" t="str">
        <f t="shared" si="31"/>
        <v>117_0</v>
      </c>
      <c r="C1961" t="s">
        <v>126</v>
      </c>
      <c r="D1961" t="s">
        <v>148</v>
      </c>
      <c r="E1961" t="s">
        <v>139</v>
      </c>
      <c r="F1961">
        <v>20</v>
      </c>
    </row>
    <row r="1962" spans="1:6" x14ac:dyDescent="0.55000000000000004">
      <c r="A1962">
        <v>117</v>
      </c>
      <c r="B1962" t="str">
        <f t="shared" si="31"/>
        <v>117_0</v>
      </c>
      <c r="C1962" t="s">
        <v>126</v>
      </c>
      <c r="D1962" t="s">
        <v>149</v>
      </c>
      <c r="E1962" t="s">
        <v>139</v>
      </c>
      <c r="F1962">
        <v>0</v>
      </c>
    </row>
    <row r="1963" spans="1:6" x14ac:dyDescent="0.55000000000000004">
      <c r="A1963">
        <v>117</v>
      </c>
      <c r="B1963" t="str">
        <f t="shared" si="31"/>
        <v>117_0</v>
      </c>
      <c r="C1963" t="s">
        <v>126</v>
      </c>
      <c r="D1963" t="s">
        <v>150</v>
      </c>
      <c r="E1963" t="s">
        <v>139</v>
      </c>
      <c r="F1963">
        <v>0</v>
      </c>
    </row>
    <row r="1964" spans="1:6" x14ac:dyDescent="0.55000000000000004">
      <c r="A1964">
        <v>117</v>
      </c>
      <c r="B1964" t="str">
        <f t="shared" si="31"/>
        <v>117_0</v>
      </c>
      <c r="C1964" t="s">
        <v>126</v>
      </c>
      <c r="D1964" t="s">
        <v>151</v>
      </c>
      <c r="E1964" t="s">
        <v>139</v>
      </c>
      <c r="F1964">
        <v>0</v>
      </c>
    </row>
    <row r="1965" spans="1:6" x14ac:dyDescent="0.55000000000000004">
      <c r="A1965">
        <v>117</v>
      </c>
      <c r="B1965" t="str">
        <f t="shared" si="31"/>
        <v>117_0</v>
      </c>
      <c r="C1965" t="s">
        <v>126</v>
      </c>
      <c r="D1965" t="s">
        <v>152</v>
      </c>
      <c r="E1965" t="s">
        <v>153</v>
      </c>
    </row>
    <row r="1966" spans="1:6" x14ac:dyDescent="0.55000000000000004">
      <c r="A1966">
        <v>117</v>
      </c>
      <c r="B1966" t="str">
        <f t="shared" si="31"/>
        <v>117_0</v>
      </c>
      <c r="C1966" t="s">
        <v>154</v>
      </c>
      <c r="D1966" t="s">
        <v>155</v>
      </c>
      <c r="E1966" t="s">
        <v>156</v>
      </c>
      <c r="F1966">
        <v>16.3</v>
      </c>
    </row>
    <row r="1967" spans="1:6" x14ac:dyDescent="0.55000000000000004">
      <c r="A1967">
        <v>117</v>
      </c>
      <c r="B1967" t="str">
        <f t="shared" si="31"/>
        <v>117_0</v>
      </c>
      <c r="C1967" t="s">
        <v>154</v>
      </c>
      <c r="D1967" t="s">
        <v>157</v>
      </c>
      <c r="E1967" t="s">
        <v>158</v>
      </c>
      <c r="F1967">
        <v>9.2100000000000009</v>
      </c>
    </row>
    <row r="1968" spans="1:6" x14ac:dyDescent="0.55000000000000004">
      <c r="A1968">
        <v>117</v>
      </c>
      <c r="B1968" t="str">
        <f t="shared" si="31"/>
        <v>117_0</v>
      </c>
      <c r="C1968" t="s">
        <v>154</v>
      </c>
      <c r="D1968" t="s">
        <v>159</v>
      </c>
      <c r="E1968" t="s">
        <v>139</v>
      </c>
      <c r="F1968">
        <v>93.8</v>
      </c>
    </row>
    <row r="1969" spans="1:7" x14ac:dyDescent="0.55000000000000004">
      <c r="A1969">
        <v>117</v>
      </c>
      <c r="B1969" t="str">
        <f t="shared" si="31"/>
        <v>117_0</v>
      </c>
      <c r="C1969" t="s">
        <v>154</v>
      </c>
      <c r="D1969" t="s">
        <v>160</v>
      </c>
      <c r="E1969" t="s">
        <v>161</v>
      </c>
      <c r="F1969">
        <v>61.9</v>
      </c>
    </row>
    <row r="1970" spans="1:7" x14ac:dyDescent="0.55000000000000004">
      <c r="A1970">
        <v>117</v>
      </c>
      <c r="B1970" t="str">
        <f t="shared" si="31"/>
        <v>117_0</v>
      </c>
      <c r="C1970" t="s">
        <v>154</v>
      </c>
      <c r="D1970" t="s">
        <v>162</v>
      </c>
      <c r="F1970">
        <v>8.2799999999999994</v>
      </c>
    </row>
    <row r="1971" spans="1:7" x14ac:dyDescent="0.55000000000000004">
      <c r="A1971">
        <v>117</v>
      </c>
      <c r="B1971" t="str">
        <f t="shared" si="31"/>
        <v>117_0</v>
      </c>
      <c r="C1971" t="s">
        <v>163</v>
      </c>
      <c r="D1971" t="s">
        <v>164</v>
      </c>
      <c r="E1971" t="s">
        <v>139</v>
      </c>
      <c r="F1971">
        <v>0</v>
      </c>
    </row>
    <row r="1972" spans="1:7" x14ac:dyDescent="0.55000000000000004">
      <c r="A1972">
        <v>117</v>
      </c>
      <c r="B1972" t="str">
        <f t="shared" si="31"/>
        <v>117_0</v>
      </c>
      <c r="C1972" t="s">
        <v>163</v>
      </c>
      <c r="D1972" t="s">
        <v>165</v>
      </c>
    </row>
    <row r="1973" spans="1:7" x14ac:dyDescent="0.55000000000000004">
      <c r="A1973">
        <v>117</v>
      </c>
      <c r="B1973" t="str">
        <f t="shared" si="31"/>
        <v>117_0</v>
      </c>
      <c r="C1973" t="s">
        <v>163</v>
      </c>
      <c r="D1973" t="s">
        <v>166</v>
      </c>
      <c r="E1973" t="s">
        <v>139</v>
      </c>
      <c r="F1973">
        <v>0</v>
      </c>
    </row>
    <row r="1974" spans="1:7" x14ac:dyDescent="0.55000000000000004">
      <c r="A1974">
        <v>117</v>
      </c>
      <c r="B1974" t="str">
        <f t="shared" si="31"/>
        <v>117_0</v>
      </c>
      <c r="C1974" t="s">
        <v>163</v>
      </c>
      <c r="D1974" t="s">
        <v>167</v>
      </c>
    </row>
    <row r="1975" spans="1:7" x14ac:dyDescent="0.55000000000000004">
      <c r="A1975">
        <v>117</v>
      </c>
      <c r="B1975" t="str">
        <f t="shared" si="31"/>
        <v>117_0</v>
      </c>
      <c r="C1975" t="s">
        <v>163</v>
      </c>
      <c r="D1975" t="s">
        <v>168</v>
      </c>
      <c r="E1975" t="s">
        <v>131</v>
      </c>
      <c r="F1975">
        <v>0</v>
      </c>
    </row>
    <row r="1976" spans="1:7" x14ac:dyDescent="0.55000000000000004">
      <c r="A1976">
        <v>117</v>
      </c>
      <c r="B1976" t="str">
        <f t="shared" si="31"/>
        <v>117_0</v>
      </c>
      <c r="C1976" t="s">
        <v>163</v>
      </c>
      <c r="D1976" t="s">
        <v>169</v>
      </c>
    </row>
    <row r="1977" spans="1:7" x14ac:dyDescent="0.55000000000000004">
      <c r="A1977">
        <v>117</v>
      </c>
      <c r="B1977" t="str">
        <f t="shared" si="31"/>
        <v>117_0</v>
      </c>
      <c r="C1977" t="s">
        <v>163</v>
      </c>
      <c r="D1977" t="s">
        <v>170</v>
      </c>
      <c r="E1977" t="s">
        <v>139</v>
      </c>
      <c r="F1977">
        <v>10</v>
      </c>
    </row>
    <row r="1978" spans="1:7" x14ac:dyDescent="0.55000000000000004">
      <c r="A1978">
        <v>117</v>
      </c>
      <c r="B1978" t="str">
        <f t="shared" si="31"/>
        <v>117_0</v>
      </c>
      <c r="C1978" t="s">
        <v>163</v>
      </c>
      <c r="D1978" t="s">
        <v>171</v>
      </c>
    </row>
    <row r="1979" spans="1:7" x14ac:dyDescent="0.55000000000000004">
      <c r="A1979">
        <v>117</v>
      </c>
      <c r="B1979" t="str">
        <f>A1979 &amp; "_1"</f>
        <v>117_1</v>
      </c>
      <c r="C1979" t="s">
        <v>126</v>
      </c>
      <c r="D1979" t="s">
        <v>127</v>
      </c>
      <c r="E1979" t="s">
        <v>128</v>
      </c>
      <c r="F1979" s="1"/>
      <c r="G1979" t="s">
        <v>129</v>
      </c>
    </row>
    <row r="1980" spans="1:7" x14ac:dyDescent="0.55000000000000004">
      <c r="A1980">
        <v>117</v>
      </c>
      <c r="B1980" t="str">
        <f t="shared" ref="B1980:B2010" si="33">A1980 &amp; "_1"</f>
        <v>117_1</v>
      </c>
      <c r="C1980" t="s">
        <v>126</v>
      </c>
      <c r="D1980" s="11" t="s">
        <v>130</v>
      </c>
      <c r="E1980" t="s">
        <v>131</v>
      </c>
      <c r="F1980">
        <v>1</v>
      </c>
    </row>
    <row r="1981" spans="1:7" x14ac:dyDescent="0.55000000000000004">
      <c r="A1981">
        <v>117</v>
      </c>
      <c r="B1981" t="str">
        <f t="shared" si="33"/>
        <v>117_1</v>
      </c>
      <c r="C1981" t="s">
        <v>126</v>
      </c>
      <c r="D1981" t="s">
        <v>132</v>
      </c>
      <c r="E1981" t="s">
        <v>133</v>
      </c>
    </row>
    <row r="1982" spans="1:7" x14ac:dyDescent="0.55000000000000004">
      <c r="A1982">
        <v>117</v>
      </c>
      <c r="B1982" t="str">
        <f t="shared" si="33"/>
        <v>117_1</v>
      </c>
      <c r="C1982" t="s">
        <v>126</v>
      </c>
      <c r="D1982" t="s">
        <v>134</v>
      </c>
      <c r="E1982" t="s">
        <v>133</v>
      </c>
      <c r="F1982">
        <v>1.5</v>
      </c>
    </row>
    <row r="1983" spans="1:7" x14ac:dyDescent="0.55000000000000004">
      <c r="A1983">
        <v>117</v>
      </c>
      <c r="B1983" t="str">
        <f t="shared" si="33"/>
        <v>117_1</v>
      </c>
      <c r="C1983" t="s">
        <v>126</v>
      </c>
      <c r="D1983" t="s">
        <v>135</v>
      </c>
      <c r="E1983" t="s">
        <v>136</v>
      </c>
      <c r="F1983">
        <f>F1982/10</f>
        <v>0.15</v>
      </c>
      <c r="G1983" t="s">
        <v>137</v>
      </c>
    </row>
    <row r="1984" spans="1:7" x14ac:dyDescent="0.55000000000000004">
      <c r="A1984">
        <v>117</v>
      </c>
      <c r="B1984" t="str">
        <f t="shared" si="33"/>
        <v>117_1</v>
      </c>
      <c r="C1984" t="s">
        <v>126</v>
      </c>
      <c r="D1984" s="2" t="s">
        <v>138</v>
      </c>
      <c r="E1984" t="s">
        <v>139</v>
      </c>
      <c r="F1984">
        <v>100</v>
      </c>
    </row>
    <row r="1985" spans="1:6" x14ac:dyDescent="0.55000000000000004">
      <c r="A1985">
        <v>117</v>
      </c>
      <c r="B1985" t="str">
        <f t="shared" si="33"/>
        <v>117_1</v>
      </c>
      <c r="C1985" t="s">
        <v>126</v>
      </c>
      <c r="D1985" s="2" t="s">
        <v>140</v>
      </c>
      <c r="F1985" t="s">
        <v>172</v>
      </c>
    </row>
    <row r="1986" spans="1:6" x14ac:dyDescent="0.55000000000000004">
      <c r="A1986">
        <v>117</v>
      </c>
      <c r="B1986" t="str">
        <f t="shared" si="33"/>
        <v>117_1</v>
      </c>
      <c r="C1986" t="s">
        <v>126</v>
      </c>
      <c r="D1986" s="2" t="s">
        <v>141</v>
      </c>
      <c r="E1986" t="s">
        <v>139</v>
      </c>
      <c r="F1986">
        <v>100</v>
      </c>
    </row>
    <row r="1987" spans="1:6" x14ac:dyDescent="0.55000000000000004">
      <c r="A1987">
        <v>117</v>
      </c>
      <c r="B1987" t="str">
        <f t="shared" si="33"/>
        <v>117_1</v>
      </c>
      <c r="C1987" t="s">
        <v>126</v>
      </c>
      <c r="D1987" t="s">
        <v>142</v>
      </c>
      <c r="E1987" t="s">
        <v>139</v>
      </c>
      <c r="F1987">
        <v>0</v>
      </c>
    </row>
    <row r="1988" spans="1:6" x14ac:dyDescent="0.55000000000000004">
      <c r="A1988">
        <v>117</v>
      </c>
      <c r="B1988" t="str">
        <f t="shared" si="33"/>
        <v>117_1</v>
      </c>
      <c r="C1988" t="s">
        <v>126</v>
      </c>
      <c r="D1988" t="s">
        <v>143</v>
      </c>
      <c r="E1988" t="s">
        <v>131</v>
      </c>
      <c r="F1988">
        <v>0</v>
      </c>
    </row>
    <row r="1989" spans="1:6" x14ac:dyDescent="0.55000000000000004">
      <c r="A1989">
        <v>117</v>
      </c>
      <c r="B1989" t="str">
        <f t="shared" si="33"/>
        <v>117_1</v>
      </c>
      <c r="C1989" t="s">
        <v>126</v>
      </c>
      <c r="D1989" t="s">
        <v>144</v>
      </c>
      <c r="E1989" t="s">
        <v>139</v>
      </c>
      <c r="F1989">
        <v>0</v>
      </c>
    </row>
    <row r="1990" spans="1:6" x14ac:dyDescent="0.55000000000000004">
      <c r="A1990">
        <v>117</v>
      </c>
      <c r="B1990" t="str">
        <f t="shared" si="33"/>
        <v>117_1</v>
      </c>
      <c r="C1990" t="s">
        <v>126</v>
      </c>
      <c r="D1990" t="s">
        <v>145</v>
      </c>
      <c r="E1990" t="s">
        <v>139</v>
      </c>
      <c r="F1990">
        <v>80</v>
      </c>
    </row>
    <row r="1991" spans="1:6" x14ac:dyDescent="0.55000000000000004">
      <c r="A1991">
        <v>117</v>
      </c>
      <c r="B1991" t="str">
        <f t="shared" si="33"/>
        <v>117_1</v>
      </c>
      <c r="C1991" t="s">
        <v>126</v>
      </c>
      <c r="D1991" t="s">
        <v>146</v>
      </c>
      <c r="E1991" t="s">
        <v>139</v>
      </c>
      <c r="F1991">
        <v>0</v>
      </c>
    </row>
    <row r="1992" spans="1:6" x14ac:dyDescent="0.55000000000000004">
      <c r="A1992">
        <v>117</v>
      </c>
      <c r="B1992" t="str">
        <f t="shared" si="33"/>
        <v>117_1</v>
      </c>
      <c r="C1992" t="s">
        <v>126</v>
      </c>
      <c r="D1992" t="s">
        <v>147</v>
      </c>
      <c r="E1992" t="s">
        <v>139</v>
      </c>
      <c r="F1992">
        <v>0</v>
      </c>
    </row>
    <row r="1993" spans="1:6" x14ac:dyDescent="0.55000000000000004">
      <c r="A1993">
        <v>117</v>
      </c>
      <c r="B1993" t="str">
        <f t="shared" si="33"/>
        <v>117_1</v>
      </c>
      <c r="C1993" t="s">
        <v>126</v>
      </c>
      <c r="D1993" t="s">
        <v>148</v>
      </c>
      <c r="E1993" t="s">
        <v>139</v>
      </c>
      <c r="F1993">
        <v>20</v>
      </c>
    </row>
    <row r="1994" spans="1:6" x14ac:dyDescent="0.55000000000000004">
      <c r="A1994">
        <v>117</v>
      </c>
      <c r="B1994" t="str">
        <f t="shared" si="33"/>
        <v>117_1</v>
      </c>
      <c r="C1994" t="s">
        <v>126</v>
      </c>
      <c r="D1994" t="s">
        <v>149</v>
      </c>
      <c r="E1994" t="s">
        <v>139</v>
      </c>
      <c r="F1994">
        <v>0</v>
      </c>
    </row>
    <row r="1995" spans="1:6" x14ac:dyDescent="0.55000000000000004">
      <c r="A1995">
        <v>117</v>
      </c>
      <c r="B1995" t="str">
        <f t="shared" si="33"/>
        <v>117_1</v>
      </c>
      <c r="C1995" t="s">
        <v>126</v>
      </c>
      <c r="D1995" t="s">
        <v>150</v>
      </c>
      <c r="E1995" t="s">
        <v>139</v>
      </c>
      <c r="F1995">
        <v>0</v>
      </c>
    </row>
    <row r="1996" spans="1:6" x14ac:dyDescent="0.55000000000000004">
      <c r="A1996">
        <v>117</v>
      </c>
      <c r="B1996" t="str">
        <f t="shared" si="33"/>
        <v>117_1</v>
      </c>
      <c r="C1996" t="s">
        <v>126</v>
      </c>
      <c r="D1996" t="s">
        <v>151</v>
      </c>
      <c r="E1996" t="s">
        <v>139</v>
      </c>
      <c r="F1996">
        <v>0</v>
      </c>
    </row>
    <row r="1997" spans="1:6" x14ac:dyDescent="0.55000000000000004">
      <c r="A1997">
        <v>117</v>
      </c>
      <c r="B1997" t="str">
        <f t="shared" si="33"/>
        <v>117_1</v>
      </c>
      <c r="C1997" t="s">
        <v>126</v>
      </c>
      <c r="D1997" t="s">
        <v>152</v>
      </c>
      <c r="E1997" t="s">
        <v>153</v>
      </c>
    </row>
    <row r="1998" spans="1:6" x14ac:dyDescent="0.55000000000000004">
      <c r="A1998">
        <v>117</v>
      </c>
      <c r="B1998" t="str">
        <f t="shared" si="33"/>
        <v>117_1</v>
      </c>
      <c r="C1998" t="s">
        <v>154</v>
      </c>
      <c r="D1998" t="s">
        <v>155</v>
      </c>
      <c r="E1998" t="s">
        <v>156</v>
      </c>
      <c r="F1998">
        <v>20.8</v>
      </c>
    </row>
    <row r="1999" spans="1:6" x14ac:dyDescent="0.55000000000000004">
      <c r="A1999">
        <v>117</v>
      </c>
      <c r="B1999" t="str">
        <f t="shared" si="33"/>
        <v>117_1</v>
      </c>
      <c r="C1999" t="s">
        <v>154</v>
      </c>
      <c r="D1999" t="s">
        <v>157</v>
      </c>
      <c r="E1999" t="s">
        <v>158</v>
      </c>
      <c r="F1999">
        <v>8.86</v>
      </c>
    </row>
    <row r="2000" spans="1:6" x14ac:dyDescent="0.55000000000000004">
      <c r="A2000">
        <v>117</v>
      </c>
      <c r="B2000" t="str">
        <f t="shared" si="33"/>
        <v>117_1</v>
      </c>
      <c r="C2000" t="s">
        <v>154</v>
      </c>
      <c r="D2000" t="s">
        <v>159</v>
      </c>
      <c r="E2000" t="s">
        <v>139</v>
      </c>
      <c r="F2000">
        <v>99.1</v>
      </c>
    </row>
    <row r="2001" spans="1:7" x14ac:dyDescent="0.55000000000000004">
      <c r="A2001">
        <v>117</v>
      </c>
      <c r="B2001" t="str">
        <f t="shared" si="33"/>
        <v>117_1</v>
      </c>
      <c r="C2001" t="s">
        <v>154</v>
      </c>
      <c r="D2001" t="s">
        <v>160</v>
      </c>
      <c r="E2001" t="s">
        <v>161</v>
      </c>
      <c r="F2001">
        <v>70.2</v>
      </c>
    </row>
    <row r="2002" spans="1:7" x14ac:dyDescent="0.55000000000000004">
      <c r="A2002">
        <v>117</v>
      </c>
      <c r="B2002" t="str">
        <f t="shared" si="33"/>
        <v>117_1</v>
      </c>
      <c r="C2002" t="s">
        <v>154</v>
      </c>
      <c r="D2002" t="s">
        <v>162</v>
      </c>
      <c r="F2002">
        <v>8.5399999999999991</v>
      </c>
    </row>
    <row r="2003" spans="1:7" x14ac:dyDescent="0.55000000000000004">
      <c r="A2003">
        <v>117</v>
      </c>
      <c r="B2003" t="str">
        <f t="shared" si="33"/>
        <v>117_1</v>
      </c>
      <c r="C2003" t="s">
        <v>163</v>
      </c>
      <c r="D2003" t="s">
        <v>164</v>
      </c>
      <c r="E2003" t="s">
        <v>139</v>
      </c>
      <c r="F2003">
        <v>0</v>
      </c>
    </row>
    <row r="2004" spans="1:7" x14ac:dyDescent="0.55000000000000004">
      <c r="A2004">
        <v>117</v>
      </c>
      <c r="B2004" t="str">
        <f t="shared" si="33"/>
        <v>117_1</v>
      </c>
      <c r="C2004" t="s">
        <v>163</v>
      </c>
      <c r="D2004" t="s">
        <v>165</v>
      </c>
    </row>
    <row r="2005" spans="1:7" x14ac:dyDescent="0.55000000000000004">
      <c r="A2005">
        <v>117</v>
      </c>
      <c r="B2005" t="str">
        <f t="shared" si="33"/>
        <v>117_1</v>
      </c>
      <c r="C2005" t="s">
        <v>163</v>
      </c>
      <c r="D2005" t="s">
        <v>166</v>
      </c>
      <c r="E2005" t="s">
        <v>139</v>
      </c>
      <c r="F2005">
        <v>0</v>
      </c>
    </row>
    <row r="2006" spans="1:7" x14ac:dyDescent="0.55000000000000004">
      <c r="A2006">
        <v>117</v>
      </c>
      <c r="B2006" t="str">
        <f t="shared" si="33"/>
        <v>117_1</v>
      </c>
      <c r="C2006" t="s">
        <v>163</v>
      </c>
      <c r="D2006" t="s">
        <v>167</v>
      </c>
    </row>
    <row r="2007" spans="1:7" x14ac:dyDescent="0.55000000000000004">
      <c r="A2007">
        <v>117</v>
      </c>
      <c r="B2007" t="str">
        <f t="shared" si="33"/>
        <v>117_1</v>
      </c>
      <c r="C2007" t="s">
        <v>163</v>
      </c>
      <c r="D2007" t="s">
        <v>168</v>
      </c>
      <c r="E2007" t="s">
        <v>131</v>
      </c>
      <c r="F2007">
        <v>0</v>
      </c>
    </row>
    <row r="2008" spans="1:7" x14ac:dyDescent="0.55000000000000004">
      <c r="A2008">
        <v>117</v>
      </c>
      <c r="B2008" t="str">
        <f t="shared" si="33"/>
        <v>117_1</v>
      </c>
      <c r="C2008" t="s">
        <v>163</v>
      </c>
      <c r="D2008" t="s">
        <v>169</v>
      </c>
    </row>
    <row r="2009" spans="1:7" x14ac:dyDescent="0.55000000000000004">
      <c r="A2009">
        <v>117</v>
      </c>
      <c r="B2009" t="str">
        <f t="shared" si="33"/>
        <v>117_1</v>
      </c>
      <c r="C2009" t="s">
        <v>163</v>
      </c>
      <c r="D2009" t="s">
        <v>170</v>
      </c>
      <c r="E2009" t="s">
        <v>139</v>
      </c>
      <c r="F2009">
        <v>20</v>
      </c>
    </row>
    <row r="2010" spans="1:7" x14ac:dyDescent="0.55000000000000004">
      <c r="A2010">
        <v>117</v>
      </c>
      <c r="B2010" t="str">
        <f t="shared" si="33"/>
        <v>117_1</v>
      </c>
      <c r="C2010" t="s">
        <v>163</v>
      </c>
      <c r="D2010" t="s">
        <v>171</v>
      </c>
    </row>
    <row r="2011" spans="1:7" x14ac:dyDescent="0.55000000000000004">
      <c r="A2011">
        <v>118</v>
      </c>
      <c r="B2011" t="str">
        <f t="shared" si="31"/>
        <v>118_0</v>
      </c>
      <c r="C2011" t="s">
        <v>126</v>
      </c>
      <c r="D2011" t="s">
        <v>127</v>
      </c>
      <c r="E2011" t="s">
        <v>128</v>
      </c>
    </row>
    <row r="2012" spans="1:7" x14ac:dyDescent="0.55000000000000004">
      <c r="A2012">
        <v>118</v>
      </c>
      <c r="B2012" t="str">
        <f t="shared" si="31"/>
        <v>118_0</v>
      </c>
      <c r="C2012" t="s">
        <v>126</v>
      </c>
      <c r="D2012" s="11" t="s">
        <v>130</v>
      </c>
      <c r="E2012" t="s">
        <v>131</v>
      </c>
      <c r="F2012">
        <v>1</v>
      </c>
    </row>
    <row r="2013" spans="1:7" x14ac:dyDescent="0.55000000000000004">
      <c r="A2013">
        <v>118</v>
      </c>
      <c r="B2013" t="str">
        <f t="shared" si="31"/>
        <v>118_0</v>
      </c>
      <c r="C2013" t="s">
        <v>126</v>
      </c>
      <c r="D2013" t="s">
        <v>132</v>
      </c>
      <c r="E2013" t="s">
        <v>133</v>
      </c>
      <c r="F2013">
        <v>7.4</v>
      </c>
      <c r="G2013" t="s">
        <v>175</v>
      </c>
    </row>
    <row r="2014" spans="1:7" x14ac:dyDescent="0.55000000000000004">
      <c r="A2014">
        <v>118</v>
      </c>
      <c r="B2014" t="str">
        <f t="shared" si="31"/>
        <v>118_0</v>
      </c>
      <c r="C2014" t="s">
        <v>126</v>
      </c>
      <c r="D2014" t="s">
        <v>134</v>
      </c>
      <c r="E2014" t="s">
        <v>133</v>
      </c>
      <c r="F2014">
        <v>0.9</v>
      </c>
    </row>
    <row r="2015" spans="1:7" x14ac:dyDescent="0.55000000000000004">
      <c r="A2015">
        <v>118</v>
      </c>
      <c r="B2015" t="str">
        <f t="shared" si="31"/>
        <v>118_0</v>
      </c>
      <c r="C2015" t="s">
        <v>126</v>
      </c>
      <c r="D2015" t="s">
        <v>135</v>
      </c>
      <c r="E2015" t="s">
        <v>136</v>
      </c>
      <c r="F2015">
        <f>F2014/10</f>
        <v>0.09</v>
      </c>
    </row>
    <row r="2016" spans="1:7" x14ac:dyDescent="0.55000000000000004">
      <c r="A2016">
        <v>118</v>
      </c>
      <c r="B2016" t="str">
        <f t="shared" si="31"/>
        <v>118_0</v>
      </c>
      <c r="C2016" t="s">
        <v>126</v>
      </c>
      <c r="D2016" s="2" t="s">
        <v>138</v>
      </c>
      <c r="E2016" t="s">
        <v>139</v>
      </c>
      <c r="F2016">
        <v>0</v>
      </c>
    </row>
    <row r="2017" spans="1:7" x14ac:dyDescent="0.55000000000000004">
      <c r="A2017">
        <v>118</v>
      </c>
      <c r="B2017" t="str">
        <f t="shared" si="31"/>
        <v>118_0</v>
      </c>
      <c r="C2017" t="s">
        <v>126</v>
      </c>
      <c r="D2017" s="2" t="s">
        <v>140</v>
      </c>
    </row>
    <row r="2018" spans="1:7" x14ac:dyDescent="0.55000000000000004">
      <c r="A2018">
        <v>118</v>
      </c>
      <c r="B2018" t="str">
        <f t="shared" si="31"/>
        <v>118_0</v>
      </c>
      <c r="C2018" t="s">
        <v>126</v>
      </c>
      <c r="D2018" s="2" t="s">
        <v>141</v>
      </c>
      <c r="E2018" t="s">
        <v>139</v>
      </c>
      <c r="F2018">
        <v>0</v>
      </c>
    </row>
    <row r="2019" spans="1:7" x14ac:dyDescent="0.55000000000000004">
      <c r="A2019">
        <v>118</v>
      </c>
      <c r="B2019" t="str">
        <f t="shared" si="31"/>
        <v>118_0</v>
      </c>
      <c r="C2019" t="s">
        <v>126</v>
      </c>
      <c r="D2019" t="s">
        <v>142</v>
      </c>
      <c r="E2019" t="s">
        <v>139</v>
      </c>
      <c r="F2019">
        <v>0</v>
      </c>
    </row>
    <row r="2020" spans="1:7" x14ac:dyDescent="0.55000000000000004">
      <c r="A2020">
        <v>118</v>
      </c>
      <c r="B2020" t="str">
        <f t="shared" si="31"/>
        <v>118_0</v>
      </c>
      <c r="C2020" t="s">
        <v>126</v>
      </c>
      <c r="D2020" t="s">
        <v>143</v>
      </c>
      <c r="E2020" t="s">
        <v>131</v>
      </c>
      <c r="F2020">
        <v>1</v>
      </c>
      <c r="G2020" t="s">
        <v>199</v>
      </c>
    </row>
    <row r="2021" spans="1:7" x14ac:dyDescent="0.55000000000000004">
      <c r="A2021">
        <v>118</v>
      </c>
      <c r="B2021" t="str">
        <f t="shared" si="31"/>
        <v>118_0</v>
      </c>
      <c r="C2021" t="s">
        <v>126</v>
      </c>
      <c r="D2021" t="s">
        <v>144</v>
      </c>
      <c r="E2021" t="s">
        <v>139</v>
      </c>
      <c r="F2021">
        <v>0</v>
      </c>
    </row>
    <row r="2022" spans="1:7" x14ac:dyDescent="0.55000000000000004">
      <c r="A2022">
        <v>118</v>
      </c>
      <c r="B2022" t="str">
        <f t="shared" si="31"/>
        <v>118_0</v>
      </c>
      <c r="C2022" t="s">
        <v>126</v>
      </c>
      <c r="D2022" t="s">
        <v>145</v>
      </c>
      <c r="E2022" t="s">
        <v>139</v>
      </c>
      <c r="F2022">
        <v>5</v>
      </c>
    </row>
    <row r="2023" spans="1:7" x14ac:dyDescent="0.55000000000000004">
      <c r="A2023">
        <v>118</v>
      </c>
      <c r="B2023" t="str">
        <f t="shared" si="31"/>
        <v>118_0</v>
      </c>
      <c r="C2023" t="s">
        <v>126</v>
      </c>
      <c r="D2023" t="s">
        <v>146</v>
      </c>
      <c r="E2023" t="s">
        <v>139</v>
      </c>
      <c r="F2023">
        <v>0</v>
      </c>
    </row>
    <row r="2024" spans="1:7" x14ac:dyDescent="0.55000000000000004">
      <c r="A2024">
        <v>118</v>
      </c>
      <c r="B2024" t="str">
        <f t="shared" si="31"/>
        <v>118_0</v>
      </c>
      <c r="C2024" t="s">
        <v>126</v>
      </c>
      <c r="D2024" t="s">
        <v>147</v>
      </c>
      <c r="E2024" t="s">
        <v>139</v>
      </c>
      <c r="F2024">
        <v>0</v>
      </c>
    </row>
    <row r="2025" spans="1:7" x14ac:dyDescent="0.55000000000000004">
      <c r="A2025">
        <v>118</v>
      </c>
      <c r="B2025" t="str">
        <f t="shared" ref="B2025:B2128" si="34">A2025 &amp; "_0"</f>
        <v>118_0</v>
      </c>
      <c r="C2025" t="s">
        <v>126</v>
      </c>
      <c r="D2025" t="s">
        <v>148</v>
      </c>
      <c r="E2025" t="s">
        <v>139</v>
      </c>
      <c r="F2025">
        <v>20</v>
      </c>
    </row>
    <row r="2026" spans="1:7" x14ac:dyDescent="0.55000000000000004">
      <c r="A2026">
        <v>118</v>
      </c>
      <c r="B2026" t="str">
        <f t="shared" si="34"/>
        <v>118_0</v>
      </c>
      <c r="C2026" t="s">
        <v>126</v>
      </c>
      <c r="D2026" t="s">
        <v>149</v>
      </c>
      <c r="E2026" t="s">
        <v>139</v>
      </c>
      <c r="F2026">
        <v>0</v>
      </c>
    </row>
    <row r="2027" spans="1:7" x14ac:dyDescent="0.55000000000000004">
      <c r="A2027">
        <v>118</v>
      </c>
      <c r="B2027" t="str">
        <f t="shared" si="34"/>
        <v>118_0</v>
      </c>
      <c r="C2027" t="s">
        <v>126</v>
      </c>
      <c r="D2027" t="s">
        <v>150</v>
      </c>
      <c r="E2027" t="s">
        <v>139</v>
      </c>
      <c r="F2027">
        <v>0</v>
      </c>
    </row>
    <row r="2028" spans="1:7" x14ac:dyDescent="0.55000000000000004">
      <c r="A2028">
        <v>118</v>
      </c>
      <c r="B2028" t="str">
        <f t="shared" si="34"/>
        <v>118_0</v>
      </c>
      <c r="C2028" t="s">
        <v>126</v>
      </c>
      <c r="D2028" t="s">
        <v>151</v>
      </c>
      <c r="E2028" t="s">
        <v>139</v>
      </c>
      <c r="F2028">
        <v>75</v>
      </c>
    </row>
    <row r="2029" spans="1:7" x14ac:dyDescent="0.55000000000000004">
      <c r="A2029">
        <v>118</v>
      </c>
      <c r="B2029" t="str">
        <f t="shared" si="34"/>
        <v>118_0</v>
      </c>
      <c r="C2029" t="s">
        <v>126</v>
      </c>
      <c r="D2029" t="s">
        <v>152</v>
      </c>
      <c r="E2029" t="s">
        <v>153</v>
      </c>
    </row>
    <row r="2030" spans="1:7" x14ac:dyDescent="0.55000000000000004">
      <c r="A2030">
        <v>118</v>
      </c>
      <c r="B2030" t="str">
        <f t="shared" si="34"/>
        <v>118_0</v>
      </c>
      <c r="C2030" t="s">
        <v>154</v>
      </c>
      <c r="D2030" t="s">
        <v>155</v>
      </c>
      <c r="E2030" t="s">
        <v>156</v>
      </c>
      <c r="F2030">
        <v>16</v>
      </c>
    </row>
    <row r="2031" spans="1:7" x14ac:dyDescent="0.55000000000000004">
      <c r="A2031">
        <v>118</v>
      </c>
      <c r="B2031" t="str">
        <f t="shared" si="34"/>
        <v>118_0</v>
      </c>
      <c r="C2031" t="s">
        <v>154</v>
      </c>
      <c r="D2031" t="s">
        <v>157</v>
      </c>
      <c r="E2031" t="s">
        <v>158</v>
      </c>
      <c r="F2031">
        <v>9.74</v>
      </c>
    </row>
    <row r="2032" spans="1:7" x14ac:dyDescent="0.55000000000000004">
      <c r="A2032">
        <v>118</v>
      </c>
      <c r="B2032" t="str">
        <f t="shared" si="34"/>
        <v>118_0</v>
      </c>
      <c r="C2032" t="s">
        <v>154</v>
      </c>
      <c r="D2032" t="s">
        <v>159</v>
      </c>
      <c r="E2032" t="s">
        <v>139</v>
      </c>
      <c r="F2032">
        <v>98.6</v>
      </c>
    </row>
    <row r="2033" spans="1:6" x14ac:dyDescent="0.55000000000000004">
      <c r="A2033">
        <v>118</v>
      </c>
      <c r="B2033" t="str">
        <f t="shared" si="34"/>
        <v>118_0</v>
      </c>
      <c r="C2033" t="s">
        <v>154</v>
      </c>
      <c r="D2033" t="s">
        <v>160</v>
      </c>
      <c r="E2033" t="s">
        <v>161</v>
      </c>
      <c r="F2033">
        <v>62.3</v>
      </c>
    </row>
    <row r="2034" spans="1:6" x14ac:dyDescent="0.55000000000000004">
      <c r="A2034">
        <v>118</v>
      </c>
      <c r="B2034" t="str">
        <f t="shared" si="34"/>
        <v>118_0</v>
      </c>
      <c r="C2034" t="s">
        <v>154</v>
      </c>
      <c r="D2034" t="s">
        <v>162</v>
      </c>
      <c r="F2034">
        <v>8.19</v>
      </c>
    </row>
    <row r="2035" spans="1:6" x14ac:dyDescent="0.55000000000000004">
      <c r="A2035">
        <v>118</v>
      </c>
      <c r="B2035" t="str">
        <f t="shared" si="34"/>
        <v>118_0</v>
      </c>
      <c r="C2035" t="s">
        <v>163</v>
      </c>
      <c r="D2035" t="s">
        <v>164</v>
      </c>
      <c r="E2035" t="s">
        <v>139</v>
      </c>
      <c r="F2035">
        <v>0</v>
      </c>
    </row>
    <row r="2036" spans="1:6" x14ac:dyDescent="0.55000000000000004">
      <c r="A2036">
        <v>118</v>
      </c>
      <c r="B2036" t="str">
        <f t="shared" si="34"/>
        <v>118_0</v>
      </c>
      <c r="C2036" t="s">
        <v>163</v>
      </c>
      <c r="D2036" t="s">
        <v>165</v>
      </c>
    </row>
    <row r="2037" spans="1:6" x14ac:dyDescent="0.55000000000000004">
      <c r="A2037">
        <v>118</v>
      </c>
      <c r="B2037" t="str">
        <f t="shared" si="34"/>
        <v>118_0</v>
      </c>
      <c r="C2037" t="s">
        <v>163</v>
      </c>
      <c r="D2037" t="s">
        <v>166</v>
      </c>
      <c r="E2037" t="s">
        <v>139</v>
      </c>
      <c r="F2037">
        <v>0</v>
      </c>
    </row>
    <row r="2038" spans="1:6" x14ac:dyDescent="0.55000000000000004">
      <c r="A2038">
        <v>118</v>
      </c>
      <c r="B2038" t="str">
        <f t="shared" si="34"/>
        <v>118_0</v>
      </c>
      <c r="C2038" t="s">
        <v>163</v>
      </c>
      <c r="D2038" t="s">
        <v>167</v>
      </c>
    </row>
    <row r="2039" spans="1:6" x14ac:dyDescent="0.55000000000000004">
      <c r="A2039">
        <v>118</v>
      </c>
      <c r="B2039" t="str">
        <f t="shared" si="34"/>
        <v>118_0</v>
      </c>
      <c r="C2039" t="s">
        <v>163</v>
      </c>
      <c r="D2039" t="s">
        <v>168</v>
      </c>
      <c r="E2039" t="s">
        <v>131</v>
      </c>
      <c r="F2039">
        <v>0</v>
      </c>
    </row>
    <row r="2040" spans="1:6" x14ac:dyDescent="0.55000000000000004">
      <c r="A2040">
        <v>118</v>
      </c>
      <c r="B2040" t="str">
        <f t="shared" si="34"/>
        <v>118_0</v>
      </c>
      <c r="C2040" t="s">
        <v>163</v>
      </c>
      <c r="D2040" t="s">
        <v>169</v>
      </c>
    </row>
    <row r="2041" spans="1:6" x14ac:dyDescent="0.55000000000000004">
      <c r="A2041">
        <v>118</v>
      </c>
      <c r="B2041" t="str">
        <f t="shared" si="34"/>
        <v>118_0</v>
      </c>
      <c r="C2041" t="s">
        <v>163</v>
      </c>
      <c r="D2041" t="s">
        <v>170</v>
      </c>
      <c r="E2041" t="s">
        <v>139</v>
      </c>
      <c r="F2041">
        <v>0</v>
      </c>
    </row>
    <row r="2042" spans="1:6" x14ac:dyDescent="0.55000000000000004">
      <c r="A2042">
        <v>118</v>
      </c>
      <c r="B2042" t="str">
        <f t="shared" si="34"/>
        <v>118_0</v>
      </c>
      <c r="C2042" t="s">
        <v>163</v>
      </c>
      <c r="D2042" t="s">
        <v>171</v>
      </c>
    </row>
    <row r="2043" spans="1:6" x14ac:dyDescent="0.55000000000000004">
      <c r="A2043">
        <v>119</v>
      </c>
      <c r="B2043" t="str">
        <f t="shared" si="34"/>
        <v>119_0</v>
      </c>
      <c r="C2043" t="s">
        <v>126</v>
      </c>
      <c r="D2043" t="s">
        <v>127</v>
      </c>
      <c r="E2043" t="s">
        <v>128</v>
      </c>
    </row>
    <row r="2044" spans="1:6" x14ac:dyDescent="0.55000000000000004">
      <c r="A2044">
        <v>119</v>
      </c>
      <c r="B2044" t="str">
        <f t="shared" si="34"/>
        <v>119_0</v>
      </c>
      <c r="C2044" t="s">
        <v>126</v>
      </c>
      <c r="D2044" s="11" t="s">
        <v>130</v>
      </c>
      <c r="E2044" t="s">
        <v>131</v>
      </c>
      <c r="F2044">
        <v>1</v>
      </c>
    </row>
    <row r="2045" spans="1:6" x14ac:dyDescent="0.55000000000000004">
      <c r="A2045">
        <v>119</v>
      </c>
      <c r="B2045" t="str">
        <f t="shared" si="34"/>
        <v>119_0</v>
      </c>
      <c r="C2045" t="s">
        <v>126</v>
      </c>
      <c r="D2045" t="s">
        <v>132</v>
      </c>
      <c r="E2045" t="s">
        <v>133</v>
      </c>
    </row>
    <row r="2046" spans="1:6" x14ac:dyDescent="0.55000000000000004">
      <c r="A2046">
        <v>119</v>
      </c>
      <c r="B2046" t="str">
        <f t="shared" si="34"/>
        <v>119_0</v>
      </c>
      <c r="C2046" t="s">
        <v>126</v>
      </c>
      <c r="D2046" t="s">
        <v>134</v>
      </c>
      <c r="E2046" t="s">
        <v>133</v>
      </c>
      <c r="F2046">
        <v>1.2</v>
      </c>
    </row>
    <row r="2047" spans="1:6" x14ac:dyDescent="0.55000000000000004">
      <c r="A2047">
        <v>119</v>
      </c>
      <c r="B2047" t="str">
        <f t="shared" si="34"/>
        <v>119_0</v>
      </c>
      <c r="C2047" t="s">
        <v>126</v>
      </c>
      <c r="D2047" t="s">
        <v>135</v>
      </c>
      <c r="E2047" t="s">
        <v>136</v>
      </c>
      <c r="F2047">
        <f>F2046/10</f>
        <v>0.12</v>
      </c>
    </row>
    <row r="2048" spans="1:6" x14ac:dyDescent="0.55000000000000004">
      <c r="A2048">
        <v>119</v>
      </c>
      <c r="B2048" t="str">
        <f t="shared" si="34"/>
        <v>119_0</v>
      </c>
      <c r="C2048" t="s">
        <v>126</v>
      </c>
      <c r="D2048" s="2" t="s">
        <v>138</v>
      </c>
      <c r="E2048" t="s">
        <v>139</v>
      </c>
      <c r="F2048">
        <v>100</v>
      </c>
    </row>
    <row r="2049" spans="1:6" x14ac:dyDescent="0.55000000000000004">
      <c r="A2049">
        <v>119</v>
      </c>
      <c r="B2049" t="str">
        <f t="shared" si="34"/>
        <v>119_0</v>
      </c>
      <c r="C2049" t="s">
        <v>126</v>
      </c>
      <c r="D2049" s="2" t="s">
        <v>140</v>
      </c>
    </row>
    <row r="2050" spans="1:6" x14ac:dyDescent="0.55000000000000004">
      <c r="A2050">
        <v>119</v>
      </c>
      <c r="B2050" t="str">
        <f t="shared" si="34"/>
        <v>119_0</v>
      </c>
      <c r="C2050" t="s">
        <v>126</v>
      </c>
      <c r="D2050" s="2" t="s">
        <v>141</v>
      </c>
      <c r="E2050" t="s">
        <v>139</v>
      </c>
      <c r="F2050">
        <v>100</v>
      </c>
    </row>
    <row r="2051" spans="1:6" x14ac:dyDescent="0.55000000000000004">
      <c r="A2051">
        <v>119</v>
      </c>
      <c r="B2051" t="str">
        <f t="shared" si="34"/>
        <v>119_0</v>
      </c>
      <c r="C2051" t="s">
        <v>126</v>
      </c>
      <c r="D2051" t="s">
        <v>142</v>
      </c>
      <c r="E2051" t="s">
        <v>139</v>
      </c>
      <c r="F2051">
        <v>0</v>
      </c>
    </row>
    <row r="2052" spans="1:6" x14ac:dyDescent="0.55000000000000004">
      <c r="A2052">
        <v>119</v>
      </c>
      <c r="B2052" t="str">
        <f t="shared" si="34"/>
        <v>119_0</v>
      </c>
      <c r="C2052" t="s">
        <v>126</v>
      </c>
      <c r="D2052" t="s">
        <v>143</v>
      </c>
      <c r="E2052" t="s">
        <v>131</v>
      </c>
      <c r="F2052">
        <v>0</v>
      </c>
    </row>
    <row r="2053" spans="1:6" x14ac:dyDescent="0.55000000000000004">
      <c r="A2053">
        <v>119</v>
      </c>
      <c r="B2053" t="str">
        <f t="shared" si="34"/>
        <v>119_0</v>
      </c>
      <c r="C2053" t="s">
        <v>126</v>
      </c>
      <c r="D2053" t="s">
        <v>144</v>
      </c>
      <c r="E2053" t="s">
        <v>139</v>
      </c>
      <c r="F2053">
        <v>0</v>
      </c>
    </row>
    <row r="2054" spans="1:6" x14ac:dyDescent="0.55000000000000004">
      <c r="A2054">
        <v>119</v>
      </c>
      <c r="B2054" t="str">
        <f t="shared" si="34"/>
        <v>119_0</v>
      </c>
      <c r="C2054" t="s">
        <v>126</v>
      </c>
      <c r="D2054" t="s">
        <v>145</v>
      </c>
      <c r="E2054" t="s">
        <v>139</v>
      </c>
      <c r="F2054">
        <v>0</v>
      </c>
    </row>
    <row r="2055" spans="1:6" x14ac:dyDescent="0.55000000000000004">
      <c r="A2055">
        <v>119</v>
      </c>
      <c r="B2055" t="str">
        <f t="shared" si="34"/>
        <v>119_0</v>
      </c>
      <c r="C2055" t="s">
        <v>126</v>
      </c>
      <c r="D2055" t="s">
        <v>146</v>
      </c>
      <c r="E2055" t="s">
        <v>139</v>
      </c>
      <c r="F2055">
        <v>0</v>
      </c>
    </row>
    <row r="2056" spans="1:6" x14ac:dyDescent="0.55000000000000004">
      <c r="A2056">
        <v>119</v>
      </c>
      <c r="B2056" t="str">
        <f t="shared" si="34"/>
        <v>119_0</v>
      </c>
      <c r="C2056" t="s">
        <v>126</v>
      </c>
      <c r="D2056" t="s">
        <v>147</v>
      </c>
      <c r="E2056" t="s">
        <v>139</v>
      </c>
      <c r="F2056">
        <v>0</v>
      </c>
    </row>
    <row r="2057" spans="1:6" x14ac:dyDescent="0.55000000000000004">
      <c r="A2057">
        <v>119</v>
      </c>
      <c r="B2057" t="str">
        <f t="shared" si="34"/>
        <v>119_0</v>
      </c>
      <c r="C2057" t="s">
        <v>126</v>
      </c>
      <c r="D2057" t="s">
        <v>148</v>
      </c>
      <c r="E2057" t="s">
        <v>139</v>
      </c>
      <c r="F2057">
        <v>0</v>
      </c>
    </row>
    <row r="2058" spans="1:6" x14ac:dyDescent="0.55000000000000004">
      <c r="A2058">
        <v>119</v>
      </c>
      <c r="B2058" t="str">
        <f t="shared" si="34"/>
        <v>119_0</v>
      </c>
      <c r="C2058" t="s">
        <v>126</v>
      </c>
      <c r="D2058" t="s">
        <v>149</v>
      </c>
      <c r="E2058" t="s">
        <v>139</v>
      </c>
      <c r="F2058">
        <v>0</v>
      </c>
    </row>
    <row r="2059" spans="1:6" x14ac:dyDescent="0.55000000000000004">
      <c r="A2059">
        <v>119</v>
      </c>
      <c r="B2059" t="str">
        <f t="shared" si="34"/>
        <v>119_0</v>
      </c>
      <c r="C2059" t="s">
        <v>126</v>
      </c>
      <c r="D2059" t="s">
        <v>150</v>
      </c>
      <c r="E2059" t="s">
        <v>139</v>
      </c>
      <c r="F2059">
        <v>100</v>
      </c>
    </row>
    <row r="2060" spans="1:6" x14ac:dyDescent="0.55000000000000004">
      <c r="A2060">
        <v>119</v>
      </c>
      <c r="B2060" t="str">
        <f t="shared" si="34"/>
        <v>119_0</v>
      </c>
      <c r="C2060" t="s">
        <v>126</v>
      </c>
      <c r="D2060" t="s">
        <v>151</v>
      </c>
      <c r="E2060" t="s">
        <v>139</v>
      </c>
      <c r="F2060">
        <v>0</v>
      </c>
    </row>
    <row r="2061" spans="1:6" x14ac:dyDescent="0.55000000000000004">
      <c r="A2061">
        <v>119</v>
      </c>
      <c r="B2061" t="str">
        <f t="shared" si="34"/>
        <v>119_0</v>
      </c>
      <c r="C2061" t="s">
        <v>126</v>
      </c>
      <c r="D2061" t="s">
        <v>152</v>
      </c>
      <c r="E2061" t="s">
        <v>153</v>
      </c>
    </row>
    <row r="2062" spans="1:6" x14ac:dyDescent="0.55000000000000004">
      <c r="A2062">
        <v>119</v>
      </c>
      <c r="B2062" t="str">
        <f t="shared" si="34"/>
        <v>119_0</v>
      </c>
      <c r="C2062" t="s">
        <v>154</v>
      </c>
      <c r="D2062" t="s">
        <v>155</v>
      </c>
      <c r="E2062" t="s">
        <v>156</v>
      </c>
      <c r="F2062">
        <v>16.8</v>
      </c>
    </row>
    <row r="2063" spans="1:6" x14ac:dyDescent="0.55000000000000004">
      <c r="A2063">
        <v>119</v>
      </c>
      <c r="B2063" t="str">
        <f t="shared" si="34"/>
        <v>119_0</v>
      </c>
      <c r="C2063" t="s">
        <v>154</v>
      </c>
      <c r="D2063" t="s">
        <v>157</v>
      </c>
      <c r="E2063" t="s">
        <v>158</v>
      </c>
      <c r="F2063">
        <v>9.69</v>
      </c>
    </row>
    <row r="2064" spans="1:6" x14ac:dyDescent="0.55000000000000004">
      <c r="A2064">
        <v>119</v>
      </c>
      <c r="B2064" t="str">
        <f t="shared" si="34"/>
        <v>119_0</v>
      </c>
      <c r="C2064" t="s">
        <v>154</v>
      </c>
      <c r="D2064" t="s">
        <v>159</v>
      </c>
      <c r="E2064" t="s">
        <v>139</v>
      </c>
      <c r="F2064">
        <v>99.7</v>
      </c>
    </row>
    <row r="2065" spans="1:7" x14ac:dyDescent="0.55000000000000004">
      <c r="A2065">
        <v>119</v>
      </c>
      <c r="B2065" t="str">
        <f t="shared" si="34"/>
        <v>119_0</v>
      </c>
      <c r="C2065" t="s">
        <v>154</v>
      </c>
      <c r="D2065" t="s">
        <v>160</v>
      </c>
      <c r="E2065" t="s">
        <v>161</v>
      </c>
      <c r="F2065">
        <v>62.6</v>
      </c>
    </row>
    <row r="2066" spans="1:7" x14ac:dyDescent="0.55000000000000004">
      <c r="A2066">
        <v>119</v>
      </c>
      <c r="B2066" t="str">
        <f t="shared" si="34"/>
        <v>119_0</v>
      </c>
      <c r="C2066" t="s">
        <v>154</v>
      </c>
      <c r="D2066" t="s">
        <v>162</v>
      </c>
      <c r="F2066">
        <v>8.32</v>
      </c>
    </row>
    <row r="2067" spans="1:7" x14ac:dyDescent="0.55000000000000004">
      <c r="A2067">
        <v>119</v>
      </c>
      <c r="B2067" t="str">
        <f t="shared" si="34"/>
        <v>119_0</v>
      </c>
      <c r="C2067" t="s">
        <v>163</v>
      </c>
      <c r="D2067" t="s">
        <v>164</v>
      </c>
      <c r="E2067" t="s">
        <v>139</v>
      </c>
      <c r="F2067">
        <v>50</v>
      </c>
    </row>
    <row r="2068" spans="1:7" x14ac:dyDescent="0.55000000000000004">
      <c r="A2068">
        <v>119</v>
      </c>
      <c r="B2068" t="str">
        <f t="shared" si="34"/>
        <v>119_0</v>
      </c>
      <c r="C2068" t="s">
        <v>163</v>
      </c>
      <c r="D2068" t="s">
        <v>165</v>
      </c>
    </row>
    <row r="2069" spans="1:7" x14ac:dyDescent="0.55000000000000004">
      <c r="A2069">
        <v>119</v>
      </c>
      <c r="B2069" t="str">
        <f t="shared" si="34"/>
        <v>119_0</v>
      </c>
      <c r="C2069" t="s">
        <v>163</v>
      </c>
      <c r="D2069" t="s">
        <v>166</v>
      </c>
      <c r="E2069" t="s">
        <v>139</v>
      </c>
      <c r="F2069">
        <v>20</v>
      </c>
    </row>
    <row r="2070" spans="1:7" x14ac:dyDescent="0.55000000000000004">
      <c r="A2070">
        <v>119</v>
      </c>
      <c r="B2070" t="str">
        <f t="shared" si="34"/>
        <v>119_0</v>
      </c>
      <c r="C2070" t="s">
        <v>163</v>
      </c>
      <c r="D2070" t="s">
        <v>167</v>
      </c>
    </row>
    <row r="2071" spans="1:7" x14ac:dyDescent="0.55000000000000004">
      <c r="A2071">
        <v>119</v>
      </c>
      <c r="B2071" t="str">
        <f t="shared" si="34"/>
        <v>119_0</v>
      </c>
      <c r="C2071" t="s">
        <v>163</v>
      </c>
      <c r="D2071" t="s">
        <v>168</v>
      </c>
      <c r="E2071" t="s">
        <v>131</v>
      </c>
      <c r="F2071">
        <v>1</v>
      </c>
    </row>
    <row r="2072" spans="1:7" x14ac:dyDescent="0.55000000000000004">
      <c r="A2072">
        <v>119</v>
      </c>
      <c r="B2072" t="str">
        <f t="shared" si="34"/>
        <v>119_0</v>
      </c>
      <c r="C2072" t="s">
        <v>163</v>
      </c>
      <c r="D2072" t="s">
        <v>169</v>
      </c>
    </row>
    <row r="2073" spans="1:7" x14ac:dyDescent="0.55000000000000004">
      <c r="A2073">
        <v>119</v>
      </c>
      <c r="B2073" t="str">
        <f t="shared" si="34"/>
        <v>119_0</v>
      </c>
      <c r="C2073" t="s">
        <v>163</v>
      </c>
      <c r="D2073" t="s">
        <v>170</v>
      </c>
      <c r="E2073" t="s">
        <v>139</v>
      </c>
      <c r="F2073">
        <v>15</v>
      </c>
    </row>
    <row r="2074" spans="1:7" x14ac:dyDescent="0.55000000000000004">
      <c r="A2074">
        <v>119</v>
      </c>
      <c r="B2074" t="str">
        <f t="shared" si="34"/>
        <v>119_0</v>
      </c>
      <c r="C2074" t="s">
        <v>163</v>
      </c>
      <c r="D2074" t="s">
        <v>171</v>
      </c>
    </row>
    <row r="2075" spans="1:7" x14ac:dyDescent="0.55000000000000004">
      <c r="A2075">
        <v>119</v>
      </c>
      <c r="B2075" t="str">
        <f>A2075 &amp; "_1"</f>
        <v>119_1</v>
      </c>
      <c r="C2075" t="s">
        <v>126</v>
      </c>
      <c r="D2075" t="s">
        <v>127</v>
      </c>
      <c r="E2075" t="s">
        <v>128</v>
      </c>
      <c r="F2075" s="1"/>
      <c r="G2075" t="s">
        <v>129</v>
      </c>
    </row>
    <row r="2076" spans="1:7" x14ac:dyDescent="0.55000000000000004">
      <c r="A2076">
        <v>119</v>
      </c>
      <c r="B2076" t="str">
        <f t="shared" ref="B2076:B2114" si="35">A2076 &amp; "_1"</f>
        <v>119_1</v>
      </c>
      <c r="C2076" t="s">
        <v>126</v>
      </c>
      <c r="D2076" s="11" t="s">
        <v>130</v>
      </c>
      <c r="E2076" t="s">
        <v>131</v>
      </c>
      <c r="F2076">
        <v>1</v>
      </c>
    </row>
    <row r="2077" spans="1:7" x14ac:dyDescent="0.55000000000000004">
      <c r="A2077">
        <v>119</v>
      </c>
      <c r="B2077" t="str">
        <f t="shared" si="35"/>
        <v>119_1</v>
      </c>
      <c r="C2077" t="s">
        <v>126</v>
      </c>
      <c r="D2077" t="s">
        <v>132</v>
      </c>
      <c r="E2077" t="s">
        <v>133</v>
      </c>
    </row>
    <row r="2078" spans="1:7" x14ac:dyDescent="0.55000000000000004">
      <c r="A2078">
        <v>119</v>
      </c>
      <c r="B2078" t="str">
        <f t="shared" si="35"/>
        <v>119_1</v>
      </c>
      <c r="C2078" t="s">
        <v>126</v>
      </c>
      <c r="D2078" t="s">
        <v>134</v>
      </c>
      <c r="E2078" t="s">
        <v>133</v>
      </c>
      <c r="F2078">
        <v>1.9</v>
      </c>
    </row>
    <row r="2079" spans="1:7" x14ac:dyDescent="0.55000000000000004">
      <c r="A2079">
        <v>119</v>
      </c>
      <c r="B2079" t="str">
        <f t="shared" si="35"/>
        <v>119_1</v>
      </c>
      <c r="C2079" t="s">
        <v>126</v>
      </c>
      <c r="D2079" t="s">
        <v>135</v>
      </c>
      <c r="E2079" t="s">
        <v>136</v>
      </c>
      <c r="F2079">
        <f>F2078/10</f>
        <v>0.19</v>
      </c>
      <c r="G2079" t="s">
        <v>137</v>
      </c>
    </row>
    <row r="2080" spans="1:7" x14ac:dyDescent="0.55000000000000004">
      <c r="A2080">
        <v>119</v>
      </c>
      <c r="B2080" t="str">
        <f t="shared" si="35"/>
        <v>119_1</v>
      </c>
      <c r="C2080" t="s">
        <v>126</v>
      </c>
      <c r="D2080" s="2" t="s">
        <v>138</v>
      </c>
      <c r="E2080" t="s">
        <v>139</v>
      </c>
      <c r="F2080">
        <v>100</v>
      </c>
    </row>
    <row r="2081" spans="1:6" x14ac:dyDescent="0.55000000000000004">
      <c r="A2081">
        <v>119</v>
      </c>
      <c r="B2081" t="str">
        <f t="shared" si="35"/>
        <v>119_1</v>
      </c>
      <c r="C2081" t="s">
        <v>126</v>
      </c>
      <c r="D2081" s="2" t="s">
        <v>138</v>
      </c>
      <c r="E2081" t="s">
        <v>139</v>
      </c>
      <c r="F2081">
        <v>30</v>
      </c>
    </row>
    <row r="2082" spans="1:6" x14ac:dyDescent="0.55000000000000004">
      <c r="A2082">
        <v>119</v>
      </c>
      <c r="B2082" t="str">
        <f t="shared" si="35"/>
        <v>119_1</v>
      </c>
      <c r="C2082" t="s">
        <v>126</v>
      </c>
      <c r="D2082" s="2" t="s">
        <v>140</v>
      </c>
      <c r="F2082" t="s">
        <v>297</v>
      </c>
    </row>
    <row r="2083" spans="1:6" x14ac:dyDescent="0.55000000000000004">
      <c r="A2083">
        <v>119</v>
      </c>
      <c r="B2083" t="str">
        <f t="shared" si="35"/>
        <v>119_1</v>
      </c>
      <c r="C2083" t="s">
        <v>126</v>
      </c>
      <c r="D2083" s="2" t="s">
        <v>138</v>
      </c>
      <c r="E2083" t="s">
        <v>139</v>
      </c>
      <c r="F2083">
        <v>40</v>
      </c>
    </row>
    <row r="2084" spans="1:6" x14ac:dyDescent="0.55000000000000004">
      <c r="A2084">
        <v>119</v>
      </c>
      <c r="B2084" t="str">
        <f t="shared" si="35"/>
        <v>119_1</v>
      </c>
      <c r="C2084" t="s">
        <v>126</v>
      </c>
      <c r="D2084" s="2" t="s">
        <v>140</v>
      </c>
      <c r="F2084" t="s">
        <v>181</v>
      </c>
    </row>
    <row r="2085" spans="1:6" x14ac:dyDescent="0.55000000000000004">
      <c r="A2085">
        <v>119</v>
      </c>
      <c r="B2085" t="str">
        <f t="shared" si="35"/>
        <v>119_1</v>
      </c>
      <c r="C2085" t="s">
        <v>126</v>
      </c>
      <c r="D2085" s="2" t="s">
        <v>138</v>
      </c>
      <c r="E2085" t="s">
        <v>139</v>
      </c>
      <c r="F2085">
        <v>30</v>
      </c>
    </row>
    <row r="2086" spans="1:6" x14ac:dyDescent="0.55000000000000004">
      <c r="A2086">
        <v>119</v>
      </c>
      <c r="B2086" t="str">
        <f t="shared" si="35"/>
        <v>119_1</v>
      </c>
      <c r="C2086" t="s">
        <v>126</v>
      </c>
      <c r="D2086" s="2" t="s">
        <v>140</v>
      </c>
      <c r="F2086" t="s">
        <v>182</v>
      </c>
    </row>
    <row r="2087" spans="1:6" x14ac:dyDescent="0.55000000000000004">
      <c r="A2087">
        <v>119</v>
      </c>
      <c r="B2087" t="str">
        <f t="shared" si="35"/>
        <v>119_1</v>
      </c>
      <c r="C2087" t="s">
        <v>126</v>
      </c>
      <c r="D2087" s="2" t="s">
        <v>141</v>
      </c>
      <c r="E2087" t="s">
        <v>139</v>
      </c>
      <c r="F2087">
        <v>100</v>
      </c>
    </row>
    <row r="2088" spans="1:6" x14ac:dyDescent="0.55000000000000004">
      <c r="A2088">
        <v>119</v>
      </c>
      <c r="B2088" t="str">
        <f t="shared" si="35"/>
        <v>119_1</v>
      </c>
      <c r="C2088" t="s">
        <v>126</v>
      </c>
      <c r="D2088" t="s">
        <v>142</v>
      </c>
      <c r="E2088" t="s">
        <v>139</v>
      </c>
      <c r="F2088">
        <v>0</v>
      </c>
    </row>
    <row r="2089" spans="1:6" x14ac:dyDescent="0.55000000000000004">
      <c r="A2089">
        <v>119</v>
      </c>
      <c r="B2089" t="str">
        <f t="shared" si="35"/>
        <v>119_1</v>
      </c>
      <c r="C2089" t="s">
        <v>126</v>
      </c>
      <c r="D2089" t="s">
        <v>143</v>
      </c>
      <c r="E2089" t="s">
        <v>131</v>
      </c>
      <c r="F2089">
        <v>0</v>
      </c>
    </row>
    <row r="2090" spans="1:6" x14ac:dyDescent="0.55000000000000004">
      <c r="A2090">
        <v>119</v>
      </c>
      <c r="B2090" t="str">
        <f t="shared" si="35"/>
        <v>119_1</v>
      </c>
      <c r="C2090" t="s">
        <v>126</v>
      </c>
      <c r="D2090" t="s">
        <v>144</v>
      </c>
      <c r="E2090" t="s">
        <v>139</v>
      </c>
      <c r="F2090">
        <v>0</v>
      </c>
    </row>
    <row r="2091" spans="1:6" x14ac:dyDescent="0.55000000000000004">
      <c r="A2091">
        <v>119</v>
      </c>
      <c r="B2091" t="str">
        <f t="shared" si="35"/>
        <v>119_1</v>
      </c>
      <c r="C2091" t="s">
        <v>126</v>
      </c>
      <c r="D2091" t="s">
        <v>145</v>
      </c>
      <c r="E2091" t="s">
        <v>139</v>
      </c>
      <c r="F2091">
        <v>0</v>
      </c>
    </row>
    <row r="2092" spans="1:6" x14ac:dyDescent="0.55000000000000004">
      <c r="A2092">
        <v>119</v>
      </c>
      <c r="B2092" t="str">
        <f t="shared" si="35"/>
        <v>119_1</v>
      </c>
      <c r="C2092" t="s">
        <v>126</v>
      </c>
      <c r="D2092" t="s">
        <v>146</v>
      </c>
      <c r="E2092" t="s">
        <v>139</v>
      </c>
      <c r="F2092">
        <v>0</v>
      </c>
    </row>
    <row r="2093" spans="1:6" x14ac:dyDescent="0.55000000000000004">
      <c r="A2093">
        <v>119</v>
      </c>
      <c r="B2093" t="str">
        <f t="shared" si="35"/>
        <v>119_1</v>
      </c>
      <c r="C2093" t="s">
        <v>126</v>
      </c>
      <c r="D2093" t="s">
        <v>147</v>
      </c>
      <c r="E2093" t="s">
        <v>139</v>
      </c>
      <c r="F2093">
        <v>0</v>
      </c>
    </row>
    <row r="2094" spans="1:6" x14ac:dyDescent="0.55000000000000004">
      <c r="A2094">
        <v>119</v>
      </c>
      <c r="B2094" t="str">
        <f t="shared" si="35"/>
        <v>119_1</v>
      </c>
      <c r="C2094" t="s">
        <v>126</v>
      </c>
      <c r="D2094" t="s">
        <v>148</v>
      </c>
      <c r="E2094" t="s">
        <v>139</v>
      </c>
      <c r="F2094">
        <v>0</v>
      </c>
    </row>
    <row r="2095" spans="1:6" x14ac:dyDescent="0.55000000000000004">
      <c r="A2095">
        <v>119</v>
      </c>
      <c r="B2095" t="str">
        <f t="shared" si="35"/>
        <v>119_1</v>
      </c>
      <c r="C2095" t="s">
        <v>126</v>
      </c>
      <c r="D2095" t="s">
        <v>149</v>
      </c>
      <c r="E2095" t="s">
        <v>139</v>
      </c>
      <c r="F2095">
        <v>0</v>
      </c>
    </row>
    <row r="2096" spans="1:6" x14ac:dyDescent="0.55000000000000004">
      <c r="A2096">
        <v>119</v>
      </c>
      <c r="B2096" t="str">
        <f t="shared" si="35"/>
        <v>119_1</v>
      </c>
      <c r="C2096" t="s">
        <v>126</v>
      </c>
      <c r="D2096" t="s">
        <v>150</v>
      </c>
      <c r="E2096" t="s">
        <v>139</v>
      </c>
      <c r="F2096">
        <v>100</v>
      </c>
    </row>
    <row r="2097" spans="1:6" x14ac:dyDescent="0.55000000000000004">
      <c r="A2097">
        <v>119</v>
      </c>
      <c r="B2097" t="str">
        <f t="shared" si="35"/>
        <v>119_1</v>
      </c>
      <c r="C2097" t="s">
        <v>126</v>
      </c>
      <c r="D2097" t="s">
        <v>151</v>
      </c>
      <c r="E2097" t="s">
        <v>139</v>
      </c>
      <c r="F2097">
        <v>0</v>
      </c>
    </row>
    <row r="2098" spans="1:6" x14ac:dyDescent="0.55000000000000004">
      <c r="A2098">
        <v>119</v>
      </c>
      <c r="B2098" t="str">
        <f t="shared" si="35"/>
        <v>119_1</v>
      </c>
      <c r="C2098" t="s">
        <v>126</v>
      </c>
      <c r="D2098" t="s">
        <v>152</v>
      </c>
      <c r="E2098" t="s">
        <v>153</v>
      </c>
    </row>
    <row r="2099" spans="1:6" x14ac:dyDescent="0.55000000000000004">
      <c r="A2099">
        <v>119</v>
      </c>
      <c r="B2099" t="str">
        <f t="shared" si="35"/>
        <v>119_1</v>
      </c>
      <c r="C2099" t="s">
        <v>154</v>
      </c>
      <c r="D2099" t="s">
        <v>155</v>
      </c>
      <c r="E2099" t="s">
        <v>156</v>
      </c>
      <c r="F2099">
        <v>21.5</v>
      </c>
    </row>
    <row r="2100" spans="1:6" x14ac:dyDescent="0.55000000000000004">
      <c r="A2100">
        <v>119</v>
      </c>
      <c r="B2100" t="str">
        <f t="shared" si="35"/>
        <v>119_1</v>
      </c>
      <c r="C2100" t="s">
        <v>154</v>
      </c>
      <c r="D2100" t="s">
        <v>157</v>
      </c>
      <c r="E2100" t="s">
        <v>158</v>
      </c>
      <c r="F2100">
        <v>9.34</v>
      </c>
    </row>
    <row r="2101" spans="1:6" x14ac:dyDescent="0.55000000000000004">
      <c r="A2101">
        <v>119</v>
      </c>
      <c r="B2101" t="str">
        <f t="shared" si="35"/>
        <v>119_1</v>
      </c>
      <c r="C2101" t="s">
        <v>154</v>
      </c>
      <c r="D2101" t="s">
        <v>159</v>
      </c>
      <c r="E2101" t="s">
        <v>139</v>
      </c>
      <c r="F2101">
        <v>105.1</v>
      </c>
    </row>
    <row r="2102" spans="1:6" x14ac:dyDescent="0.55000000000000004">
      <c r="A2102">
        <v>119</v>
      </c>
      <c r="B2102" t="str">
        <f t="shared" si="35"/>
        <v>119_1</v>
      </c>
      <c r="C2102" t="s">
        <v>154</v>
      </c>
      <c r="D2102" t="s">
        <v>160</v>
      </c>
      <c r="E2102" t="s">
        <v>161</v>
      </c>
      <c r="F2102">
        <v>70.900000000000006</v>
      </c>
    </row>
    <row r="2103" spans="1:6" x14ac:dyDescent="0.55000000000000004">
      <c r="A2103">
        <v>119</v>
      </c>
      <c r="B2103" t="str">
        <f t="shared" si="35"/>
        <v>119_1</v>
      </c>
      <c r="C2103" t="s">
        <v>154</v>
      </c>
      <c r="D2103" t="s">
        <v>162</v>
      </c>
      <c r="F2103">
        <v>8.51</v>
      </c>
    </row>
    <row r="2104" spans="1:6" x14ac:dyDescent="0.55000000000000004">
      <c r="A2104">
        <v>119</v>
      </c>
      <c r="B2104" t="str">
        <f t="shared" si="35"/>
        <v>119_1</v>
      </c>
      <c r="C2104" t="s">
        <v>163</v>
      </c>
      <c r="D2104" t="s">
        <v>164</v>
      </c>
      <c r="E2104" t="s">
        <v>139</v>
      </c>
      <c r="F2104">
        <v>40</v>
      </c>
    </row>
    <row r="2105" spans="1:6" x14ac:dyDescent="0.55000000000000004">
      <c r="A2105">
        <v>119</v>
      </c>
      <c r="B2105" t="str">
        <f t="shared" si="35"/>
        <v>119_1</v>
      </c>
      <c r="C2105" t="s">
        <v>163</v>
      </c>
      <c r="D2105" t="s">
        <v>164</v>
      </c>
      <c r="E2105" t="s">
        <v>139</v>
      </c>
      <c r="F2105">
        <v>20</v>
      </c>
    </row>
    <row r="2106" spans="1:6" x14ac:dyDescent="0.55000000000000004">
      <c r="A2106">
        <v>119</v>
      </c>
      <c r="B2106" t="str">
        <f t="shared" si="35"/>
        <v>119_1</v>
      </c>
      <c r="C2106" t="s">
        <v>163</v>
      </c>
      <c r="D2106" t="s">
        <v>165</v>
      </c>
      <c r="F2106" t="s">
        <v>181</v>
      </c>
    </row>
    <row r="2107" spans="1:6" x14ac:dyDescent="0.55000000000000004">
      <c r="A2107">
        <v>119</v>
      </c>
      <c r="B2107" t="str">
        <f t="shared" si="35"/>
        <v>119_1</v>
      </c>
      <c r="C2107" t="s">
        <v>163</v>
      </c>
      <c r="D2107" t="s">
        <v>164</v>
      </c>
      <c r="E2107" t="s">
        <v>139</v>
      </c>
      <c r="F2107">
        <v>20</v>
      </c>
    </row>
    <row r="2108" spans="1:6" x14ac:dyDescent="0.55000000000000004">
      <c r="A2108">
        <v>119</v>
      </c>
      <c r="B2108" t="str">
        <f t="shared" si="35"/>
        <v>119_1</v>
      </c>
      <c r="C2108" t="s">
        <v>163</v>
      </c>
      <c r="D2108" t="s">
        <v>165</v>
      </c>
      <c r="F2108" t="s">
        <v>182</v>
      </c>
    </row>
    <row r="2109" spans="1:6" x14ac:dyDescent="0.55000000000000004">
      <c r="A2109">
        <v>119</v>
      </c>
      <c r="B2109" t="str">
        <f t="shared" si="35"/>
        <v>119_1</v>
      </c>
      <c r="C2109" t="s">
        <v>163</v>
      </c>
      <c r="D2109" t="s">
        <v>166</v>
      </c>
      <c r="E2109" t="s">
        <v>139</v>
      </c>
      <c r="F2109">
        <v>0</v>
      </c>
    </row>
    <row r="2110" spans="1:6" x14ac:dyDescent="0.55000000000000004">
      <c r="A2110">
        <v>119</v>
      </c>
      <c r="B2110" t="str">
        <f t="shared" si="35"/>
        <v>119_1</v>
      </c>
      <c r="C2110" t="s">
        <v>163</v>
      </c>
      <c r="D2110" t="s">
        <v>167</v>
      </c>
    </row>
    <row r="2111" spans="1:6" x14ac:dyDescent="0.55000000000000004">
      <c r="A2111">
        <v>119</v>
      </c>
      <c r="B2111" t="str">
        <f t="shared" si="35"/>
        <v>119_1</v>
      </c>
      <c r="C2111" t="s">
        <v>163</v>
      </c>
      <c r="D2111" t="s">
        <v>168</v>
      </c>
      <c r="E2111" t="s">
        <v>131</v>
      </c>
      <c r="F2111">
        <v>1</v>
      </c>
    </row>
    <row r="2112" spans="1:6" x14ac:dyDescent="0.55000000000000004">
      <c r="A2112">
        <v>119</v>
      </c>
      <c r="B2112" t="str">
        <f t="shared" si="35"/>
        <v>119_1</v>
      </c>
      <c r="C2112" t="s">
        <v>163</v>
      </c>
      <c r="D2112" t="s">
        <v>169</v>
      </c>
    </row>
    <row r="2113" spans="1:7" x14ac:dyDescent="0.55000000000000004">
      <c r="A2113">
        <v>119</v>
      </c>
      <c r="B2113" t="str">
        <f t="shared" si="35"/>
        <v>119_1</v>
      </c>
      <c r="C2113" t="s">
        <v>163</v>
      </c>
      <c r="D2113" t="s">
        <v>170</v>
      </c>
      <c r="E2113" t="s">
        <v>139</v>
      </c>
      <c r="F2113">
        <v>2</v>
      </c>
    </row>
    <row r="2114" spans="1:7" x14ac:dyDescent="0.55000000000000004">
      <c r="A2114">
        <v>119</v>
      </c>
      <c r="B2114" t="str">
        <f t="shared" si="35"/>
        <v>119_1</v>
      </c>
      <c r="C2114" t="s">
        <v>163</v>
      </c>
      <c r="D2114" t="s">
        <v>171</v>
      </c>
    </row>
    <row r="2115" spans="1:7" x14ac:dyDescent="0.55000000000000004">
      <c r="A2115">
        <v>120</v>
      </c>
      <c r="B2115" t="str">
        <f t="shared" si="34"/>
        <v>120_0</v>
      </c>
      <c r="C2115" t="s">
        <v>126</v>
      </c>
      <c r="D2115" t="s">
        <v>127</v>
      </c>
      <c r="E2115" t="s">
        <v>128</v>
      </c>
    </row>
    <row r="2116" spans="1:7" x14ac:dyDescent="0.55000000000000004">
      <c r="A2116">
        <v>120</v>
      </c>
      <c r="B2116" t="str">
        <f t="shared" si="34"/>
        <v>120_0</v>
      </c>
      <c r="C2116" t="s">
        <v>126</v>
      </c>
      <c r="D2116" s="11" t="s">
        <v>130</v>
      </c>
      <c r="E2116" t="s">
        <v>131</v>
      </c>
      <c r="F2116">
        <v>1</v>
      </c>
    </row>
    <row r="2117" spans="1:7" x14ac:dyDescent="0.55000000000000004">
      <c r="A2117">
        <v>120</v>
      </c>
      <c r="B2117" t="str">
        <f t="shared" si="34"/>
        <v>120_0</v>
      </c>
      <c r="C2117" t="s">
        <v>126</v>
      </c>
      <c r="D2117" t="s">
        <v>132</v>
      </c>
      <c r="E2117" t="s">
        <v>133</v>
      </c>
      <c r="F2117">
        <v>6.2</v>
      </c>
      <c r="G2117" t="s">
        <v>200</v>
      </c>
    </row>
    <row r="2118" spans="1:7" x14ac:dyDescent="0.55000000000000004">
      <c r="A2118">
        <v>120</v>
      </c>
      <c r="B2118" t="str">
        <f t="shared" si="34"/>
        <v>120_0</v>
      </c>
      <c r="C2118" t="s">
        <v>126</v>
      </c>
      <c r="D2118" t="s">
        <v>134</v>
      </c>
      <c r="E2118" t="s">
        <v>133</v>
      </c>
      <c r="F2118">
        <v>0.6</v>
      </c>
    </row>
    <row r="2119" spans="1:7" x14ac:dyDescent="0.55000000000000004">
      <c r="A2119">
        <v>120</v>
      </c>
      <c r="B2119" t="str">
        <f t="shared" si="34"/>
        <v>120_0</v>
      </c>
      <c r="C2119" t="s">
        <v>126</v>
      </c>
      <c r="D2119" t="s">
        <v>135</v>
      </c>
      <c r="E2119" t="s">
        <v>136</v>
      </c>
      <c r="F2119">
        <f>F2118/10</f>
        <v>0.06</v>
      </c>
    </row>
    <row r="2120" spans="1:7" x14ac:dyDescent="0.55000000000000004">
      <c r="A2120">
        <v>120</v>
      </c>
      <c r="B2120" t="str">
        <f t="shared" si="34"/>
        <v>120_0</v>
      </c>
      <c r="C2120" t="s">
        <v>126</v>
      </c>
      <c r="D2120" s="2" t="s">
        <v>138</v>
      </c>
      <c r="E2120" t="s">
        <v>139</v>
      </c>
      <c r="F2120">
        <v>100</v>
      </c>
    </row>
    <row r="2121" spans="1:7" x14ac:dyDescent="0.55000000000000004">
      <c r="A2121">
        <v>120</v>
      </c>
      <c r="B2121" t="str">
        <f t="shared" si="34"/>
        <v>120_0</v>
      </c>
      <c r="C2121" t="s">
        <v>126</v>
      </c>
      <c r="D2121" s="2" t="s">
        <v>140</v>
      </c>
    </row>
    <row r="2122" spans="1:7" x14ac:dyDescent="0.55000000000000004">
      <c r="A2122">
        <v>120</v>
      </c>
      <c r="B2122" t="str">
        <f t="shared" si="34"/>
        <v>120_0</v>
      </c>
      <c r="C2122" t="s">
        <v>126</v>
      </c>
      <c r="D2122" s="2" t="s">
        <v>141</v>
      </c>
      <c r="E2122" t="s">
        <v>139</v>
      </c>
      <c r="F2122">
        <v>0</v>
      </c>
    </row>
    <row r="2123" spans="1:7" x14ac:dyDescent="0.55000000000000004">
      <c r="A2123">
        <v>120</v>
      </c>
      <c r="B2123" t="str">
        <f t="shared" si="34"/>
        <v>120_0</v>
      </c>
      <c r="C2123" t="s">
        <v>126</v>
      </c>
      <c r="D2123" t="s">
        <v>142</v>
      </c>
      <c r="E2123" t="s">
        <v>139</v>
      </c>
      <c r="F2123">
        <v>0</v>
      </c>
    </row>
    <row r="2124" spans="1:7" x14ac:dyDescent="0.55000000000000004">
      <c r="A2124">
        <v>120</v>
      </c>
      <c r="B2124" t="str">
        <f t="shared" si="34"/>
        <v>120_0</v>
      </c>
      <c r="C2124" t="s">
        <v>126</v>
      </c>
      <c r="D2124" t="s">
        <v>143</v>
      </c>
      <c r="E2124" t="s">
        <v>131</v>
      </c>
      <c r="F2124">
        <v>1</v>
      </c>
      <c r="G2124" t="s">
        <v>201</v>
      </c>
    </row>
    <row r="2125" spans="1:7" x14ac:dyDescent="0.55000000000000004">
      <c r="A2125">
        <v>120</v>
      </c>
      <c r="B2125" t="str">
        <f t="shared" si="34"/>
        <v>120_0</v>
      </c>
      <c r="C2125" t="s">
        <v>126</v>
      </c>
      <c r="D2125" t="s">
        <v>144</v>
      </c>
      <c r="E2125" t="s">
        <v>139</v>
      </c>
      <c r="F2125">
        <v>0</v>
      </c>
    </row>
    <row r="2126" spans="1:7" x14ac:dyDescent="0.55000000000000004">
      <c r="A2126">
        <v>120</v>
      </c>
      <c r="B2126" t="str">
        <f t="shared" si="34"/>
        <v>120_0</v>
      </c>
      <c r="C2126" t="s">
        <v>126</v>
      </c>
      <c r="D2126" t="s">
        <v>145</v>
      </c>
      <c r="E2126" t="s">
        <v>139</v>
      </c>
      <c r="F2126">
        <v>0</v>
      </c>
    </row>
    <row r="2127" spans="1:7" x14ac:dyDescent="0.55000000000000004">
      <c r="A2127">
        <v>120</v>
      </c>
      <c r="B2127" t="str">
        <f t="shared" si="34"/>
        <v>120_0</v>
      </c>
      <c r="C2127" t="s">
        <v>126</v>
      </c>
      <c r="D2127" t="s">
        <v>146</v>
      </c>
      <c r="E2127" t="s">
        <v>139</v>
      </c>
      <c r="F2127">
        <v>0</v>
      </c>
    </row>
    <row r="2128" spans="1:7" x14ac:dyDescent="0.55000000000000004">
      <c r="A2128">
        <v>120</v>
      </c>
      <c r="B2128" t="str">
        <f t="shared" si="34"/>
        <v>120_0</v>
      </c>
      <c r="C2128" t="s">
        <v>126</v>
      </c>
      <c r="D2128" t="s">
        <v>147</v>
      </c>
      <c r="E2128" t="s">
        <v>139</v>
      </c>
      <c r="F2128">
        <v>0</v>
      </c>
    </row>
    <row r="2129" spans="1:7" x14ac:dyDescent="0.55000000000000004">
      <c r="A2129">
        <v>120</v>
      </c>
      <c r="B2129" t="str">
        <f t="shared" ref="B2129:B2146" si="36">A2129 &amp; "_0"</f>
        <v>120_0</v>
      </c>
      <c r="C2129" t="s">
        <v>126</v>
      </c>
      <c r="D2129" t="s">
        <v>148</v>
      </c>
      <c r="E2129" t="s">
        <v>139</v>
      </c>
      <c r="F2129">
        <v>10</v>
      </c>
    </row>
    <row r="2130" spans="1:7" x14ac:dyDescent="0.55000000000000004">
      <c r="A2130">
        <v>120</v>
      </c>
      <c r="B2130" t="str">
        <f t="shared" si="36"/>
        <v>120_0</v>
      </c>
      <c r="C2130" t="s">
        <v>126</v>
      </c>
      <c r="D2130" t="s">
        <v>149</v>
      </c>
      <c r="E2130" t="s">
        <v>139</v>
      </c>
      <c r="F2130">
        <v>0</v>
      </c>
    </row>
    <row r="2131" spans="1:7" x14ac:dyDescent="0.55000000000000004">
      <c r="A2131">
        <v>120</v>
      </c>
      <c r="B2131" t="str">
        <f t="shared" si="36"/>
        <v>120_0</v>
      </c>
      <c r="C2131" t="s">
        <v>126</v>
      </c>
      <c r="D2131" t="s">
        <v>150</v>
      </c>
      <c r="E2131" t="s">
        <v>139</v>
      </c>
      <c r="F2131">
        <v>0</v>
      </c>
    </row>
    <row r="2132" spans="1:7" x14ac:dyDescent="0.55000000000000004">
      <c r="A2132">
        <v>120</v>
      </c>
      <c r="B2132" t="str">
        <f t="shared" si="36"/>
        <v>120_0</v>
      </c>
      <c r="C2132" t="s">
        <v>126</v>
      </c>
      <c r="D2132" t="s">
        <v>151</v>
      </c>
      <c r="E2132" t="s">
        <v>139</v>
      </c>
      <c r="F2132">
        <v>90</v>
      </c>
    </row>
    <row r="2133" spans="1:7" x14ac:dyDescent="0.55000000000000004">
      <c r="A2133">
        <v>120</v>
      </c>
      <c r="B2133" t="str">
        <f t="shared" si="36"/>
        <v>120_0</v>
      </c>
      <c r="C2133" t="s">
        <v>126</v>
      </c>
      <c r="D2133" t="s">
        <v>152</v>
      </c>
      <c r="E2133" t="s">
        <v>153</v>
      </c>
    </row>
    <row r="2134" spans="1:7" x14ac:dyDescent="0.55000000000000004">
      <c r="A2134">
        <v>120</v>
      </c>
      <c r="B2134" t="str">
        <f t="shared" si="36"/>
        <v>120_0</v>
      </c>
      <c r="C2134" t="s">
        <v>154</v>
      </c>
      <c r="D2134" t="s">
        <v>155</v>
      </c>
      <c r="E2134" t="s">
        <v>156</v>
      </c>
      <c r="F2134">
        <v>16</v>
      </c>
    </row>
    <row r="2135" spans="1:7" x14ac:dyDescent="0.55000000000000004">
      <c r="A2135">
        <v>120</v>
      </c>
      <c r="B2135" t="str">
        <f t="shared" si="36"/>
        <v>120_0</v>
      </c>
      <c r="C2135" t="s">
        <v>154</v>
      </c>
      <c r="D2135" t="s">
        <v>157</v>
      </c>
      <c r="E2135" t="s">
        <v>158</v>
      </c>
      <c r="F2135">
        <v>9.48</v>
      </c>
    </row>
    <row r="2136" spans="1:7" x14ac:dyDescent="0.55000000000000004">
      <c r="A2136">
        <v>120</v>
      </c>
      <c r="B2136" t="str">
        <f t="shared" si="36"/>
        <v>120_0</v>
      </c>
      <c r="C2136" t="s">
        <v>154</v>
      </c>
      <c r="D2136" t="s">
        <v>159</v>
      </c>
      <c r="E2136" t="s">
        <v>139</v>
      </c>
      <c r="F2136">
        <v>96</v>
      </c>
    </row>
    <row r="2137" spans="1:7" x14ac:dyDescent="0.55000000000000004">
      <c r="A2137">
        <v>120</v>
      </c>
      <c r="B2137" t="str">
        <f t="shared" si="36"/>
        <v>120_0</v>
      </c>
      <c r="C2137" t="s">
        <v>154</v>
      </c>
      <c r="D2137" t="s">
        <v>160</v>
      </c>
      <c r="E2137" t="s">
        <v>161</v>
      </c>
      <c r="F2137">
        <v>61.8</v>
      </c>
    </row>
    <row r="2138" spans="1:7" x14ac:dyDescent="0.55000000000000004">
      <c r="A2138">
        <v>120</v>
      </c>
      <c r="B2138" t="str">
        <f t="shared" si="36"/>
        <v>120_0</v>
      </c>
      <c r="C2138" t="s">
        <v>154</v>
      </c>
      <c r="D2138" t="s">
        <v>162</v>
      </c>
      <c r="F2138">
        <v>8.2799999999999994</v>
      </c>
    </row>
    <row r="2139" spans="1:7" x14ac:dyDescent="0.55000000000000004">
      <c r="A2139">
        <v>120</v>
      </c>
      <c r="B2139" t="str">
        <f t="shared" si="36"/>
        <v>120_0</v>
      </c>
      <c r="C2139" t="s">
        <v>163</v>
      </c>
      <c r="D2139" t="s">
        <v>164</v>
      </c>
      <c r="E2139" t="s">
        <v>139</v>
      </c>
      <c r="F2139">
        <v>0</v>
      </c>
    </row>
    <row r="2140" spans="1:7" x14ac:dyDescent="0.55000000000000004">
      <c r="A2140">
        <v>120</v>
      </c>
      <c r="B2140" t="str">
        <f t="shared" si="36"/>
        <v>120_0</v>
      </c>
      <c r="C2140" t="s">
        <v>163</v>
      </c>
      <c r="D2140" t="s">
        <v>165</v>
      </c>
    </row>
    <row r="2141" spans="1:7" x14ac:dyDescent="0.55000000000000004">
      <c r="A2141">
        <v>120</v>
      </c>
      <c r="B2141" t="str">
        <f t="shared" si="36"/>
        <v>120_0</v>
      </c>
      <c r="C2141" t="s">
        <v>163</v>
      </c>
      <c r="D2141" t="s">
        <v>166</v>
      </c>
      <c r="E2141" t="s">
        <v>139</v>
      </c>
      <c r="F2141">
        <v>10</v>
      </c>
    </row>
    <row r="2142" spans="1:7" x14ac:dyDescent="0.55000000000000004">
      <c r="A2142">
        <v>120</v>
      </c>
      <c r="B2142" t="str">
        <f t="shared" si="36"/>
        <v>120_0</v>
      </c>
      <c r="C2142" t="s">
        <v>163</v>
      </c>
      <c r="D2142" t="s">
        <v>167</v>
      </c>
    </row>
    <row r="2143" spans="1:7" x14ac:dyDescent="0.55000000000000004">
      <c r="A2143">
        <v>120</v>
      </c>
      <c r="B2143" t="str">
        <f t="shared" si="36"/>
        <v>120_0</v>
      </c>
      <c r="C2143" t="s">
        <v>163</v>
      </c>
      <c r="D2143" t="s">
        <v>168</v>
      </c>
      <c r="E2143" t="s">
        <v>131</v>
      </c>
      <c r="F2143">
        <v>1</v>
      </c>
      <c r="G2143" t="s">
        <v>202</v>
      </c>
    </row>
    <row r="2144" spans="1:7" x14ac:dyDescent="0.55000000000000004">
      <c r="A2144">
        <v>120</v>
      </c>
      <c r="B2144" t="str">
        <f t="shared" si="36"/>
        <v>120_0</v>
      </c>
      <c r="C2144" t="s">
        <v>163</v>
      </c>
      <c r="D2144" t="s">
        <v>169</v>
      </c>
    </row>
    <row r="2145" spans="1:6" x14ac:dyDescent="0.55000000000000004">
      <c r="A2145">
        <v>120</v>
      </c>
      <c r="B2145" t="str">
        <f t="shared" si="36"/>
        <v>120_0</v>
      </c>
      <c r="C2145" t="s">
        <v>163</v>
      </c>
      <c r="D2145" t="s">
        <v>170</v>
      </c>
      <c r="E2145" t="s">
        <v>139</v>
      </c>
      <c r="F2145">
        <v>5</v>
      </c>
    </row>
    <row r="2146" spans="1:6" x14ac:dyDescent="0.55000000000000004">
      <c r="A2146">
        <v>120</v>
      </c>
      <c r="B2146" t="str">
        <f t="shared" si="36"/>
        <v>120_0</v>
      </c>
      <c r="C2146" t="s">
        <v>163</v>
      </c>
      <c r="D2146" t="s">
        <v>171</v>
      </c>
    </row>
    <row r="2149" spans="1:6" x14ac:dyDescent="0.55000000000000004">
      <c r="D2149" s="11"/>
    </row>
    <row r="2154" spans="1:6" x14ac:dyDescent="0.55000000000000004">
      <c r="D2154" s="2"/>
    </row>
    <row r="2155" spans="1:6" x14ac:dyDescent="0.55000000000000004">
      <c r="D2155" s="2"/>
    </row>
    <row r="2175" spans="5:5" x14ac:dyDescent="0.55000000000000004">
      <c r="E2175" s="3"/>
    </row>
    <row r="2176" spans="5:5" x14ac:dyDescent="0.55000000000000004">
      <c r="E2176" s="3"/>
    </row>
    <row r="2177" spans="4:5" x14ac:dyDescent="0.55000000000000004">
      <c r="E2177" s="3"/>
    </row>
    <row r="2181" spans="4:5" x14ac:dyDescent="0.55000000000000004">
      <c r="D2181" s="11"/>
    </row>
    <row r="2186" spans="4:5" x14ac:dyDescent="0.55000000000000004">
      <c r="D2186" s="2"/>
    </row>
    <row r="2187" spans="4:5" x14ac:dyDescent="0.55000000000000004">
      <c r="D2187" s="2"/>
    </row>
    <row r="2207" spans="5:5" x14ac:dyDescent="0.55000000000000004">
      <c r="E2207" s="3"/>
    </row>
    <row r="2208" spans="5:5" x14ac:dyDescent="0.55000000000000004">
      <c r="E2208" s="3"/>
    </row>
    <row r="2209" spans="4:5" x14ac:dyDescent="0.55000000000000004">
      <c r="E2209" s="3"/>
    </row>
    <row r="2213" spans="4:5" x14ac:dyDescent="0.55000000000000004">
      <c r="D2213" s="11"/>
    </row>
    <row r="2218" spans="4:5" x14ac:dyDescent="0.55000000000000004">
      <c r="D2218" s="2"/>
    </row>
    <row r="2219" spans="4:5" x14ac:dyDescent="0.55000000000000004">
      <c r="D2219" s="2"/>
    </row>
    <row r="2239" spans="5:5" x14ac:dyDescent="0.55000000000000004">
      <c r="E2239" s="3"/>
    </row>
    <row r="2240" spans="5:5" x14ac:dyDescent="0.55000000000000004">
      <c r="E2240" s="3"/>
    </row>
    <row r="2241" spans="4:5" x14ac:dyDescent="0.55000000000000004">
      <c r="E2241" s="3"/>
    </row>
    <row r="2245" spans="4:5" x14ac:dyDescent="0.55000000000000004">
      <c r="D2245" s="11"/>
    </row>
    <row r="2250" spans="4:5" x14ac:dyDescent="0.55000000000000004">
      <c r="D2250" s="2"/>
    </row>
    <row r="2251" spans="4:5" x14ac:dyDescent="0.55000000000000004">
      <c r="D2251" s="2"/>
    </row>
    <row r="2271" spans="5:5" x14ac:dyDescent="0.55000000000000004">
      <c r="E2271" s="3"/>
    </row>
    <row r="2272" spans="5:5" x14ac:dyDescent="0.55000000000000004">
      <c r="E2272" s="3"/>
    </row>
    <row r="2273" spans="5:5" x14ac:dyDescent="0.55000000000000004">
      <c r="E2273" s="3"/>
    </row>
  </sheetData>
  <autoFilter ref="A1:G2146" xr:uid="{BE779B6A-0551-4785-B21D-C60C6A31CD5F}"/>
  <phoneticPr fontId="2" type="noConversion"/>
  <pageMargins left="0.7" right="0.7" top="0.75" bottom="0.75" header="0.3" footer="0.3"/>
  <pageSetup paperSize="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0894-5BFF-40AF-9C01-A24CD2E12A06}">
  <dimension ref="A1:AK105"/>
  <sheetViews>
    <sheetView workbookViewId="0">
      <selection activeCell="I38" sqref="I38"/>
    </sheetView>
  </sheetViews>
  <sheetFormatPr defaultRowHeight="14.4" x14ac:dyDescent="0.55000000000000004"/>
  <cols>
    <col min="4" max="4" width="13" bestFit="1" customWidth="1"/>
    <col min="5" max="5" width="14.26171875" bestFit="1" customWidth="1"/>
    <col min="6" max="6" width="16.26171875" bestFit="1" customWidth="1"/>
  </cols>
  <sheetData>
    <row r="1" spans="1:37" s="14" customFormat="1" ht="15" thickTop="1" thickBot="1" x14ac:dyDescent="0.6">
      <c r="A1" s="24" t="s">
        <v>263</v>
      </c>
      <c r="B1" s="42">
        <v>73</v>
      </c>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row>
    <row r="2" spans="1:37" s="12" customFormat="1" ht="15" thickTop="1" thickBot="1" x14ac:dyDescent="0.6">
      <c r="A2" s="15" t="s">
        <v>264</v>
      </c>
      <c r="B2" s="18" t="s">
        <v>265</v>
      </c>
      <c r="C2" s="13" t="s">
        <v>266</v>
      </c>
      <c r="D2" s="13" t="s">
        <v>267</v>
      </c>
      <c r="E2" s="19" t="s">
        <v>268</v>
      </c>
      <c r="F2" s="18" t="s">
        <v>265</v>
      </c>
      <c r="G2" s="13" t="s">
        <v>266</v>
      </c>
      <c r="H2" s="13" t="s">
        <v>267</v>
      </c>
      <c r="I2" s="19" t="s">
        <v>268</v>
      </c>
      <c r="J2" s="18" t="s">
        <v>265</v>
      </c>
      <c r="K2" s="13" t="s">
        <v>266</v>
      </c>
      <c r="L2" s="13" t="s">
        <v>267</v>
      </c>
      <c r="M2" s="19" t="s">
        <v>268</v>
      </c>
      <c r="N2" s="18" t="s">
        <v>265</v>
      </c>
      <c r="O2" s="13" t="s">
        <v>266</v>
      </c>
      <c r="P2" s="13" t="s">
        <v>267</v>
      </c>
      <c r="Q2" s="19" t="s">
        <v>268</v>
      </c>
      <c r="R2" s="18" t="s">
        <v>265</v>
      </c>
      <c r="S2" s="13" t="s">
        <v>266</v>
      </c>
      <c r="T2" s="13" t="s">
        <v>267</v>
      </c>
      <c r="U2" s="19" t="s">
        <v>268</v>
      </c>
      <c r="V2" s="18" t="s">
        <v>265</v>
      </c>
      <c r="W2" s="13" t="s">
        <v>266</v>
      </c>
      <c r="X2" s="13" t="s">
        <v>267</v>
      </c>
      <c r="Y2" s="19" t="s">
        <v>268</v>
      </c>
      <c r="Z2" s="18" t="s">
        <v>265</v>
      </c>
      <c r="AA2" s="13" t="s">
        <v>266</v>
      </c>
      <c r="AB2" s="13" t="s">
        <v>267</v>
      </c>
      <c r="AC2" s="19" t="s">
        <v>268</v>
      </c>
      <c r="AD2" s="18" t="s">
        <v>265</v>
      </c>
      <c r="AE2" s="13" t="s">
        <v>266</v>
      </c>
      <c r="AF2" s="13" t="s">
        <v>267</v>
      </c>
      <c r="AG2" s="19" t="s">
        <v>268</v>
      </c>
      <c r="AH2" s="18" t="s">
        <v>265</v>
      </c>
      <c r="AI2" s="13" t="s">
        <v>266</v>
      </c>
      <c r="AJ2" s="13" t="s">
        <v>267</v>
      </c>
      <c r="AK2" s="19" t="s">
        <v>268</v>
      </c>
    </row>
    <row r="3" spans="1:37" ht="14.7" thickTop="1" x14ac:dyDescent="0.55000000000000004">
      <c r="A3" s="16" t="s">
        <v>269</v>
      </c>
      <c r="B3" s="20">
        <f t="shared" ref="B3:AK3" si="0">AVERAGE(B6:B105)</f>
        <v>10.505000000000001</v>
      </c>
      <c r="C3" t="e">
        <f t="shared" si="0"/>
        <v>#DIV/0!</v>
      </c>
      <c r="D3" t="e">
        <f t="shared" si="0"/>
        <v>#DIV/0!</v>
      </c>
      <c r="E3" s="21" t="e">
        <f t="shared" si="0"/>
        <v>#DIV/0!</v>
      </c>
      <c r="F3" s="20" t="e">
        <f t="shared" si="0"/>
        <v>#DIV/0!</v>
      </c>
      <c r="G3" t="e">
        <f t="shared" si="0"/>
        <v>#DIV/0!</v>
      </c>
      <c r="H3" t="e">
        <f t="shared" si="0"/>
        <v>#DIV/0!</v>
      </c>
      <c r="I3" s="21" t="e">
        <f t="shared" si="0"/>
        <v>#DIV/0!</v>
      </c>
      <c r="J3" s="20" t="e">
        <f t="shared" si="0"/>
        <v>#DIV/0!</v>
      </c>
      <c r="K3" t="e">
        <f t="shared" si="0"/>
        <v>#DIV/0!</v>
      </c>
      <c r="L3" t="e">
        <f t="shared" si="0"/>
        <v>#DIV/0!</v>
      </c>
      <c r="M3" s="21" t="e">
        <f t="shared" si="0"/>
        <v>#DIV/0!</v>
      </c>
      <c r="N3" s="20" t="e">
        <f t="shared" si="0"/>
        <v>#DIV/0!</v>
      </c>
      <c r="O3" t="e">
        <f t="shared" si="0"/>
        <v>#DIV/0!</v>
      </c>
      <c r="P3" t="e">
        <f t="shared" si="0"/>
        <v>#DIV/0!</v>
      </c>
      <c r="Q3" s="21" t="e">
        <f t="shared" si="0"/>
        <v>#DIV/0!</v>
      </c>
      <c r="R3" s="20" t="e">
        <f t="shared" si="0"/>
        <v>#DIV/0!</v>
      </c>
      <c r="S3" t="e">
        <f t="shared" si="0"/>
        <v>#DIV/0!</v>
      </c>
      <c r="T3" t="e">
        <f t="shared" si="0"/>
        <v>#DIV/0!</v>
      </c>
      <c r="U3" s="21" t="e">
        <f t="shared" si="0"/>
        <v>#DIV/0!</v>
      </c>
      <c r="V3" s="20" t="e">
        <f t="shared" si="0"/>
        <v>#DIV/0!</v>
      </c>
      <c r="W3" t="e">
        <f t="shared" si="0"/>
        <v>#DIV/0!</v>
      </c>
      <c r="X3" t="e">
        <f t="shared" si="0"/>
        <v>#DIV/0!</v>
      </c>
      <c r="Y3" s="21" t="e">
        <f t="shared" si="0"/>
        <v>#DIV/0!</v>
      </c>
      <c r="Z3" s="20" t="e">
        <f t="shared" si="0"/>
        <v>#DIV/0!</v>
      </c>
      <c r="AA3" t="e">
        <f t="shared" si="0"/>
        <v>#DIV/0!</v>
      </c>
      <c r="AB3" t="e">
        <f t="shared" si="0"/>
        <v>#DIV/0!</v>
      </c>
      <c r="AC3" s="21" t="e">
        <f t="shared" si="0"/>
        <v>#DIV/0!</v>
      </c>
      <c r="AD3" s="20" t="e">
        <f t="shared" si="0"/>
        <v>#DIV/0!</v>
      </c>
      <c r="AE3" t="e">
        <f t="shared" si="0"/>
        <v>#DIV/0!</v>
      </c>
      <c r="AF3" t="e">
        <f t="shared" si="0"/>
        <v>#DIV/0!</v>
      </c>
      <c r="AG3" s="21" t="e">
        <f t="shared" si="0"/>
        <v>#DIV/0!</v>
      </c>
      <c r="AH3" s="20" t="e">
        <f t="shared" si="0"/>
        <v>#DIV/0!</v>
      </c>
      <c r="AI3" t="e">
        <f t="shared" si="0"/>
        <v>#DIV/0!</v>
      </c>
      <c r="AJ3" t="e">
        <f t="shared" si="0"/>
        <v>#DIV/0!</v>
      </c>
      <c r="AK3" s="21" t="e">
        <f t="shared" si="0"/>
        <v>#DIV/0!</v>
      </c>
    </row>
    <row r="4" spans="1:37" x14ac:dyDescent="0.55000000000000004">
      <c r="A4" s="16" t="s">
        <v>270</v>
      </c>
      <c r="B4" s="20">
        <f t="shared" ref="B4:AK4" si="1">MIN(B6:B105)</f>
        <v>2</v>
      </c>
      <c r="C4">
        <f t="shared" si="1"/>
        <v>0</v>
      </c>
      <c r="D4">
        <f t="shared" si="1"/>
        <v>0</v>
      </c>
      <c r="E4" s="21">
        <f t="shared" si="1"/>
        <v>0</v>
      </c>
      <c r="F4" s="20">
        <f t="shared" si="1"/>
        <v>0</v>
      </c>
      <c r="G4">
        <f t="shared" si="1"/>
        <v>0</v>
      </c>
      <c r="H4">
        <f t="shared" si="1"/>
        <v>0</v>
      </c>
      <c r="I4" s="21">
        <f t="shared" si="1"/>
        <v>0</v>
      </c>
      <c r="J4" s="20">
        <f t="shared" si="1"/>
        <v>0</v>
      </c>
      <c r="K4">
        <f t="shared" si="1"/>
        <v>0</v>
      </c>
      <c r="L4">
        <f t="shared" si="1"/>
        <v>0</v>
      </c>
      <c r="M4" s="21">
        <f t="shared" si="1"/>
        <v>0</v>
      </c>
      <c r="N4" s="20">
        <f t="shared" si="1"/>
        <v>0</v>
      </c>
      <c r="O4">
        <f t="shared" si="1"/>
        <v>0</v>
      </c>
      <c r="P4">
        <f t="shared" si="1"/>
        <v>0</v>
      </c>
      <c r="Q4" s="21">
        <f t="shared" si="1"/>
        <v>0</v>
      </c>
      <c r="R4" s="20">
        <f t="shared" si="1"/>
        <v>0</v>
      </c>
      <c r="S4">
        <f t="shared" si="1"/>
        <v>0</v>
      </c>
      <c r="T4">
        <f t="shared" si="1"/>
        <v>0</v>
      </c>
      <c r="U4" s="21">
        <f t="shared" si="1"/>
        <v>0</v>
      </c>
      <c r="V4" s="20">
        <f t="shared" si="1"/>
        <v>0</v>
      </c>
      <c r="W4">
        <f t="shared" si="1"/>
        <v>0</v>
      </c>
      <c r="X4">
        <f t="shared" si="1"/>
        <v>0</v>
      </c>
      <c r="Y4" s="21">
        <f t="shared" si="1"/>
        <v>0</v>
      </c>
      <c r="Z4" s="20">
        <f t="shared" si="1"/>
        <v>0</v>
      </c>
      <c r="AA4">
        <f t="shared" si="1"/>
        <v>0</v>
      </c>
      <c r="AB4">
        <f t="shared" si="1"/>
        <v>0</v>
      </c>
      <c r="AC4" s="21">
        <f t="shared" si="1"/>
        <v>0</v>
      </c>
      <c r="AD4" s="20">
        <f t="shared" si="1"/>
        <v>0</v>
      </c>
      <c r="AE4">
        <f t="shared" si="1"/>
        <v>0</v>
      </c>
      <c r="AF4">
        <f t="shared" si="1"/>
        <v>0</v>
      </c>
      <c r="AG4" s="21">
        <f t="shared" si="1"/>
        <v>0</v>
      </c>
      <c r="AH4" s="20">
        <f t="shared" si="1"/>
        <v>0</v>
      </c>
      <c r="AI4">
        <f t="shared" si="1"/>
        <v>0</v>
      </c>
      <c r="AJ4">
        <f t="shared" si="1"/>
        <v>0</v>
      </c>
      <c r="AK4" s="21">
        <f t="shared" si="1"/>
        <v>0</v>
      </c>
    </row>
    <row r="5" spans="1:37" s="12" customFormat="1" ht="14.7" thickBot="1" x14ac:dyDescent="0.6">
      <c r="A5" s="17" t="s">
        <v>271</v>
      </c>
      <c r="B5" s="22">
        <f t="shared" ref="B5:AK5" si="2">MAX(B6:B105)</f>
        <v>21</v>
      </c>
      <c r="C5" s="12">
        <f t="shared" si="2"/>
        <v>0</v>
      </c>
      <c r="D5" s="12">
        <f t="shared" si="2"/>
        <v>0</v>
      </c>
      <c r="E5" s="23">
        <f t="shared" si="2"/>
        <v>0</v>
      </c>
      <c r="F5" s="22">
        <f t="shared" si="2"/>
        <v>0</v>
      </c>
      <c r="G5" s="12">
        <f t="shared" si="2"/>
        <v>0</v>
      </c>
      <c r="H5" s="12">
        <f t="shared" si="2"/>
        <v>0</v>
      </c>
      <c r="I5" s="23">
        <f t="shared" si="2"/>
        <v>0</v>
      </c>
      <c r="J5" s="22">
        <f t="shared" si="2"/>
        <v>0</v>
      </c>
      <c r="K5" s="12">
        <f t="shared" si="2"/>
        <v>0</v>
      </c>
      <c r="L5" s="12">
        <f t="shared" si="2"/>
        <v>0</v>
      </c>
      <c r="M5" s="23">
        <f t="shared" si="2"/>
        <v>0</v>
      </c>
      <c r="N5" s="22">
        <f t="shared" si="2"/>
        <v>0</v>
      </c>
      <c r="O5" s="12">
        <f t="shared" si="2"/>
        <v>0</v>
      </c>
      <c r="P5" s="12">
        <f t="shared" si="2"/>
        <v>0</v>
      </c>
      <c r="Q5" s="23">
        <f t="shared" si="2"/>
        <v>0</v>
      </c>
      <c r="R5" s="22">
        <f t="shared" si="2"/>
        <v>0</v>
      </c>
      <c r="S5" s="12">
        <f t="shared" si="2"/>
        <v>0</v>
      </c>
      <c r="T5" s="12">
        <f t="shared" si="2"/>
        <v>0</v>
      </c>
      <c r="U5" s="23">
        <f t="shared" si="2"/>
        <v>0</v>
      </c>
      <c r="V5" s="22">
        <f t="shared" si="2"/>
        <v>0</v>
      </c>
      <c r="W5" s="12">
        <f t="shared" si="2"/>
        <v>0</v>
      </c>
      <c r="X5" s="12">
        <f t="shared" si="2"/>
        <v>0</v>
      </c>
      <c r="Y5" s="23">
        <f t="shared" si="2"/>
        <v>0</v>
      </c>
      <c r="Z5" s="22">
        <f t="shared" si="2"/>
        <v>0</v>
      </c>
      <c r="AA5" s="12">
        <f t="shared" si="2"/>
        <v>0</v>
      </c>
      <c r="AB5" s="12">
        <f t="shared" si="2"/>
        <v>0</v>
      </c>
      <c r="AC5" s="23">
        <f t="shared" si="2"/>
        <v>0</v>
      </c>
      <c r="AD5" s="22">
        <f t="shared" si="2"/>
        <v>0</v>
      </c>
      <c r="AE5" s="12">
        <f t="shared" si="2"/>
        <v>0</v>
      </c>
      <c r="AF5" s="12">
        <f t="shared" si="2"/>
        <v>0</v>
      </c>
      <c r="AG5" s="23">
        <f t="shared" si="2"/>
        <v>0</v>
      </c>
      <c r="AH5" s="22">
        <f t="shared" si="2"/>
        <v>0</v>
      </c>
      <c r="AI5" s="12">
        <f t="shared" si="2"/>
        <v>0</v>
      </c>
      <c r="AJ5" s="12">
        <f t="shared" si="2"/>
        <v>0</v>
      </c>
      <c r="AK5" s="23">
        <f t="shared" si="2"/>
        <v>0</v>
      </c>
    </row>
    <row r="6" spans="1:37" ht="14.7" thickTop="1" x14ac:dyDescent="0.55000000000000004">
      <c r="A6" s="16">
        <v>1</v>
      </c>
      <c r="B6">
        <v>20.5</v>
      </c>
    </row>
    <row r="7" spans="1:37" x14ac:dyDescent="0.55000000000000004">
      <c r="A7" s="16">
        <v>2</v>
      </c>
      <c r="B7">
        <v>15</v>
      </c>
    </row>
    <row r="8" spans="1:37" x14ac:dyDescent="0.55000000000000004">
      <c r="A8" s="16">
        <v>3</v>
      </c>
      <c r="B8">
        <v>12</v>
      </c>
    </row>
    <row r="9" spans="1:37" x14ac:dyDescent="0.55000000000000004">
      <c r="A9" s="16">
        <v>4</v>
      </c>
      <c r="B9">
        <v>14</v>
      </c>
    </row>
    <row r="10" spans="1:37" x14ac:dyDescent="0.55000000000000004">
      <c r="A10" s="16">
        <v>5</v>
      </c>
      <c r="B10">
        <v>12.5</v>
      </c>
    </row>
    <row r="11" spans="1:37" x14ac:dyDescent="0.55000000000000004">
      <c r="A11" s="16">
        <v>6</v>
      </c>
      <c r="B11">
        <v>5.5</v>
      </c>
    </row>
    <row r="12" spans="1:37" x14ac:dyDescent="0.55000000000000004">
      <c r="A12" s="16">
        <v>7</v>
      </c>
      <c r="B12">
        <v>12</v>
      </c>
    </row>
    <row r="13" spans="1:37" x14ac:dyDescent="0.55000000000000004">
      <c r="A13" s="16">
        <v>8</v>
      </c>
      <c r="B13">
        <v>8</v>
      </c>
    </row>
    <row r="14" spans="1:37" x14ac:dyDescent="0.55000000000000004">
      <c r="A14" s="16">
        <v>9</v>
      </c>
      <c r="B14">
        <v>18</v>
      </c>
    </row>
    <row r="15" spans="1:37" x14ac:dyDescent="0.55000000000000004">
      <c r="A15" s="16">
        <v>10</v>
      </c>
      <c r="B15">
        <v>12</v>
      </c>
    </row>
    <row r="16" spans="1:37" x14ac:dyDescent="0.55000000000000004">
      <c r="A16" s="16">
        <v>11</v>
      </c>
      <c r="B16">
        <v>10</v>
      </c>
    </row>
    <row r="17" spans="1:2" x14ac:dyDescent="0.55000000000000004">
      <c r="A17" s="16">
        <v>12</v>
      </c>
      <c r="B17">
        <v>9</v>
      </c>
    </row>
    <row r="18" spans="1:2" x14ac:dyDescent="0.55000000000000004">
      <c r="A18" s="16">
        <v>13</v>
      </c>
      <c r="B18">
        <v>5</v>
      </c>
    </row>
    <row r="19" spans="1:2" x14ac:dyDescent="0.55000000000000004">
      <c r="A19" s="16">
        <v>14</v>
      </c>
      <c r="B19">
        <v>10</v>
      </c>
    </row>
    <row r="20" spans="1:2" x14ac:dyDescent="0.55000000000000004">
      <c r="A20" s="16">
        <v>15</v>
      </c>
      <c r="B20">
        <v>7.5</v>
      </c>
    </row>
    <row r="21" spans="1:2" x14ac:dyDescent="0.55000000000000004">
      <c r="A21" s="16">
        <v>16</v>
      </c>
      <c r="B21">
        <v>4</v>
      </c>
    </row>
    <row r="22" spans="1:2" x14ac:dyDescent="0.55000000000000004">
      <c r="A22" s="16">
        <v>17</v>
      </c>
      <c r="B22">
        <v>9</v>
      </c>
    </row>
    <row r="23" spans="1:2" x14ac:dyDescent="0.55000000000000004">
      <c r="A23" s="16">
        <v>18</v>
      </c>
      <c r="B23">
        <v>11</v>
      </c>
    </row>
    <row r="24" spans="1:2" x14ac:dyDescent="0.55000000000000004">
      <c r="A24" s="16">
        <v>19</v>
      </c>
      <c r="B24">
        <v>10</v>
      </c>
    </row>
    <row r="25" spans="1:2" x14ac:dyDescent="0.55000000000000004">
      <c r="A25" s="16">
        <v>20</v>
      </c>
      <c r="B25">
        <v>20</v>
      </c>
    </row>
    <row r="26" spans="1:2" x14ac:dyDescent="0.55000000000000004">
      <c r="A26" s="16">
        <v>21</v>
      </c>
      <c r="B26">
        <v>16</v>
      </c>
    </row>
    <row r="27" spans="1:2" x14ac:dyDescent="0.55000000000000004">
      <c r="A27" s="16">
        <v>22</v>
      </c>
      <c r="B27">
        <v>11</v>
      </c>
    </row>
    <row r="28" spans="1:2" x14ac:dyDescent="0.55000000000000004">
      <c r="A28" s="16">
        <v>23</v>
      </c>
      <c r="B28">
        <v>9</v>
      </c>
    </row>
    <row r="29" spans="1:2" x14ac:dyDescent="0.55000000000000004">
      <c r="A29" s="16">
        <v>24</v>
      </c>
      <c r="B29">
        <v>15</v>
      </c>
    </row>
    <row r="30" spans="1:2" x14ac:dyDescent="0.55000000000000004">
      <c r="A30" s="16">
        <v>25</v>
      </c>
      <c r="B30">
        <v>10</v>
      </c>
    </row>
    <row r="31" spans="1:2" x14ac:dyDescent="0.55000000000000004">
      <c r="A31" s="16">
        <v>26</v>
      </c>
      <c r="B31">
        <v>9</v>
      </c>
    </row>
    <row r="32" spans="1:2" x14ac:dyDescent="0.55000000000000004">
      <c r="A32" s="16">
        <v>27</v>
      </c>
      <c r="B32">
        <v>4</v>
      </c>
    </row>
    <row r="33" spans="1:2" x14ac:dyDescent="0.55000000000000004">
      <c r="A33" s="16">
        <v>28</v>
      </c>
      <c r="B33">
        <v>11</v>
      </c>
    </row>
    <row r="34" spans="1:2" x14ac:dyDescent="0.55000000000000004">
      <c r="A34" s="16">
        <v>29</v>
      </c>
      <c r="B34">
        <v>9</v>
      </c>
    </row>
    <row r="35" spans="1:2" x14ac:dyDescent="0.55000000000000004">
      <c r="A35" s="16">
        <v>30</v>
      </c>
      <c r="B35">
        <v>8</v>
      </c>
    </row>
    <row r="36" spans="1:2" x14ac:dyDescent="0.55000000000000004">
      <c r="A36" s="16">
        <v>31</v>
      </c>
      <c r="B36">
        <v>10</v>
      </c>
    </row>
    <row r="37" spans="1:2" x14ac:dyDescent="0.55000000000000004">
      <c r="A37" s="16">
        <v>32</v>
      </c>
      <c r="B37">
        <v>14</v>
      </c>
    </row>
    <row r="38" spans="1:2" x14ac:dyDescent="0.55000000000000004">
      <c r="A38" s="16">
        <v>33</v>
      </c>
      <c r="B38">
        <v>12</v>
      </c>
    </row>
    <row r="39" spans="1:2" x14ac:dyDescent="0.55000000000000004">
      <c r="A39" s="16">
        <v>34</v>
      </c>
      <c r="B39">
        <v>9</v>
      </c>
    </row>
    <row r="40" spans="1:2" x14ac:dyDescent="0.55000000000000004">
      <c r="A40" s="16">
        <v>35</v>
      </c>
      <c r="B40">
        <v>16</v>
      </c>
    </row>
    <row r="41" spans="1:2" x14ac:dyDescent="0.55000000000000004">
      <c r="A41" s="16">
        <v>36</v>
      </c>
      <c r="B41">
        <v>21</v>
      </c>
    </row>
    <row r="42" spans="1:2" x14ac:dyDescent="0.55000000000000004">
      <c r="A42" s="16">
        <v>37</v>
      </c>
      <c r="B42">
        <v>11</v>
      </c>
    </row>
    <row r="43" spans="1:2" x14ac:dyDescent="0.55000000000000004">
      <c r="A43" s="16">
        <v>38</v>
      </c>
      <c r="B43">
        <v>12</v>
      </c>
    </row>
    <row r="44" spans="1:2" x14ac:dyDescent="0.55000000000000004">
      <c r="A44" s="16">
        <v>39</v>
      </c>
      <c r="B44">
        <v>7</v>
      </c>
    </row>
    <row r="45" spans="1:2" x14ac:dyDescent="0.55000000000000004">
      <c r="A45" s="16">
        <v>40</v>
      </c>
      <c r="B45">
        <v>10</v>
      </c>
    </row>
    <row r="46" spans="1:2" x14ac:dyDescent="0.55000000000000004">
      <c r="A46" s="16">
        <v>41</v>
      </c>
      <c r="B46">
        <v>5</v>
      </c>
    </row>
    <row r="47" spans="1:2" x14ac:dyDescent="0.55000000000000004">
      <c r="A47" s="16">
        <v>42</v>
      </c>
      <c r="B47">
        <v>5</v>
      </c>
    </row>
    <row r="48" spans="1:2" x14ac:dyDescent="0.55000000000000004">
      <c r="A48" s="16">
        <v>43</v>
      </c>
      <c r="B48">
        <v>7</v>
      </c>
    </row>
    <row r="49" spans="1:2" x14ac:dyDescent="0.55000000000000004">
      <c r="A49" s="16">
        <v>44</v>
      </c>
      <c r="B49">
        <v>9</v>
      </c>
    </row>
    <row r="50" spans="1:2" x14ac:dyDescent="0.55000000000000004">
      <c r="A50" s="16">
        <v>45</v>
      </c>
      <c r="B50">
        <v>7</v>
      </c>
    </row>
    <row r="51" spans="1:2" x14ac:dyDescent="0.55000000000000004">
      <c r="A51" s="16">
        <v>46</v>
      </c>
      <c r="B51">
        <v>2.5</v>
      </c>
    </row>
    <row r="52" spans="1:2" x14ac:dyDescent="0.55000000000000004">
      <c r="A52" s="16">
        <v>47</v>
      </c>
      <c r="B52">
        <v>2</v>
      </c>
    </row>
    <row r="53" spans="1:2" x14ac:dyDescent="0.55000000000000004">
      <c r="A53" s="16">
        <v>48</v>
      </c>
      <c r="B53">
        <v>4</v>
      </c>
    </row>
    <row r="54" spans="1:2" x14ac:dyDescent="0.55000000000000004">
      <c r="A54" s="16">
        <v>49</v>
      </c>
      <c r="B54">
        <v>16</v>
      </c>
    </row>
    <row r="55" spans="1:2" x14ac:dyDescent="0.55000000000000004">
      <c r="A55" s="16">
        <v>50</v>
      </c>
      <c r="B55">
        <v>11</v>
      </c>
    </row>
    <row r="56" spans="1:2" x14ac:dyDescent="0.55000000000000004">
      <c r="A56" s="16">
        <v>51</v>
      </c>
      <c r="B56">
        <v>11</v>
      </c>
    </row>
    <row r="57" spans="1:2" x14ac:dyDescent="0.55000000000000004">
      <c r="A57" s="16">
        <v>52</v>
      </c>
      <c r="B57">
        <v>12</v>
      </c>
    </row>
    <row r="58" spans="1:2" x14ac:dyDescent="0.55000000000000004">
      <c r="A58" s="16">
        <v>53</v>
      </c>
      <c r="B58">
        <v>13</v>
      </c>
    </row>
    <row r="59" spans="1:2" x14ac:dyDescent="0.55000000000000004">
      <c r="A59" s="16">
        <v>54</v>
      </c>
      <c r="B59">
        <v>11</v>
      </c>
    </row>
    <row r="60" spans="1:2" x14ac:dyDescent="0.55000000000000004">
      <c r="A60" s="16">
        <v>55</v>
      </c>
      <c r="B60">
        <v>11</v>
      </c>
    </row>
    <row r="61" spans="1:2" x14ac:dyDescent="0.55000000000000004">
      <c r="A61" s="16">
        <v>56</v>
      </c>
      <c r="B61">
        <v>8</v>
      </c>
    </row>
    <row r="62" spans="1:2" x14ac:dyDescent="0.55000000000000004">
      <c r="A62" s="16">
        <v>57</v>
      </c>
      <c r="B62">
        <v>5</v>
      </c>
    </row>
    <row r="63" spans="1:2" x14ac:dyDescent="0.55000000000000004">
      <c r="A63" s="16">
        <v>58</v>
      </c>
      <c r="B63">
        <v>4</v>
      </c>
    </row>
    <row r="64" spans="1:2" x14ac:dyDescent="0.55000000000000004">
      <c r="A64" s="16">
        <v>59</v>
      </c>
      <c r="B64">
        <v>8</v>
      </c>
    </row>
    <row r="65" spans="1:2" x14ac:dyDescent="0.55000000000000004">
      <c r="A65" s="16">
        <v>60</v>
      </c>
      <c r="B65">
        <v>6</v>
      </c>
    </row>
    <row r="66" spans="1:2" x14ac:dyDescent="0.55000000000000004">
      <c r="A66" s="16">
        <v>61</v>
      </c>
      <c r="B66">
        <v>8</v>
      </c>
    </row>
    <row r="67" spans="1:2" x14ac:dyDescent="0.55000000000000004">
      <c r="A67" s="16">
        <v>62</v>
      </c>
      <c r="B67">
        <v>8</v>
      </c>
    </row>
    <row r="68" spans="1:2" x14ac:dyDescent="0.55000000000000004">
      <c r="A68" s="16">
        <v>63</v>
      </c>
      <c r="B68">
        <v>16</v>
      </c>
    </row>
    <row r="69" spans="1:2" x14ac:dyDescent="0.55000000000000004">
      <c r="A69" s="16">
        <v>64</v>
      </c>
      <c r="B69">
        <v>12</v>
      </c>
    </row>
    <row r="70" spans="1:2" x14ac:dyDescent="0.55000000000000004">
      <c r="A70" s="16">
        <v>65</v>
      </c>
      <c r="B70">
        <v>11</v>
      </c>
    </row>
    <row r="71" spans="1:2" x14ac:dyDescent="0.55000000000000004">
      <c r="A71" s="16">
        <v>66</v>
      </c>
      <c r="B71">
        <v>10</v>
      </c>
    </row>
    <row r="72" spans="1:2" x14ac:dyDescent="0.55000000000000004">
      <c r="A72" s="16">
        <v>67</v>
      </c>
      <c r="B72">
        <v>13</v>
      </c>
    </row>
    <row r="73" spans="1:2" x14ac:dyDescent="0.55000000000000004">
      <c r="A73" s="16">
        <v>68</v>
      </c>
      <c r="B73">
        <v>9</v>
      </c>
    </row>
    <row r="74" spans="1:2" x14ac:dyDescent="0.55000000000000004">
      <c r="A74" s="16">
        <v>69</v>
      </c>
      <c r="B74">
        <v>11</v>
      </c>
    </row>
    <row r="75" spans="1:2" x14ac:dyDescent="0.55000000000000004">
      <c r="A75" s="16">
        <v>70</v>
      </c>
      <c r="B75">
        <v>14</v>
      </c>
    </row>
    <row r="76" spans="1:2" x14ac:dyDescent="0.55000000000000004">
      <c r="A76" s="16">
        <v>71</v>
      </c>
      <c r="B76">
        <v>9</v>
      </c>
    </row>
    <row r="77" spans="1:2" x14ac:dyDescent="0.55000000000000004">
      <c r="A77" s="16">
        <v>72</v>
      </c>
      <c r="B77">
        <v>5</v>
      </c>
    </row>
    <row r="78" spans="1:2" x14ac:dyDescent="0.55000000000000004">
      <c r="A78" s="16">
        <v>73</v>
      </c>
      <c r="B78">
        <v>6</v>
      </c>
    </row>
    <row r="79" spans="1:2" x14ac:dyDescent="0.55000000000000004">
      <c r="A79" s="16">
        <v>74</v>
      </c>
      <c r="B79">
        <v>15</v>
      </c>
    </row>
    <row r="80" spans="1:2" x14ac:dyDescent="0.55000000000000004">
      <c r="A80" s="16">
        <v>75</v>
      </c>
      <c r="B80">
        <v>10</v>
      </c>
    </row>
    <row r="81" spans="1:2" x14ac:dyDescent="0.55000000000000004">
      <c r="A81" s="16">
        <v>76</v>
      </c>
      <c r="B81">
        <v>15</v>
      </c>
    </row>
    <row r="82" spans="1:2" x14ac:dyDescent="0.55000000000000004">
      <c r="A82" s="16">
        <v>77</v>
      </c>
      <c r="B82">
        <v>7</v>
      </c>
    </row>
    <row r="83" spans="1:2" x14ac:dyDescent="0.55000000000000004">
      <c r="A83" s="16">
        <v>78</v>
      </c>
      <c r="B83">
        <v>5</v>
      </c>
    </row>
    <row r="84" spans="1:2" x14ac:dyDescent="0.55000000000000004">
      <c r="A84" s="16">
        <v>79</v>
      </c>
      <c r="B84">
        <v>7</v>
      </c>
    </row>
    <row r="85" spans="1:2" x14ac:dyDescent="0.55000000000000004">
      <c r="A85" s="16">
        <v>80</v>
      </c>
      <c r="B85">
        <v>7</v>
      </c>
    </row>
    <row r="86" spans="1:2" x14ac:dyDescent="0.55000000000000004">
      <c r="A86" s="16">
        <v>81</v>
      </c>
      <c r="B86">
        <v>8</v>
      </c>
    </row>
    <row r="87" spans="1:2" x14ac:dyDescent="0.55000000000000004">
      <c r="A87" s="16">
        <v>82</v>
      </c>
      <c r="B87">
        <v>11</v>
      </c>
    </row>
    <row r="88" spans="1:2" x14ac:dyDescent="0.55000000000000004">
      <c r="A88" s="16">
        <v>83</v>
      </c>
      <c r="B88">
        <v>7</v>
      </c>
    </row>
    <row r="89" spans="1:2" x14ac:dyDescent="0.55000000000000004">
      <c r="A89" s="16">
        <v>84</v>
      </c>
      <c r="B89">
        <v>20</v>
      </c>
    </row>
    <row r="90" spans="1:2" x14ac:dyDescent="0.55000000000000004">
      <c r="A90" s="16">
        <v>85</v>
      </c>
      <c r="B90">
        <v>12</v>
      </c>
    </row>
    <row r="91" spans="1:2" x14ac:dyDescent="0.55000000000000004">
      <c r="A91" s="16">
        <v>86</v>
      </c>
      <c r="B91">
        <v>14</v>
      </c>
    </row>
    <row r="92" spans="1:2" x14ac:dyDescent="0.55000000000000004">
      <c r="A92" s="16">
        <v>87</v>
      </c>
      <c r="B92">
        <v>11</v>
      </c>
    </row>
    <row r="93" spans="1:2" x14ac:dyDescent="0.55000000000000004">
      <c r="A93" s="16">
        <v>88</v>
      </c>
      <c r="B93">
        <v>12</v>
      </c>
    </row>
    <row r="94" spans="1:2" x14ac:dyDescent="0.55000000000000004">
      <c r="A94" s="16">
        <v>89</v>
      </c>
      <c r="B94">
        <v>17</v>
      </c>
    </row>
    <row r="95" spans="1:2" x14ac:dyDescent="0.55000000000000004">
      <c r="A95" s="16">
        <v>90</v>
      </c>
      <c r="B95">
        <v>13</v>
      </c>
    </row>
    <row r="96" spans="1:2" x14ac:dyDescent="0.55000000000000004">
      <c r="A96" s="16">
        <v>91</v>
      </c>
      <c r="B96">
        <v>8</v>
      </c>
    </row>
    <row r="97" spans="1:2" x14ac:dyDescent="0.55000000000000004">
      <c r="A97" s="16">
        <v>92</v>
      </c>
      <c r="B97">
        <v>11</v>
      </c>
    </row>
    <row r="98" spans="1:2" x14ac:dyDescent="0.55000000000000004">
      <c r="A98" s="16">
        <v>93</v>
      </c>
      <c r="B98">
        <v>16</v>
      </c>
    </row>
    <row r="99" spans="1:2" x14ac:dyDescent="0.55000000000000004">
      <c r="A99" s="16">
        <v>94</v>
      </c>
      <c r="B99">
        <v>12</v>
      </c>
    </row>
    <row r="100" spans="1:2" x14ac:dyDescent="0.55000000000000004">
      <c r="A100" s="16">
        <v>95</v>
      </c>
      <c r="B100">
        <v>14</v>
      </c>
    </row>
    <row r="101" spans="1:2" x14ac:dyDescent="0.55000000000000004">
      <c r="A101" s="16">
        <v>96</v>
      </c>
      <c r="B101">
        <v>10</v>
      </c>
    </row>
    <row r="102" spans="1:2" x14ac:dyDescent="0.55000000000000004">
      <c r="A102" s="16">
        <v>97</v>
      </c>
      <c r="B102">
        <v>11</v>
      </c>
    </row>
    <row r="103" spans="1:2" x14ac:dyDescent="0.55000000000000004">
      <c r="A103" s="16">
        <v>98</v>
      </c>
      <c r="B103">
        <v>11</v>
      </c>
    </row>
    <row r="104" spans="1:2" x14ac:dyDescent="0.55000000000000004">
      <c r="A104" s="16">
        <v>99</v>
      </c>
      <c r="B104">
        <v>16</v>
      </c>
    </row>
    <row r="105" spans="1:2" x14ac:dyDescent="0.55000000000000004">
      <c r="A105" s="16">
        <v>100</v>
      </c>
      <c r="B105">
        <v>12</v>
      </c>
    </row>
  </sheetData>
  <mergeCells count="9">
    <mergeCell ref="Z1:AC1"/>
    <mergeCell ref="AD1:AG1"/>
    <mergeCell ref="AH1:AK1"/>
    <mergeCell ref="B1:E1"/>
    <mergeCell ref="F1:I1"/>
    <mergeCell ref="J1:M1"/>
    <mergeCell ref="N1:Q1"/>
    <mergeCell ref="R1:U1"/>
    <mergeCell ref="V1:Y1"/>
  </mergeCells>
  <pageMargins left="0.7" right="0.7" top="0.75" bottom="0.75" header="0.3" footer="0.3"/>
  <pageSetup paperSize="9" orientation="portrait" horizontalDpi="30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715D-D371-44F5-9FD2-586F970BD926}">
  <dimension ref="A1:P22"/>
  <sheetViews>
    <sheetView workbookViewId="0">
      <selection activeCell="H26" sqref="H26"/>
    </sheetView>
  </sheetViews>
  <sheetFormatPr defaultRowHeight="14.4" x14ac:dyDescent="0.55000000000000004"/>
  <cols>
    <col min="6" max="9" width="11.15625" bestFit="1" customWidth="1"/>
    <col min="10" max="12" width="10.15625" bestFit="1" customWidth="1"/>
    <col min="13" max="13" width="12.15625" bestFit="1" customWidth="1"/>
  </cols>
  <sheetData>
    <row r="1" spans="1:16" x14ac:dyDescent="0.55000000000000004">
      <c r="A1" s="1" t="s">
        <v>1</v>
      </c>
      <c r="B1" s="1" t="s">
        <v>7</v>
      </c>
      <c r="C1" s="1" t="s">
        <v>276</v>
      </c>
      <c r="E1" s="1" t="s">
        <v>1</v>
      </c>
      <c r="F1" s="1" t="s">
        <v>112</v>
      </c>
      <c r="G1" s="1" t="s">
        <v>28</v>
      </c>
      <c r="H1" s="1" t="s">
        <v>31</v>
      </c>
      <c r="I1" s="1" t="s">
        <v>277</v>
      </c>
      <c r="J1" s="1" t="s">
        <v>278</v>
      </c>
      <c r="K1" s="7" t="s">
        <v>279</v>
      </c>
      <c r="L1" s="7" t="s">
        <v>280</v>
      </c>
      <c r="M1" s="1" t="s">
        <v>281</v>
      </c>
      <c r="N1" s="1" t="s">
        <v>282</v>
      </c>
      <c r="O1" s="1" t="s">
        <v>283</v>
      </c>
    </row>
    <row r="2" spans="1:16" x14ac:dyDescent="0.55000000000000004">
      <c r="A2" t="s">
        <v>42</v>
      </c>
      <c r="B2" t="s">
        <v>278</v>
      </c>
      <c r="C2" s="4">
        <v>210.75630000000001</v>
      </c>
      <c r="D2" s="1"/>
      <c r="E2" t="s">
        <v>26</v>
      </c>
      <c r="K2" s="5"/>
      <c r="L2" s="5"/>
      <c r="M2">
        <f>SUM(F2:L2)</f>
        <v>0</v>
      </c>
      <c r="N2">
        <f>SUM(F2:J2)</f>
        <v>0</v>
      </c>
      <c r="O2" s="4">
        <v>12</v>
      </c>
    </row>
    <row r="3" spans="1:16" x14ac:dyDescent="0.55000000000000004">
      <c r="A3" t="s">
        <v>42</v>
      </c>
      <c r="B3" t="s">
        <v>279</v>
      </c>
      <c r="C3" s="4">
        <v>926.10419999999999</v>
      </c>
      <c r="E3" t="s">
        <v>42</v>
      </c>
      <c r="G3" s="4">
        <v>39455.430899999999</v>
      </c>
      <c r="H3" s="4">
        <v>12590.674199999999</v>
      </c>
      <c r="I3" s="4">
        <v>5597.5628999999999</v>
      </c>
      <c r="J3" s="6">
        <v>210.75630000000001</v>
      </c>
      <c r="K3" s="6">
        <v>926.10419999999999</v>
      </c>
      <c r="L3" s="6">
        <v>439.96510000000001</v>
      </c>
      <c r="M3" s="4">
        <f>SUM(F3:L3)</f>
        <v>59220.493600000002</v>
      </c>
      <c r="N3" s="4">
        <f>SUM(G3:I3)</f>
        <v>57643.667999999998</v>
      </c>
      <c r="O3" s="4">
        <v>12</v>
      </c>
      <c r="P3">
        <f>O3/(COUNT(G3:I3))</f>
        <v>4</v>
      </c>
    </row>
    <row r="4" spans="1:16" x14ac:dyDescent="0.55000000000000004">
      <c r="A4" t="s">
        <v>42</v>
      </c>
      <c r="B4" t="s">
        <v>280</v>
      </c>
      <c r="C4" s="4">
        <v>439.96510000000001</v>
      </c>
      <c r="E4" t="s">
        <v>68</v>
      </c>
      <c r="F4" s="6">
        <v>1254.4101000000001</v>
      </c>
      <c r="G4" s="4">
        <v>34629.698100000001</v>
      </c>
      <c r="H4" s="4">
        <v>645.90899999999999</v>
      </c>
      <c r="I4" s="4">
        <v>1451.1987999999999</v>
      </c>
      <c r="J4" s="6">
        <v>309.78530000000001</v>
      </c>
      <c r="K4" s="6">
        <v>642.995</v>
      </c>
      <c r="L4" s="6">
        <v>459.02539999999999</v>
      </c>
      <c r="M4" s="4">
        <f>SUM(F4:L4)</f>
        <v>39393.021700000005</v>
      </c>
      <c r="N4" s="4">
        <f>SUM(G4:J4)</f>
        <v>37036.591200000003</v>
      </c>
      <c r="O4" s="4">
        <v>12</v>
      </c>
      <c r="P4">
        <f>O4/(COUNT(G4:I4))</f>
        <v>4</v>
      </c>
    </row>
    <row r="5" spans="1:16" x14ac:dyDescent="0.55000000000000004">
      <c r="A5" t="s">
        <v>42</v>
      </c>
      <c r="B5" t="s">
        <v>277</v>
      </c>
      <c r="C5" s="4">
        <v>5597.5628999999999</v>
      </c>
      <c r="E5" t="s">
        <v>83</v>
      </c>
      <c r="G5" s="4">
        <v>14410.815699999999</v>
      </c>
      <c r="H5" s="4">
        <v>4107.7909</v>
      </c>
      <c r="I5" s="4">
        <v>4740.4111999999996</v>
      </c>
      <c r="J5" s="6">
        <v>1261.0335</v>
      </c>
      <c r="L5" s="5"/>
      <c r="M5" s="4">
        <f>SUM(F5:L5)</f>
        <v>24520.051299999999</v>
      </c>
      <c r="N5" s="4">
        <f>SUM(F5:J5)</f>
        <v>24520.051299999999</v>
      </c>
      <c r="O5" s="4">
        <v>12</v>
      </c>
      <c r="P5">
        <f>O5/(COUNT(G5:I5))</f>
        <v>4</v>
      </c>
    </row>
    <row r="6" spans="1:16" x14ac:dyDescent="0.55000000000000004">
      <c r="A6" t="s">
        <v>42</v>
      </c>
      <c r="B6" t="s">
        <v>31</v>
      </c>
      <c r="C6" s="4">
        <v>12590.674199999999</v>
      </c>
      <c r="E6" t="s">
        <v>105</v>
      </c>
      <c r="F6" s="4">
        <v>1003.8765</v>
      </c>
      <c r="G6" s="4">
        <v>5080.3022000000001</v>
      </c>
      <c r="H6" s="4">
        <v>2278.2080999999998</v>
      </c>
      <c r="I6" s="4">
        <v>2906.2314999999999</v>
      </c>
      <c r="L6" s="5"/>
      <c r="M6" s="4">
        <f>SUM(F6:L6)</f>
        <v>11268.6183</v>
      </c>
      <c r="N6" s="4">
        <f>SUM(F6:J6)</f>
        <v>11268.6183</v>
      </c>
      <c r="O6" s="4">
        <v>12</v>
      </c>
      <c r="P6">
        <f>O6/(COUNT(F6:I6))</f>
        <v>3</v>
      </c>
    </row>
    <row r="7" spans="1:16" x14ac:dyDescent="0.55000000000000004">
      <c r="A7" t="s">
        <v>42</v>
      </c>
      <c r="B7" t="s">
        <v>28</v>
      </c>
      <c r="C7" s="4">
        <v>39455.430899999999</v>
      </c>
    </row>
    <row r="8" spans="1:16" x14ac:dyDescent="0.55000000000000004">
      <c r="A8" t="s">
        <v>68</v>
      </c>
      <c r="B8" t="s">
        <v>278</v>
      </c>
      <c r="C8" s="4">
        <v>309.78530000000001</v>
      </c>
      <c r="E8" s="1" t="s">
        <v>284</v>
      </c>
      <c r="F8" s="1" t="s">
        <v>112</v>
      </c>
      <c r="G8" s="1" t="s">
        <v>28</v>
      </c>
      <c r="H8" s="1" t="s">
        <v>31</v>
      </c>
      <c r="I8" s="1" t="s">
        <v>277</v>
      </c>
      <c r="J8" s="1" t="s">
        <v>278</v>
      </c>
      <c r="K8" s="7" t="s">
        <v>279</v>
      </c>
      <c r="L8" s="7" t="s">
        <v>280</v>
      </c>
      <c r="M8" s="1" t="s">
        <v>281</v>
      </c>
    </row>
    <row r="9" spans="1:16" x14ac:dyDescent="0.55000000000000004">
      <c r="A9" t="s">
        <v>68</v>
      </c>
      <c r="B9" t="s">
        <v>279</v>
      </c>
      <c r="C9" s="4">
        <v>642.995</v>
      </c>
      <c r="E9" t="s">
        <v>26</v>
      </c>
      <c r="F9" t="e">
        <f>F2/$M$2*100</f>
        <v>#DIV/0!</v>
      </c>
      <c r="G9" t="e">
        <f t="shared" ref="G9:M9" si="0">G2/$M$2*100</f>
        <v>#DIV/0!</v>
      </c>
      <c r="H9" t="e">
        <f t="shared" si="0"/>
        <v>#DIV/0!</v>
      </c>
      <c r="I9" t="e">
        <f t="shared" si="0"/>
        <v>#DIV/0!</v>
      </c>
      <c r="J9" t="e">
        <f t="shared" si="0"/>
        <v>#DIV/0!</v>
      </c>
      <c r="K9" t="e">
        <f t="shared" si="0"/>
        <v>#DIV/0!</v>
      </c>
      <c r="L9" t="e">
        <f t="shared" si="0"/>
        <v>#DIV/0!</v>
      </c>
      <c r="M9" t="e">
        <f t="shared" si="0"/>
        <v>#DIV/0!</v>
      </c>
    </row>
    <row r="10" spans="1:16" x14ac:dyDescent="0.55000000000000004">
      <c r="A10" t="s">
        <v>68</v>
      </c>
      <c r="B10" t="s">
        <v>280</v>
      </c>
      <c r="C10" s="4">
        <v>459.02539999999999</v>
      </c>
      <c r="E10" t="s">
        <v>42</v>
      </c>
      <c r="F10" s="10">
        <f>F3/$M$3*100</f>
        <v>0</v>
      </c>
      <c r="G10" s="9">
        <f t="shared" ref="G10:M10" si="1">G3/$M$3*100</f>
        <v>66.624623507021894</v>
      </c>
      <c r="H10" s="9">
        <f t="shared" si="1"/>
        <v>21.260670816158139</v>
      </c>
      <c r="I10" s="9">
        <f t="shared" si="1"/>
        <v>9.4520706595393857</v>
      </c>
      <c r="J10" s="10">
        <f t="shared" si="1"/>
        <v>0.35588406510681297</v>
      </c>
      <c r="K10" s="10">
        <f t="shared" si="1"/>
        <v>1.5638238449265474</v>
      </c>
      <c r="L10" s="10">
        <f t="shared" si="1"/>
        <v>0.74292710724721145</v>
      </c>
      <c r="M10" s="9">
        <f t="shared" si="1"/>
        <v>100</v>
      </c>
    </row>
    <row r="11" spans="1:16" x14ac:dyDescent="0.55000000000000004">
      <c r="A11" t="s">
        <v>68</v>
      </c>
      <c r="B11" t="s">
        <v>112</v>
      </c>
      <c r="C11" s="4">
        <v>1254.4101000000001</v>
      </c>
      <c r="E11" t="s">
        <v>68</v>
      </c>
      <c r="F11" s="10">
        <f>F4/$M$4*100</f>
        <v>3.184345972626923</v>
      </c>
      <c r="G11" s="9">
        <f t="shared" ref="G11:M11" si="2">G4/$M$4*100</f>
        <v>87.908204564058607</v>
      </c>
      <c r="H11" s="9">
        <f t="shared" si="2"/>
        <v>1.6396533500754522</v>
      </c>
      <c r="I11" s="9">
        <f t="shared" si="2"/>
        <v>3.6838981560025887</v>
      </c>
      <c r="J11" s="10">
        <f t="shared" si="2"/>
        <v>0.78639638857660921</v>
      </c>
      <c r="K11" s="10">
        <f t="shared" si="2"/>
        <v>1.632256100831178</v>
      </c>
      <c r="L11" s="10">
        <f t="shared" si="2"/>
        <v>1.165245467828633</v>
      </c>
      <c r="M11" s="9">
        <f t="shared" si="2"/>
        <v>100</v>
      </c>
    </row>
    <row r="12" spans="1:16" x14ac:dyDescent="0.55000000000000004">
      <c r="A12" t="s">
        <v>68</v>
      </c>
      <c r="B12" t="s">
        <v>277</v>
      </c>
      <c r="C12" s="4">
        <v>1451.1987999999999</v>
      </c>
      <c r="E12" t="s">
        <v>83</v>
      </c>
      <c r="F12" s="10">
        <f>F5/$M$5*100</f>
        <v>0</v>
      </c>
      <c r="G12" s="9">
        <f t="shared" ref="G12:M12" si="3">G5/$M$5*100</f>
        <v>58.771556077454044</v>
      </c>
      <c r="H12" s="9">
        <f t="shared" si="3"/>
        <v>16.75278265017333</v>
      </c>
      <c r="I12" s="9">
        <f t="shared" si="3"/>
        <v>19.332794789054947</v>
      </c>
      <c r="J12" s="10">
        <f t="shared" si="3"/>
        <v>5.1428664833176754</v>
      </c>
      <c r="K12" s="10">
        <f t="shared" si="3"/>
        <v>0</v>
      </c>
      <c r="L12" s="10">
        <f t="shared" si="3"/>
        <v>0</v>
      </c>
      <c r="M12" s="9">
        <f t="shared" si="3"/>
        <v>100</v>
      </c>
    </row>
    <row r="13" spans="1:16" x14ac:dyDescent="0.55000000000000004">
      <c r="A13" t="s">
        <v>68</v>
      </c>
      <c r="B13" t="s">
        <v>31</v>
      </c>
      <c r="C13" s="4">
        <v>645.90899999999999</v>
      </c>
      <c r="E13" t="s">
        <v>105</v>
      </c>
      <c r="F13" s="9">
        <f>F6/$M$6*100</f>
        <v>8.9086032845748253</v>
      </c>
      <c r="G13" s="9">
        <f t="shared" ref="G13:M13" si="4">G6/$M$6*100</f>
        <v>45.083630173186364</v>
      </c>
      <c r="H13" s="9">
        <f t="shared" si="4"/>
        <v>20.217279877161161</v>
      </c>
      <c r="I13" s="9">
        <f t="shared" si="4"/>
        <v>25.790486665077651</v>
      </c>
      <c r="J13" s="10">
        <f t="shared" si="4"/>
        <v>0</v>
      </c>
      <c r="K13" s="10">
        <f t="shared" si="4"/>
        <v>0</v>
      </c>
      <c r="L13" s="10">
        <f t="shared" si="4"/>
        <v>0</v>
      </c>
      <c r="M13" s="9">
        <f t="shared" si="4"/>
        <v>100</v>
      </c>
    </row>
    <row r="14" spans="1:16" x14ac:dyDescent="0.55000000000000004">
      <c r="A14" t="s">
        <v>68</v>
      </c>
      <c r="B14" t="s">
        <v>28</v>
      </c>
      <c r="C14" s="4">
        <v>34629.698100000001</v>
      </c>
    </row>
    <row r="15" spans="1:16" x14ac:dyDescent="0.55000000000000004">
      <c r="A15" t="s">
        <v>83</v>
      </c>
      <c r="B15" t="s">
        <v>278</v>
      </c>
      <c r="C15" s="4">
        <v>1261.0335</v>
      </c>
      <c r="E15" s="1" t="s">
        <v>285</v>
      </c>
      <c r="F15" s="1" t="s">
        <v>112</v>
      </c>
      <c r="G15" s="1" t="s">
        <v>28</v>
      </c>
      <c r="H15" s="1" t="s">
        <v>31</v>
      </c>
      <c r="I15" s="1" t="s">
        <v>277</v>
      </c>
      <c r="J15" s="1" t="s">
        <v>278</v>
      </c>
      <c r="K15" s="7" t="s">
        <v>279</v>
      </c>
      <c r="L15" s="7" t="s">
        <v>280</v>
      </c>
      <c r="M15" s="1" t="s">
        <v>286</v>
      </c>
      <c r="N15" s="1" t="s">
        <v>283</v>
      </c>
    </row>
    <row r="16" spans="1:16" x14ac:dyDescent="0.55000000000000004">
      <c r="A16" t="s">
        <v>83</v>
      </c>
      <c r="B16" t="s">
        <v>277</v>
      </c>
      <c r="C16" s="4">
        <v>4740.4111999999996</v>
      </c>
      <c r="E16" t="s">
        <v>26</v>
      </c>
      <c r="F16" s="4" t="e">
        <f>$M$16*F9/100</f>
        <v>#DIV/0!</v>
      </c>
      <c r="G16" s="4" t="e">
        <f t="shared" ref="G16:L16" si="5">$M$16*G9/100</f>
        <v>#DIV/0!</v>
      </c>
      <c r="H16" s="4" t="e">
        <f t="shared" si="5"/>
        <v>#DIV/0!</v>
      </c>
      <c r="I16" s="4" t="e">
        <f t="shared" si="5"/>
        <v>#DIV/0!</v>
      </c>
      <c r="J16" s="4" t="e">
        <f t="shared" si="5"/>
        <v>#DIV/0!</v>
      </c>
      <c r="K16" s="4" t="e">
        <f t="shared" si="5"/>
        <v>#DIV/0!</v>
      </c>
      <c r="L16" s="4" t="e">
        <f t="shared" si="5"/>
        <v>#DIV/0!</v>
      </c>
      <c r="M16" s="4">
        <v>12</v>
      </c>
      <c r="N16" s="4"/>
    </row>
    <row r="17" spans="1:14" x14ac:dyDescent="0.55000000000000004">
      <c r="A17" t="s">
        <v>83</v>
      </c>
      <c r="B17" t="s">
        <v>31</v>
      </c>
      <c r="C17" s="4">
        <v>4107.7909</v>
      </c>
      <c r="E17" t="s">
        <v>42</v>
      </c>
      <c r="F17" s="8">
        <f>$M$17*F10/100</f>
        <v>0</v>
      </c>
      <c r="G17" s="8">
        <f t="shared" ref="G17:L17" si="6">$M$17*G10/100</f>
        <v>7.9949548208426267</v>
      </c>
      <c r="H17" s="8">
        <f t="shared" si="6"/>
        <v>2.5512804979389769</v>
      </c>
      <c r="I17" s="8">
        <f t="shared" si="6"/>
        <v>1.1342484791447263</v>
      </c>
      <c r="J17" s="8">
        <f t="shared" si="6"/>
        <v>4.270608781281756E-2</v>
      </c>
      <c r="K17" s="8">
        <f t="shared" si="6"/>
        <v>0.18765886139118568</v>
      </c>
      <c r="L17" s="8">
        <f t="shared" si="6"/>
        <v>8.9151252869665368E-2</v>
      </c>
      <c r="M17" s="4">
        <v>12</v>
      </c>
      <c r="N17" s="4"/>
    </row>
    <row r="18" spans="1:14" x14ac:dyDescent="0.55000000000000004">
      <c r="A18" t="s">
        <v>83</v>
      </c>
      <c r="B18" t="s">
        <v>28</v>
      </c>
      <c r="C18" s="4">
        <v>14410.815699999999</v>
      </c>
      <c r="E18" t="s">
        <v>68</v>
      </c>
      <c r="F18" s="8">
        <f>$M$18*F11/100</f>
        <v>0.38212151671523076</v>
      </c>
      <c r="G18" s="8">
        <f t="shared" ref="G18:L18" si="7">$M$18*G11/100</f>
        <v>10.548984547687033</v>
      </c>
      <c r="H18" s="8">
        <f t="shared" si="7"/>
        <v>0.19675840200905426</v>
      </c>
      <c r="I18" s="8">
        <f t="shared" si="7"/>
        <v>0.44206777872031067</v>
      </c>
      <c r="J18" s="8">
        <f t="shared" si="7"/>
        <v>9.4367566629193114E-2</v>
      </c>
      <c r="K18" s="8">
        <f t="shared" si="7"/>
        <v>0.19587073209974137</v>
      </c>
      <c r="L18" s="8">
        <f t="shared" si="7"/>
        <v>0.13982945613943595</v>
      </c>
      <c r="M18" s="4">
        <v>12</v>
      </c>
      <c r="N18" s="4"/>
    </row>
    <row r="19" spans="1:14" x14ac:dyDescent="0.55000000000000004">
      <c r="A19" t="s">
        <v>105</v>
      </c>
      <c r="B19" t="s">
        <v>112</v>
      </c>
      <c r="C19" s="4">
        <v>1003.8765</v>
      </c>
      <c r="E19" t="s">
        <v>83</v>
      </c>
      <c r="F19" s="8">
        <f>$M$19*F12/100</f>
        <v>0</v>
      </c>
      <c r="G19" s="8">
        <f t="shared" ref="G19:L19" si="8">$M$19*G12/100</f>
        <v>7.052586729294485</v>
      </c>
      <c r="H19" s="8">
        <f t="shared" si="8"/>
        <v>2.0103339180207995</v>
      </c>
      <c r="I19" s="8">
        <f t="shared" si="8"/>
        <v>2.3199353746865938</v>
      </c>
      <c r="J19" s="8">
        <f t="shared" si="8"/>
        <v>0.61714397799812104</v>
      </c>
      <c r="K19" s="8">
        <f t="shared" si="8"/>
        <v>0</v>
      </c>
      <c r="L19" s="8">
        <f t="shared" si="8"/>
        <v>0</v>
      </c>
      <c r="M19" s="4">
        <v>12</v>
      </c>
      <c r="N19" s="4"/>
    </row>
    <row r="20" spans="1:14" x14ac:dyDescent="0.55000000000000004">
      <c r="A20" t="s">
        <v>105</v>
      </c>
      <c r="B20" t="s">
        <v>277</v>
      </c>
      <c r="C20" s="4">
        <v>2906.2314999999999</v>
      </c>
      <c r="E20" t="s">
        <v>105</v>
      </c>
      <c r="F20" s="8">
        <f>$M$20*F13/100</f>
        <v>1.0690323941489792</v>
      </c>
      <c r="G20" s="8">
        <f t="shared" ref="G20:L20" si="9">$M$20*G13/100</f>
        <v>5.4100356207823639</v>
      </c>
      <c r="H20" s="8">
        <f t="shared" si="9"/>
        <v>2.4260735852593394</v>
      </c>
      <c r="I20" s="8">
        <f t="shared" si="9"/>
        <v>3.094858399809318</v>
      </c>
      <c r="J20" s="8">
        <f t="shared" si="9"/>
        <v>0</v>
      </c>
      <c r="K20" s="8">
        <f t="shared" si="9"/>
        <v>0</v>
      </c>
      <c r="L20" s="8">
        <f t="shared" si="9"/>
        <v>0</v>
      </c>
      <c r="M20" s="4">
        <v>12</v>
      </c>
      <c r="N20" s="4"/>
    </row>
    <row r="21" spans="1:14" x14ac:dyDescent="0.55000000000000004">
      <c r="A21" t="s">
        <v>105</v>
      </c>
      <c r="B21" t="s">
        <v>31</v>
      </c>
      <c r="C21" s="4">
        <v>2278.2080999999998</v>
      </c>
    </row>
    <row r="22" spans="1:14" x14ac:dyDescent="0.55000000000000004">
      <c r="A22" t="s">
        <v>105</v>
      </c>
      <c r="B22" t="s">
        <v>28</v>
      </c>
      <c r="C22" s="4">
        <v>5080.3022000000001</v>
      </c>
    </row>
  </sheetData>
  <pageMargins left="0.7" right="0.7" top="0.75" bottom="0.75" header="0.3" footer="0.3"/>
  <pageSetup paperSize="9" orientation="portrait" horizontalDpi="30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Site_info</vt:lpstr>
      <vt:lpstr>Monitoring_data</vt:lpstr>
      <vt:lpstr>Weed_data</vt:lpstr>
      <vt:lpstr>Fish_data</vt:lpstr>
      <vt:lpstr>Macroinvertebrates</vt:lpstr>
      <vt:lpstr>Monitoring_data_(weed)</vt:lpstr>
      <vt:lpstr>Rock_sizes_Periphyton_biomass</vt:lpstr>
      <vt:lpstr>Site_selection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Raven, Olivier (Student)</dc:creator>
  <cp:keywords/>
  <dc:description/>
  <cp:lastModifiedBy>Raven, Olivier (Student)</cp:lastModifiedBy>
  <cp:revision/>
  <dcterms:created xsi:type="dcterms:W3CDTF">2024-05-24T00:00:55Z</dcterms:created>
  <dcterms:modified xsi:type="dcterms:W3CDTF">2025-11-28T01:24:05Z</dcterms:modified>
  <cp:category/>
  <cp:contentStatus/>
</cp:coreProperties>
</file>